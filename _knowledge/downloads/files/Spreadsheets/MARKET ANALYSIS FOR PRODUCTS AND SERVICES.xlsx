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choldingsonline-my.sharepoint.com/personal/lglaides_afcholdings_co_zw/Documents/Desktop/BRDS 2026/"/>
    </mc:Choice>
  </mc:AlternateContent>
  <xr:revisionPtr revIDLastSave="711" documentId="13_ncr:1_{B717E3DD-410E-43CD-B19D-D99728F531A2}" xr6:coauthVersionLast="47" xr6:coauthVersionMax="47" xr10:uidLastSave="{20D09139-6E76-45FA-BBA6-D2F827B8E81C}"/>
  <bookViews>
    <workbookView xWindow="-108" yWindow="-108" windowWidth="23256" windowHeight="13896" firstSheet="4" activeTab="4" xr2:uid="{CD384E9F-1D4C-4850-8C8C-6C48C5563E23}"/>
  </bookViews>
  <sheets>
    <sheet name="CIVIL SERVANTS Infor " sheetId="1" r:id="rId1"/>
    <sheet name="SUMMARY " sheetId="8" r:id="rId2"/>
    <sheet name="AGRICULTURE info " sheetId="2" r:id="rId3"/>
    <sheet name="MARKET ANALYSIS-Civil servants " sheetId="3" r:id="rId4"/>
    <sheet name="SCHOOLS ANALYSIS " sheetId="5" r:id="rId5"/>
    <sheet name="CONSTRUCTION -SCHOOLS" sheetId="9" r:id="rId6"/>
    <sheet name="School Funiture Loan" sheetId="10" r:id="rId7"/>
    <sheet name="PENSION ANALYSIS" sheetId="6" r:id="rId8"/>
    <sheet name="School vehicle loan" sheetId="11" r:id="rId9"/>
    <sheet name="STARLINK Loan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C11" i="6" l="1"/>
  <c r="K16" i="3"/>
  <c r="Q29" i="3"/>
  <c r="P29" i="3"/>
  <c r="O29" i="3"/>
  <c r="N23" i="3"/>
  <c r="O23" i="3"/>
  <c r="P23" i="3"/>
  <c r="Q23" i="3"/>
  <c r="R23" i="3"/>
  <c r="N24" i="3"/>
  <c r="O24" i="3"/>
  <c r="P24" i="3"/>
  <c r="Q24" i="3"/>
  <c r="R24" i="3"/>
  <c r="N25" i="3"/>
  <c r="R25" i="3" s="1"/>
  <c r="N26" i="3" s="1"/>
  <c r="O25" i="3"/>
  <c r="O26" i="3" s="1"/>
  <c r="P25" i="3"/>
  <c r="Q25" i="3"/>
  <c r="B33" i="9"/>
  <c r="C26" i="9"/>
  <c r="C22" i="9"/>
  <c r="C21" i="9"/>
  <c r="C20" i="9"/>
  <c r="C11" i="9"/>
  <c r="C19" i="9" s="1"/>
  <c r="C23" i="9" s="1"/>
  <c r="C7" i="8"/>
  <c r="B33" i="7"/>
  <c r="C26" i="7"/>
  <c r="C22" i="7"/>
  <c r="C21" i="7"/>
  <c r="C20" i="7"/>
  <c r="C19" i="7"/>
  <c r="B33" i="6"/>
  <c r="C26" i="6"/>
  <c r="B26" i="5"/>
  <c r="E26" i="5"/>
  <c r="E22" i="5"/>
  <c r="E21" i="5"/>
  <c r="E20" i="5"/>
  <c r="E19" i="5"/>
  <c r="B22" i="5"/>
  <c r="B21" i="5"/>
  <c r="B20" i="5"/>
  <c r="B19" i="5"/>
  <c r="K19" i="3"/>
  <c r="B22" i="3"/>
  <c r="B21" i="3"/>
  <c r="B20" i="3"/>
  <c r="B19" i="3"/>
  <c r="E22" i="3"/>
  <c r="E21" i="3"/>
  <c r="E20" i="3"/>
  <c r="E19" i="3"/>
  <c r="K22" i="3"/>
  <c r="K21" i="3"/>
  <c r="K20" i="3"/>
  <c r="N5" i="3"/>
  <c r="K26" i="3"/>
  <c r="O5" i="3" s="1"/>
  <c r="O6" i="3" s="1"/>
  <c r="J33" i="5"/>
  <c r="D33" i="5"/>
  <c r="J33" i="3"/>
  <c r="K33" i="3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B26" i="3"/>
  <c r="E33" i="3" s="1"/>
  <c r="D33" i="3"/>
  <c r="Q26" i="3" l="1"/>
  <c r="R26" i="3" s="1"/>
  <c r="N27" i="3" s="1"/>
  <c r="O27" i="3"/>
  <c r="P26" i="3"/>
  <c r="D33" i="9"/>
  <c r="C33" i="9"/>
  <c r="P5" i="3"/>
  <c r="Q5" i="3" s="1"/>
  <c r="C23" i="7"/>
  <c r="C33" i="7"/>
  <c r="D33" i="7"/>
  <c r="C19" i="6"/>
  <c r="C20" i="6"/>
  <c r="C21" i="6"/>
  <c r="C22" i="6"/>
  <c r="C33" i="6"/>
  <c r="D33" i="6"/>
  <c r="E23" i="5"/>
  <c r="B23" i="5"/>
  <c r="E23" i="3"/>
  <c r="K23" i="3"/>
  <c r="O7" i="3"/>
  <c r="K33" i="5"/>
  <c r="E33" i="5"/>
  <c r="F33" i="5"/>
  <c r="L33" i="5"/>
  <c r="K57" i="3"/>
  <c r="F33" i="3"/>
  <c r="L33" i="3"/>
  <c r="E34" i="3"/>
  <c r="E35" i="3" s="1"/>
  <c r="E36" i="3" s="1"/>
  <c r="E37" i="3" s="1"/>
  <c r="E38" i="3" s="1"/>
  <c r="E39" i="3" s="1"/>
  <c r="C34" i="6" l="1"/>
  <c r="C35" i="6" s="1"/>
  <c r="C36" i="6" s="1"/>
  <c r="P27" i="3"/>
  <c r="Q27" i="3"/>
  <c r="R27" i="3" s="1"/>
  <c r="N28" i="3" s="1"/>
  <c r="O28" i="3"/>
  <c r="E33" i="9"/>
  <c r="C34" i="9"/>
  <c r="C34" i="7"/>
  <c r="E33" i="7"/>
  <c r="C23" i="6"/>
  <c r="C37" i="6"/>
  <c r="E33" i="6"/>
  <c r="G33" i="3"/>
  <c r="H33" i="3" s="1"/>
  <c r="D34" i="3" s="1"/>
  <c r="F34" i="3" s="1"/>
  <c r="G34" i="3" s="1"/>
  <c r="H34" i="3" s="1"/>
  <c r="D35" i="3" s="1"/>
  <c r="F35" i="3" s="1"/>
  <c r="G35" i="3" s="1"/>
  <c r="H35" i="3" s="1"/>
  <c r="D36" i="3" s="1"/>
  <c r="F36" i="3" s="1"/>
  <c r="G36" i="3" s="1"/>
  <c r="H36" i="3" s="1"/>
  <c r="D37" i="3" s="1"/>
  <c r="F37" i="3" s="1"/>
  <c r="G37" i="3" s="1"/>
  <c r="H37" i="3" s="1"/>
  <c r="D38" i="3" s="1"/>
  <c r="R5" i="3"/>
  <c r="N6" i="3" s="1"/>
  <c r="P6" i="3" s="1"/>
  <c r="O8" i="3"/>
  <c r="K34" i="5"/>
  <c r="M33" i="5"/>
  <c r="G33" i="5"/>
  <c r="E34" i="5"/>
  <c r="M33" i="3"/>
  <c r="N33" i="3" s="1"/>
  <c r="J34" i="3" s="1"/>
  <c r="L34" i="3" s="1"/>
  <c r="E40" i="3"/>
  <c r="B23" i="3"/>
  <c r="P28" i="3" l="1"/>
  <c r="Q28" i="3"/>
  <c r="R28" i="3" s="1"/>
  <c r="C35" i="9"/>
  <c r="F33" i="9"/>
  <c r="B34" i="9" s="1"/>
  <c r="Q6" i="3"/>
  <c r="F33" i="7"/>
  <c r="B34" i="7" s="1"/>
  <c r="C35" i="7"/>
  <c r="F33" i="6"/>
  <c r="B34" i="6" s="1"/>
  <c r="C38" i="6"/>
  <c r="N33" i="5"/>
  <c r="J34" i="5" s="1"/>
  <c r="L34" i="5" s="1"/>
  <c r="H33" i="5"/>
  <c r="D34" i="5" s="1"/>
  <c r="F34" i="5" s="1"/>
  <c r="O9" i="3"/>
  <c r="E35" i="5"/>
  <c r="K35" i="5"/>
  <c r="M34" i="3"/>
  <c r="N34" i="3" s="1"/>
  <c r="J35" i="3" s="1"/>
  <c r="L35" i="3" s="1"/>
  <c r="F38" i="3"/>
  <c r="E41" i="3"/>
  <c r="M35" i="3" l="1"/>
  <c r="D34" i="9"/>
  <c r="C36" i="9"/>
  <c r="R6" i="3"/>
  <c r="N7" i="3" s="1"/>
  <c r="P7" i="3" s="1"/>
  <c r="C36" i="7"/>
  <c r="D34" i="7"/>
  <c r="C39" i="6"/>
  <c r="D34" i="6"/>
  <c r="M34" i="5"/>
  <c r="G34" i="5"/>
  <c r="O10" i="3"/>
  <c r="E36" i="5"/>
  <c r="K36" i="5"/>
  <c r="N35" i="3"/>
  <c r="J36" i="3" s="1"/>
  <c r="L36" i="3" s="1"/>
  <c r="G38" i="3"/>
  <c r="H38" i="3" s="1"/>
  <c r="D39" i="3" s="1"/>
  <c r="F39" i="3" s="1"/>
  <c r="E42" i="3"/>
  <c r="C37" i="9" l="1"/>
  <c r="E34" i="9"/>
  <c r="Q7" i="3"/>
  <c r="E34" i="7"/>
  <c r="C37" i="7"/>
  <c r="E34" i="6"/>
  <c r="C40" i="6"/>
  <c r="N34" i="5"/>
  <c r="J35" i="5" s="1"/>
  <c r="L35" i="5" s="1"/>
  <c r="H34" i="5"/>
  <c r="D35" i="5" s="1"/>
  <c r="F35" i="5" s="1"/>
  <c r="G39" i="3"/>
  <c r="H39" i="3" s="1"/>
  <c r="D40" i="3" s="1"/>
  <c r="F40" i="3" s="1"/>
  <c r="O11" i="3"/>
  <c r="K37" i="5"/>
  <c r="E37" i="5"/>
  <c r="M36" i="3"/>
  <c r="N36" i="3" s="1"/>
  <c r="J37" i="3" s="1"/>
  <c r="L37" i="3" s="1"/>
  <c r="E43" i="3"/>
  <c r="M37" i="3" l="1"/>
  <c r="F34" i="9"/>
  <c r="B35" i="9" s="1"/>
  <c r="C38" i="9"/>
  <c r="R7" i="3"/>
  <c r="N8" i="3" s="1"/>
  <c r="C38" i="7"/>
  <c r="F34" i="7"/>
  <c r="B35" i="7" s="1"/>
  <c r="C41" i="6"/>
  <c r="F34" i="6"/>
  <c r="B35" i="6" s="1"/>
  <c r="M35" i="5"/>
  <c r="G35" i="5"/>
  <c r="G40" i="3"/>
  <c r="H40" i="3" s="1"/>
  <c r="D41" i="3" s="1"/>
  <c r="F41" i="3" s="1"/>
  <c r="O12" i="3"/>
  <c r="E38" i="5"/>
  <c r="K38" i="5"/>
  <c r="N37" i="3"/>
  <c r="J38" i="3" s="1"/>
  <c r="E44" i="3"/>
  <c r="C39" i="9" l="1"/>
  <c r="D35" i="9"/>
  <c r="P8" i="3"/>
  <c r="D35" i="7"/>
  <c r="C39" i="7"/>
  <c r="D35" i="6"/>
  <c r="C42" i="6"/>
  <c r="N35" i="5"/>
  <c r="J36" i="5" s="1"/>
  <c r="L36" i="5" s="1"/>
  <c r="M36" i="5" s="1"/>
  <c r="N36" i="5" s="1"/>
  <c r="J37" i="5" s="1"/>
  <c r="L37" i="5" s="1"/>
  <c r="H35" i="5"/>
  <c r="D36" i="5" s="1"/>
  <c r="F36" i="5" s="1"/>
  <c r="G36" i="5" s="1"/>
  <c r="H36" i="5" s="1"/>
  <c r="D37" i="5" s="1"/>
  <c r="F37" i="5" s="1"/>
  <c r="O13" i="3"/>
  <c r="K39" i="5"/>
  <c r="E39" i="5"/>
  <c r="L38" i="3"/>
  <c r="G41" i="3"/>
  <c r="H41" i="3" s="1"/>
  <c r="D42" i="3" s="1"/>
  <c r="F42" i="3"/>
  <c r="G42" i="3" s="1"/>
  <c r="H42" i="3" s="1"/>
  <c r="D43" i="3" s="1"/>
  <c r="E45" i="3"/>
  <c r="E35" i="9" l="1"/>
  <c r="C40" i="9"/>
  <c r="Q8" i="3"/>
  <c r="E35" i="7"/>
  <c r="C40" i="7"/>
  <c r="C43" i="6"/>
  <c r="E35" i="6"/>
  <c r="O14" i="3"/>
  <c r="E40" i="5"/>
  <c r="G37" i="5"/>
  <c r="H37" i="5" s="1"/>
  <c r="D38" i="5" s="1"/>
  <c r="F38" i="5" s="1"/>
  <c r="K40" i="5"/>
  <c r="M37" i="5"/>
  <c r="M38" i="3"/>
  <c r="N38" i="3" s="1"/>
  <c r="J39" i="3" s="1"/>
  <c r="E46" i="3"/>
  <c r="F43" i="3"/>
  <c r="G43" i="3" s="1"/>
  <c r="H43" i="3" s="1"/>
  <c r="D44" i="3" s="1"/>
  <c r="C41" i="9" l="1"/>
  <c r="F35" i="9"/>
  <c r="B36" i="9" s="1"/>
  <c r="R8" i="3"/>
  <c r="N9" i="3" s="1"/>
  <c r="F35" i="7"/>
  <c r="B36" i="7" s="1"/>
  <c r="C41" i="7"/>
  <c r="F35" i="6"/>
  <c r="B36" i="6" s="1"/>
  <c r="C44" i="6"/>
  <c r="N37" i="5"/>
  <c r="J38" i="5" s="1"/>
  <c r="O15" i="3"/>
  <c r="L38" i="5"/>
  <c r="K41" i="5"/>
  <c r="E41" i="5"/>
  <c r="L39" i="3"/>
  <c r="M39" i="3" s="1"/>
  <c r="F44" i="3"/>
  <c r="G44" i="3" s="1"/>
  <c r="H44" i="3" s="1"/>
  <c r="D45" i="3" s="1"/>
  <c r="E47" i="3"/>
  <c r="D36" i="9" l="1"/>
  <c r="C42" i="9"/>
  <c r="P9" i="3"/>
  <c r="C42" i="7"/>
  <c r="D36" i="7"/>
  <c r="C45" i="6"/>
  <c r="D36" i="6"/>
  <c r="O16" i="3"/>
  <c r="O17" i="3" s="1"/>
  <c r="E42" i="5"/>
  <c r="G38" i="5"/>
  <c r="K42" i="5"/>
  <c r="M38" i="5"/>
  <c r="N39" i="3"/>
  <c r="J40" i="3" s="1"/>
  <c r="F45" i="3"/>
  <c r="G45" i="3" s="1"/>
  <c r="H45" i="3" s="1"/>
  <c r="D46" i="3" s="1"/>
  <c r="E48" i="3"/>
  <c r="E36" i="9" l="1"/>
  <c r="C43" i="9"/>
  <c r="O18" i="3"/>
  <c r="O19" i="3" s="1"/>
  <c r="Q9" i="3"/>
  <c r="R9" i="3" s="1"/>
  <c r="N10" i="3" s="1"/>
  <c r="P10" i="3" s="1"/>
  <c r="Q10" i="3" s="1"/>
  <c r="R10" i="3" s="1"/>
  <c r="N11" i="3" s="1"/>
  <c r="P11" i="3" s="1"/>
  <c r="Q11" i="3" s="1"/>
  <c r="R11" i="3" s="1"/>
  <c r="N12" i="3" s="1"/>
  <c r="P12" i="3" s="1"/>
  <c r="Q12" i="3" s="1"/>
  <c r="R12" i="3" s="1"/>
  <c r="N13" i="3" s="1"/>
  <c r="P13" i="3" s="1"/>
  <c r="Q13" i="3" s="1"/>
  <c r="R13" i="3" s="1"/>
  <c r="N14" i="3" s="1"/>
  <c r="P14" i="3" s="1"/>
  <c r="Q14" i="3" s="1"/>
  <c r="R14" i="3" s="1"/>
  <c r="N15" i="3" s="1"/>
  <c r="P15" i="3" s="1"/>
  <c r="Q15" i="3" s="1"/>
  <c r="R15" i="3" s="1"/>
  <c r="N16" i="3" s="1"/>
  <c r="P16" i="3" s="1"/>
  <c r="C43" i="7"/>
  <c r="E36" i="7"/>
  <c r="E36" i="6"/>
  <c r="C46" i="6"/>
  <c r="N38" i="5"/>
  <c r="J39" i="5" s="1"/>
  <c r="L39" i="5" s="1"/>
  <c r="M39" i="5" s="1"/>
  <c r="N39" i="5" s="1"/>
  <c r="J40" i="5" s="1"/>
  <c r="H38" i="5"/>
  <c r="D39" i="5" s="1"/>
  <c r="F39" i="5" s="1"/>
  <c r="G39" i="5" s="1"/>
  <c r="H39" i="5" s="1"/>
  <c r="D40" i="5" s="1"/>
  <c r="F40" i="5" s="1"/>
  <c r="K43" i="5"/>
  <c r="E43" i="5"/>
  <c r="L40" i="3"/>
  <c r="M40" i="3" s="1"/>
  <c r="F46" i="3"/>
  <c r="G46" i="3" s="1"/>
  <c r="H46" i="3" s="1"/>
  <c r="D47" i="3" s="1"/>
  <c r="E49" i="3"/>
  <c r="F36" i="9" l="1"/>
  <c r="B37" i="9" s="1"/>
  <c r="C44" i="9"/>
  <c r="O20" i="3"/>
  <c r="F36" i="7"/>
  <c r="B37" i="7" s="1"/>
  <c r="C44" i="7"/>
  <c r="C47" i="6"/>
  <c r="F36" i="6"/>
  <c r="B37" i="6" s="1"/>
  <c r="Q16" i="3"/>
  <c r="G40" i="5"/>
  <c r="H40" i="5" s="1"/>
  <c r="D41" i="5" s="1"/>
  <c r="F41" i="5" s="1"/>
  <c r="L40" i="5"/>
  <c r="M40" i="5" s="1"/>
  <c r="N40" i="5" s="1"/>
  <c r="J41" i="5" s="1"/>
  <c r="E44" i="5"/>
  <c r="K44" i="5"/>
  <c r="N40" i="3"/>
  <c r="J41" i="3" s="1"/>
  <c r="F47" i="3"/>
  <c r="G47" i="3" s="1"/>
  <c r="H47" i="3" s="1"/>
  <c r="D48" i="3" s="1"/>
  <c r="E50" i="3"/>
  <c r="C45" i="9" l="1"/>
  <c r="F37" i="9"/>
  <c r="B38" i="9" s="1"/>
  <c r="D37" i="9"/>
  <c r="E37" i="9" s="1"/>
  <c r="O21" i="3"/>
  <c r="C45" i="7"/>
  <c r="D37" i="7"/>
  <c r="E37" i="7" s="1"/>
  <c r="D37" i="6"/>
  <c r="E37" i="6" s="1"/>
  <c r="C48" i="6"/>
  <c r="R16" i="3"/>
  <c r="N17" i="3" s="1"/>
  <c r="L41" i="5"/>
  <c r="M41" i="5" s="1"/>
  <c r="N41" i="5" s="1"/>
  <c r="J42" i="5" s="1"/>
  <c r="G41" i="5"/>
  <c r="H41" i="5" s="1"/>
  <c r="D42" i="5" s="1"/>
  <c r="F42" i="5" s="1"/>
  <c r="K45" i="5"/>
  <c r="E45" i="5"/>
  <c r="L41" i="3"/>
  <c r="M41" i="3" s="1"/>
  <c r="F48" i="3"/>
  <c r="G48" i="3" s="1"/>
  <c r="H48" i="3" s="1"/>
  <c r="D49" i="3" s="1"/>
  <c r="E51" i="3"/>
  <c r="D38" i="9" l="1"/>
  <c r="E38" i="9" s="1"/>
  <c r="F38" i="9" s="1"/>
  <c r="B39" i="9" s="1"/>
  <c r="C46" i="9"/>
  <c r="P17" i="3"/>
  <c r="Q17" i="3" s="1"/>
  <c r="R17" i="3" s="1"/>
  <c r="N18" i="3" s="1"/>
  <c r="P18" i="3" s="1"/>
  <c r="Q18" i="3" s="1"/>
  <c r="R18" i="3" s="1"/>
  <c r="N19" i="3" s="1"/>
  <c r="P19" i="3" s="1"/>
  <c r="Q19" i="3" s="1"/>
  <c r="R19" i="3" s="1"/>
  <c r="N20" i="3" s="1"/>
  <c r="P20" i="3" s="1"/>
  <c r="Q20" i="3" s="1"/>
  <c r="R20" i="3" s="1"/>
  <c r="N21" i="3" s="1"/>
  <c r="P21" i="3" s="1"/>
  <c r="Q21" i="3" s="1"/>
  <c r="R21" i="3" s="1"/>
  <c r="N22" i="3" s="1"/>
  <c r="P22" i="3" s="1"/>
  <c r="O22" i="3"/>
  <c r="F37" i="7"/>
  <c r="B38" i="7" s="1"/>
  <c r="C46" i="7"/>
  <c r="C49" i="6"/>
  <c r="F37" i="6"/>
  <c r="B38" i="6" s="1"/>
  <c r="G42" i="5"/>
  <c r="H42" i="5" s="1"/>
  <c r="D43" i="5" s="1"/>
  <c r="F43" i="5" s="1"/>
  <c r="L42" i="5"/>
  <c r="M42" i="5" s="1"/>
  <c r="N42" i="5" s="1"/>
  <c r="J43" i="5" s="1"/>
  <c r="E46" i="5"/>
  <c r="K46" i="5"/>
  <c r="N41" i="3"/>
  <c r="J42" i="3" s="1"/>
  <c r="F49" i="3"/>
  <c r="G49" i="3" s="1"/>
  <c r="H49" i="3" s="1"/>
  <c r="D50" i="3" s="1"/>
  <c r="E52" i="3"/>
  <c r="D39" i="9" l="1"/>
  <c r="E39" i="9" s="1"/>
  <c r="F39" i="9" s="1"/>
  <c r="B40" i="9" s="1"/>
  <c r="C47" i="9"/>
  <c r="Q22" i="3"/>
  <c r="D38" i="7"/>
  <c r="E38" i="7" s="1"/>
  <c r="F38" i="7" s="1"/>
  <c r="B39" i="7" s="1"/>
  <c r="C47" i="7"/>
  <c r="D38" i="6"/>
  <c r="E38" i="6" s="1"/>
  <c r="F38" i="6" s="1"/>
  <c r="B39" i="6" s="1"/>
  <c r="C50" i="6"/>
  <c r="L43" i="5"/>
  <c r="M43" i="5" s="1"/>
  <c r="N43" i="5" s="1"/>
  <c r="J44" i="5" s="1"/>
  <c r="G43" i="5"/>
  <c r="H43" i="5" s="1"/>
  <c r="D44" i="5" s="1"/>
  <c r="F44" i="5" s="1"/>
  <c r="K47" i="5"/>
  <c r="E47" i="5"/>
  <c r="L42" i="3"/>
  <c r="M42" i="3" s="1"/>
  <c r="E53" i="3"/>
  <c r="F50" i="3"/>
  <c r="G50" i="3" s="1"/>
  <c r="H50" i="3" s="1"/>
  <c r="D51" i="3" s="1"/>
  <c r="D40" i="9" l="1"/>
  <c r="E40" i="9" s="1"/>
  <c r="F40" i="9"/>
  <c r="B41" i="9" s="1"/>
  <c r="C48" i="9"/>
  <c r="R22" i="3"/>
  <c r="B3" i="8"/>
  <c r="D39" i="7"/>
  <c r="E39" i="7" s="1"/>
  <c r="F39" i="7" s="1"/>
  <c r="B40" i="7" s="1"/>
  <c r="C48" i="7"/>
  <c r="D39" i="6"/>
  <c r="E39" i="6" s="1"/>
  <c r="F39" i="6" s="1"/>
  <c r="B40" i="6" s="1"/>
  <c r="C51" i="6"/>
  <c r="G44" i="5"/>
  <c r="H44" i="5" s="1"/>
  <c r="D45" i="5" s="1"/>
  <c r="F45" i="5" s="1"/>
  <c r="L44" i="5"/>
  <c r="M44" i="5" s="1"/>
  <c r="N44" i="5" s="1"/>
  <c r="J45" i="5" s="1"/>
  <c r="E48" i="5"/>
  <c r="K48" i="5"/>
  <c r="N42" i="3"/>
  <c r="J43" i="3" s="1"/>
  <c r="F51" i="3"/>
  <c r="G51" i="3" s="1"/>
  <c r="H51" i="3" s="1"/>
  <c r="D52" i="3" s="1"/>
  <c r="E54" i="3"/>
  <c r="C49" i="9" l="1"/>
  <c r="D41" i="9"/>
  <c r="E41" i="9" s="1"/>
  <c r="F41" i="9" s="1"/>
  <c r="B42" i="9" s="1"/>
  <c r="D3" i="8"/>
  <c r="D40" i="7"/>
  <c r="E40" i="7" s="1"/>
  <c r="F40" i="7" s="1"/>
  <c r="B41" i="7" s="1"/>
  <c r="C49" i="7"/>
  <c r="D40" i="6"/>
  <c r="E40" i="6" s="1"/>
  <c r="F40" i="6" s="1"/>
  <c r="B41" i="6" s="1"/>
  <c r="C52" i="6"/>
  <c r="L45" i="5"/>
  <c r="M45" i="5" s="1"/>
  <c r="N45" i="5" s="1"/>
  <c r="J46" i="5" s="1"/>
  <c r="G45" i="5"/>
  <c r="H45" i="5" s="1"/>
  <c r="D46" i="5" s="1"/>
  <c r="F46" i="5" s="1"/>
  <c r="E49" i="5"/>
  <c r="K49" i="5"/>
  <c r="L43" i="3"/>
  <c r="M43" i="3" s="1"/>
  <c r="N43" i="3" s="1"/>
  <c r="J44" i="3" s="1"/>
  <c r="F52" i="3"/>
  <c r="G52" i="3" s="1"/>
  <c r="H52" i="3" s="1"/>
  <c r="D53" i="3" s="1"/>
  <c r="E55" i="3"/>
  <c r="D42" i="9" l="1"/>
  <c r="E42" i="9" s="1"/>
  <c r="F42" i="9" s="1"/>
  <c r="B43" i="9" s="1"/>
  <c r="C50" i="9"/>
  <c r="D41" i="7"/>
  <c r="E41" i="7" s="1"/>
  <c r="F41" i="7" s="1"/>
  <c r="B42" i="7" s="1"/>
  <c r="C50" i="7"/>
  <c r="D41" i="6"/>
  <c r="E41" i="6" s="1"/>
  <c r="F41" i="6" s="1"/>
  <c r="B42" i="6" s="1"/>
  <c r="C53" i="6"/>
  <c r="G46" i="5"/>
  <c r="H46" i="5" s="1"/>
  <c r="D47" i="5" s="1"/>
  <c r="F47" i="5" s="1"/>
  <c r="L46" i="5"/>
  <c r="M46" i="5" s="1"/>
  <c r="N46" i="5" s="1"/>
  <c r="J47" i="5" s="1"/>
  <c r="K50" i="5"/>
  <c r="E50" i="5"/>
  <c r="L44" i="3"/>
  <c r="M44" i="3" s="1"/>
  <c r="F53" i="3"/>
  <c r="G53" i="3" s="1"/>
  <c r="H53" i="3" s="1"/>
  <c r="D54" i="3" s="1"/>
  <c r="E56" i="3"/>
  <c r="E57" i="3" s="1"/>
  <c r="D43" i="9" l="1"/>
  <c r="E43" i="9" s="1"/>
  <c r="F43" i="9" s="1"/>
  <c r="B44" i="9" s="1"/>
  <c r="C51" i="9"/>
  <c r="D42" i="7"/>
  <c r="E42" i="7" s="1"/>
  <c r="F42" i="7" s="1"/>
  <c r="B43" i="7" s="1"/>
  <c r="C51" i="7"/>
  <c r="D42" i="6"/>
  <c r="E42" i="6" s="1"/>
  <c r="F42" i="6" s="1"/>
  <c r="B43" i="6" s="1"/>
  <c r="C54" i="6"/>
  <c r="L47" i="5"/>
  <c r="M47" i="5" s="1"/>
  <c r="N47" i="5" s="1"/>
  <c r="J48" i="5" s="1"/>
  <c r="G47" i="5"/>
  <c r="H47" i="5" s="1"/>
  <c r="D48" i="5" s="1"/>
  <c r="F48" i="5" s="1"/>
  <c r="E51" i="5"/>
  <c r="K51" i="5"/>
  <c r="N44" i="3"/>
  <c r="J45" i="3" s="1"/>
  <c r="F54" i="3"/>
  <c r="G54" i="3" s="1"/>
  <c r="H54" i="3" s="1"/>
  <c r="D55" i="3" s="1"/>
  <c r="D44" i="9" l="1"/>
  <c r="E44" i="9" s="1"/>
  <c r="F44" i="9" s="1"/>
  <c r="B45" i="9" s="1"/>
  <c r="C52" i="9"/>
  <c r="D43" i="7"/>
  <c r="E43" i="7" s="1"/>
  <c r="F43" i="7" s="1"/>
  <c r="B44" i="7" s="1"/>
  <c r="C52" i="7"/>
  <c r="D43" i="6"/>
  <c r="E43" i="6" s="1"/>
  <c r="F43" i="6" s="1"/>
  <c r="B44" i="6" s="1"/>
  <c r="C55" i="6"/>
  <c r="G48" i="5"/>
  <c r="H48" i="5" s="1"/>
  <c r="D49" i="5" s="1"/>
  <c r="F49" i="5" s="1"/>
  <c r="L48" i="5"/>
  <c r="M48" i="5" s="1"/>
  <c r="N48" i="5" s="1"/>
  <c r="J49" i="5" s="1"/>
  <c r="E52" i="5"/>
  <c r="K52" i="5"/>
  <c r="L45" i="3"/>
  <c r="M45" i="3" s="1"/>
  <c r="N45" i="3" s="1"/>
  <c r="J46" i="3" s="1"/>
  <c r="F55" i="3"/>
  <c r="G55" i="3" s="1"/>
  <c r="H55" i="3" s="1"/>
  <c r="D56" i="3" s="1"/>
  <c r="D45" i="9" l="1"/>
  <c r="E45" i="9" s="1"/>
  <c r="F45" i="9" s="1"/>
  <c r="B46" i="9" s="1"/>
  <c r="C53" i="9"/>
  <c r="D44" i="7"/>
  <c r="E44" i="7" s="1"/>
  <c r="F44" i="7" s="1"/>
  <c r="B45" i="7" s="1"/>
  <c r="C53" i="7"/>
  <c r="D44" i="6"/>
  <c r="E44" i="6" s="1"/>
  <c r="F44" i="6" s="1"/>
  <c r="B45" i="6" s="1"/>
  <c r="C56" i="6"/>
  <c r="L49" i="5"/>
  <c r="M49" i="5" s="1"/>
  <c r="N49" i="5" s="1"/>
  <c r="J50" i="5" s="1"/>
  <c r="G49" i="5"/>
  <c r="H49" i="5" s="1"/>
  <c r="D50" i="5" s="1"/>
  <c r="F50" i="5" s="1"/>
  <c r="K53" i="5"/>
  <c r="E53" i="5"/>
  <c r="L46" i="3"/>
  <c r="M46" i="3" s="1"/>
  <c r="N46" i="3" s="1"/>
  <c r="J47" i="3" s="1"/>
  <c r="F56" i="3"/>
  <c r="B16" i="3" s="1"/>
  <c r="D46" i="9" l="1"/>
  <c r="E46" i="9" s="1"/>
  <c r="F46" i="9"/>
  <c r="B47" i="9" s="1"/>
  <c r="C54" i="9"/>
  <c r="D45" i="7"/>
  <c r="E45" i="7" s="1"/>
  <c r="F45" i="7" s="1"/>
  <c r="B46" i="7" s="1"/>
  <c r="C54" i="7"/>
  <c r="D45" i="6"/>
  <c r="E45" i="6" s="1"/>
  <c r="F45" i="6" s="1"/>
  <c r="B46" i="6" s="1"/>
  <c r="G50" i="5"/>
  <c r="H50" i="5" s="1"/>
  <c r="D51" i="5" s="1"/>
  <c r="F51" i="5" s="1"/>
  <c r="L50" i="5"/>
  <c r="M50" i="5" s="1"/>
  <c r="N50" i="5" s="1"/>
  <c r="J51" i="5" s="1"/>
  <c r="K54" i="5"/>
  <c r="E54" i="5"/>
  <c r="L47" i="3"/>
  <c r="M47" i="3" s="1"/>
  <c r="N47" i="3" s="1"/>
  <c r="J48" i="3" s="1"/>
  <c r="G56" i="3"/>
  <c r="H56" i="3" s="1"/>
  <c r="F57" i="3"/>
  <c r="G57" i="3" s="1"/>
  <c r="C55" i="9" l="1"/>
  <c r="D47" i="9"/>
  <c r="E47" i="9" s="1"/>
  <c r="F47" i="9" s="1"/>
  <c r="B48" i="9" s="1"/>
  <c r="D46" i="7"/>
  <c r="E46" i="7" s="1"/>
  <c r="F46" i="7" s="1"/>
  <c r="B47" i="7" s="1"/>
  <c r="C55" i="7"/>
  <c r="D46" i="6"/>
  <c r="E46" i="6" s="1"/>
  <c r="F46" i="6" s="1"/>
  <c r="B47" i="6" s="1"/>
  <c r="L51" i="5"/>
  <c r="M51" i="5" s="1"/>
  <c r="N51" i="5" s="1"/>
  <c r="J52" i="5" s="1"/>
  <c r="G51" i="5"/>
  <c r="H51" i="5" s="1"/>
  <c r="D52" i="5" s="1"/>
  <c r="F52" i="5" s="1"/>
  <c r="E55" i="5"/>
  <c r="K55" i="5"/>
  <c r="L48" i="3"/>
  <c r="M48" i="3" s="1"/>
  <c r="N48" i="3" s="1"/>
  <c r="F48" i="9" l="1"/>
  <c r="B49" i="9" s="1"/>
  <c r="D48" i="9"/>
  <c r="E48" i="9" s="1"/>
  <c r="C56" i="9"/>
  <c r="D47" i="7"/>
  <c r="E47" i="7" s="1"/>
  <c r="F47" i="7" s="1"/>
  <c r="B48" i="7" s="1"/>
  <c r="C56" i="7"/>
  <c r="D47" i="6"/>
  <c r="E47" i="6" s="1"/>
  <c r="F47" i="6" s="1"/>
  <c r="B48" i="6" s="1"/>
  <c r="G52" i="5"/>
  <c r="H52" i="5" s="1"/>
  <c r="D53" i="5" s="1"/>
  <c r="F53" i="5" s="1"/>
  <c r="L52" i="5"/>
  <c r="M52" i="5" s="1"/>
  <c r="N52" i="5" s="1"/>
  <c r="J53" i="5" s="1"/>
  <c r="E56" i="5"/>
  <c r="E57" i="5" s="1"/>
  <c r="K56" i="5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70" i="5" s="1"/>
  <c r="J49" i="3"/>
  <c r="C57" i="9" l="1"/>
  <c r="D49" i="9"/>
  <c r="E49" i="9" s="1"/>
  <c r="F49" i="9" s="1"/>
  <c r="B50" i="9" s="1"/>
  <c r="D48" i="7"/>
  <c r="E48" i="7" s="1"/>
  <c r="F48" i="7" s="1"/>
  <c r="B49" i="7" s="1"/>
  <c r="C57" i="7"/>
  <c r="D48" i="6"/>
  <c r="E48" i="6" s="1"/>
  <c r="F48" i="6" s="1"/>
  <c r="B49" i="6" s="1"/>
  <c r="E58" i="5"/>
  <c r="L53" i="5"/>
  <c r="M53" i="5" s="1"/>
  <c r="N53" i="5" s="1"/>
  <c r="J54" i="5" s="1"/>
  <c r="G53" i="5"/>
  <c r="H53" i="5" s="1"/>
  <c r="D54" i="5" s="1"/>
  <c r="F54" i="5" s="1"/>
  <c r="L49" i="3"/>
  <c r="M49" i="3" s="1"/>
  <c r="D50" i="9" l="1"/>
  <c r="E50" i="9" s="1"/>
  <c r="F50" i="9" s="1"/>
  <c r="B51" i="9" s="1"/>
  <c r="D49" i="7"/>
  <c r="E49" i="7" s="1"/>
  <c r="F49" i="7"/>
  <c r="B50" i="7" s="1"/>
  <c r="D49" i="6"/>
  <c r="E49" i="6" s="1"/>
  <c r="F49" i="6" s="1"/>
  <c r="B50" i="6" s="1"/>
  <c r="E59" i="5"/>
  <c r="E60" i="5" s="1"/>
  <c r="G54" i="5"/>
  <c r="H54" i="5" s="1"/>
  <c r="D55" i="5" s="1"/>
  <c r="F55" i="5" s="1"/>
  <c r="L54" i="5"/>
  <c r="M54" i="5" s="1"/>
  <c r="N54" i="5" s="1"/>
  <c r="J55" i="5" s="1"/>
  <c r="N49" i="3"/>
  <c r="J50" i="3" s="1"/>
  <c r="F51" i="9" l="1"/>
  <c r="B52" i="9" s="1"/>
  <c r="D51" i="9"/>
  <c r="E51" i="9" s="1"/>
  <c r="D50" i="7"/>
  <c r="E50" i="7" s="1"/>
  <c r="F50" i="7" s="1"/>
  <c r="B51" i="7" s="1"/>
  <c r="D50" i="6"/>
  <c r="E50" i="6" s="1"/>
  <c r="F50" i="6" s="1"/>
  <c r="B51" i="6" s="1"/>
  <c r="E61" i="5"/>
  <c r="L55" i="5"/>
  <c r="M55" i="5" s="1"/>
  <c r="N55" i="5" s="1"/>
  <c r="J56" i="5" s="1"/>
  <c r="G55" i="5"/>
  <c r="H55" i="5" s="1"/>
  <c r="D56" i="5" s="1"/>
  <c r="F56" i="5" s="1"/>
  <c r="L50" i="3"/>
  <c r="M50" i="3" s="1"/>
  <c r="D52" i="9" l="1"/>
  <c r="E52" i="9" s="1"/>
  <c r="F52" i="9" s="1"/>
  <c r="B53" i="9" s="1"/>
  <c r="D51" i="7"/>
  <c r="E51" i="7" s="1"/>
  <c r="F51" i="7" s="1"/>
  <c r="B52" i="7" s="1"/>
  <c r="D51" i="6"/>
  <c r="E51" i="6" s="1"/>
  <c r="F51" i="6" s="1"/>
  <c r="B52" i="6" s="1"/>
  <c r="E62" i="5"/>
  <c r="L56" i="5"/>
  <c r="N50" i="3"/>
  <c r="J51" i="3" s="1"/>
  <c r="D53" i="9" l="1"/>
  <c r="E53" i="9" s="1"/>
  <c r="F53" i="9" s="1"/>
  <c r="B54" i="9" s="1"/>
  <c r="D52" i="7"/>
  <c r="E52" i="7" s="1"/>
  <c r="F52" i="7" s="1"/>
  <c r="B53" i="7" s="1"/>
  <c r="D52" i="6"/>
  <c r="E52" i="6" s="1"/>
  <c r="F52" i="6" s="1"/>
  <c r="B53" i="6" s="1"/>
  <c r="E63" i="5"/>
  <c r="M56" i="5"/>
  <c r="N56" i="5" s="1"/>
  <c r="J57" i="5" s="1"/>
  <c r="G56" i="5"/>
  <c r="H56" i="5" s="1"/>
  <c r="D57" i="5" s="1"/>
  <c r="L51" i="3"/>
  <c r="M51" i="3" s="1"/>
  <c r="D54" i="9" l="1"/>
  <c r="E54" i="9" s="1"/>
  <c r="F54" i="9" s="1"/>
  <c r="B55" i="9" s="1"/>
  <c r="D53" i="7"/>
  <c r="E53" i="7" s="1"/>
  <c r="F53" i="7" s="1"/>
  <c r="B54" i="7" s="1"/>
  <c r="D53" i="6"/>
  <c r="E53" i="6" s="1"/>
  <c r="F53" i="6" s="1"/>
  <c r="B54" i="6" s="1"/>
  <c r="F57" i="5"/>
  <c r="G57" i="5" s="1"/>
  <c r="H57" i="5" s="1"/>
  <c r="D58" i="5" s="1"/>
  <c r="L57" i="5"/>
  <c r="M57" i="5" s="1"/>
  <c r="N57" i="5"/>
  <c r="J58" i="5" s="1"/>
  <c r="L58" i="5" s="1"/>
  <c r="M58" i="5" s="1"/>
  <c r="N58" i="5" s="1"/>
  <c r="J59" i="5" s="1"/>
  <c r="E64" i="5"/>
  <c r="N51" i="3"/>
  <c r="J52" i="3" s="1"/>
  <c r="F55" i="9" l="1"/>
  <c r="B56" i="9" s="1"/>
  <c r="D55" i="9"/>
  <c r="E55" i="9" s="1"/>
  <c r="D54" i="7"/>
  <c r="E54" i="7" s="1"/>
  <c r="F54" i="7" s="1"/>
  <c r="B55" i="7" s="1"/>
  <c r="D54" i="6"/>
  <c r="E54" i="6" s="1"/>
  <c r="F54" i="6" s="1"/>
  <c r="B55" i="6" s="1"/>
  <c r="F58" i="5"/>
  <c r="G58" i="5" s="1"/>
  <c r="H58" i="5" s="1"/>
  <c r="D59" i="5" s="1"/>
  <c r="L59" i="5"/>
  <c r="M59" i="5" s="1"/>
  <c r="N59" i="5" s="1"/>
  <c r="J60" i="5" s="1"/>
  <c r="E65" i="5"/>
  <c r="L52" i="3"/>
  <c r="M52" i="3" s="1"/>
  <c r="D56" i="9" l="1"/>
  <c r="D55" i="7"/>
  <c r="E55" i="7" s="1"/>
  <c r="F55" i="7" s="1"/>
  <c r="B56" i="7" s="1"/>
  <c r="D55" i="6"/>
  <c r="E55" i="6" s="1"/>
  <c r="F55" i="6" s="1"/>
  <c r="B56" i="6" s="1"/>
  <c r="F59" i="5"/>
  <c r="G59" i="5" s="1"/>
  <c r="H59" i="5" s="1"/>
  <c r="D60" i="5" s="1"/>
  <c r="L60" i="5"/>
  <c r="M60" i="5" s="1"/>
  <c r="N60" i="5" s="1"/>
  <c r="J61" i="5" s="1"/>
  <c r="E66" i="5"/>
  <c r="N52" i="3"/>
  <c r="J53" i="3" s="1"/>
  <c r="C16" i="9" l="1"/>
  <c r="D57" i="9"/>
  <c r="E56" i="9"/>
  <c r="D56" i="7"/>
  <c r="C16" i="7" s="1"/>
  <c r="B6" i="8" s="1"/>
  <c r="D6" i="8" s="1"/>
  <c r="D56" i="6"/>
  <c r="F60" i="5"/>
  <c r="G60" i="5" s="1"/>
  <c r="H60" i="5" s="1"/>
  <c r="D61" i="5" s="1"/>
  <c r="L61" i="5"/>
  <c r="M61" i="5" s="1"/>
  <c r="N61" i="5" s="1"/>
  <c r="J62" i="5" s="1"/>
  <c r="L62" i="5" s="1"/>
  <c r="M62" i="5" s="1"/>
  <c r="N62" i="5" s="1"/>
  <c r="J63" i="5" s="1"/>
  <c r="E67" i="5"/>
  <c r="E68" i="5" s="1"/>
  <c r="E70" i="5" s="1"/>
  <c r="L53" i="3"/>
  <c r="M53" i="3" s="1"/>
  <c r="E56" i="6" l="1"/>
  <c r="F56" i="6" s="1"/>
  <c r="C16" i="6"/>
  <c r="B5" i="8" s="1"/>
  <c r="D5" i="8" s="1"/>
  <c r="E57" i="9"/>
  <c r="F56" i="9"/>
  <c r="D57" i="7"/>
  <c r="E56" i="7"/>
  <c r="C57" i="6"/>
  <c r="F61" i="5"/>
  <c r="G61" i="5" s="1"/>
  <c r="H61" i="5" s="1"/>
  <c r="D62" i="5" s="1"/>
  <c r="F62" i="5" s="1"/>
  <c r="G62" i="5" s="1"/>
  <c r="H62" i="5" s="1"/>
  <c r="D63" i="5" s="1"/>
  <c r="F63" i="5" s="1"/>
  <c r="G63" i="5" s="1"/>
  <c r="H63" i="5" s="1"/>
  <c r="D64" i="5" s="1"/>
  <c r="F64" i="5" s="1"/>
  <c r="G64" i="5" s="1"/>
  <c r="H64" i="5" s="1"/>
  <c r="D65" i="5" s="1"/>
  <c r="F65" i="5" s="1"/>
  <c r="G65" i="5" s="1"/>
  <c r="H65" i="5" s="1"/>
  <c r="D66" i="5" s="1"/>
  <c r="F66" i="5" s="1"/>
  <c r="G66" i="5" s="1"/>
  <c r="H66" i="5" s="1"/>
  <c r="D67" i="5" s="1"/>
  <c r="F67" i="5" s="1"/>
  <c r="G67" i="5" s="1"/>
  <c r="H67" i="5" s="1"/>
  <c r="D68" i="5" s="1"/>
  <c r="F68" i="5" s="1"/>
  <c r="F70" i="5" s="1"/>
  <c r="L63" i="5"/>
  <c r="M63" i="5" s="1"/>
  <c r="N63" i="5" s="1"/>
  <c r="J64" i="5" s="1"/>
  <c r="N53" i="3"/>
  <c r="J54" i="3" s="1"/>
  <c r="E57" i="7" l="1"/>
  <c r="F56" i="7"/>
  <c r="L64" i="5"/>
  <c r="M64" i="5" s="1"/>
  <c r="N64" i="5"/>
  <c r="J65" i="5" s="1"/>
  <c r="L65" i="5" s="1"/>
  <c r="M65" i="5" s="1"/>
  <c r="N65" i="5" s="1"/>
  <c r="J66" i="5" s="1"/>
  <c r="L66" i="5" s="1"/>
  <c r="M66" i="5" s="1"/>
  <c r="N66" i="5" s="1"/>
  <c r="J67" i="5" s="1"/>
  <c r="G68" i="5"/>
  <c r="B16" i="5"/>
  <c r="L54" i="3"/>
  <c r="M54" i="3" s="1"/>
  <c r="H68" i="5" l="1"/>
  <c r="G70" i="5"/>
  <c r="L67" i="5"/>
  <c r="M67" i="5" s="1"/>
  <c r="N67" i="5"/>
  <c r="J68" i="5" s="1"/>
  <c r="L68" i="5" s="1"/>
  <c r="L70" i="5" s="1"/>
  <c r="N54" i="3"/>
  <c r="J55" i="3" s="1"/>
  <c r="M68" i="5" l="1"/>
  <c r="E16" i="5"/>
  <c r="G16" i="5" s="1"/>
  <c r="L55" i="3"/>
  <c r="M55" i="3" s="1"/>
  <c r="N55" i="3" s="1"/>
  <c r="B4" i="8" l="1"/>
  <c r="N68" i="5"/>
  <c r="M70" i="5"/>
  <c r="J56" i="3"/>
  <c r="D4" i="8" l="1"/>
  <c r="D7" i="8" s="1"/>
  <c r="D9" i="8" s="1"/>
  <c r="D11" i="8" s="1"/>
  <c r="D13" i="8" s="1"/>
  <c r="B7" i="8"/>
  <c r="L56" i="3"/>
  <c r="E16" i="3" s="1"/>
  <c r="G16" i="3" s="1"/>
  <c r="L57" i="3" l="1"/>
  <c r="M57" i="3" s="1"/>
  <c r="M56" i="3"/>
  <c r="N56" i="3" s="1"/>
  <c r="D57" i="6" l="1"/>
  <c r="E5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tc={C6263BF6-E85A-471B-AF24-D3E24C4A059C}</author>
  </authors>
  <commentList>
    <comment ref="B5" authorId="0" shapeId="0" xr:uid="{C6263BF6-E85A-471B-AF24-D3E24C4A059C}">
      <text>
        <t>[Threaded comment]
Your version of Excel allows you to read this threaded comment; however, any edits to it will get removed if the file is opened in a newer version of Excel. Learn more: https://go.microsoft.com/fwlink/?linkid=870924
Comment:
    To validate</t>
      </text>
    </comment>
  </commentList>
</comments>
</file>

<file path=xl/sharedStrings.xml><?xml version="1.0" encoding="utf-8"?>
<sst xmlns="http://schemas.openxmlformats.org/spreadsheetml/2006/main" count="414" uniqueCount="218">
  <si>
    <t xml:space="preserve">name of Bank </t>
  </si>
  <si>
    <t xml:space="preserve">Products and services </t>
  </si>
  <si>
    <t>value propositions</t>
  </si>
  <si>
    <t>CBZ</t>
  </si>
  <si>
    <t>Civil servant salary loans</t>
  </si>
  <si>
    <t>School fees loans</t>
  </si>
  <si>
    <t>Mortgage &amp; housing loans</t>
  </si>
  <si>
    <t>Fast loan approvals for SSB employees</t>
  </si>
  <si>
    <t>Competitive interest rates</t>
  </si>
  <si>
    <t>First Capital Bank Zimbabwe</t>
  </si>
  <si>
    <t>Civil Servants Payroll Loan</t>
  </si>
  <si>
    <r>
      <t xml:space="preserve">Repayment period up to </t>
    </r>
    <r>
      <rPr>
        <b/>
        <sz val="11"/>
        <color theme="1"/>
        <rFont val="Calibri"/>
        <family val="2"/>
        <scheme val="minor"/>
      </rPr>
      <t>24 months</t>
    </r>
  </si>
  <si>
    <t>Insurance cover included with loans</t>
  </si>
  <si>
    <t>NMB Bank Zimbabwe</t>
  </si>
  <si>
    <t>Personal salary-based loans</t>
  </si>
  <si>
    <t>Immediate loan approval in minutes.</t>
  </si>
  <si>
    <t>TymeBank – Digital Bank Model</t>
  </si>
  <si>
    <r>
      <t xml:space="preserve">Employees can </t>
    </r>
    <r>
      <rPr>
        <b/>
        <sz val="11"/>
        <color theme="1"/>
        <rFont val="Calibri"/>
        <family val="2"/>
        <scheme val="minor"/>
      </rPr>
      <t>access part of their salary before payday</t>
    </r>
    <r>
      <rPr>
        <sz val="11"/>
        <color theme="1"/>
        <rFont val="Calibri"/>
        <family val="2"/>
        <scheme val="minor"/>
      </rPr>
      <t>.</t>
    </r>
  </si>
  <si>
    <t xml:space="preserve">International Companies </t>
  </si>
  <si>
    <r>
      <t xml:space="preserve">Access to </t>
    </r>
    <r>
      <rPr>
        <b/>
        <sz val="11"/>
        <color theme="1"/>
        <rFont val="Calibri"/>
        <family val="2"/>
        <scheme val="minor"/>
      </rPr>
      <t>multiple bank ATMs nationwide</t>
    </r>
  </si>
  <si>
    <t>Credit cards</t>
  </si>
  <si>
    <r>
      <t xml:space="preserve">Buy now pay later purchases with </t>
    </r>
    <r>
      <rPr>
        <b/>
        <sz val="11"/>
        <color theme="1"/>
        <rFont val="Calibri"/>
        <family val="2"/>
        <scheme val="minor"/>
      </rPr>
      <t xml:space="preserve">zero interest installments </t>
    </r>
    <r>
      <rPr>
        <sz val="11"/>
        <color theme="1"/>
        <rFont val="Calibri"/>
        <family val="2"/>
        <scheme val="minor"/>
      </rPr>
      <t>For appliances, solar systems, school fees, and groceries.</t>
    </r>
  </si>
  <si>
    <t>Retirement Investment Products</t>
  </si>
  <si>
    <t>Thrift Savings Plan</t>
  </si>
  <si>
    <t xml:space="preserve">Home improvements loans </t>
  </si>
  <si>
    <t>Medical expenses</t>
  </si>
  <si>
    <t>Furniture</t>
  </si>
  <si>
    <t>terms and conditions</t>
  </si>
  <si>
    <t>Establishment fee: 1%</t>
  </si>
  <si>
    <r>
      <t xml:space="preserve">Insurance fee: </t>
    </r>
    <r>
      <rPr>
        <b/>
        <sz val="11"/>
        <color theme="1"/>
        <rFont val="Calibri"/>
        <family val="2"/>
        <scheme val="minor"/>
      </rPr>
      <t>1.2%</t>
    </r>
  </si>
  <si>
    <r>
      <t xml:space="preserve">Arrangement fee: </t>
    </r>
    <r>
      <rPr>
        <b/>
        <sz val="11"/>
        <color theme="1"/>
        <rFont val="Calibri"/>
        <family val="2"/>
        <scheme val="minor"/>
      </rPr>
      <t>1%</t>
    </r>
  </si>
  <si>
    <r>
      <t xml:space="preserve">Funds transfer fee: </t>
    </r>
    <r>
      <rPr>
        <b/>
        <sz val="11"/>
        <color theme="1"/>
        <rFont val="Calibri"/>
        <family val="2"/>
        <scheme val="minor"/>
      </rPr>
      <t>1%</t>
    </r>
  </si>
  <si>
    <t>9% per month on reducing balance</t>
  </si>
  <si>
    <t>Up to 24 months</t>
  </si>
  <si>
    <t xml:space="preserve">Short-term emergency financing such as vehicle repairs,medical expenses and grocery purchase </t>
  </si>
  <si>
    <t>Up to 50% of net salary</t>
  </si>
  <si>
    <r>
      <t>ZWG loans:</t>
    </r>
    <r>
      <rPr>
        <sz val="11"/>
        <color theme="1"/>
        <rFont val="Calibri"/>
        <family val="2"/>
        <scheme val="minor"/>
      </rPr>
      <t xml:space="preserve"> ~10% upfront interest</t>
    </r>
  </si>
  <si>
    <r>
      <t>USD loans:</t>
    </r>
    <r>
      <rPr>
        <sz val="11"/>
        <color theme="1"/>
        <rFont val="Calibri"/>
        <family val="2"/>
        <scheme val="minor"/>
      </rPr>
      <t xml:space="preserve"> ~6% upfront interest</t>
    </r>
  </si>
  <si>
    <t>ZWG Loans-Establishment fee: 1.5% and Loan application fee: 1%</t>
  </si>
  <si>
    <t>USD Loans -Establishment fee: 1% (minimum USD5) and Application fee: 0.5% (minimum USD5)</t>
  </si>
  <si>
    <t>weddings</t>
  </si>
  <si>
    <t>Debt consolidation</t>
  </si>
  <si>
    <t>Borrow up to USD 2,000</t>
  </si>
  <si>
    <t>18–24 months</t>
  </si>
  <si>
    <t>Up to 10× net monthly salary for civil servants,</t>
  </si>
  <si>
    <t>Administration fee: 5% of loan amount.</t>
  </si>
  <si>
    <t>Insurance: 1% per year</t>
  </si>
  <si>
    <t xml:space="preserve">Loan amount </t>
  </si>
  <si>
    <t xml:space="preserve">Tanure </t>
  </si>
  <si>
    <t>Intrest rate Per year</t>
  </si>
  <si>
    <t>income</t>
  </si>
  <si>
    <t>CBZ Holdings</t>
  </si>
  <si>
    <t>Microfinance Agriculture Loan -working capital or capex.</t>
  </si>
  <si>
    <t xml:space="preserve">USD LOAN CBZ Bank </t>
  </si>
  <si>
    <t xml:space="preserve">Total Trnsaction Costs </t>
  </si>
  <si>
    <t>Input Supply &amp; Farming Support</t>
  </si>
  <si>
    <t>Irrigation &amp; Climate‑Resilient Infrastructure loans</t>
  </si>
  <si>
    <t>Asset &amp; Lease Financing - Helps farmers acquire machinery (tractors, harvesters, other equipment) under flexible financing schemes.</t>
  </si>
  <si>
    <t>broader financial services,</t>
  </si>
  <si>
    <t>Customer-Centric &amp; Relationship-Driven</t>
  </si>
  <si>
    <t>Nedbank Zimbabwe</t>
  </si>
  <si>
    <t>Letters of Guarantee &amp; Trade Finance</t>
  </si>
  <si>
    <t>infrastructure and enterprise expansion, such as establishing orchards, livestock enterprises or processing facilities.</t>
  </si>
  <si>
    <t>tailored advice and planning support.</t>
  </si>
  <si>
    <t>offer market insights and help structure financing to fit the enterprise’s life cycle</t>
  </si>
  <si>
    <t xml:space="preserve">International Markets </t>
  </si>
  <si>
    <t>Rabobank (Netherlands &amp; Global)</t>
  </si>
  <si>
    <t>Agricultural credit &amp; term loans for farmland, orchards, vineyards, livestock operations and feedlots.</t>
  </si>
  <si>
    <t>Risk management solutions: commodity price hedging, interest rate hedging and agricultural insurance products (crop, livestock cover)</t>
  </si>
  <si>
    <t>Financial education, risk analysis and planning tools tailored to agri value chains.</t>
  </si>
  <si>
    <t xml:space="preserve"> AFC COMMERCIAL ALAYSIS WITH BUSINESS CONDITIONS </t>
  </si>
  <si>
    <t xml:space="preserve">Transaction cost </t>
  </si>
  <si>
    <t>Payday Loan</t>
  </si>
  <si>
    <t>7%–10% per month</t>
  </si>
  <si>
    <t>8%–10% per month</t>
  </si>
  <si>
    <t>Interest rate: about 15% per month on reducing balance</t>
  </si>
  <si>
    <t>Tenure: up to 9 months (aligned with crop cycle)</t>
  </si>
  <si>
    <t>Grace period: up to 3 months depending on the project</t>
  </si>
  <si>
    <t>Establishment fee: 5%</t>
  </si>
  <si>
    <t>Insurance: 2.5%</t>
  </si>
  <si>
    <t>These loans are common for:</t>
  </si>
  <si>
    <t>Maize production</t>
  </si>
  <si>
    <t>Tobacco farming</t>
  </si>
  <si>
    <t>Wheat production</t>
  </si>
  <si>
    <t>Soya bean farming.</t>
  </si>
  <si>
    <t xml:space="preserve">Seasonal crops </t>
  </si>
  <si>
    <t>Interest rate: about 12% per year (±)</t>
  </si>
  <si>
    <t>Tenure: up to 12 months depending on crop cycle</t>
  </si>
  <si>
    <t>Agribusiness Equipment Loans</t>
  </si>
  <si>
    <t>Tanure ---3–5 years</t>
  </si>
  <si>
    <t>Intrest rate~13% p.a</t>
  </si>
  <si>
    <t>Input Supply &amp; Agri-Bundled Loans</t>
  </si>
  <si>
    <t>USD  LOAN AFC BANK</t>
  </si>
  <si>
    <t>Opening balance</t>
  </si>
  <si>
    <t>interest</t>
  </si>
  <si>
    <t>Principal</t>
  </si>
  <si>
    <t>Instalment</t>
  </si>
  <si>
    <t>Closing balance</t>
  </si>
  <si>
    <t xml:space="preserve">CBZ BANK </t>
  </si>
  <si>
    <t xml:space="preserve">AFC COMMERCIAL BANK </t>
  </si>
  <si>
    <t xml:space="preserve">Intrest Per month </t>
  </si>
  <si>
    <t>USD  LOAN NMBZ</t>
  </si>
  <si>
    <t>Limit 10000</t>
  </si>
  <si>
    <r>
      <t>Operating lines of credit</t>
    </r>
    <r>
      <rPr>
        <sz val="11"/>
        <color theme="1"/>
        <rFont val="Calibri"/>
        <family val="2"/>
        <scheme val="minor"/>
      </rPr>
      <t xml:space="preserve"> for farm working capital and seasonal costs</t>
    </r>
  </si>
  <si>
    <r>
      <t>Equipment &amp; machinery finance</t>
    </r>
    <r>
      <rPr>
        <sz val="11"/>
        <color theme="1"/>
        <rFont val="Calibri"/>
        <family val="2"/>
        <scheme val="minor"/>
      </rPr>
      <t xml:space="preserve"> (tractors, harvesters, irrigation tech)</t>
    </r>
  </si>
  <si>
    <r>
      <t>Input finance</t>
    </r>
    <r>
      <rPr>
        <sz val="11"/>
        <color theme="1"/>
        <rFont val="Calibri"/>
        <family val="2"/>
        <scheme val="minor"/>
      </rPr>
      <t xml:space="preserve"> – lending tied to seeds, fertilisers and essential inputs.</t>
    </r>
  </si>
  <si>
    <t>Flexible overdraft facilities to match seasonal and cyclical cash‑flow needs</t>
  </si>
  <si>
    <t>Asset‑based finance assists acquisition of capital assets, including vehicles and irrigation infrastructure.</t>
  </si>
  <si>
    <t>Proposed Terms and Conditions</t>
  </si>
  <si>
    <t>ZIMSERVE LOAN</t>
  </si>
  <si>
    <t>12 % per month on reducing balance</t>
  </si>
  <si>
    <t>Establishment fee</t>
  </si>
  <si>
    <t xml:space="preserve">Insurance fee: </t>
  </si>
  <si>
    <t>Arrangement fee</t>
  </si>
  <si>
    <t>Funds transfer fee</t>
  </si>
  <si>
    <t>Schools and Churches RTGS Transfer</t>
  </si>
  <si>
    <t>1.5% Min ZWG 125.00 Max ZWG 425.00</t>
  </si>
  <si>
    <t>1% Min USD 5.70 Max USD 31</t>
  </si>
  <si>
    <t xml:space="preserve">ZB BANK ANALYSIS WITH BUSINESS CONDITIONS </t>
  </si>
  <si>
    <t>AMOUNT ZWG</t>
  </si>
  <si>
    <t>AMOUNT USD</t>
  </si>
  <si>
    <t xml:space="preserve">Up to </t>
  </si>
  <si>
    <t xml:space="preserve">Up to 36 months </t>
  </si>
  <si>
    <t>Schools and Churches Internal Transfer</t>
  </si>
  <si>
    <t>1% Min ZWG 85.00 Max ZWG 345.00</t>
  </si>
  <si>
    <t>1% Min USD 3.70 Max USD 15</t>
  </si>
  <si>
    <t xml:space="preserve">Monthly service fees </t>
  </si>
  <si>
    <t xml:space="preserve">Limit Up to USD100 000 for 5 years </t>
  </si>
  <si>
    <t xml:space="preserve">SCHOOL BUS LOANS </t>
  </si>
  <si>
    <t>TransitPro Loan</t>
  </si>
  <si>
    <t xml:space="preserve">ZB OFFERINGS </t>
  </si>
  <si>
    <t xml:space="preserve">AFC COMMERCIAL BANK PROPOSED OFFERINGS </t>
  </si>
  <si>
    <t>1% Min USD 5.50 Max USD 29</t>
  </si>
  <si>
    <t>1.5% Min ZWG 120.00 Max ZWG 410.00</t>
  </si>
  <si>
    <t xml:space="preserve">Variance </t>
  </si>
  <si>
    <t xml:space="preserve">Current </t>
  </si>
  <si>
    <t xml:space="preserve">Proposed </t>
  </si>
  <si>
    <t>LegacyCare Loan</t>
  </si>
  <si>
    <t xml:space="preserve">Proposed Name </t>
  </si>
  <si>
    <t>9 % per month on reducing balance</t>
  </si>
  <si>
    <t>Loan amount (pension fund times 10) max 2000</t>
  </si>
  <si>
    <t>AFC HUSTLER ACCOUNT</t>
  </si>
  <si>
    <t xml:space="preserve">TYPE OF LOAN </t>
  </si>
  <si>
    <t xml:space="preserve">INCOME FOR AFC </t>
  </si>
  <si>
    <t xml:space="preserve">2 TO 3 YEAR PLAN </t>
  </si>
  <si>
    <t xml:space="preserve">Civil servant loans </t>
  </si>
  <si>
    <t xml:space="preserve">schools loans </t>
  </si>
  <si>
    <t>Pensioners</t>
  </si>
  <si>
    <t xml:space="preserve">Gen Z </t>
  </si>
  <si>
    <t>Impairement (30%)</t>
  </si>
  <si>
    <t xml:space="preserve">Estimated Income for this year </t>
  </si>
  <si>
    <t xml:space="preserve">Total Estimated Income for 3 Years </t>
  </si>
  <si>
    <t xml:space="preserve">Total Income </t>
  </si>
  <si>
    <t xml:space="preserve">Estimated Customers </t>
  </si>
  <si>
    <t>Loan amount  (Limit 130k)</t>
  </si>
  <si>
    <t xml:space="preserve">Additional features </t>
  </si>
  <si>
    <t xml:space="preserve">mobile ATM </t>
  </si>
  <si>
    <t xml:space="preserve">Oriantation tents for students to open accounts </t>
  </si>
  <si>
    <t>21 % per year on reducing balance</t>
  </si>
  <si>
    <t xml:space="preserve">Financial Calculator </t>
  </si>
  <si>
    <t xml:space="preserve">AI financial advisor </t>
  </si>
  <si>
    <t xml:space="preserve"> AFC COMMERCIAL ANALYSIS WITH BUSINESS CONDITIONS </t>
  </si>
  <si>
    <t>16% per year on reducing balance</t>
  </si>
  <si>
    <t>Promotion</t>
  </si>
  <si>
    <t>Next 6 months (Reviewed after every 6 months )</t>
  </si>
  <si>
    <t>Subject to availability</t>
  </si>
  <si>
    <t>based on school fees levy</t>
  </si>
  <si>
    <t xml:space="preserve">paid directly to the supplier </t>
  </si>
  <si>
    <t xml:space="preserve">depending on financials -Range base interest rates </t>
  </si>
  <si>
    <t>Loan amount  (no limit)</t>
  </si>
  <si>
    <t xml:space="preserve">the current was 19% for BBU unit and 21% for Micro finance </t>
  </si>
  <si>
    <t xml:space="preserve">Covernants and commitments </t>
  </si>
  <si>
    <t>11.6 % per month on reducing balance</t>
  </si>
  <si>
    <t xml:space="preserve">Calculator </t>
  </si>
  <si>
    <t xml:space="preserve">Constructions </t>
  </si>
  <si>
    <t xml:space="preserve">furniture </t>
  </si>
  <si>
    <t>Starlink 12%</t>
  </si>
  <si>
    <t>USD  LOAN</t>
  </si>
  <si>
    <t>Loan Buyout option</t>
  </si>
  <si>
    <t>Limit - 2500 (including buyout)</t>
  </si>
  <si>
    <t xml:space="preserve">CBZ ANALYSIS WITH BUSINESS CONDITIONS </t>
  </si>
  <si>
    <t xml:space="preserve">Vehcles </t>
  </si>
  <si>
    <t xml:space="preserve">Schools </t>
  </si>
  <si>
    <t>Loan amount (pension fund times 10) max 1000</t>
  </si>
  <si>
    <t>Loan amount  max 500</t>
  </si>
  <si>
    <t xml:space="preserve">Medical service and checks </t>
  </si>
  <si>
    <t xml:space="preserve">separate desk </t>
  </si>
  <si>
    <t xml:space="preserve">savings transaction account </t>
  </si>
  <si>
    <t xml:space="preserve">ATM </t>
  </si>
  <si>
    <t xml:space="preserve">Ledger fees </t>
  </si>
  <si>
    <t xml:space="preserve">Initial deposit </t>
  </si>
  <si>
    <t>$2</t>
  </si>
  <si>
    <t xml:space="preserve">Minimun Balance </t>
  </si>
  <si>
    <t xml:space="preserve">Internal Transfer </t>
  </si>
  <si>
    <t xml:space="preserve">cash withdrawals </t>
  </si>
  <si>
    <t xml:space="preserve">RTGS transfer </t>
  </si>
  <si>
    <t xml:space="preserve">0.75 USD Flat </t>
  </si>
  <si>
    <t xml:space="preserve">2% no limits </t>
  </si>
  <si>
    <t>Balance enquiry</t>
  </si>
  <si>
    <t xml:space="preserve">Extra Income left from cash withdrawals </t>
  </si>
  <si>
    <t>Savings account with 2% intrest</t>
  </si>
  <si>
    <t xml:space="preserve">Waiting Period : One salary  credit </t>
  </si>
  <si>
    <t xml:space="preserve">Waiting Period : two salary  credit </t>
  </si>
  <si>
    <t xml:space="preserve">Ledger Fees </t>
  </si>
  <si>
    <t>16.5% per year on reducing balance</t>
  </si>
  <si>
    <t>$1.80</t>
  </si>
  <si>
    <t xml:space="preserve">Initial Deposit </t>
  </si>
  <si>
    <t xml:space="preserve">Minimum Balance </t>
  </si>
  <si>
    <t xml:space="preserve">Transactional Costs </t>
  </si>
  <si>
    <t xml:space="preserve">Cash withdrawals </t>
  </si>
  <si>
    <t>Bill Payments (USD)</t>
  </si>
  <si>
    <t>Bank to Wallet -Flexi Express alerts of 2%</t>
  </si>
  <si>
    <t xml:space="preserve">ZIP it Charges </t>
  </si>
  <si>
    <t xml:space="preserve">Vertual cards for Clubs </t>
  </si>
  <si>
    <t>Tree Analogy</t>
  </si>
  <si>
    <t>Retail Credit Facility -Boarding school</t>
  </si>
  <si>
    <t xml:space="preserve">Credit Card </t>
  </si>
  <si>
    <t xml:space="preserve">Back to school Loan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</si>
</sst>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US$&quot;#,##0.00;[Red]\-&quot;US$&quot;#,##0.00"/>
    <numFmt numFmtId="43" formatCode="_-* #,##0.00_-;\-* #,##0.00_-;_-* &quot;-&quot;??_-;_-@_-"/>
    <numFmt numFmtId="164" formatCode="_-* #,##0.000_-;\-* #,##0.000_-;_-* &quot;-&quot;???_-;_-@_-"/>
    <numFmt numFmtId="165" formatCode="0.0%"/>
    <numFmt numFmtId="166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color theme="7" tint="-0.499984740745262"/>
      <name val="Calibri"/>
      <family val="2"/>
      <scheme val="minor"/>
    </font>
    <font>
      <b/>
      <sz val="24"/>
      <color theme="8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43" fontId="0" fillId="0" borderId="0" xfId="1" applyFont="1"/>
    <xf numFmtId="43" fontId="0" fillId="0" borderId="0" xfId="0" applyNumberFormat="1"/>
    <xf numFmtId="8" fontId="2" fillId="0" borderId="0" xfId="0" applyNumberFormat="1" applyFont="1"/>
    <xf numFmtId="164" fontId="0" fillId="0" borderId="0" xfId="0" applyNumberFormat="1"/>
    <xf numFmtId="164" fontId="2" fillId="0" borderId="1" xfId="0" applyNumberFormat="1" applyFont="1" applyBorder="1"/>
    <xf numFmtId="9" fontId="2" fillId="0" borderId="0" xfId="2" applyFont="1"/>
    <xf numFmtId="0" fontId="0" fillId="2" borderId="0" xfId="0" applyFill="1"/>
    <xf numFmtId="43" fontId="2" fillId="0" borderId="0" xfId="0" applyNumberFormat="1" applyFont="1"/>
    <xf numFmtId="8" fontId="3" fillId="0" borderId="0" xfId="0" applyNumberFormat="1" applyFont="1"/>
    <xf numFmtId="8" fontId="0" fillId="0" borderId="0" xfId="0" applyNumberFormat="1"/>
    <xf numFmtId="43" fontId="3" fillId="0" borderId="0" xfId="0" applyNumberFormat="1" applyFont="1"/>
    <xf numFmtId="0" fontId="0" fillId="5" borderId="0" xfId="0" applyFill="1"/>
    <xf numFmtId="43" fontId="0" fillId="5" borderId="0" xfId="0" applyNumberForma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5" fontId="2" fillId="0" borderId="0" xfId="2" applyNumberFormat="1" applyFont="1"/>
    <xf numFmtId="10" fontId="2" fillId="0" borderId="0" xfId="2" applyNumberFormat="1" applyFont="1"/>
    <xf numFmtId="9" fontId="0" fillId="0" borderId="0" xfId="0" applyNumberFormat="1"/>
    <xf numFmtId="10" fontId="0" fillId="0" borderId="0" xfId="0" applyNumberFormat="1"/>
    <xf numFmtId="9" fontId="4" fillId="0" borderId="0" xfId="0" applyNumberFormat="1" applyFont="1"/>
    <xf numFmtId="10" fontId="4" fillId="0" borderId="0" xfId="0" applyNumberFormat="1" applyFont="1"/>
    <xf numFmtId="9" fontId="4" fillId="0" borderId="0" xfId="1" applyNumberFormat="1" applyFont="1"/>
    <xf numFmtId="43" fontId="3" fillId="0" borderId="2" xfId="0" applyNumberFormat="1" applyFont="1" applyBorder="1"/>
    <xf numFmtId="0" fontId="2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10" fontId="2" fillId="0" borderId="2" xfId="2" applyNumberFormat="1" applyFont="1" applyBorder="1"/>
    <xf numFmtId="9" fontId="4" fillId="0" borderId="0" xfId="2" applyFont="1"/>
    <xf numFmtId="9" fontId="3" fillId="0" borderId="0" xfId="0" applyNumberFormat="1" applyFont="1"/>
    <xf numFmtId="43" fontId="2" fillId="0" borderId="1" xfId="0" applyNumberFormat="1" applyFont="1" applyBorder="1"/>
    <xf numFmtId="166" fontId="0" fillId="0" borderId="0" xfId="1" applyNumberFormat="1" applyFont="1"/>
    <xf numFmtId="43" fontId="2" fillId="0" borderId="2" xfId="0" applyNumberFormat="1" applyFont="1" applyBorder="1"/>
    <xf numFmtId="43" fontId="2" fillId="9" borderId="2" xfId="1" applyFont="1" applyFill="1" applyBorder="1"/>
    <xf numFmtId="0" fontId="9" fillId="8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/>
    <xf numFmtId="0" fontId="2" fillId="0" borderId="11" xfId="0" applyFont="1" applyBorder="1"/>
    <xf numFmtId="0" fontId="3" fillId="0" borderId="0" xfId="0" applyFont="1"/>
    <xf numFmtId="165" fontId="4" fillId="0" borderId="0" xfId="2" applyNumberFormat="1" applyFont="1" applyBorder="1"/>
    <xf numFmtId="165" fontId="0" fillId="0" borderId="0" xfId="0" applyNumberFormat="1"/>
    <xf numFmtId="9" fontId="0" fillId="0" borderId="0" xfId="2" applyFont="1"/>
    <xf numFmtId="165" fontId="4" fillId="0" borderId="0" xfId="0" applyNumberFormat="1" applyFont="1"/>
    <xf numFmtId="0" fontId="2" fillId="5" borderId="8" xfId="0" applyFont="1" applyFill="1" applyBorder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3" xfId="0" applyBorder="1"/>
    <xf numFmtId="0" fontId="0" fillId="0" borderId="0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loyd Glaides | AFC Commercial Bank" id="{C99E5FC3-406D-4689-9F9D-7C484D24FE52}" userId="S::LGlaides@AFCHOLDINGS.CO.ZW::156773b0-2872-45b7-94fe-d6dd74f98ce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3-20T12:14:30.27" personId="{C99E5FC3-406D-4689-9F9D-7C484D24FE52}" id="{C6263BF6-E85A-471B-AF24-D3E24C4A059C}">
    <text>To validate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2188-A8AD-48F8-8489-9124E3830966}">
  <sheetPr>
    <tabColor rgb="FF92D050"/>
  </sheetPr>
  <dimension ref="A1:D34"/>
  <sheetViews>
    <sheetView topLeftCell="A9" workbookViewId="0">
      <selection activeCell="B27" sqref="B27"/>
    </sheetView>
  </sheetViews>
  <sheetFormatPr defaultRowHeight="14.4" x14ac:dyDescent="0.3"/>
  <cols>
    <col min="1" max="1" width="25.6640625" customWidth="1"/>
    <col min="2" max="2" width="79" customWidth="1"/>
    <col min="3" max="3" width="32.6640625" bestFit="1" customWidth="1"/>
    <col min="4" max="4" width="82.4414062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27</v>
      </c>
    </row>
    <row r="3" spans="1:4" x14ac:dyDescent="0.3">
      <c r="A3" s="1" t="s">
        <v>3</v>
      </c>
      <c r="B3" t="s">
        <v>4</v>
      </c>
      <c r="C3" t="s">
        <v>7</v>
      </c>
      <c r="D3" t="s">
        <v>28</v>
      </c>
    </row>
    <row r="4" spans="1:4" x14ac:dyDescent="0.3">
      <c r="B4" t="s">
        <v>5</v>
      </c>
      <c r="C4" t="s">
        <v>8</v>
      </c>
      <c r="D4" t="s">
        <v>29</v>
      </c>
    </row>
    <row r="5" spans="1:4" x14ac:dyDescent="0.3">
      <c r="B5" t="s">
        <v>6</v>
      </c>
      <c r="D5" t="s">
        <v>30</v>
      </c>
    </row>
    <row r="6" spans="1:4" x14ac:dyDescent="0.3">
      <c r="B6" t="s">
        <v>24</v>
      </c>
      <c r="D6" t="s">
        <v>31</v>
      </c>
    </row>
    <row r="7" spans="1:4" x14ac:dyDescent="0.3">
      <c r="B7" t="s">
        <v>25</v>
      </c>
      <c r="D7" t="s">
        <v>32</v>
      </c>
    </row>
    <row r="8" spans="1:4" x14ac:dyDescent="0.3">
      <c r="B8" t="s">
        <v>26</v>
      </c>
      <c r="D8" t="s">
        <v>33</v>
      </c>
    </row>
    <row r="9" spans="1:4" x14ac:dyDescent="0.3">
      <c r="B9" t="s">
        <v>72</v>
      </c>
    </row>
    <row r="10" spans="1:4" x14ac:dyDescent="0.3">
      <c r="B10" t="s">
        <v>34</v>
      </c>
      <c r="D10" t="s">
        <v>35</v>
      </c>
    </row>
    <row r="11" spans="1:4" x14ac:dyDescent="0.3">
      <c r="D11" s="1" t="s">
        <v>36</v>
      </c>
    </row>
    <row r="12" spans="1:4" x14ac:dyDescent="0.3">
      <c r="D12" s="1" t="s">
        <v>37</v>
      </c>
    </row>
    <row r="13" spans="1:4" x14ac:dyDescent="0.3">
      <c r="D13" t="s">
        <v>38</v>
      </c>
    </row>
    <row r="14" spans="1:4" x14ac:dyDescent="0.3">
      <c r="D14" t="s">
        <v>39</v>
      </c>
    </row>
    <row r="17" spans="1:4" x14ac:dyDescent="0.3">
      <c r="A17" s="1" t="s">
        <v>9</v>
      </c>
      <c r="B17" t="s">
        <v>10</v>
      </c>
      <c r="C17" t="s">
        <v>11</v>
      </c>
      <c r="D17" t="s">
        <v>42</v>
      </c>
    </row>
    <row r="18" spans="1:4" x14ac:dyDescent="0.3">
      <c r="B18" t="s">
        <v>40</v>
      </c>
      <c r="C18" t="s">
        <v>8</v>
      </c>
      <c r="D18" t="s">
        <v>43</v>
      </c>
    </row>
    <row r="19" spans="1:4" x14ac:dyDescent="0.3">
      <c r="B19" t="s">
        <v>41</v>
      </c>
      <c r="C19" t="s">
        <v>12</v>
      </c>
      <c r="D19" t="s">
        <v>45</v>
      </c>
    </row>
    <row r="20" spans="1:4" x14ac:dyDescent="0.3">
      <c r="B20" t="s">
        <v>24</v>
      </c>
      <c r="D20" t="s">
        <v>46</v>
      </c>
    </row>
    <row r="21" spans="1:4" x14ac:dyDescent="0.3">
      <c r="D21" t="s">
        <v>74</v>
      </c>
    </row>
    <row r="25" spans="1:4" x14ac:dyDescent="0.3">
      <c r="A25" s="1" t="s">
        <v>13</v>
      </c>
      <c r="B25" t="s">
        <v>14</v>
      </c>
      <c r="C25" t="s">
        <v>15</v>
      </c>
      <c r="D25" t="s">
        <v>44</v>
      </c>
    </row>
    <row r="26" spans="1:4" x14ac:dyDescent="0.3">
      <c r="B26" t="s">
        <v>24</v>
      </c>
      <c r="D26" t="s">
        <v>45</v>
      </c>
    </row>
    <row r="27" spans="1:4" x14ac:dyDescent="0.3">
      <c r="B27" t="s">
        <v>25</v>
      </c>
      <c r="D27" t="s">
        <v>46</v>
      </c>
    </row>
    <row r="28" spans="1:4" x14ac:dyDescent="0.3">
      <c r="D28" t="s">
        <v>73</v>
      </c>
    </row>
    <row r="29" spans="1:4" x14ac:dyDescent="0.3">
      <c r="A29" s="1" t="s">
        <v>18</v>
      </c>
    </row>
    <row r="31" spans="1:4" x14ac:dyDescent="0.3">
      <c r="A31" t="s">
        <v>16</v>
      </c>
      <c r="B31" t="s">
        <v>17</v>
      </c>
      <c r="C31" t="s">
        <v>15</v>
      </c>
    </row>
    <row r="32" spans="1:4" x14ac:dyDescent="0.3">
      <c r="B32" t="s">
        <v>21</v>
      </c>
      <c r="C32" t="s">
        <v>20</v>
      </c>
    </row>
    <row r="33" spans="2:3" x14ac:dyDescent="0.3">
      <c r="B33" t="s">
        <v>19</v>
      </c>
      <c r="C33" t="s">
        <v>23</v>
      </c>
    </row>
    <row r="34" spans="2:3" x14ac:dyDescent="0.3">
      <c r="B3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6FDE-E159-458F-929D-47805553A26D}">
  <sheetPr>
    <tabColor rgb="FF92D050"/>
  </sheetPr>
  <dimension ref="A1:D13"/>
  <sheetViews>
    <sheetView workbookViewId="0">
      <selection activeCell="C3" sqref="C3"/>
    </sheetView>
  </sheetViews>
  <sheetFormatPr defaultRowHeight="14.4" x14ac:dyDescent="0.3"/>
  <cols>
    <col min="1" max="1" width="33.44140625" customWidth="1"/>
    <col min="2" max="2" width="15.88671875" bestFit="1" customWidth="1"/>
    <col min="3" max="3" width="20.6640625" customWidth="1"/>
    <col min="4" max="4" width="13.88671875" bestFit="1" customWidth="1"/>
  </cols>
  <sheetData>
    <row r="1" spans="1:4" ht="25.8" x14ac:dyDescent="0.5">
      <c r="A1" s="41" t="s">
        <v>144</v>
      </c>
      <c r="B1" s="41"/>
      <c r="C1" s="41"/>
      <c r="D1" s="41"/>
    </row>
    <row r="2" spans="1:4" x14ac:dyDescent="0.3">
      <c r="A2" s="1" t="s">
        <v>142</v>
      </c>
      <c r="B2" s="1" t="s">
        <v>143</v>
      </c>
      <c r="C2" s="1" t="s">
        <v>153</v>
      </c>
      <c r="D2" s="1" t="s">
        <v>152</v>
      </c>
    </row>
    <row r="3" spans="1:4" x14ac:dyDescent="0.3">
      <c r="A3" t="s">
        <v>145</v>
      </c>
      <c r="B3" s="3">
        <f>+'MARKET ANALYSIS-Civil servants '!K16</f>
        <v>455.7128640261854</v>
      </c>
      <c r="C3" s="38">
        <v>10000</v>
      </c>
      <c r="D3" s="3">
        <f>+B3*C3</f>
        <v>4557128.640261854</v>
      </c>
    </row>
    <row r="4" spans="1:4" x14ac:dyDescent="0.3">
      <c r="A4" t="s">
        <v>146</v>
      </c>
      <c r="B4" s="3">
        <f>+'SCHOOLS ANALYSIS '!E16</f>
        <v>32350.382652581062</v>
      </c>
      <c r="C4" s="38">
        <v>200</v>
      </c>
      <c r="D4" s="3">
        <f t="shared" ref="D4:D6" si="0">+B4*C4</f>
        <v>6470076.5305162128</v>
      </c>
    </row>
    <row r="5" spans="1:4" x14ac:dyDescent="0.3">
      <c r="A5" t="s">
        <v>147</v>
      </c>
      <c r="B5" s="3">
        <f>+'PENSION ANALYSIS'!C16</f>
        <v>138.43381470015424</v>
      </c>
      <c r="C5" s="38">
        <v>500</v>
      </c>
      <c r="D5" s="3">
        <f t="shared" si="0"/>
        <v>69216.907350077119</v>
      </c>
    </row>
    <row r="6" spans="1:4" x14ac:dyDescent="0.3">
      <c r="A6" t="s">
        <v>148</v>
      </c>
      <c r="B6" s="3">
        <f>+'STARLINK Loan'!C16</f>
        <v>69.216907350077122</v>
      </c>
      <c r="C6" s="38">
        <v>300</v>
      </c>
      <c r="D6" s="3">
        <f t="shared" si="0"/>
        <v>20765.072205023138</v>
      </c>
    </row>
    <row r="7" spans="1:4" ht="15" thickBot="1" x14ac:dyDescent="0.35">
      <c r="B7" s="37">
        <f>SUM(B3:B6)</f>
        <v>33013.746238657477</v>
      </c>
      <c r="C7" s="37">
        <f t="shared" ref="C7" si="1">SUM(C3:C6)</f>
        <v>11000</v>
      </c>
      <c r="D7" s="37">
        <f>SUM(D3:D6)</f>
        <v>11117187.150333166</v>
      </c>
    </row>
    <row r="8" spans="1:4" ht="15" thickTop="1" x14ac:dyDescent="0.3"/>
    <row r="9" spans="1:4" x14ac:dyDescent="0.3">
      <c r="A9" s="1" t="s">
        <v>149</v>
      </c>
      <c r="D9" s="2">
        <f>-+D7*0.3</f>
        <v>-3335156.1450999496</v>
      </c>
    </row>
    <row r="10" spans="1:4" ht="15" thickBot="1" x14ac:dyDescent="0.35"/>
    <row r="11" spans="1:4" ht="15" thickBot="1" x14ac:dyDescent="0.35">
      <c r="A11" s="1" t="s">
        <v>151</v>
      </c>
      <c r="D11" s="39">
        <f>+D7+D9</f>
        <v>7782031.005233217</v>
      </c>
    </row>
    <row r="12" spans="1:4" ht="15" thickBot="1" x14ac:dyDescent="0.35"/>
    <row r="13" spans="1:4" ht="15" thickBot="1" x14ac:dyDescent="0.35">
      <c r="A13" s="1" t="s">
        <v>150</v>
      </c>
      <c r="D13" s="40">
        <f>+D11/3</f>
        <v>2594010.3350777389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1E8D-4A5D-4275-9C46-E374854E19CE}">
  <sheetPr>
    <tabColor rgb="FF92D050"/>
  </sheetPr>
  <dimension ref="A1:D28"/>
  <sheetViews>
    <sheetView workbookViewId="0">
      <selection activeCell="B20" sqref="B20"/>
    </sheetView>
  </sheetViews>
  <sheetFormatPr defaultRowHeight="14.4" x14ac:dyDescent="0.3"/>
  <cols>
    <col min="1" max="1" width="29.77734375" bestFit="1" customWidth="1"/>
    <col min="2" max="2" width="107.6640625" customWidth="1"/>
    <col min="3" max="3" width="67.21875" bestFit="1" customWidth="1"/>
    <col min="4" max="4" width="47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27</v>
      </c>
    </row>
    <row r="3" spans="1:4" x14ac:dyDescent="0.3">
      <c r="A3" s="1" t="s">
        <v>51</v>
      </c>
      <c r="B3" t="s">
        <v>52</v>
      </c>
      <c r="C3" t="s">
        <v>58</v>
      </c>
      <c r="D3" t="s">
        <v>59</v>
      </c>
    </row>
    <row r="4" spans="1:4" x14ac:dyDescent="0.3">
      <c r="B4" t="s">
        <v>55</v>
      </c>
      <c r="C4" t="s">
        <v>59</v>
      </c>
      <c r="D4" t="s">
        <v>75</v>
      </c>
    </row>
    <row r="5" spans="1:4" x14ac:dyDescent="0.3">
      <c r="B5" t="s">
        <v>56</v>
      </c>
      <c r="C5" t="s">
        <v>80</v>
      </c>
      <c r="D5" t="s">
        <v>76</v>
      </c>
    </row>
    <row r="6" spans="1:4" x14ac:dyDescent="0.3">
      <c r="B6" t="s">
        <v>57</v>
      </c>
      <c r="C6" t="s">
        <v>81</v>
      </c>
      <c r="D6" t="s">
        <v>77</v>
      </c>
    </row>
    <row r="7" spans="1:4" x14ac:dyDescent="0.3">
      <c r="C7" t="s">
        <v>82</v>
      </c>
      <c r="D7" t="s">
        <v>78</v>
      </c>
    </row>
    <row r="8" spans="1:4" x14ac:dyDescent="0.3">
      <c r="C8" t="s">
        <v>83</v>
      </c>
      <c r="D8" t="s">
        <v>79</v>
      </c>
    </row>
    <row r="9" spans="1:4" x14ac:dyDescent="0.3">
      <c r="C9" t="s">
        <v>84</v>
      </c>
      <c r="D9" t="s">
        <v>102</v>
      </c>
    </row>
    <row r="12" spans="1:4" x14ac:dyDescent="0.3">
      <c r="D12" t="s">
        <v>85</v>
      </c>
    </row>
    <row r="13" spans="1:4" x14ac:dyDescent="0.3">
      <c r="A13" s="1" t="s">
        <v>60</v>
      </c>
      <c r="B13" t="s">
        <v>106</v>
      </c>
      <c r="C13" t="s">
        <v>63</v>
      </c>
      <c r="D13" t="s">
        <v>86</v>
      </c>
    </row>
    <row r="14" spans="1:4" x14ac:dyDescent="0.3">
      <c r="B14" t="s">
        <v>61</v>
      </c>
      <c r="C14" t="s">
        <v>64</v>
      </c>
      <c r="D14" t="s">
        <v>87</v>
      </c>
    </row>
    <row r="15" spans="1:4" x14ac:dyDescent="0.3">
      <c r="B15" t="s">
        <v>62</v>
      </c>
      <c r="D15" t="s">
        <v>88</v>
      </c>
    </row>
    <row r="16" spans="1:4" x14ac:dyDescent="0.3">
      <c r="B16" t="s">
        <v>107</v>
      </c>
      <c r="D16" t="s">
        <v>90</v>
      </c>
    </row>
    <row r="17" spans="1:4" x14ac:dyDescent="0.3">
      <c r="B17" t="s">
        <v>91</v>
      </c>
      <c r="D17" t="s">
        <v>89</v>
      </c>
    </row>
    <row r="20" spans="1:4" x14ac:dyDescent="0.3">
      <c r="A20" s="1" t="s">
        <v>65</v>
      </c>
    </row>
    <row r="22" spans="1:4" x14ac:dyDescent="0.3">
      <c r="A22" s="1" t="s">
        <v>66</v>
      </c>
    </row>
    <row r="23" spans="1:4" x14ac:dyDescent="0.3">
      <c r="B23" t="s">
        <v>67</v>
      </c>
    </row>
    <row r="24" spans="1:4" x14ac:dyDescent="0.3">
      <c r="B24" t="s">
        <v>103</v>
      </c>
    </row>
    <row r="25" spans="1:4" x14ac:dyDescent="0.3">
      <c r="B25" t="s">
        <v>104</v>
      </c>
    </row>
    <row r="26" spans="1:4" x14ac:dyDescent="0.3">
      <c r="B26" t="s">
        <v>105</v>
      </c>
    </row>
    <row r="27" spans="1:4" x14ac:dyDescent="0.3">
      <c r="B27" t="s">
        <v>68</v>
      </c>
    </row>
    <row r="28" spans="1:4" x14ac:dyDescent="0.3">
      <c r="B28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9B1B-89A1-4881-B5BE-12C850056D55}">
  <sheetPr>
    <tabColor rgb="FF92D050"/>
  </sheetPr>
  <dimension ref="A1:R76"/>
  <sheetViews>
    <sheetView topLeftCell="AJ1" zoomScale="105" workbookViewId="0">
      <selection activeCell="G22" sqref="G22"/>
    </sheetView>
  </sheetViews>
  <sheetFormatPr defaultRowHeight="14.4" x14ac:dyDescent="0.3"/>
  <cols>
    <col min="1" max="1" width="40.44140625" customWidth="1"/>
    <col min="2" max="2" width="12.109375" bestFit="1" customWidth="1"/>
    <col min="3" max="3" width="1.109375" style="8" customWidth="1"/>
    <col min="4" max="4" width="31.44140625" customWidth="1"/>
    <col min="5" max="5" width="16.21875" customWidth="1"/>
    <col min="6" max="6" width="12.109375" customWidth="1"/>
    <col min="7" max="7" width="13.88671875" customWidth="1"/>
    <col min="8" max="8" width="14.33203125" customWidth="1"/>
    <col min="9" max="9" width="0.77734375" style="13" customWidth="1"/>
    <col min="10" max="10" width="32.5546875" customWidth="1"/>
    <col min="11" max="12" width="13.77734375" customWidth="1"/>
    <col min="13" max="13" width="12.6640625" customWidth="1"/>
    <col min="14" max="14" width="12.21875" customWidth="1"/>
    <col min="15" max="15" width="13.77734375" customWidth="1"/>
    <col min="16" max="16" width="14.109375" customWidth="1"/>
    <col min="17" max="17" width="12.33203125" customWidth="1"/>
    <col min="18" max="18" width="14.109375" bestFit="1" customWidth="1"/>
  </cols>
  <sheetData>
    <row r="1" spans="1:18" ht="31.2" x14ac:dyDescent="0.6">
      <c r="J1" s="44" t="s">
        <v>109</v>
      </c>
      <c r="K1" s="44"/>
      <c r="L1" s="44"/>
    </row>
    <row r="2" spans="1:18" x14ac:dyDescent="0.3">
      <c r="A2" s="1" t="s">
        <v>180</v>
      </c>
      <c r="D2" s="1" t="s">
        <v>161</v>
      </c>
    </row>
    <row r="3" spans="1:18" ht="15" thickBot="1" x14ac:dyDescent="0.35">
      <c r="J3" s="59" t="s">
        <v>108</v>
      </c>
      <c r="K3" s="59"/>
      <c r="L3" s="59"/>
      <c r="N3" s="42" t="s">
        <v>99</v>
      </c>
      <c r="O3" s="42"/>
      <c r="P3" s="42"/>
      <c r="Q3" s="42"/>
      <c r="R3" s="42"/>
    </row>
    <row r="4" spans="1:18" x14ac:dyDescent="0.3">
      <c r="A4" s="1" t="s">
        <v>53</v>
      </c>
      <c r="B4" s="2"/>
      <c r="D4" s="1" t="s">
        <v>92</v>
      </c>
      <c r="J4" s="1" t="s">
        <v>92</v>
      </c>
      <c r="K4" s="15"/>
      <c r="L4" s="16"/>
      <c r="N4" s="1" t="s">
        <v>93</v>
      </c>
      <c r="O4" s="1" t="s">
        <v>96</v>
      </c>
      <c r="P4" s="1" t="s">
        <v>94</v>
      </c>
      <c r="Q4" s="1" t="s">
        <v>95</v>
      </c>
      <c r="R4" s="1" t="s">
        <v>97</v>
      </c>
    </row>
    <row r="5" spans="1:18" x14ac:dyDescent="0.3">
      <c r="A5" t="s">
        <v>111</v>
      </c>
      <c r="B5" s="25">
        <v>0.01</v>
      </c>
      <c r="D5" t="s">
        <v>111</v>
      </c>
      <c r="E5" s="25">
        <v>0.01</v>
      </c>
      <c r="J5" t="s">
        <v>111</v>
      </c>
      <c r="K5" s="25">
        <v>0.01</v>
      </c>
      <c r="L5" s="18"/>
      <c r="N5" s="3">
        <f>+K11</f>
        <v>2000</v>
      </c>
      <c r="O5" s="11">
        <f>+PMT(K26,K12,K11)</f>
        <v>-98.404702667757718</v>
      </c>
      <c r="P5" s="3">
        <f t="shared" ref="P5:P16" si="0">-N5*$K$26</f>
        <v>-27.5</v>
      </c>
      <c r="Q5" s="11">
        <f>O5-P5</f>
        <v>-70.904702667757718</v>
      </c>
      <c r="R5" s="3">
        <f>N5+Q5</f>
        <v>1929.0952973322424</v>
      </c>
    </row>
    <row r="6" spans="1:18" x14ac:dyDescent="0.3">
      <c r="A6" t="s">
        <v>112</v>
      </c>
      <c r="B6" s="26">
        <v>1.2E-2</v>
      </c>
      <c r="D6" t="s">
        <v>112</v>
      </c>
      <c r="E6" s="26">
        <v>1.2E-2</v>
      </c>
      <c r="J6" t="s">
        <v>112</v>
      </c>
      <c r="K6" s="26">
        <v>1.2E-2</v>
      </c>
      <c r="L6" s="18"/>
      <c r="N6" s="3">
        <f>+R5</f>
        <v>1929.0952973322424</v>
      </c>
      <c r="O6" s="11">
        <f>+O5</f>
        <v>-98.404702667757718</v>
      </c>
      <c r="P6" s="3">
        <f t="shared" si="0"/>
        <v>-26.525060338318333</v>
      </c>
      <c r="Q6" s="11">
        <f>O6-P6</f>
        <v>-71.879642329439378</v>
      </c>
      <c r="R6" s="3">
        <f t="shared" ref="R6:R16" si="1">N6+Q6</f>
        <v>1857.215655002803</v>
      </c>
    </row>
    <row r="7" spans="1:18" x14ac:dyDescent="0.3">
      <c r="A7" t="s">
        <v>113</v>
      </c>
      <c r="B7" s="25">
        <v>0.01</v>
      </c>
      <c r="D7" t="s">
        <v>113</v>
      </c>
      <c r="E7" s="25">
        <v>0.01</v>
      </c>
      <c r="J7" t="s">
        <v>113</v>
      </c>
      <c r="K7" s="25">
        <v>0.01</v>
      </c>
      <c r="L7" s="18"/>
      <c r="N7" s="3">
        <f t="shared" ref="N7:N16" si="2">+R6</f>
        <v>1857.215655002803</v>
      </c>
      <c r="O7" s="11">
        <f t="shared" ref="O7:O30" si="3">+O6</f>
        <v>-98.404702667757718</v>
      </c>
      <c r="P7" s="3">
        <f t="shared" si="0"/>
        <v>-25.536715256288542</v>
      </c>
      <c r="Q7" s="11">
        <f t="shared" ref="Q7:Q16" si="4">O7-P7</f>
        <v>-72.867987411469173</v>
      </c>
      <c r="R7" s="3">
        <f t="shared" si="1"/>
        <v>1784.3476675913339</v>
      </c>
    </row>
    <row r="8" spans="1:18" x14ac:dyDescent="0.3">
      <c r="A8" t="s">
        <v>114</v>
      </c>
      <c r="B8" s="25">
        <v>0.01</v>
      </c>
      <c r="D8" t="s">
        <v>114</v>
      </c>
      <c r="E8" s="25">
        <v>0.01</v>
      </c>
      <c r="J8" t="s">
        <v>114</v>
      </c>
      <c r="K8" s="56">
        <v>1.4999999999999999E-2</v>
      </c>
      <c r="L8" s="18"/>
      <c r="N8" s="3">
        <f t="shared" si="2"/>
        <v>1784.3476675913339</v>
      </c>
      <c r="O8" s="11">
        <f t="shared" si="3"/>
        <v>-98.404702667757718</v>
      </c>
      <c r="P8" s="3">
        <f t="shared" si="0"/>
        <v>-24.534780429380842</v>
      </c>
      <c r="Q8" s="11">
        <f t="shared" si="4"/>
        <v>-73.869922238376873</v>
      </c>
      <c r="R8" s="3">
        <f t="shared" si="1"/>
        <v>1710.4777453529571</v>
      </c>
    </row>
    <row r="9" spans="1:18" x14ac:dyDescent="0.3">
      <c r="A9" s="54" t="s">
        <v>162</v>
      </c>
      <c r="B9" s="2">
        <v>0.09</v>
      </c>
      <c r="D9" s="54" t="s">
        <v>158</v>
      </c>
      <c r="E9">
        <v>0.21</v>
      </c>
      <c r="J9" s="54" t="s">
        <v>204</v>
      </c>
      <c r="L9" s="18"/>
      <c r="N9" s="3">
        <f t="shared" si="2"/>
        <v>1710.4777453529571</v>
      </c>
      <c r="O9" s="11">
        <f t="shared" si="3"/>
        <v>-98.404702667757718</v>
      </c>
      <c r="P9" s="3">
        <f t="shared" si="0"/>
        <v>-23.51906899860316</v>
      </c>
      <c r="Q9" s="11">
        <f t="shared" si="4"/>
        <v>-74.885633669154558</v>
      </c>
      <c r="R9" s="3">
        <f t="shared" si="1"/>
        <v>1635.5921116838026</v>
      </c>
    </row>
    <row r="10" spans="1:18" x14ac:dyDescent="0.3">
      <c r="A10" t="s">
        <v>33</v>
      </c>
      <c r="B10" s="2"/>
      <c r="D10" t="s">
        <v>33</v>
      </c>
      <c r="J10" t="s">
        <v>33</v>
      </c>
      <c r="L10" s="18"/>
      <c r="N10" s="3">
        <f t="shared" si="2"/>
        <v>1635.5921116838026</v>
      </c>
      <c r="O10" s="11">
        <f t="shared" si="3"/>
        <v>-98.404702667757718</v>
      </c>
      <c r="P10" s="3">
        <f t="shared" si="0"/>
        <v>-22.489391535652285</v>
      </c>
      <c r="Q10" s="11">
        <f t="shared" si="4"/>
        <v>-75.91531113210543</v>
      </c>
      <c r="R10" s="3">
        <f t="shared" si="1"/>
        <v>1559.6768005516972</v>
      </c>
    </row>
    <row r="11" spans="1:18" x14ac:dyDescent="0.3">
      <c r="A11" t="s">
        <v>47</v>
      </c>
      <c r="B11" s="2">
        <v>2000</v>
      </c>
      <c r="D11" t="s">
        <v>47</v>
      </c>
      <c r="E11" s="2">
        <v>2000</v>
      </c>
      <c r="F11" s="2"/>
      <c r="J11" t="s">
        <v>47</v>
      </c>
      <c r="K11">
        <v>2000</v>
      </c>
      <c r="L11" s="18"/>
      <c r="N11" s="3">
        <f t="shared" si="2"/>
        <v>1559.6768005516972</v>
      </c>
      <c r="O11" s="11">
        <f t="shared" si="3"/>
        <v>-98.404702667757718</v>
      </c>
      <c r="P11" s="3">
        <f t="shared" si="0"/>
        <v>-21.445556007585836</v>
      </c>
      <c r="Q11" s="11">
        <f t="shared" si="4"/>
        <v>-76.959146660171882</v>
      </c>
      <c r="R11" s="3">
        <f t="shared" si="1"/>
        <v>1482.7176538915253</v>
      </c>
    </row>
    <row r="12" spans="1:18" x14ac:dyDescent="0.3">
      <c r="A12" t="s">
        <v>48</v>
      </c>
      <c r="B12">
        <v>24</v>
      </c>
      <c r="D12" t="s">
        <v>48</v>
      </c>
      <c r="E12">
        <v>24</v>
      </c>
      <c r="J12" t="s">
        <v>48</v>
      </c>
      <c r="K12">
        <v>24</v>
      </c>
      <c r="L12" s="18"/>
      <c r="N12" s="3">
        <f t="shared" si="2"/>
        <v>1482.7176538915253</v>
      </c>
      <c r="O12" s="11">
        <f t="shared" si="3"/>
        <v>-98.404702667757718</v>
      </c>
      <c r="P12" s="3">
        <f t="shared" si="0"/>
        <v>-20.387367741008472</v>
      </c>
      <c r="Q12" s="11">
        <f t="shared" si="4"/>
        <v>-78.017334926749243</v>
      </c>
      <c r="R12" s="3">
        <f t="shared" si="1"/>
        <v>1404.700318964776</v>
      </c>
    </row>
    <row r="13" spans="1:18" x14ac:dyDescent="0.3">
      <c r="A13" t="s">
        <v>49</v>
      </c>
      <c r="B13" s="35">
        <v>0.16</v>
      </c>
      <c r="D13" t="s">
        <v>49</v>
      </c>
      <c r="E13" s="35">
        <v>0.21</v>
      </c>
      <c r="J13" t="s">
        <v>49</v>
      </c>
      <c r="K13" s="55">
        <v>0.16500000000000001</v>
      </c>
      <c r="L13" s="18"/>
      <c r="N13" s="3">
        <f t="shared" si="2"/>
        <v>1404.700318964776</v>
      </c>
      <c r="O13" s="11">
        <f t="shared" si="3"/>
        <v>-98.404702667757718</v>
      </c>
      <c r="P13" s="3">
        <f t="shared" si="0"/>
        <v>-19.31462938576567</v>
      </c>
      <c r="Q13" s="11">
        <f t="shared" si="4"/>
        <v>-79.090073281992048</v>
      </c>
      <c r="R13" s="3">
        <f t="shared" si="1"/>
        <v>1325.6102456827839</v>
      </c>
    </row>
    <row r="14" spans="1:18" x14ac:dyDescent="0.3">
      <c r="B14" s="4"/>
      <c r="E14" s="4"/>
      <c r="F14" s="4"/>
      <c r="I14" s="14"/>
      <c r="J14" s="22" t="s">
        <v>179</v>
      </c>
      <c r="L14" s="18"/>
      <c r="N14" s="3">
        <f t="shared" si="2"/>
        <v>1325.6102456827839</v>
      </c>
      <c r="O14" s="11">
        <f t="shared" si="3"/>
        <v>-98.404702667757718</v>
      </c>
      <c r="P14" s="3">
        <f t="shared" si="0"/>
        <v>-18.227140878138279</v>
      </c>
      <c r="Q14" s="11">
        <f t="shared" si="4"/>
        <v>-80.177561789619432</v>
      </c>
      <c r="R14" s="3">
        <f t="shared" si="1"/>
        <v>1245.4326838931645</v>
      </c>
    </row>
    <row r="15" spans="1:18" ht="15" thickBot="1" x14ac:dyDescent="0.35">
      <c r="B15" s="11"/>
      <c r="G15" s="1" t="s">
        <v>134</v>
      </c>
      <c r="J15" s="17" t="s">
        <v>202</v>
      </c>
      <c r="L15" s="18"/>
      <c r="N15" s="3">
        <f>+R14</f>
        <v>1245.4326838931645</v>
      </c>
      <c r="O15" s="11">
        <f>+O14</f>
        <v>-98.404702667757718</v>
      </c>
      <c r="P15" s="3">
        <f t="shared" si="0"/>
        <v>-17.124699403531011</v>
      </c>
      <c r="Q15" s="11">
        <f t="shared" si="4"/>
        <v>-81.280003264226707</v>
      </c>
      <c r="R15" s="3">
        <f t="shared" si="1"/>
        <v>1164.1526806289378</v>
      </c>
    </row>
    <row r="16" spans="1:18" ht="15" thickBot="1" x14ac:dyDescent="0.35">
      <c r="A16" s="1" t="s">
        <v>50</v>
      </c>
      <c r="B16" s="30">
        <f>-SUM(F33:F56)+B23</f>
        <v>434.22930484528246</v>
      </c>
      <c r="D16" s="1" t="s">
        <v>50</v>
      </c>
      <c r="E16" s="30">
        <f>-+SUM(L33:L56)+E23</f>
        <v>550.51124603549079</v>
      </c>
      <c r="F16" s="10"/>
      <c r="G16" s="9">
        <f>+E16-K16</f>
        <v>94.798382009305385</v>
      </c>
      <c r="J16" s="1" t="s">
        <v>50</v>
      </c>
      <c r="K16" s="30">
        <f>-SUM(P5:P28)+K23</f>
        <v>455.7128640261854</v>
      </c>
      <c r="L16" s="18"/>
      <c r="N16" s="3">
        <f t="shared" si="2"/>
        <v>1164.1526806289378</v>
      </c>
      <c r="O16" s="11">
        <f t="shared" si="3"/>
        <v>-98.404702667757718</v>
      </c>
      <c r="P16" s="3">
        <f t="shared" si="0"/>
        <v>-16.007099358647896</v>
      </c>
      <c r="Q16" s="11">
        <f t="shared" si="4"/>
        <v>-82.397603309109826</v>
      </c>
      <c r="R16" s="3">
        <f t="shared" si="1"/>
        <v>1081.7550773198279</v>
      </c>
    </row>
    <row r="17" spans="1:18" x14ac:dyDescent="0.3">
      <c r="J17" s="17"/>
      <c r="L17" s="18"/>
      <c r="N17" s="3">
        <f t="shared" ref="N17:N22" si="5">+R16</f>
        <v>1081.7550773198279</v>
      </c>
      <c r="O17" s="11">
        <f t="shared" si="3"/>
        <v>-98.404702667757718</v>
      </c>
      <c r="P17" s="3">
        <f t="shared" ref="P17:P22" si="6">-N17*$K$26</f>
        <v>-14.874132313147634</v>
      </c>
      <c r="Q17" s="11">
        <f t="shared" ref="Q17:Q22" si="7">O17-P17</f>
        <v>-83.530570354610091</v>
      </c>
      <c r="R17" s="3">
        <f t="shared" ref="R17:R22" si="8">N17+Q17</f>
        <v>998.22450696521787</v>
      </c>
    </row>
    <row r="18" spans="1:18" x14ac:dyDescent="0.3">
      <c r="A18" s="1" t="s">
        <v>71</v>
      </c>
      <c r="D18" s="1" t="s">
        <v>71</v>
      </c>
      <c r="J18" s="1" t="s">
        <v>71</v>
      </c>
      <c r="L18" s="18"/>
      <c r="N18" s="3">
        <f t="shared" si="5"/>
        <v>998.22450696521787</v>
      </c>
      <c r="O18" s="11">
        <f t="shared" si="3"/>
        <v>-98.404702667757718</v>
      </c>
      <c r="P18" s="3">
        <f t="shared" si="6"/>
        <v>-13.725586970771745</v>
      </c>
      <c r="Q18" s="11">
        <f t="shared" si="7"/>
        <v>-84.679115696985974</v>
      </c>
      <c r="R18" s="3">
        <f t="shared" si="8"/>
        <v>913.54539126823192</v>
      </c>
    </row>
    <row r="19" spans="1:18" x14ac:dyDescent="0.3">
      <c r="A19" t="s">
        <v>111</v>
      </c>
      <c r="B19" s="5">
        <f>B5*B11</f>
        <v>20</v>
      </c>
      <c r="D19" t="s">
        <v>111</v>
      </c>
      <c r="E19" s="5">
        <f>E5*E11</f>
        <v>20</v>
      </c>
      <c r="F19" s="5"/>
      <c r="J19" t="s">
        <v>111</v>
      </c>
      <c r="K19" s="5">
        <f>K5*K11</f>
        <v>20</v>
      </c>
      <c r="L19" s="18"/>
      <c r="N19" s="3">
        <f t="shared" si="5"/>
        <v>913.54539126823192</v>
      </c>
      <c r="O19" s="11">
        <f t="shared" si="3"/>
        <v>-98.404702667757718</v>
      </c>
      <c r="P19" s="3">
        <f t="shared" si="6"/>
        <v>-12.561249129938188</v>
      </c>
      <c r="Q19" s="11">
        <f t="shared" si="7"/>
        <v>-85.843453537819528</v>
      </c>
      <c r="R19" s="3">
        <f t="shared" si="8"/>
        <v>827.7019377304124</v>
      </c>
    </row>
    <row r="20" spans="1:18" x14ac:dyDescent="0.3">
      <c r="A20" t="s">
        <v>112</v>
      </c>
      <c r="B20" s="3">
        <f>B6*B11</f>
        <v>24</v>
      </c>
      <c r="D20" t="s">
        <v>112</v>
      </c>
      <c r="E20" s="3">
        <f>E6*E11</f>
        <v>24</v>
      </c>
      <c r="F20" s="3"/>
      <c r="J20" t="s">
        <v>112</v>
      </c>
      <c r="K20" s="3">
        <f>K6*K11</f>
        <v>24</v>
      </c>
      <c r="L20" s="18"/>
      <c r="N20" s="3">
        <f t="shared" si="5"/>
        <v>827.7019377304124</v>
      </c>
      <c r="O20" s="11">
        <f t="shared" si="3"/>
        <v>-98.404702667757718</v>
      </c>
      <c r="P20" s="3">
        <f t="shared" si="6"/>
        <v>-11.380901643793171</v>
      </c>
      <c r="Q20" s="11">
        <f t="shared" si="7"/>
        <v>-87.023801023964552</v>
      </c>
      <c r="R20" s="3">
        <f t="shared" si="8"/>
        <v>740.67813670644784</v>
      </c>
    </row>
    <row r="21" spans="1:18" x14ac:dyDescent="0.3">
      <c r="A21" t="s">
        <v>113</v>
      </c>
      <c r="B21" s="5">
        <f>B7*B11</f>
        <v>20</v>
      </c>
      <c r="D21" t="s">
        <v>113</v>
      </c>
      <c r="E21" s="5">
        <f>E7*E11</f>
        <v>20</v>
      </c>
      <c r="F21" s="5"/>
      <c r="J21" t="s">
        <v>113</v>
      </c>
      <c r="K21" s="5">
        <f>K7*K11</f>
        <v>20</v>
      </c>
      <c r="L21" s="18"/>
      <c r="N21" s="3">
        <f t="shared" si="5"/>
        <v>740.67813670644784</v>
      </c>
      <c r="O21" s="11">
        <f t="shared" si="3"/>
        <v>-98.404702667757718</v>
      </c>
      <c r="P21" s="3">
        <f t="shared" si="6"/>
        <v>-10.184324379713658</v>
      </c>
      <c r="Q21" s="11">
        <f t="shared" si="7"/>
        <v>-88.22037828804406</v>
      </c>
      <c r="R21" s="3">
        <f t="shared" si="8"/>
        <v>652.45775841840373</v>
      </c>
    </row>
    <row r="22" spans="1:18" x14ac:dyDescent="0.3">
      <c r="A22" t="s">
        <v>114</v>
      </c>
      <c r="B22" s="5">
        <f>B8*B11</f>
        <v>20</v>
      </c>
      <c r="D22" t="s">
        <v>114</v>
      </c>
      <c r="E22" s="5">
        <f>E8*E11</f>
        <v>20</v>
      </c>
      <c r="F22" s="5"/>
      <c r="J22" t="s">
        <v>114</v>
      </c>
      <c r="K22" s="5">
        <f>K8*K11</f>
        <v>30</v>
      </c>
      <c r="L22" s="18"/>
      <c r="N22" s="3">
        <f t="shared" si="5"/>
        <v>652.45775841840373</v>
      </c>
      <c r="O22" s="11">
        <f t="shared" si="3"/>
        <v>-98.404702667757718</v>
      </c>
      <c r="P22" s="3">
        <f t="shared" si="6"/>
        <v>-8.9712941782530518</v>
      </c>
      <c r="Q22" s="11">
        <f t="shared" si="7"/>
        <v>-89.433408489504671</v>
      </c>
      <c r="R22" s="3">
        <f t="shared" si="8"/>
        <v>563.02434992889903</v>
      </c>
    </row>
    <row r="23" spans="1:18" ht="15" thickBot="1" x14ac:dyDescent="0.35">
      <c r="A23" t="s">
        <v>54</v>
      </c>
      <c r="B23" s="6">
        <f>SUM(B19:B22)</f>
        <v>84</v>
      </c>
      <c r="D23" t="s">
        <v>54</v>
      </c>
      <c r="E23" s="6">
        <f>SUM(E19:E22)</f>
        <v>84</v>
      </c>
      <c r="F23" s="5"/>
      <c r="J23" t="s">
        <v>54</v>
      </c>
      <c r="K23" s="6">
        <f>SUM(K19:K22)</f>
        <v>94</v>
      </c>
      <c r="L23" s="18"/>
      <c r="N23" s="3">
        <f t="shared" ref="N23:N30" si="9">+R22</f>
        <v>563.02434992889903</v>
      </c>
      <c r="O23" s="11">
        <f t="shared" si="3"/>
        <v>-98.404702667757718</v>
      </c>
      <c r="P23" s="3">
        <f t="shared" ref="P23:P30" si="10">-N23*$K$26</f>
        <v>-7.7415848115223618</v>
      </c>
      <c r="Q23" s="11">
        <f t="shared" ref="Q23:Q30" si="11">O23-P23</f>
        <v>-90.66311785623536</v>
      </c>
      <c r="R23" s="3">
        <f t="shared" ref="R23:R30" si="12">N23+Q23</f>
        <v>472.36123207266365</v>
      </c>
    </row>
    <row r="24" spans="1:18" ht="15" thickTop="1" x14ac:dyDescent="0.3">
      <c r="L24" s="18"/>
      <c r="N24" s="3">
        <f t="shared" si="9"/>
        <v>472.36123207266365</v>
      </c>
      <c r="O24" s="11">
        <f t="shared" si="3"/>
        <v>-98.404702667757718</v>
      </c>
      <c r="P24" s="3">
        <f t="shared" si="10"/>
        <v>-6.4949669409991255</v>
      </c>
      <c r="Q24" s="11">
        <f t="shared" si="11"/>
        <v>-91.909735726758598</v>
      </c>
      <c r="R24" s="3">
        <f t="shared" si="12"/>
        <v>380.45149634590507</v>
      </c>
    </row>
    <row r="25" spans="1:18" ht="15" thickBot="1" x14ac:dyDescent="0.35">
      <c r="L25" s="18"/>
      <c r="N25" s="3">
        <f t="shared" si="9"/>
        <v>380.45149634590507</v>
      </c>
      <c r="O25" s="11">
        <f t="shared" si="3"/>
        <v>-98.404702667757718</v>
      </c>
      <c r="P25" s="3">
        <f t="shared" si="10"/>
        <v>-5.2312080747561946</v>
      </c>
      <c r="Q25" s="11">
        <f t="shared" si="11"/>
        <v>-93.173494593001521</v>
      </c>
      <c r="R25" s="3">
        <f t="shared" si="12"/>
        <v>287.27800175290355</v>
      </c>
    </row>
    <row r="26" spans="1:18" ht="15" thickBot="1" x14ac:dyDescent="0.35">
      <c r="A26" t="s">
        <v>100</v>
      </c>
      <c r="B26" s="34">
        <f>B13/12</f>
        <v>1.3333333333333334E-2</v>
      </c>
      <c r="D26" t="s">
        <v>100</v>
      </c>
      <c r="E26" s="34">
        <f>E13/12</f>
        <v>1.7499999999999998E-2</v>
      </c>
      <c r="J26" t="s">
        <v>100</v>
      </c>
      <c r="K26" s="34">
        <f>K13/12</f>
        <v>1.375E-2</v>
      </c>
      <c r="L26" s="18"/>
      <c r="N26" s="3">
        <f t="shared" si="9"/>
        <v>287.27800175290355</v>
      </c>
      <c r="O26" s="11">
        <f t="shared" si="3"/>
        <v>-98.404702667757718</v>
      </c>
      <c r="P26" s="3">
        <f t="shared" si="10"/>
        <v>-3.9500725241024237</v>
      </c>
      <c r="Q26" s="11">
        <f t="shared" si="11"/>
        <v>-94.454630143655294</v>
      </c>
      <c r="R26" s="3">
        <f t="shared" si="12"/>
        <v>192.82337160924826</v>
      </c>
    </row>
    <row r="27" spans="1:18" ht="15" thickBot="1" x14ac:dyDescent="0.35">
      <c r="B27" s="3"/>
      <c r="J27" s="19"/>
      <c r="K27" s="20"/>
      <c r="L27" s="21"/>
      <c r="N27" s="3">
        <f t="shared" si="9"/>
        <v>192.82337160924826</v>
      </c>
      <c r="O27" s="11">
        <f t="shared" si="3"/>
        <v>-98.404702667757718</v>
      </c>
      <c r="P27" s="3">
        <f t="shared" si="10"/>
        <v>-2.6513213596271634</v>
      </c>
      <c r="Q27" s="11">
        <f t="shared" si="11"/>
        <v>-95.753381308130557</v>
      </c>
      <c r="R27" s="3">
        <f t="shared" si="12"/>
        <v>97.069990301117699</v>
      </c>
    </row>
    <row r="28" spans="1:18" x14ac:dyDescent="0.3">
      <c r="B28" s="7"/>
      <c r="N28" s="3">
        <f t="shared" si="9"/>
        <v>97.069990301117699</v>
      </c>
      <c r="O28" s="11">
        <f t="shared" si="3"/>
        <v>-98.404702667757718</v>
      </c>
      <c r="P28" s="3">
        <f t="shared" si="10"/>
        <v>-1.3347123666403684</v>
      </c>
      <c r="Q28" s="11">
        <f t="shared" si="11"/>
        <v>-97.069990301117343</v>
      </c>
      <c r="R28" s="3">
        <f t="shared" si="12"/>
        <v>3.5527136788005009E-13</v>
      </c>
    </row>
    <row r="29" spans="1:18" x14ac:dyDescent="0.3">
      <c r="N29" s="3"/>
      <c r="O29" s="4">
        <f>SUM(O5:O28)</f>
        <v>-2361.7128640261844</v>
      </c>
      <c r="P29" s="9">
        <f>SUM(P5:P28)</f>
        <v>-361.7128640261854</v>
      </c>
      <c r="Q29" s="4">
        <f>SUM(Q5:Q28)</f>
        <v>-1999.9999999999998</v>
      </c>
      <c r="R29" s="3"/>
    </row>
    <row r="30" spans="1:18" x14ac:dyDescent="0.3">
      <c r="N30" s="3"/>
      <c r="O30" s="11"/>
      <c r="P30" s="3"/>
      <c r="Q30" s="11"/>
      <c r="R30" s="3"/>
    </row>
    <row r="31" spans="1:18" x14ac:dyDescent="0.3">
      <c r="D31" s="43" t="s">
        <v>98</v>
      </c>
      <c r="E31" s="43"/>
      <c r="F31" s="43"/>
      <c r="G31" s="43"/>
      <c r="H31" s="43"/>
      <c r="J31" s="42" t="s">
        <v>99</v>
      </c>
      <c r="K31" s="42"/>
      <c r="L31" s="42"/>
      <c r="M31" s="42"/>
      <c r="N31" s="42"/>
    </row>
    <row r="32" spans="1:18" ht="15" thickBot="1" x14ac:dyDescent="0.35">
      <c r="A32" s="1" t="s">
        <v>155</v>
      </c>
      <c r="D32" s="1" t="s">
        <v>93</v>
      </c>
      <c r="E32" s="1" t="s">
        <v>96</v>
      </c>
      <c r="F32" s="1" t="s">
        <v>94</v>
      </c>
      <c r="G32" s="1" t="s">
        <v>95</v>
      </c>
      <c r="H32" s="1" t="s">
        <v>97</v>
      </c>
      <c r="J32" s="1" t="s">
        <v>93</v>
      </c>
      <c r="K32" s="1" t="s">
        <v>96</v>
      </c>
      <c r="L32" s="1" t="s">
        <v>94</v>
      </c>
      <c r="M32" s="1" t="s">
        <v>95</v>
      </c>
      <c r="N32" s="1" t="s">
        <v>97</v>
      </c>
    </row>
    <row r="33" spans="1:14" x14ac:dyDescent="0.3">
      <c r="A33" s="49" t="s">
        <v>156</v>
      </c>
      <c r="D33" s="3">
        <f>B11</f>
        <v>2000</v>
      </c>
      <c r="E33" s="11">
        <f>PMT(B26,B12,B11)</f>
        <v>-97.926221035220095</v>
      </c>
      <c r="F33" s="3">
        <f t="shared" ref="F33:F56" si="13">-$B$26*D33</f>
        <v>-26.666666666666668</v>
      </c>
      <c r="G33" s="11">
        <f>E33-F33</f>
        <v>-71.259554368553424</v>
      </c>
      <c r="H33" s="3">
        <f>D33+G33</f>
        <v>1928.7404456314466</v>
      </c>
      <c r="J33" s="3">
        <f>+E11</f>
        <v>2000</v>
      </c>
      <c r="K33" s="11">
        <f>+PMT(E26,E12,E11)</f>
        <v>-102.77130191814544</v>
      </c>
      <c r="L33" s="3">
        <f t="shared" ref="L33:L56" si="14">-+$E$26*J33</f>
        <v>-34.999999999999993</v>
      </c>
      <c r="M33" s="11">
        <f>K33-L33</f>
        <v>-67.77130191814544</v>
      </c>
      <c r="N33" s="3">
        <f>J33+M33</f>
        <v>1932.2286980818546</v>
      </c>
    </row>
    <row r="34" spans="1:14" x14ac:dyDescent="0.3">
      <c r="A34" s="50" t="s">
        <v>159</v>
      </c>
      <c r="D34" s="3">
        <f>H33</f>
        <v>1928.7404456314466</v>
      </c>
      <c r="E34" s="11">
        <f>E33</f>
        <v>-97.926221035220095</v>
      </c>
      <c r="F34" s="3">
        <f t="shared" si="13"/>
        <v>-25.716539275085957</v>
      </c>
      <c r="G34" s="11">
        <f>E34-F34</f>
        <v>-72.209681760134146</v>
      </c>
      <c r="H34" s="3">
        <f>D34+G34</f>
        <v>1856.5307638713125</v>
      </c>
      <c r="J34" s="3">
        <f>+N33</f>
        <v>1932.2286980818546</v>
      </c>
      <c r="K34" s="11">
        <f>+K33</f>
        <v>-102.77130191814544</v>
      </c>
      <c r="L34" s="3">
        <f t="shared" si="14"/>
        <v>-33.814002216432456</v>
      </c>
      <c r="M34" s="11">
        <f>K34-L34</f>
        <v>-68.957299701712984</v>
      </c>
      <c r="N34" s="3">
        <f t="shared" ref="N34:N56" si="15">J34+M34</f>
        <v>1863.2713983801416</v>
      </c>
    </row>
    <row r="35" spans="1:14" x14ac:dyDescent="0.3">
      <c r="A35" s="50" t="s">
        <v>160</v>
      </c>
      <c r="D35" s="3">
        <f t="shared" ref="D35:D56" si="16">H34</f>
        <v>1856.5307638713125</v>
      </c>
      <c r="E35" s="11">
        <f t="shared" ref="E35:E56" si="17">E34</f>
        <v>-97.926221035220095</v>
      </c>
      <c r="F35" s="3">
        <f t="shared" si="13"/>
        <v>-24.753743518284168</v>
      </c>
      <c r="G35" s="11">
        <f t="shared" ref="G35:G57" si="18">E35-F35</f>
        <v>-73.172477516935928</v>
      </c>
      <c r="H35" s="3">
        <f t="shared" ref="H35:H56" si="19">D35+G35</f>
        <v>1783.3582863543766</v>
      </c>
      <c r="J35" s="3">
        <f t="shared" ref="J35:J56" si="20">+N34</f>
        <v>1863.2713983801416</v>
      </c>
      <c r="K35" s="11">
        <f t="shared" ref="K35:K56" si="21">+K34</f>
        <v>-102.77130191814544</v>
      </c>
      <c r="L35" s="3">
        <f t="shared" si="14"/>
        <v>-32.607249471652473</v>
      </c>
      <c r="M35" s="11">
        <f t="shared" ref="M35:M56" si="22">K35-L35</f>
        <v>-70.164052446492974</v>
      </c>
      <c r="N35" s="3">
        <f t="shared" si="15"/>
        <v>1793.1073459336485</v>
      </c>
    </row>
    <row r="36" spans="1:14" x14ac:dyDescent="0.3">
      <c r="A36" s="53" t="s">
        <v>163</v>
      </c>
      <c r="D36" s="3">
        <f t="shared" si="16"/>
        <v>1783.3582863543766</v>
      </c>
      <c r="E36" s="11">
        <f t="shared" si="17"/>
        <v>-97.926221035220095</v>
      </c>
      <c r="F36" s="3">
        <f t="shared" si="13"/>
        <v>-23.778110484725023</v>
      </c>
      <c r="G36" s="11">
        <f t="shared" si="18"/>
        <v>-74.148110550495076</v>
      </c>
      <c r="H36" s="3">
        <f t="shared" si="19"/>
        <v>1709.2101758038814</v>
      </c>
      <c r="J36" s="3">
        <f t="shared" si="20"/>
        <v>1793.1073459336485</v>
      </c>
      <c r="K36" s="11">
        <f t="shared" si="21"/>
        <v>-102.77130191814544</v>
      </c>
      <c r="L36" s="3">
        <f t="shared" si="14"/>
        <v>-31.379378553838844</v>
      </c>
      <c r="M36" s="11">
        <f t="shared" si="22"/>
        <v>-71.391923364306592</v>
      </c>
      <c r="N36" s="3">
        <f t="shared" si="15"/>
        <v>1721.7154225693419</v>
      </c>
    </row>
    <row r="37" spans="1:14" x14ac:dyDescent="0.3">
      <c r="A37" s="50" t="s">
        <v>164</v>
      </c>
      <c r="D37" s="3">
        <f t="shared" si="16"/>
        <v>1709.2101758038814</v>
      </c>
      <c r="E37" s="11">
        <f t="shared" si="17"/>
        <v>-97.926221035220095</v>
      </c>
      <c r="F37" s="3">
        <f t="shared" si="13"/>
        <v>-22.78946901071842</v>
      </c>
      <c r="G37" s="11">
        <f t="shared" si="18"/>
        <v>-75.136752024501675</v>
      </c>
      <c r="H37" s="3">
        <f t="shared" si="19"/>
        <v>1634.0734237793797</v>
      </c>
      <c r="J37" s="3">
        <f t="shared" si="20"/>
        <v>1721.7154225693419</v>
      </c>
      <c r="K37" s="11">
        <f t="shared" si="21"/>
        <v>-102.77130191814544</v>
      </c>
      <c r="L37" s="3">
        <f t="shared" si="14"/>
        <v>-30.130019894963478</v>
      </c>
      <c r="M37" s="11">
        <f t="shared" si="22"/>
        <v>-72.641282023181958</v>
      </c>
      <c r="N37" s="3">
        <f t="shared" si="15"/>
        <v>1649.0741405461599</v>
      </c>
    </row>
    <row r="38" spans="1:14" x14ac:dyDescent="0.3">
      <c r="A38" s="50" t="s">
        <v>178</v>
      </c>
      <c r="D38" s="3">
        <f>H37</f>
        <v>1634.0734237793797</v>
      </c>
      <c r="E38" s="11">
        <f t="shared" si="17"/>
        <v>-97.926221035220095</v>
      </c>
      <c r="F38" s="3">
        <f t="shared" si="13"/>
        <v>-21.787645650391731</v>
      </c>
      <c r="G38" s="11">
        <f t="shared" si="18"/>
        <v>-76.138575384828357</v>
      </c>
      <c r="H38" s="3">
        <f t="shared" si="19"/>
        <v>1557.9348483945514</v>
      </c>
      <c r="J38" s="3">
        <f t="shared" si="20"/>
        <v>1649.0741405461599</v>
      </c>
      <c r="K38" s="11">
        <f t="shared" si="21"/>
        <v>-102.77130191814544</v>
      </c>
      <c r="L38" s="3">
        <f t="shared" si="14"/>
        <v>-28.858797459557795</v>
      </c>
      <c r="M38" s="11">
        <f t="shared" si="22"/>
        <v>-73.912504458587648</v>
      </c>
      <c r="N38" s="3">
        <f t="shared" si="15"/>
        <v>1575.1616360875723</v>
      </c>
    </row>
    <row r="39" spans="1:14" x14ac:dyDescent="0.3">
      <c r="A39" s="50"/>
      <c r="D39" s="3">
        <f t="shared" si="16"/>
        <v>1557.9348483945514</v>
      </c>
      <c r="E39" s="11">
        <f t="shared" si="17"/>
        <v>-97.926221035220095</v>
      </c>
      <c r="F39" s="3">
        <f t="shared" si="13"/>
        <v>-20.772464645260687</v>
      </c>
      <c r="G39" s="11">
        <f t="shared" si="18"/>
        <v>-77.153756389959412</v>
      </c>
      <c r="H39" s="3">
        <f t="shared" si="19"/>
        <v>1480.781092004592</v>
      </c>
      <c r="J39" s="3">
        <f t="shared" si="20"/>
        <v>1575.1616360875723</v>
      </c>
      <c r="K39" s="11">
        <f t="shared" si="21"/>
        <v>-102.77130191814544</v>
      </c>
      <c r="L39" s="3">
        <f t="shared" si="14"/>
        <v>-27.565328631532513</v>
      </c>
      <c r="M39" s="11">
        <f t="shared" si="22"/>
        <v>-75.205973286612931</v>
      </c>
      <c r="N39" s="3">
        <f t="shared" si="15"/>
        <v>1499.9556628009593</v>
      </c>
    </row>
    <row r="40" spans="1:14" x14ac:dyDescent="0.3">
      <c r="A40" s="53" t="s">
        <v>208</v>
      </c>
      <c r="D40" s="3">
        <f t="shared" si="16"/>
        <v>1480.781092004592</v>
      </c>
      <c r="E40" s="11">
        <f t="shared" si="17"/>
        <v>-97.926221035220095</v>
      </c>
      <c r="F40" s="3">
        <f t="shared" si="13"/>
        <v>-19.743747893394563</v>
      </c>
      <c r="G40" s="11">
        <f t="shared" si="18"/>
        <v>-78.18247314182554</v>
      </c>
      <c r="H40" s="3">
        <f t="shared" si="19"/>
        <v>1402.5986188627664</v>
      </c>
      <c r="J40" s="3">
        <f t="shared" si="20"/>
        <v>1499.9556628009593</v>
      </c>
      <c r="K40" s="11">
        <f t="shared" si="21"/>
        <v>-102.77130191814544</v>
      </c>
      <c r="L40" s="3">
        <f t="shared" si="14"/>
        <v>-26.249224099016786</v>
      </c>
      <c r="M40" s="11">
        <f t="shared" si="22"/>
        <v>-76.522077819128654</v>
      </c>
      <c r="N40" s="3">
        <f t="shared" si="15"/>
        <v>1423.4335849818306</v>
      </c>
    </row>
    <row r="41" spans="1:14" x14ac:dyDescent="0.3">
      <c r="A41" s="50" t="s">
        <v>203</v>
      </c>
      <c r="B41" s="62" t="s">
        <v>205</v>
      </c>
      <c r="D41" s="3">
        <f t="shared" si="16"/>
        <v>1402.5986188627664</v>
      </c>
      <c r="E41" s="11">
        <f t="shared" si="17"/>
        <v>-97.926221035220095</v>
      </c>
      <c r="F41" s="3">
        <f t="shared" si="13"/>
        <v>-18.701314918170219</v>
      </c>
      <c r="G41" s="11">
        <f t="shared" si="18"/>
        <v>-79.224906117049869</v>
      </c>
      <c r="H41" s="3">
        <f t="shared" si="19"/>
        <v>1323.3737127457166</v>
      </c>
      <c r="J41" s="3">
        <f t="shared" si="20"/>
        <v>1423.4335849818306</v>
      </c>
      <c r="K41" s="11">
        <f t="shared" si="21"/>
        <v>-102.77130191814544</v>
      </c>
      <c r="L41" s="3">
        <f t="shared" si="14"/>
        <v>-24.910087737182032</v>
      </c>
      <c r="M41" s="11">
        <f t="shared" si="22"/>
        <v>-77.861214180963401</v>
      </c>
      <c r="N41" s="3">
        <f t="shared" si="15"/>
        <v>1345.5723708008672</v>
      </c>
    </row>
    <row r="42" spans="1:14" x14ac:dyDescent="0.3">
      <c r="A42" s="50" t="s">
        <v>206</v>
      </c>
      <c r="B42" s="62" t="s">
        <v>191</v>
      </c>
      <c r="D42" s="3">
        <f t="shared" si="16"/>
        <v>1323.3737127457166</v>
      </c>
      <c r="E42" s="11">
        <f t="shared" si="17"/>
        <v>-97.926221035220095</v>
      </c>
      <c r="F42" s="3">
        <f t="shared" si="13"/>
        <v>-17.644982836609557</v>
      </c>
      <c r="G42" s="11">
        <f t="shared" si="18"/>
        <v>-80.281238198610538</v>
      </c>
      <c r="H42" s="3">
        <f t="shared" si="19"/>
        <v>1243.0924745471061</v>
      </c>
      <c r="J42" s="3">
        <f t="shared" si="20"/>
        <v>1345.5723708008672</v>
      </c>
      <c r="K42" s="11">
        <f t="shared" si="21"/>
        <v>-102.77130191814544</v>
      </c>
      <c r="L42" s="3">
        <f t="shared" si="14"/>
        <v>-23.547516489015173</v>
      </c>
      <c r="M42" s="11">
        <f t="shared" si="22"/>
        <v>-79.22378542913026</v>
      </c>
      <c r="N42" s="3">
        <f t="shared" si="15"/>
        <v>1266.348585371737</v>
      </c>
    </row>
    <row r="43" spans="1:14" x14ac:dyDescent="0.3">
      <c r="A43" s="50" t="s">
        <v>207</v>
      </c>
      <c r="B43" s="62" t="s">
        <v>191</v>
      </c>
      <c r="D43" s="3">
        <f t="shared" si="16"/>
        <v>1243.0924745471061</v>
      </c>
      <c r="E43" s="11">
        <f t="shared" si="17"/>
        <v>-97.926221035220095</v>
      </c>
      <c r="F43" s="3">
        <f t="shared" si="13"/>
        <v>-16.57456632729475</v>
      </c>
      <c r="G43" s="11">
        <f t="shared" si="18"/>
        <v>-81.351654707925348</v>
      </c>
      <c r="H43" s="3">
        <f t="shared" si="19"/>
        <v>1161.7408198391809</v>
      </c>
      <c r="J43" s="3">
        <f t="shared" si="20"/>
        <v>1266.348585371737</v>
      </c>
      <c r="K43" s="11">
        <f t="shared" si="21"/>
        <v>-102.77130191814544</v>
      </c>
      <c r="L43" s="3">
        <f t="shared" si="14"/>
        <v>-22.161100244005397</v>
      </c>
      <c r="M43" s="11">
        <f t="shared" si="22"/>
        <v>-80.610201674140043</v>
      </c>
      <c r="N43" s="3">
        <f t="shared" si="15"/>
        <v>1185.7383836975971</v>
      </c>
    </row>
    <row r="44" spans="1:14" x14ac:dyDescent="0.3">
      <c r="A44" s="50" t="s">
        <v>193</v>
      </c>
      <c r="B44" s="64">
        <v>0.01</v>
      </c>
      <c r="D44" s="3">
        <f t="shared" si="16"/>
        <v>1161.7408198391809</v>
      </c>
      <c r="E44" s="11">
        <f t="shared" si="17"/>
        <v>-97.926221035220095</v>
      </c>
      <c r="F44" s="3">
        <f t="shared" si="13"/>
        <v>-15.489877597855745</v>
      </c>
      <c r="G44" s="11">
        <f t="shared" si="18"/>
        <v>-82.436343437364343</v>
      </c>
      <c r="H44" s="3">
        <f t="shared" si="19"/>
        <v>1079.3044764018166</v>
      </c>
      <c r="J44" s="3">
        <f t="shared" si="20"/>
        <v>1185.7383836975971</v>
      </c>
      <c r="K44" s="11">
        <f t="shared" si="21"/>
        <v>-102.77130191814544</v>
      </c>
      <c r="L44" s="3">
        <f t="shared" si="14"/>
        <v>-20.750421714707947</v>
      </c>
      <c r="M44" s="11">
        <f t="shared" si="22"/>
        <v>-82.020880203437486</v>
      </c>
      <c r="N44" s="3">
        <f t="shared" si="15"/>
        <v>1103.7175034941597</v>
      </c>
    </row>
    <row r="45" spans="1:14" x14ac:dyDescent="0.3">
      <c r="A45" s="50" t="s">
        <v>195</v>
      </c>
      <c r="B45" s="65">
        <v>1.4999999999999999E-2</v>
      </c>
      <c r="D45" s="3">
        <f t="shared" si="16"/>
        <v>1079.3044764018166</v>
      </c>
      <c r="E45" s="11">
        <f t="shared" si="17"/>
        <v>-97.926221035220095</v>
      </c>
      <c r="F45" s="3">
        <f t="shared" si="13"/>
        <v>-14.390726352024222</v>
      </c>
      <c r="G45" s="11">
        <f t="shared" si="18"/>
        <v>-83.535494683195878</v>
      </c>
      <c r="H45" s="3">
        <f t="shared" si="19"/>
        <v>995.76898171862069</v>
      </c>
      <c r="J45" s="3">
        <f t="shared" si="20"/>
        <v>1103.7175034941597</v>
      </c>
      <c r="K45" s="11">
        <f t="shared" si="21"/>
        <v>-102.77130191814544</v>
      </c>
      <c r="L45" s="3">
        <f t="shared" si="14"/>
        <v>-19.315056311147792</v>
      </c>
      <c r="M45" s="11">
        <f t="shared" si="22"/>
        <v>-83.456245606997641</v>
      </c>
      <c r="N45" s="3">
        <f t="shared" si="15"/>
        <v>1020.2612578871621</v>
      </c>
    </row>
    <row r="46" spans="1:14" x14ac:dyDescent="0.3">
      <c r="A46" s="50" t="s">
        <v>209</v>
      </c>
      <c r="B46" s="64">
        <v>0.02</v>
      </c>
      <c r="D46" s="3">
        <f t="shared" si="16"/>
        <v>995.76898171862069</v>
      </c>
      <c r="E46" s="11">
        <f t="shared" si="17"/>
        <v>-97.926221035220095</v>
      </c>
      <c r="F46" s="3">
        <f t="shared" si="13"/>
        <v>-13.276919756248276</v>
      </c>
      <c r="G46" s="11">
        <f t="shared" si="18"/>
        <v>-84.649301278971819</v>
      </c>
      <c r="H46" s="3">
        <f t="shared" si="19"/>
        <v>911.11968043964885</v>
      </c>
      <c r="J46" s="3">
        <f t="shared" si="20"/>
        <v>1020.2612578871621</v>
      </c>
      <c r="K46" s="11">
        <f t="shared" si="21"/>
        <v>-102.77130191814544</v>
      </c>
      <c r="L46" s="3">
        <f t="shared" si="14"/>
        <v>-17.854572013025333</v>
      </c>
      <c r="M46" s="11">
        <f t="shared" si="22"/>
        <v>-84.916729905120107</v>
      </c>
      <c r="N46" s="3">
        <f t="shared" si="15"/>
        <v>935.344527982042</v>
      </c>
    </row>
    <row r="47" spans="1:14" x14ac:dyDescent="0.3">
      <c r="A47" s="66" t="s">
        <v>210</v>
      </c>
      <c r="B47" s="64">
        <v>0.01</v>
      </c>
      <c r="D47" s="3">
        <f t="shared" si="16"/>
        <v>911.11968043964885</v>
      </c>
      <c r="E47" s="11">
        <f t="shared" si="17"/>
        <v>-97.926221035220095</v>
      </c>
      <c r="F47" s="3">
        <f t="shared" si="13"/>
        <v>-12.148262405861985</v>
      </c>
      <c r="G47" s="11">
        <f t="shared" si="18"/>
        <v>-85.77795862935811</v>
      </c>
      <c r="H47" s="3">
        <f t="shared" si="19"/>
        <v>825.34172181029078</v>
      </c>
      <c r="J47" s="3">
        <f t="shared" si="20"/>
        <v>935.344527982042</v>
      </c>
      <c r="K47" s="11">
        <f t="shared" si="21"/>
        <v>-102.77130191814544</v>
      </c>
      <c r="L47" s="3">
        <f t="shared" si="14"/>
        <v>-16.368529239685735</v>
      </c>
      <c r="M47" s="11">
        <f t="shared" si="22"/>
        <v>-86.402772678459712</v>
      </c>
      <c r="N47" s="3">
        <f t="shared" si="15"/>
        <v>848.94175530358234</v>
      </c>
    </row>
    <row r="48" spans="1:14" x14ac:dyDescent="0.3">
      <c r="A48" s="66" t="s">
        <v>211</v>
      </c>
      <c r="B48" s="64">
        <v>0.04</v>
      </c>
      <c r="D48" s="3">
        <f t="shared" si="16"/>
        <v>825.34172181029078</v>
      </c>
      <c r="E48" s="11">
        <f t="shared" si="17"/>
        <v>-97.926221035220095</v>
      </c>
      <c r="F48" s="3">
        <f t="shared" si="13"/>
        <v>-11.004556290803878</v>
      </c>
      <c r="G48" s="11">
        <f t="shared" si="18"/>
        <v>-86.921664744416219</v>
      </c>
      <c r="H48" s="3">
        <f t="shared" si="19"/>
        <v>738.42005706587452</v>
      </c>
      <c r="J48" s="3">
        <f t="shared" si="20"/>
        <v>848.94175530358234</v>
      </c>
      <c r="K48" s="11">
        <f t="shared" si="21"/>
        <v>-102.77130191814544</v>
      </c>
      <c r="L48" s="3">
        <f t="shared" si="14"/>
        <v>-14.856480717812689</v>
      </c>
      <c r="M48" s="11">
        <f t="shared" si="22"/>
        <v>-87.914821200332753</v>
      </c>
      <c r="N48" s="3">
        <f t="shared" si="15"/>
        <v>761.02693410324957</v>
      </c>
    </row>
    <row r="49" spans="1:14" x14ac:dyDescent="0.3">
      <c r="A49" s="67" t="s">
        <v>212</v>
      </c>
      <c r="B49" s="64">
        <v>1.4999999999999999E-2</v>
      </c>
      <c r="D49" s="3">
        <f t="shared" si="16"/>
        <v>738.42005706587452</v>
      </c>
      <c r="E49" s="11">
        <f t="shared" si="17"/>
        <v>-97.926221035220095</v>
      </c>
      <c r="F49" s="3">
        <f t="shared" si="13"/>
        <v>-9.8456007608783267</v>
      </c>
      <c r="G49" s="11">
        <f t="shared" si="18"/>
        <v>-88.080620274341769</v>
      </c>
      <c r="H49" s="3">
        <f t="shared" si="19"/>
        <v>650.33943679153276</v>
      </c>
      <c r="J49" s="3">
        <f t="shared" si="20"/>
        <v>761.02693410324957</v>
      </c>
      <c r="K49" s="11">
        <f t="shared" si="21"/>
        <v>-102.77130191814544</v>
      </c>
      <c r="L49" s="3">
        <f t="shared" si="14"/>
        <v>-13.317971346806866</v>
      </c>
      <c r="M49" s="11">
        <f t="shared" si="22"/>
        <v>-89.453330571338569</v>
      </c>
      <c r="N49" s="3">
        <f t="shared" si="15"/>
        <v>671.57360353191098</v>
      </c>
    </row>
    <row r="50" spans="1:14" x14ac:dyDescent="0.3">
      <c r="D50" s="3">
        <f t="shared" si="16"/>
        <v>650.33943679153276</v>
      </c>
      <c r="E50" s="11">
        <f t="shared" si="17"/>
        <v>-97.926221035220095</v>
      </c>
      <c r="F50" s="3">
        <f t="shared" si="13"/>
        <v>-8.6711924905537714</v>
      </c>
      <c r="G50" s="11">
        <f t="shared" si="18"/>
        <v>-89.255028544666317</v>
      </c>
      <c r="H50" s="3">
        <f t="shared" si="19"/>
        <v>561.08440824686647</v>
      </c>
      <c r="J50" s="3">
        <f t="shared" si="20"/>
        <v>671.57360353191098</v>
      </c>
      <c r="K50" s="11">
        <f t="shared" si="21"/>
        <v>-102.77130191814544</v>
      </c>
      <c r="L50" s="3">
        <f t="shared" si="14"/>
        <v>-11.752538061808441</v>
      </c>
      <c r="M50" s="11">
        <f t="shared" si="22"/>
        <v>-91.018763856337003</v>
      </c>
      <c r="N50" s="3">
        <f t="shared" si="15"/>
        <v>580.55483967557393</v>
      </c>
    </row>
    <row r="51" spans="1:14" x14ac:dyDescent="0.3">
      <c r="D51" s="3">
        <f t="shared" si="16"/>
        <v>561.08440824686647</v>
      </c>
      <c r="E51" s="11">
        <f t="shared" si="17"/>
        <v>-97.926221035220095</v>
      </c>
      <c r="F51" s="3">
        <f t="shared" si="13"/>
        <v>-7.4811254432915533</v>
      </c>
      <c r="G51" s="11">
        <f t="shared" si="18"/>
        <v>-90.445095591928549</v>
      </c>
      <c r="H51" s="3">
        <f t="shared" si="19"/>
        <v>470.63931265493795</v>
      </c>
      <c r="J51" s="3">
        <f t="shared" si="20"/>
        <v>580.55483967557393</v>
      </c>
      <c r="K51" s="11">
        <f t="shared" si="21"/>
        <v>-102.77130191814544</v>
      </c>
      <c r="L51" s="3">
        <f t="shared" si="14"/>
        <v>-10.159709694322542</v>
      </c>
      <c r="M51" s="11">
        <f t="shared" si="22"/>
        <v>-92.611592223822896</v>
      </c>
      <c r="N51" s="3">
        <f t="shared" si="15"/>
        <v>487.94324745175106</v>
      </c>
    </row>
    <row r="52" spans="1:14" x14ac:dyDescent="0.3">
      <c r="D52" s="3">
        <f t="shared" si="16"/>
        <v>470.63931265493795</v>
      </c>
      <c r="E52" s="11">
        <f t="shared" si="17"/>
        <v>-97.926221035220095</v>
      </c>
      <c r="F52" s="3">
        <f t="shared" si="13"/>
        <v>-6.2751908353991732</v>
      </c>
      <c r="G52" s="11">
        <f t="shared" si="18"/>
        <v>-91.651030199820923</v>
      </c>
      <c r="H52" s="3">
        <f t="shared" si="19"/>
        <v>378.98828245511703</v>
      </c>
      <c r="J52" s="3">
        <f t="shared" si="20"/>
        <v>487.94324745175106</v>
      </c>
      <c r="K52" s="11">
        <f t="shared" si="21"/>
        <v>-102.77130191814544</v>
      </c>
      <c r="L52" s="3">
        <f t="shared" si="14"/>
        <v>-8.5390068304056435</v>
      </c>
      <c r="M52" s="11">
        <f t="shared" si="22"/>
        <v>-94.2322950877398</v>
      </c>
      <c r="N52" s="3">
        <f t="shared" si="15"/>
        <v>393.71095236401129</v>
      </c>
    </row>
    <row r="53" spans="1:14" x14ac:dyDescent="0.3">
      <c r="D53" s="3">
        <f t="shared" si="16"/>
        <v>378.98828245511703</v>
      </c>
      <c r="E53" s="11">
        <f t="shared" si="17"/>
        <v>-97.926221035220095</v>
      </c>
      <c r="F53" s="3">
        <f t="shared" si="13"/>
        <v>-5.0531770994015606</v>
      </c>
      <c r="G53" s="11">
        <f t="shared" si="18"/>
        <v>-92.873043935818529</v>
      </c>
      <c r="H53" s="3">
        <f t="shared" si="19"/>
        <v>286.11523851929849</v>
      </c>
      <c r="J53" s="3">
        <f t="shared" si="20"/>
        <v>393.71095236401129</v>
      </c>
      <c r="K53" s="11">
        <f t="shared" si="21"/>
        <v>-102.77130191814544</v>
      </c>
      <c r="L53" s="3">
        <f t="shared" si="14"/>
        <v>-6.8899416663701967</v>
      </c>
      <c r="M53" s="11">
        <f t="shared" si="22"/>
        <v>-95.881360251775249</v>
      </c>
      <c r="N53" s="3">
        <f t="shared" si="15"/>
        <v>297.82959211223601</v>
      </c>
    </row>
    <row r="54" spans="1:14" x14ac:dyDescent="0.3">
      <c r="D54" s="3">
        <f t="shared" si="16"/>
        <v>286.11523851929849</v>
      </c>
      <c r="E54" s="11">
        <f t="shared" si="17"/>
        <v>-97.926221035220095</v>
      </c>
      <c r="F54" s="3">
        <f t="shared" si="13"/>
        <v>-3.8148698469239801</v>
      </c>
      <c r="G54" s="11">
        <f t="shared" si="18"/>
        <v>-94.111351188296112</v>
      </c>
      <c r="H54" s="3">
        <f t="shared" si="19"/>
        <v>192.00388733100237</v>
      </c>
      <c r="J54" s="3">
        <f t="shared" si="20"/>
        <v>297.82959211223601</v>
      </c>
      <c r="K54" s="11">
        <f t="shared" si="21"/>
        <v>-102.77130191814544</v>
      </c>
      <c r="L54" s="3">
        <f t="shared" si="14"/>
        <v>-5.2120178619641298</v>
      </c>
      <c r="M54" s="11">
        <f t="shared" si="22"/>
        <v>-97.559284056181312</v>
      </c>
      <c r="N54" s="3">
        <f t="shared" si="15"/>
        <v>200.27030805605472</v>
      </c>
    </row>
    <row r="55" spans="1:14" x14ac:dyDescent="0.3">
      <c r="D55" s="3">
        <f t="shared" si="16"/>
        <v>192.00388733100237</v>
      </c>
      <c r="E55" s="11">
        <f t="shared" si="17"/>
        <v>-97.926221035220095</v>
      </c>
      <c r="F55" s="3">
        <f t="shared" si="13"/>
        <v>-2.560051831080032</v>
      </c>
      <c r="G55" s="11">
        <f t="shared" si="18"/>
        <v>-95.366169204140064</v>
      </c>
      <c r="H55" s="3">
        <f t="shared" si="19"/>
        <v>96.63771812686231</v>
      </c>
      <c r="J55" s="3">
        <f t="shared" si="20"/>
        <v>200.27030805605472</v>
      </c>
      <c r="K55" s="11">
        <f t="shared" si="21"/>
        <v>-102.77130191814544</v>
      </c>
      <c r="L55" s="3">
        <f t="shared" si="14"/>
        <v>-3.5047303909809573</v>
      </c>
      <c r="M55" s="11">
        <f t="shared" si="22"/>
        <v>-99.266571527164487</v>
      </c>
      <c r="N55" s="3">
        <f t="shared" si="15"/>
        <v>101.00373652889023</v>
      </c>
    </row>
    <row r="56" spans="1:14" x14ac:dyDescent="0.3">
      <c r="D56" s="3">
        <f t="shared" si="16"/>
        <v>96.63771812686231</v>
      </c>
      <c r="E56" s="11">
        <f t="shared" si="17"/>
        <v>-97.926221035220095</v>
      </c>
      <c r="F56" s="3">
        <f t="shared" si="13"/>
        <v>-1.2885029083581643</v>
      </c>
      <c r="G56" s="11">
        <f t="shared" si="18"/>
        <v>-96.637718126861927</v>
      </c>
      <c r="H56" s="3">
        <f t="shared" si="19"/>
        <v>3.836930773104541E-13</v>
      </c>
      <c r="J56" s="3">
        <f t="shared" si="20"/>
        <v>101.00373652889023</v>
      </c>
      <c r="K56" s="11">
        <f t="shared" si="21"/>
        <v>-102.77130191814544</v>
      </c>
      <c r="L56" s="3">
        <f t="shared" si="14"/>
        <v>-1.7675653892555789</v>
      </c>
      <c r="M56" s="11">
        <f t="shared" si="22"/>
        <v>-101.00373652888986</v>
      </c>
      <c r="N56" s="3">
        <f t="shared" si="15"/>
        <v>3.694822225952521E-13</v>
      </c>
    </row>
    <row r="57" spans="1:14" x14ac:dyDescent="0.3">
      <c r="D57" s="3"/>
      <c r="E57" s="11">
        <f>SUM(E33:E56)</f>
        <v>-2350.2293048452821</v>
      </c>
      <c r="F57" s="9">
        <f>SUM(F33:F56)</f>
        <v>-350.22930484528246</v>
      </c>
      <c r="G57" s="11">
        <f t="shared" si="18"/>
        <v>-1999.9999999999995</v>
      </c>
      <c r="H57" s="3"/>
      <c r="K57" s="11">
        <f>SUM(K33:K56)</f>
        <v>-2466.5112460354903</v>
      </c>
      <c r="L57" s="9">
        <f>SUM(L33:L56)</f>
        <v>-466.51124603549079</v>
      </c>
      <c r="M57" s="11">
        <f>K57-L57</f>
        <v>-1999.9999999999995</v>
      </c>
    </row>
    <row r="58" spans="1:14" x14ac:dyDescent="0.3">
      <c r="E58" s="3"/>
      <c r="F58" s="11"/>
      <c r="G58" s="3"/>
      <c r="H58" s="11"/>
      <c r="I58" s="14"/>
      <c r="L58" s="11"/>
    </row>
    <row r="59" spans="1:14" x14ac:dyDescent="0.3">
      <c r="E59" s="3"/>
      <c r="F59" s="11"/>
      <c r="G59" s="3"/>
      <c r="H59" s="11"/>
      <c r="I59" s="14"/>
      <c r="K59" s="11"/>
    </row>
    <row r="60" spans="1:14" x14ac:dyDescent="0.3">
      <c r="E60" s="3"/>
      <c r="F60" s="11"/>
      <c r="G60" s="3"/>
      <c r="H60" s="11"/>
      <c r="I60" s="14"/>
    </row>
    <row r="61" spans="1:14" x14ac:dyDescent="0.3">
      <c r="E61" s="3"/>
      <c r="F61" s="11"/>
      <c r="G61" s="3"/>
      <c r="H61" s="11"/>
      <c r="I61" s="14"/>
    </row>
    <row r="62" spans="1:14" x14ac:dyDescent="0.3">
      <c r="E62" s="3"/>
      <c r="F62" s="11"/>
      <c r="G62" s="3"/>
      <c r="H62" s="11"/>
      <c r="I62" s="14"/>
    </row>
    <row r="63" spans="1:14" x14ac:dyDescent="0.3">
      <c r="E63" s="3"/>
      <c r="F63" s="11"/>
      <c r="G63" s="3"/>
      <c r="H63" s="11"/>
      <c r="I63" s="14"/>
    </row>
    <row r="64" spans="1:14" x14ac:dyDescent="0.3">
      <c r="E64" s="3"/>
      <c r="F64" s="11"/>
      <c r="G64" s="3"/>
      <c r="H64" s="11"/>
      <c r="I64" s="14"/>
    </row>
    <row r="65" spans="5:9" x14ac:dyDescent="0.3">
      <c r="E65" s="3"/>
      <c r="F65" s="11"/>
      <c r="G65" s="3"/>
      <c r="H65" s="11"/>
      <c r="I65" s="14"/>
    </row>
    <row r="66" spans="5:9" x14ac:dyDescent="0.3">
      <c r="E66" s="3"/>
      <c r="F66" s="11"/>
      <c r="G66" s="3"/>
      <c r="H66" s="11"/>
      <c r="I66" s="14"/>
    </row>
    <row r="67" spans="5:9" x14ac:dyDescent="0.3">
      <c r="E67" s="3"/>
      <c r="F67" s="11"/>
      <c r="G67" s="3"/>
      <c r="H67" s="11"/>
      <c r="I67" s="14"/>
    </row>
    <row r="68" spans="5:9" x14ac:dyDescent="0.3">
      <c r="E68" s="3"/>
      <c r="F68" s="11"/>
      <c r="G68" s="3"/>
      <c r="H68" s="11"/>
      <c r="I68" s="14"/>
    </row>
    <row r="69" spans="5:9" x14ac:dyDescent="0.3">
      <c r="E69" s="3"/>
      <c r="F69" s="11"/>
      <c r="G69" s="3"/>
      <c r="H69" s="11"/>
      <c r="I69" s="14"/>
    </row>
    <row r="70" spans="5:9" x14ac:dyDescent="0.3">
      <c r="E70" s="3"/>
      <c r="F70" s="11"/>
      <c r="G70" s="3"/>
      <c r="H70" s="11"/>
      <c r="I70" s="14"/>
    </row>
    <row r="71" spans="5:9" x14ac:dyDescent="0.3">
      <c r="E71" s="3"/>
      <c r="F71" s="11"/>
      <c r="G71" s="3"/>
      <c r="H71" s="11"/>
      <c r="I71" s="14"/>
    </row>
    <row r="72" spans="5:9" x14ac:dyDescent="0.3">
      <c r="E72" s="3"/>
      <c r="F72" s="11"/>
      <c r="G72" s="3"/>
      <c r="H72" s="11"/>
      <c r="I72" s="14"/>
    </row>
    <row r="73" spans="5:9" x14ac:dyDescent="0.3">
      <c r="E73" s="3"/>
      <c r="F73" s="11"/>
      <c r="G73" s="3"/>
      <c r="H73" s="11"/>
      <c r="I73" s="14"/>
    </row>
    <row r="74" spans="5:9" x14ac:dyDescent="0.3">
      <c r="E74" s="3"/>
      <c r="F74" s="11"/>
      <c r="G74" s="3"/>
      <c r="H74" s="11"/>
      <c r="I74" s="14"/>
    </row>
    <row r="75" spans="5:9" x14ac:dyDescent="0.3">
      <c r="E75" s="3"/>
      <c r="F75" s="11"/>
      <c r="G75" s="3"/>
      <c r="H75" s="11"/>
      <c r="I75" s="14"/>
    </row>
    <row r="76" spans="5:9" x14ac:dyDescent="0.3">
      <c r="E76" s="3"/>
      <c r="F76" s="11"/>
      <c r="G76" s="3"/>
      <c r="H76" s="11"/>
      <c r="I76" s="14"/>
    </row>
  </sheetData>
  <mergeCells count="5">
    <mergeCell ref="J31:N31"/>
    <mergeCell ref="D31:H31"/>
    <mergeCell ref="J3:L3"/>
    <mergeCell ref="J1:L1"/>
    <mergeCell ref="N3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4BEC-4725-4B28-850C-468B52BCC9CD}">
  <sheetPr>
    <tabColor rgb="FF92D050"/>
  </sheetPr>
  <dimension ref="A1:N89"/>
  <sheetViews>
    <sheetView tabSelected="1" workbookViewId="0">
      <selection activeCell="A11" sqref="A11"/>
    </sheetView>
  </sheetViews>
  <sheetFormatPr defaultRowHeight="14.4" x14ac:dyDescent="0.3"/>
  <cols>
    <col min="1" max="1" width="42.109375" customWidth="1"/>
    <col min="2" max="2" width="12.109375" bestFit="1" customWidth="1"/>
    <col min="3" max="3" width="1.109375" style="8" customWidth="1"/>
    <col min="4" max="4" width="31.44140625" customWidth="1"/>
    <col min="5" max="5" width="16.21875" customWidth="1"/>
    <col min="6" max="6" width="14.44140625" customWidth="1"/>
    <col min="7" max="7" width="23.33203125" bestFit="1" customWidth="1"/>
    <col min="8" max="8" width="14.33203125" customWidth="1"/>
    <col min="9" max="9" width="1.109375" style="13" customWidth="1"/>
    <col min="10" max="10" width="33.109375" bestFit="1" customWidth="1"/>
    <col min="11" max="11" width="33.88671875" bestFit="1" customWidth="1"/>
    <col min="12" max="12" width="25.6640625" bestFit="1" customWidth="1"/>
    <col min="13" max="13" width="14.109375" customWidth="1"/>
    <col min="14" max="14" width="12.21875" customWidth="1"/>
    <col min="15" max="15" width="12.109375" customWidth="1"/>
  </cols>
  <sheetData>
    <row r="1" spans="1:12" x14ac:dyDescent="0.3">
      <c r="D1" s="45" t="s">
        <v>108</v>
      </c>
      <c r="E1" s="45"/>
      <c r="F1" s="45"/>
      <c r="G1" s="1" t="s">
        <v>138</v>
      </c>
    </row>
    <row r="2" spans="1:12" ht="23.4" x14ac:dyDescent="0.45">
      <c r="A2" s="1" t="s">
        <v>118</v>
      </c>
      <c r="D2" s="1" t="s">
        <v>70</v>
      </c>
      <c r="G2" s="33" t="s">
        <v>129</v>
      </c>
    </row>
    <row r="3" spans="1:12" ht="31.2" x14ac:dyDescent="0.6">
      <c r="D3" s="46" t="s">
        <v>128</v>
      </c>
      <c r="E3" s="46"/>
      <c r="F3" s="46"/>
      <c r="J3" s="47" t="s">
        <v>130</v>
      </c>
      <c r="K3" s="47"/>
      <c r="L3" s="47"/>
    </row>
    <row r="4" spans="1:12" x14ac:dyDescent="0.3">
      <c r="A4" s="1" t="s">
        <v>53</v>
      </c>
      <c r="B4" s="2"/>
      <c r="D4" s="1" t="s">
        <v>101</v>
      </c>
      <c r="E4" s="31" t="s">
        <v>135</v>
      </c>
      <c r="F4" s="31"/>
      <c r="K4" s="1" t="s">
        <v>119</v>
      </c>
      <c r="L4" s="1" t="s">
        <v>120</v>
      </c>
    </row>
    <row r="5" spans="1:12" x14ac:dyDescent="0.3">
      <c r="A5" t="s">
        <v>111</v>
      </c>
      <c r="B5" s="27">
        <v>2.5000000000000001E-2</v>
      </c>
      <c r="D5" t="s">
        <v>111</v>
      </c>
      <c r="E5" s="27">
        <v>0.03</v>
      </c>
      <c r="J5" t="s">
        <v>115</v>
      </c>
      <c r="K5" t="s">
        <v>116</v>
      </c>
      <c r="L5" t="s">
        <v>117</v>
      </c>
    </row>
    <row r="6" spans="1:12" x14ac:dyDescent="0.3">
      <c r="A6" t="s">
        <v>112</v>
      </c>
      <c r="B6" s="28">
        <v>1.2E-2</v>
      </c>
      <c r="D6" t="s">
        <v>112</v>
      </c>
      <c r="E6" s="28">
        <v>0.01</v>
      </c>
      <c r="J6" t="s">
        <v>123</v>
      </c>
      <c r="K6" t="s">
        <v>124</v>
      </c>
      <c r="L6" t="s">
        <v>125</v>
      </c>
    </row>
    <row r="7" spans="1:12" x14ac:dyDescent="0.3">
      <c r="A7" t="s">
        <v>113</v>
      </c>
      <c r="B7" s="27">
        <v>0.02</v>
      </c>
      <c r="D7" t="s">
        <v>113</v>
      </c>
      <c r="E7" s="27">
        <v>0.01</v>
      </c>
      <c r="J7" t="s">
        <v>126</v>
      </c>
      <c r="K7" s="25">
        <v>0</v>
      </c>
      <c r="L7" s="25">
        <v>0</v>
      </c>
    </row>
    <row r="8" spans="1:12" x14ac:dyDescent="0.3">
      <c r="A8" t="s">
        <v>114</v>
      </c>
      <c r="B8" s="27">
        <v>0.01</v>
      </c>
      <c r="D8" t="s">
        <v>114</v>
      </c>
      <c r="E8" s="27">
        <v>0.01</v>
      </c>
    </row>
    <row r="9" spans="1:12" x14ac:dyDescent="0.3">
      <c r="A9" s="54" t="s">
        <v>110</v>
      </c>
      <c r="B9" s="29">
        <v>0.12</v>
      </c>
      <c r="D9" s="54" t="s">
        <v>172</v>
      </c>
      <c r="E9" s="58">
        <v>0.11600000000000001</v>
      </c>
      <c r="F9" t="s">
        <v>170</v>
      </c>
    </row>
    <row r="10" spans="1:12" ht="23.4" x14ac:dyDescent="0.45">
      <c r="A10" t="s">
        <v>122</v>
      </c>
      <c r="B10" s="2"/>
      <c r="D10" t="s">
        <v>122</v>
      </c>
      <c r="J10" s="48" t="s">
        <v>131</v>
      </c>
      <c r="K10" s="48"/>
      <c r="L10" s="48"/>
    </row>
    <row r="11" spans="1:12" x14ac:dyDescent="0.3">
      <c r="A11" t="s">
        <v>154</v>
      </c>
      <c r="B11" s="2">
        <v>130000</v>
      </c>
      <c r="D11" t="s">
        <v>169</v>
      </c>
      <c r="E11" s="2">
        <v>130000</v>
      </c>
      <c r="F11" s="2"/>
    </row>
    <row r="12" spans="1:12" x14ac:dyDescent="0.3">
      <c r="A12" t="s">
        <v>48</v>
      </c>
      <c r="B12">
        <v>36</v>
      </c>
      <c r="D12" t="s">
        <v>48</v>
      </c>
      <c r="E12">
        <v>36</v>
      </c>
      <c r="J12" t="s">
        <v>115</v>
      </c>
      <c r="K12" t="s">
        <v>133</v>
      </c>
      <c r="L12" t="s">
        <v>132</v>
      </c>
    </row>
    <row r="13" spans="1:12" x14ac:dyDescent="0.3">
      <c r="A13" t="s">
        <v>49</v>
      </c>
      <c r="B13" s="29">
        <v>0.12</v>
      </c>
      <c r="D13" t="s">
        <v>49</v>
      </c>
      <c r="E13" s="58">
        <v>0.11600000000000001</v>
      </c>
      <c r="J13" t="s">
        <v>123</v>
      </c>
      <c r="K13" s="57">
        <v>0</v>
      </c>
      <c r="L13" s="57">
        <v>0</v>
      </c>
    </row>
    <row r="14" spans="1:12" x14ac:dyDescent="0.3">
      <c r="A14" s="1" t="s">
        <v>127</v>
      </c>
      <c r="B14" s="4"/>
      <c r="E14" s="4"/>
      <c r="F14" s="4"/>
      <c r="G14" s="1" t="s">
        <v>134</v>
      </c>
      <c r="I14" s="14"/>
      <c r="J14" t="s">
        <v>126</v>
      </c>
      <c r="K14" s="25">
        <v>0</v>
      </c>
      <c r="L14" s="25">
        <v>0</v>
      </c>
    </row>
    <row r="15" spans="1:12" ht="15" thickBot="1" x14ac:dyDescent="0.35">
      <c r="B15" s="11"/>
    </row>
    <row r="16" spans="1:12" ht="15" thickBot="1" x14ac:dyDescent="0.35">
      <c r="A16" s="1" t="s">
        <v>50</v>
      </c>
      <c r="B16" s="12">
        <f>-SUM(F33:F68)+B23</f>
        <v>34152.969924143588</v>
      </c>
      <c r="D16" s="1" t="s">
        <v>50</v>
      </c>
      <c r="E16" s="12">
        <f>-+SUM(L33:L68)+E23</f>
        <v>32350.382652581062</v>
      </c>
      <c r="F16" s="10"/>
      <c r="G16" s="30">
        <f>+B16-E16</f>
        <v>1802.5872715625264</v>
      </c>
    </row>
    <row r="18" spans="1:14" x14ac:dyDescent="0.3">
      <c r="A18" s="1" t="s">
        <v>71</v>
      </c>
      <c r="D18" s="1" t="s">
        <v>71</v>
      </c>
    </row>
    <row r="19" spans="1:14" x14ac:dyDescent="0.3">
      <c r="A19" t="s">
        <v>111</v>
      </c>
      <c r="B19" s="5">
        <f>B5*B11</f>
        <v>3250</v>
      </c>
      <c r="D19" t="s">
        <v>111</v>
      </c>
      <c r="E19" s="5">
        <f>E5*E11</f>
        <v>3900</v>
      </c>
      <c r="F19" s="5"/>
    </row>
    <row r="20" spans="1:14" x14ac:dyDescent="0.3">
      <c r="A20" t="s">
        <v>112</v>
      </c>
      <c r="B20" s="3">
        <f>B6*B11</f>
        <v>1560</v>
      </c>
      <c r="D20" t="s">
        <v>112</v>
      </c>
      <c r="E20" s="3">
        <f>E6*E11</f>
        <v>1300</v>
      </c>
      <c r="F20" s="3"/>
    </row>
    <row r="21" spans="1:14" x14ac:dyDescent="0.3">
      <c r="A21" t="s">
        <v>113</v>
      </c>
      <c r="B21" s="5">
        <f>B7*B11</f>
        <v>2600</v>
      </c>
      <c r="D21" t="s">
        <v>113</v>
      </c>
      <c r="E21" s="5">
        <f>E7*E11</f>
        <v>1300</v>
      </c>
      <c r="F21" s="5"/>
    </row>
    <row r="22" spans="1:14" x14ac:dyDescent="0.3">
      <c r="A22" t="s">
        <v>114</v>
      </c>
      <c r="B22" s="5">
        <f>B8*B11</f>
        <v>1300</v>
      </c>
      <c r="D22" t="s">
        <v>114</v>
      </c>
      <c r="E22" s="5">
        <f>E8*E11</f>
        <v>1300</v>
      </c>
      <c r="F22" s="5"/>
    </row>
    <row r="23" spans="1:14" ht="15" thickBot="1" x14ac:dyDescent="0.35">
      <c r="A23" t="s">
        <v>54</v>
      </c>
      <c r="B23" s="6">
        <f>SUM(B19:B22)</f>
        <v>8710</v>
      </c>
      <c r="D23" t="s">
        <v>54</v>
      </c>
      <c r="E23" s="6">
        <f>SUM(E19:E22)</f>
        <v>7800</v>
      </c>
      <c r="F23" s="5"/>
    </row>
    <row r="24" spans="1:14" ht="15" thickTop="1" x14ac:dyDescent="0.3"/>
    <row r="26" spans="1:14" x14ac:dyDescent="0.3">
      <c r="A26" t="s">
        <v>100</v>
      </c>
      <c r="B26" s="24">
        <f>B13/12</f>
        <v>0.01</v>
      </c>
      <c r="D26" t="s">
        <v>100</v>
      </c>
      <c r="E26" s="23">
        <f>E13/12</f>
        <v>9.6666666666666672E-3</v>
      </c>
    </row>
    <row r="27" spans="1:14" x14ac:dyDescent="0.3">
      <c r="B27" s="3"/>
    </row>
    <row r="28" spans="1:14" x14ac:dyDescent="0.3">
      <c r="B28" s="7"/>
    </row>
    <row r="30" spans="1:14" ht="15" thickBot="1" x14ac:dyDescent="0.35">
      <c r="A30" s="1" t="s">
        <v>155</v>
      </c>
    </row>
    <row r="31" spans="1:14" x14ac:dyDescent="0.3">
      <c r="A31" s="49" t="s">
        <v>156</v>
      </c>
      <c r="D31" s="43" t="s">
        <v>98</v>
      </c>
      <c r="E31" s="43"/>
      <c r="F31" s="43"/>
      <c r="G31" s="43"/>
      <c r="H31" s="43"/>
      <c r="J31" s="42" t="s">
        <v>99</v>
      </c>
      <c r="K31" s="42"/>
      <c r="L31" s="42"/>
      <c r="M31" s="42"/>
      <c r="N31" s="42"/>
    </row>
    <row r="32" spans="1:14" x14ac:dyDescent="0.3">
      <c r="A32" s="50" t="s">
        <v>165</v>
      </c>
      <c r="D32" s="1" t="s">
        <v>93</v>
      </c>
      <c r="E32" s="1" t="s">
        <v>96</v>
      </c>
      <c r="F32" s="1" t="s">
        <v>94</v>
      </c>
      <c r="G32" s="1" t="s">
        <v>95</v>
      </c>
      <c r="H32" s="1" t="s">
        <v>97</v>
      </c>
      <c r="J32" s="1" t="s">
        <v>93</v>
      </c>
      <c r="K32" s="1" t="s">
        <v>96</v>
      </c>
      <c r="L32" s="1" t="s">
        <v>94</v>
      </c>
      <c r="M32" s="1" t="s">
        <v>95</v>
      </c>
      <c r="N32" s="1" t="s">
        <v>97</v>
      </c>
    </row>
    <row r="33" spans="1:14" x14ac:dyDescent="0.3">
      <c r="A33" s="50" t="s">
        <v>166</v>
      </c>
      <c r="D33" s="3">
        <f>B11</f>
        <v>130000</v>
      </c>
      <c r="E33" s="11">
        <f>PMT(B26,B12,B11)</f>
        <v>-4317.8602756706541</v>
      </c>
      <c r="F33" s="3">
        <f t="shared" ref="F33:F68" si="0">-$B$26*D33</f>
        <v>-1300</v>
      </c>
      <c r="G33" s="11">
        <f>E33-F33</f>
        <v>-3017.8602756706541</v>
      </c>
      <c r="H33" s="3">
        <f>D33+G33</f>
        <v>126982.13972432935</v>
      </c>
      <c r="J33" s="3">
        <f>+E11</f>
        <v>130000</v>
      </c>
      <c r="K33" s="11">
        <f>+PMT(E26,E12,E11)</f>
        <v>-4293.0661847939182</v>
      </c>
      <c r="L33" s="3">
        <f>-+$E$26*J33</f>
        <v>-1256.6666666666667</v>
      </c>
      <c r="M33" s="11">
        <f>K33-L33</f>
        <v>-3036.3995181272512</v>
      </c>
      <c r="N33" s="3">
        <f>J33+M33</f>
        <v>126963.60048187275</v>
      </c>
    </row>
    <row r="34" spans="1:14" x14ac:dyDescent="0.3">
      <c r="A34" s="50" t="s">
        <v>167</v>
      </c>
      <c r="D34" s="3">
        <f>H33</f>
        <v>126982.13972432935</v>
      </c>
      <c r="E34" s="11">
        <f>E33</f>
        <v>-4317.8602756706541</v>
      </c>
      <c r="F34" s="3">
        <f t="shared" si="0"/>
        <v>-1269.8213972432934</v>
      </c>
      <c r="G34" s="11">
        <f>E34-F34</f>
        <v>-3048.0388784273609</v>
      </c>
      <c r="H34" s="3">
        <f>D34+G34</f>
        <v>123934.10084590198</v>
      </c>
      <c r="J34" s="3">
        <f>+N33</f>
        <v>126963.60048187275</v>
      </c>
      <c r="K34" s="11">
        <f>+K33</f>
        <v>-4293.0661847939182</v>
      </c>
      <c r="L34" s="3">
        <f t="shared" ref="L34:L56" si="1">-+$E$26*J34</f>
        <v>-1227.3148046581034</v>
      </c>
      <c r="M34" s="11">
        <f>K34-L34</f>
        <v>-3065.7513801358145</v>
      </c>
      <c r="N34" s="3">
        <f t="shared" ref="N34:N56" si="2">J34+M34</f>
        <v>123897.84910173694</v>
      </c>
    </row>
    <row r="35" spans="1:14" x14ac:dyDescent="0.3">
      <c r="A35" s="50" t="s">
        <v>168</v>
      </c>
      <c r="D35" s="3">
        <f t="shared" ref="D35:D56" si="3">H34</f>
        <v>123934.10084590198</v>
      </c>
      <c r="E35" s="11">
        <f t="shared" ref="E35:E68" si="4">E34</f>
        <v>-4317.8602756706541</v>
      </c>
      <c r="F35" s="3">
        <f t="shared" si="0"/>
        <v>-1239.3410084590198</v>
      </c>
      <c r="G35" s="11">
        <f t="shared" ref="G35:G56" si="5">E35-F35</f>
        <v>-3078.5192672116345</v>
      </c>
      <c r="H35" s="3">
        <f t="shared" ref="H35:H56" si="6">D35+G35</f>
        <v>120855.58157869034</v>
      </c>
      <c r="J35" s="3">
        <f t="shared" ref="J35:J56" si="7">+N34</f>
        <v>123897.84910173694</v>
      </c>
      <c r="K35" s="11">
        <f t="shared" ref="K35:K68" si="8">+K34</f>
        <v>-4293.0661847939182</v>
      </c>
      <c r="L35" s="3">
        <f t="shared" si="1"/>
        <v>-1197.6792079834572</v>
      </c>
      <c r="M35" s="11">
        <f t="shared" ref="M35:M56" si="9">K35-L35</f>
        <v>-3095.386976810461</v>
      </c>
      <c r="N35" s="3">
        <f t="shared" si="2"/>
        <v>120802.46212492647</v>
      </c>
    </row>
    <row r="36" spans="1:14" x14ac:dyDescent="0.3">
      <c r="A36" s="50" t="s">
        <v>171</v>
      </c>
      <c r="D36" s="3">
        <f t="shared" si="3"/>
        <v>120855.58157869034</v>
      </c>
      <c r="E36" s="11">
        <f t="shared" si="4"/>
        <v>-4317.8602756706541</v>
      </c>
      <c r="F36" s="3">
        <f t="shared" si="0"/>
        <v>-1208.5558157869034</v>
      </c>
      <c r="G36" s="11">
        <f t="shared" si="5"/>
        <v>-3109.3044598837505</v>
      </c>
      <c r="H36" s="3">
        <f t="shared" si="6"/>
        <v>117746.2771188066</v>
      </c>
      <c r="J36" s="3">
        <f t="shared" si="7"/>
        <v>120802.46212492647</v>
      </c>
      <c r="K36" s="11">
        <f t="shared" si="8"/>
        <v>-4293.0661847939182</v>
      </c>
      <c r="L36" s="3">
        <f t="shared" si="1"/>
        <v>-1167.7571338742894</v>
      </c>
      <c r="M36" s="11">
        <f t="shared" si="9"/>
        <v>-3125.309050919629</v>
      </c>
      <c r="N36" s="3">
        <f t="shared" si="2"/>
        <v>117677.15307400684</v>
      </c>
    </row>
    <row r="37" spans="1:14" x14ac:dyDescent="0.3">
      <c r="A37" s="50" t="s">
        <v>173</v>
      </c>
      <c r="D37" s="3">
        <f t="shared" si="3"/>
        <v>117746.2771188066</v>
      </c>
      <c r="E37" s="11">
        <f t="shared" si="4"/>
        <v>-4317.8602756706541</v>
      </c>
      <c r="F37" s="3">
        <f t="shared" si="0"/>
        <v>-1177.462771188066</v>
      </c>
      <c r="G37" s="11">
        <f t="shared" si="5"/>
        <v>-3140.3975044825884</v>
      </c>
      <c r="H37" s="3">
        <f t="shared" si="6"/>
        <v>114605.879614324</v>
      </c>
      <c r="J37" s="3">
        <f t="shared" si="7"/>
        <v>117677.15307400684</v>
      </c>
      <c r="K37" s="11">
        <f t="shared" si="8"/>
        <v>-4293.0661847939182</v>
      </c>
      <c r="L37" s="3">
        <f t="shared" si="1"/>
        <v>-1137.545813048733</v>
      </c>
      <c r="M37" s="11">
        <f t="shared" si="9"/>
        <v>-3155.520371745185</v>
      </c>
      <c r="N37" s="3">
        <f t="shared" si="2"/>
        <v>114521.63270226166</v>
      </c>
    </row>
    <row r="38" spans="1:14" x14ac:dyDescent="0.3">
      <c r="A38" s="50" t="s">
        <v>213</v>
      </c>
      <c r="D38" s="3">
        <f>H37</f>
        <v>114605.879614324</v>
      </c>
      <c r="E38" s="11">
        <f t="shared" si="4"/>
        <v>-4317.8602756706541</v>
      </c>
      <c r="F38" s="3">
        <f t="shared" si="0"/>
        <v>-1146.05879614324</v>
      </c>
      <c r="G38" s="11">
        <f t="shared" si="5"/>
        <v>-3171.8014795274139</v>
      </c>
      <c r="H38" s="3">
        <f t="shared" si="6"/>
        <v>111434.07813479658</v>
      </c>
      <c r="J38" s="3">
        <f t="shared" si="7"/>
        <v>114521.63270226166</v>
      </c>
      <c r="K38" s="11">
        <f t="shared" si="8"/>
        <v>-4293.0661847939182</v>
      </c>
      <c r="L38" s="3">
        <f t="shared" si="1"/>
        <v>-1107.0424494551962</v>
      </c>
      <c r="M38" s="11">
        <f t="shared" si="9"/>
        <v>-3186.023735338722</v>
      </c>
      <c r="N38" s="3">
        <f t="shared" si="2"/>
        <v>111335.60896692294</v>
      </c>
    </row>
    <row r="39" spans="1:14" x14ac:dyDescent="0.3">
      <c r="A39" s="50" t="s">
        <v>214</v>
      </c>
      <c r="D39" s="3">
        <f t="shared" si="3"/>
        <v>111434.07813479658</v>
      </c>
      <c r="E39" s="11">
        <f t="shared" si="4"/>
        <v>-4317.8602756706541</v>
      </c>
      <c r="F39" s="3">
        <f t="shared" si="0"/>
        <v>-1114.340781347966</v>
      </c>
      <c r="G39" s="11">
        <f t="shared" si="5"/>
        <v>-3203.5194943226879</v>
      </c>
      <c r="H39" s="3">
        <f t="shared" si="6"/>
        <v>108230.5586404739</v>
      </c>
      <c r="J39" s="3">
        <f t="shared" si="7"/>
        <v>111335.60896692294</v>
      </c>
      <c r="K39" s="11">
        <f t="shared" si="8"/>
        <v>-4293.0661847939182</v>
      </c>
      <c r="L39" s="3">
        <f t="shared" si="1"/>
        <v>-1076.2442200135886</v>
      </c>
      <c r="M39" s="11">
        <f t="shared" si="9"/>
        <v>-3216.8219647803298</v>
      </c>
      <c r="N39" s="3">
        <f t="shared" si="2"/>
        <v>108118.78700214261</v>
      </c>
    </row>
    <row r="40" spans="1:14" x14ac:dyDescent="0.3">
      <c r="A40" s="50" t="s">
        <v>215</v>
      </c>
      <c r="D40" s="3">
        <f t="shared" si="3"/>
        <v>108230.5586404739</v>
      </c>
      <c r="E40" s="11">
        <f t="shared" si="4"/>
        <v>-4317.8602756706541</v>
      </c>
      <c r="F40" s="3">
        <f t="shared" si="0"/>
        <v>-1082.305586404739</v>
      </c>
      <c r="G40" s="11">
        <f t="shared" si="5"/>
        <v>-3235.5546892659149</v>
      </c>
      <c r="H40" s="3">
        <f t="shared" si="6"/>
        <v>104995.00395120798</v>
      </c>
      <c r="J40" s="3">
        <f t="shared" si="7"/>
        <v>108118.78700214261</v>
      </c>
      <c r="K40" s="11">
        <f t="shared" si="8"/>
        <v>-4293.0661847939182</v>
      </c>
      <c r="L40" s="3">
        <f t="shared" si="1"/>
        <v>-1045.1482743540453</v>
      </c>
      <c r="M40" s="11">
        <f t="shared" si="9"/>
        <v>-3247.9179104398727</v>
      </c>
      <c r="N40" s="3">
        <f t="shared" si="2"/>
        <v>104870.86909170273</v>
      </c>
    </row>
    <row r="41" spans="1:14" x14ac:dyDescent="0.3">
      <c r="A41" s="50" t="s">
        <v>216</v>
      </c>
      <c r="D41" s="3">
        <f t="shared" si="3"/>
        <v>104995.00395120798</v>
      </c>
      <c r="E41" s="11">
        <f t="shared" si="4"/>
        <v>-4317.8602756706541</v>
      </c>
      <c r="F41" s="3">
        <f t="shared" si="0"/>
        <v>-1049.9500395120799</v>
      </c>
      <c r="G41" s="11">
        <f t="shared" si="5"/>
        <v>-3267.9102361585742</v>
      </c>
      <c r="H41" s="3">
        <f t="shared" si="6"/>
        <v>101727.09371504941</v>
      </c>
      <c r="J41" s="3">
        <f t="shared" si="7"/>
        <v>104870.86909170273</v>
      </c>
      <c r="K41" s="11">
        <f t="shared" si="8"/>
        <v>-4293.0661847939182</v>
      </c>
      <c r="L41" s="3">
        <f t="shared" si="1"/>
        <v>-1013.7517345531264</v>
      </c>
      <c r="M41" s="11">
        <f t="shared" si="9"/>
        <v>-3279.3144502407918</v>
      </c>
      <c r="N41" s="3">
        <f t="shared" si="2"/>
        <v>101591.55464146193</v>
      </c>
    </row>
    <row r="42" spans="1:14" x14ac:dyDescent="0.3">
      <c r="A42" s="50" t="s">
        <v>217</v>
      </c>
      <c r="D42" s="3">
        <f t="shared" si="3"/>
        <v>101727.09371504941</v>
      </c>
      <c r="E42" s="11">
        <f t="shared" si="4"/>
        <v>-4317.8602756706541</v>
      </c>
      <c r="F42" s="3">
        <f t="shared" si="0"/>
        <v>-1017.2709371504942</v>
      </c>
      <c r="G42" s="11">
        <f t="shared" si="5"/>
        <v>-3300.5893385201598</v>
      </c>
      <c r="H42" s="3">
        <f t="shared" si="6"/>
        <v>98426.50437652925</v>
      </c>
      <c r="J42" s="3">
        <f t="shared" si="7"/>
        <v>101591.55464146193</v>
      </c>
      <c r="K42" s="11">
        <f t="shared" si="8"/>
        <v>-4293.0661847939182</v>
      </c>
      <c r="L42" s="3">
        <f t="shared" si="1"/>
        <v>-982.05169486746536</v>
      </c>
      <c r="M42" s="11">
        <f t="shared" si="9"/>
        <v>-3311.0144899264528</v>
      </c>
      <c r="N42" s="3">
        <f t="shared" si="2"/>
        <v>98280.540151535475</v>
      </c>
    </row>
    <row r="43" spans="1:14" x14ac:dyDescent="0.3">
      <c r="A43" s="50"/>
      <c r="D43" s="3">
        <f t="shared" si="3"/>
        <v>98426.50437652925</v>
      </c>
      <c r="E43" s="11">
        <f t="shared" si="4"/>
        <v>-4317.8602756706541</v>
      </c>
      <c r="F43" s="3">
        <f t="shared" si="0"/>
        <v>-984.26504376529249</v>
      </c>
      <c r="G43" s="11">
        <f t="shared" si="5"/>
        <v>-3333.5952319053617</v>
      </c>
      <c r="H43" s="3">
        <f t="shared" si="6"/>
        <v>95092.909144623889</v>
      </c>
      <c r="J43" s="3">
        <f t="shared" si="7"/>
        <v>98280.540151535475</v>
      </c>
      <c r="K43" s="11">
        <f t="shared" si="8"/>
        <v>-4293.0661847939182</v>
      </c>
      <c r="L43" s="3">
        <f t="shared" si="1"/>
        <v>-950.04522146484294</v>
      </c>
      <c r="M43" s="11">
        <f t="shared" si="9"/>
        <v>-3343.0209633290751</v>
      </c>
      <c r="N43" s="3">
        <f t="shared" si="2"/>
        <v>94937.519188206395</v>
      </c>
    </row>
    <row r="44" spans="1:14" x14ac:dyDescent="0.3">
      <c r="A44" s="50"/>
      <c r="D44" s="3">
        <f t="shared" si="3"/>
        <v>95092.909144623889</v>
      </c>
      <c r="E44" s="11">
        <f t="shared" si="4"/>
        <v>-4317.8602756706541</v>
      </c>
      <c r="F44" s="3">
        <f t="shared" si="0"/>
        <v>-950.92909144623889</v>
      </c>
      <c r="G44" s="11">
        <f t="shared" si="5"/>
        <v>-3366.9311842244151</v>
      </c>
      <c r="H44" s="3">
        <f t="shared" si="6"/>
        <v>91725.977960399468</v>
      </c>
      <c r="J44" s="3">
        <f t="shared" si="7"/>
        <v>94937.519188206395</v>
      </c>
      <c r="K44" s="11">
        <f t="shared" si="8"/>
        <v>-4293.0661847939182</v>
      </c>
      <c r="L44" s="3">
        <f t="shared" si="1"/>
        <v>-917.72935215266182</v>
      </c>
      <c r="M44" s="11">
        <f t="shared" si="9"/>
        <v>-3375.3368326412565</v>
      </c>
      <c r="N44" s="3">
        <f t="shared" si="2"/>
        <v>91562.182355565135</v>
      </c>
    </row>
    <row r="45" spans="1:14" ht="15" thickBot="1" x14ac:dyDescent="0.35">
      <c r="A45" s="51"/>
      <c r="D45" s="3">
        <f t="shared" si="3"/>
        <v>91725.977960399468</v>
      </c>
      <c r="E45" s="11">
        <f t="shared" si="4"/>
        <v>-4317.8602756706541</v>
      </c>
      <c r="F45" s="3">
        <f t="shared" si="0"/>
        <v>-917.25977960399473</v>
      </c>
      <c r="G45" s="11">
        <f t="shared" si="5"/>
        <v>-3400.6004960666596</v>
      </c>
      <c r="H45" s="3">
        <f t="shared" si="6"/>
        <v>88325.377464332807</v>
      </c>
      <c r="J45" s="3">
        <f t="shared" si="7"/>
        <v>91562.182355565135</v>
      </c>
      <c r="K45" s="11">
        <f t="shared" si="8"/>
        <v>-4293.0661847939182</v>
      </c>
      <c r="L45" s="3">
        <f t="shared" si="1"/>
        <v>-885.10109610379641</v>
      </c>
      <c r="M45" s="11">
        <f t="shared" si="9"/>
        <v>-3407.9650886901218</v>
      </c>
      <c r="N45" s="3">
        <f t="shared" si="2"/>
        <v>88154.217266875014</v>
      </c>
    </row>
    <row r="46" spans="1:14" x14ac:dyDescent="0.3">
      <c r="D46" s="3">
        <f t="shared" si="3"/>
        <v>88325.377464332807</v>
      </c>
      <c r="E46" s="11">
        <f t="shared" si="4"/>
        <v>-4317.8602756706541</v>
      </c>
      <c r="F46" s="3">
        <f t="shared" si="0"/>
        <v>-883.25377464332814</v>
      </c>
      <c r="G46" s="11">
        <f t="shared" si="5"/>
        <v>-3434.606501027326</v>
      </c>
      <c r="H46" s="3">
        <f t="shared" si="6"/>
        <v>84890.770963305476</v>
      </c>
      <c r="J46" s="3">
        <f t="shared" si="7"/>
        <v>88154.217266875014</v>
      </c>
      <c r="K46" s="11">
        <f t="shared" si="8"/>
        <v>-4293.0661847939182</v>
      </c>
      <c r="L46" s="3">
        <f t="shared" si="1"/>
        <v>-852.15743357979181</v>
      </c>
      <c r="M46" s="11">
        <f t="shared" si="9"/>
        <v>-3440.9087512141264</v>
      </c>
      <c r="N46" s="3">
        <f t="shared" si="2"/>
        <v>84713.308515660887</v>
      </c>
    </row>
    <row r="47" spans="1:14" x14ac:dyDescent="0.3">
      <c r="D47" s="3">
        <f t="shared" si="3"/>
        <v>84890.770963305476</v>
      </c>
      <c r="E47" s="11">
        <f t="shared" si="4"/>
        <v>-4317.8602756706541</v>
      </c>
      <c r="F47" s="3">
        <f t="shared" si="0"/>
        <v>-848.90770963305476</v>
      </c>
      <c r="G47" s="11">
        <f t="shared" si="5"/>
        <v>-3468.9525660375994</v>
      </c>
      <c r="H47" s="3">
        <f t="shared" si="6"/>
        <v>81421.818397267882</v>
      </c>
      <c r="J47" s="3">
        <f t="shared" si="7"/>
        <v>84713.308515660887</v>
      </c>
      <c r="K47" s="11">
        <f t="shared" si="8"/>
        <v>-4293.0661847939182</v>
      </c>
      <c r="L47" s="3">
        <f t="shared" si="1"/>
        <v>-818.89531565138861</v>
      </c>
      <c r="M47" s="11">
        <f t="shared" si="9"/>
        <v>-3474.1708691425297</v>
      </c>
      <c r="N47" s="3">
        <f t="shared" si="2"/>
        <v>81239.137646518357</v>
      </c>
    </row>
    <row r="48" spans="1:14" x14ac:dyDescent="0.3">
      <c r="D48" s="3">
        <f t="shared" si="3"/>
        <v>81421.818397267882</v>
      </c>
      <c r="E48" s="11">
        <f t="shared" si="4"/>
        <v>-4317.8602756706541</v>
      </c>
      <c r="F48" s="3">
        <f t="shared" si="0"/>
        <v>-814.21818397267884</v>
      </c>
      <c r="G48" s="11">
        <f t="shared" si="5"/>
        <v>-3503.642091697975</v>
      </c>
      <c r="H48" s="3">
        <f t="shared" si="6"/>
        <v>77918.176305569912</v>
      </c>
      <c r="J48" s="3">
        <f t="shared" si="7"/>
        <v>81239.137646518357</v>
      </c>
      <c r="K48" s="11">
        <f t="shared" si="8"/>
        <v>-4293.0661847939182</v>
      </c>
      <c r="L48" s="3">
        <f t="shared" si="1"/>
        <v>-785.31166391634417</v>
      </c>
      <c r="M48" s="11">
        <f t="shared" si="9"/>
        <v>-3507.7545208775741</v>
      </c>
      <c r="N48" s="3">
        <f t="shared" si="2"/>
        <v>77731.383125640787</v>
      </c>
    </row>
    <row r="49" spans="4:14" x14ac:dyDescent="0.3">
      <c r="D49" s="3">
        <f t="shared" si="3"/>
        <v>77918.176305569912</v>
      </c>
      <c r="E49" s="11">
        <f t="shared" si="4"/>
        <v>-4317.8602756706541</v>
      </c>
      <c r="F49" s="3">
        <f t="shared" si="0"/>
        <v>-779.18176305569909</v>
      </c>
      <c r="G49" s="11">
        <f t="shared" si="5"/>
        <v>-3538.6785126149553</v>
      </c>
      <c r="H49" s="3">
        <f t="shared" si="6"/>
        <v>74379.497792954964</v>
      </c>
      <c r="J49" s="3">
        <f t="shared" si="7"/>
        <v>77731.383125640787</v>
      </c>
      <c r="K49" s="11">
        <f t="shared" si="8"/>
        <v>-4293.0661847939182</v>
      </c>
      <c r="L49" s="3">
        <f t="shared" si="1"/>
        <v>-751.40337021452763</v>
      </c>
      <c r="M49" s="11">
        <f t="shared" si="9"/>
        <v>-3541.6628145793907</v>
      </c>
      <c r="N49" s="3">
        <f t="shared" si="2"/>
        <v>74189.720311061392</v>
      </c>
    </row>
    <row r="50" spans="4:14" x14ac:dyDescent="0.3">
      <c r="D50" s="3">
        <f t="shared" si="3"/>
        <v>74379.497792954964</v>
      </c>
      <c r="E50" s="11">
        <f t="shared" si="4"/>
        <v>-4317.8602756706541</v>
      </c>
      <c r="F50" s="3">
        <f t="shared" si="0"/>
        <v>-743.79497792954965</v>
      </c>
      <c r="G50" s="11">
        <f t="shared" si="5"/>
        <v>-3574.0652977411046</v>
      </c>
      <c r="H50" s="3">
        <f t="shared" si="6"/>
        <v>70805.432495213856</v>
      </c>
      <c r="J50" s="3">
        <f t="shared" si="7"/>
        <v>74189.720311061392</v>
      </c>
      <c r="K50" s="11">
        <f t="shared" si="8"/>
        <v>-4293.0661847939182</v>
      </c>
      <c r="L50" s="3">
        <f t="shared" si="1"/>
        <v>-717.16729634026012</v>
      </c>
      <c r="M50" s="11">
        <f t="shared" si="9"/>
        <v>-3575.8988884536579</v>
      </c>
      <c r="N50" s="3">
        <f t="shared" si="2"/>
        <v>70613.82142260774</v>
      </c>
    </row>
    <row r="51" spans="4:14" x14ac:dyDescent="0.3">
      <c r="D51" s="3">
        <f t="shared" si="3"/>
        <v>70805.432495213856</v>
      </c>
      <c r="E51" s="11">
        <f t="shared" si="4"/>
        <v>-4317.8602756706541</v>
      </c>
      <c r="F51" s="3">
        <f t="shared" si="0"/>
        <v>-708.05432495213859</v>
      </c>
      <c r="G51" s="11">
        <f t="shared" si="5"/>
        <v>-3609.8059507185153</v>
      </c>
      <c r="H51" s="3">
        <f t="shared" si="6"/>
        <v>67195.626544495346</v>
      </c>
      <c r="J51" s="3">
        <f t="shared" si="7"/>
        <v>70613.82142260774</v>
      </c>
      <c r="K51" s="11">
        <f t="shared" si="8"/>
        <v>-4293.0661847939182</v>
      </c>
      <c r="L51" s="3">
        <f t="shared" si="1"/>
        <v>-682.60027375187485</v>
      </c>
      <c r="M51" s="11">
        <f t="shared" si="9"/>
        <v>-3610.4659110420434</v>
      </c>
      <c r="N51" s="3">
        <f t="shared" si="2"/>
        <v>67003.355511565693</v>
      </c>
    </row>
    <row r="52" spans="4:14" x14ac:dyDescent="0.3">
      <c r="D52" s="3">
        <f t="shared" si="3"/>
        <v>67195.626544495346</v>
      </c>
      <c r="E52" s="11">
        <f t="shared" si="4"/>
        <v>-4317.8602756706541</v>
      </c>
      <c r="F52" s="3">
        <f t="shared" si="0"/>
        <v>-671.95626544495349</v>
      </c>
      <c r="G52" s="11">
        <f t="shared" si="5"/>
        <v>-3645.9040102257004</v>
      </c>
      <c r="H52" s="3">
        <f t="shared" si="6"/>
        <v>63549.722534269647</v>
      </c>
      <c r="J52" s="3">
        <f t="shared" si="7"/>
        <v>67003.355511565693</v>
      </c>
      <c r="K52" s="11">
        <f t="shared" si="8"/>
        <v>-4293.0661847939182</v>
      </c>
      <c r="L52" s="3">
        <f t="shared" si="1"/>
        <v>-647.69910327846844</v>
      </c>
      <c r="M52" s="11">
        <f t="shared" si="9"/>
        <v>-3645.3670815154496</v>
      </c>
      <c r="N52" s="3">
        <f t="shared" si="2"/>
        <v>63357.988430050245</v>
      </c>
    </row>
    <row r="53" spans="4:14" x14ac:dyDescent="0.3">
      <c r="D53" s="3">
        <f t="shared" si="3"/>
        <v>63549.722534269647</v>
      </c>
      <c r="E53" s="11">
        <f t="shared" si="4"/>
        <v>-4317.8602756706541</v>
      </c>
      <c r="F53" s="3">
        <f t="shared" si="0"/>
        <v>-635.49722534269654</v>
      </c>
      <c r="G53" s="11">
        <f t="shared" si="5"/>
        <v>-3682.3630503279574</v>
      </c>
      <c r="H53" s="3">
        <f t="shared" si="6"/>
        <v>59867.359483941691</v>
      </c>
      <c r="J53" s="3">
        <f t="shared" si="7"/>
        <v>63357.988430050245</v>
      </c>
      <c r="K53" s="11">
        <f t="shared" si="8"/>
        <v>-4293.0661847939182</v>
      </c>
      <c r="L53" s="3">
        <f t="shared" si="1"/>
        <v>-612.46055482381905</v>
      </c>
      <c r="M53" s="11">
        <f t="shared" si="9"/>
        <v>-3680.605629970099</v>
      </c>
      <c r="N53" s="3">
        <f t="shared" si="2"/>
        <v>59677.382800080144</v>
      </c>
    </row>
    <row r="54" spans="4:14" x14ac:dyDescent="0.3">
      <c r="D54" s="3">
        <f t="shared" si="3"/>
        <v>59867.359483941691</v>
      </c>
      <c r="E54" s="11">
        <f t="shared" si="4"/>
        <v>-4317.8602756706541</v>
      </c>
      <c r="F54" s="3">
        <f t="shared" si="0"/>
        <v>-598.67359483941698</v>
      </c>
      <c r="G54" s="11">
        <f t="shared" si="5"/>
        <v>-3719.186680831237</v>
      </c>
      <c r="H54" s="3">
        <f t="shared" si="6"/>
        <v>56148.172803110458</v>
      </c>
      <c r="J54" s="3">
        <f t="shared" si="7"/>
        <v>59677.382800080144</v>
      </c>
      <c r="K54" s="11">
        <f t="shared" si="8"/>
        <v>-4293.0661847939182</v>
      </c>
      <c r="L54" s="3">
        <f t="shared" si="1"/>
        <v>-576.88136706744137</v>
      </c>
      <c r="M54" s="11">
        <f t="shared" si="9"/>
        <v>-3716.1848177264769</v>
      </c>
      <c r="N54" s="3">
        <f t="shared" si="2"/>
        <v>55961.197982353668</v>
      </c>
    </row>
    <row r="55" spans="4:14" x14ac:dyDescent="0.3">
      <c r="D55" s="3">
        <f t="shared" si="3"/>
        <v>56148.172803110458</v>
      </c>
      <c r="E55" s="11">
        <f t="shared" si="4"/>
        <v>-4317.8602756706541</v>
      </c>
      <c r="F55" s="3">
        <f t="shared" si="0"/>
        <v>-561.48172803110458</v>
      </c>
      <c r="G55" s="11">
        <f t="shared" si="5"/>
        <v>-3756.3785476395497</v>
      </c>
      <c r="H55" s="3">
        <f t="shared" si="6"/>
        <v>52391.794255470908</v>
      </c>
      <c r="J55" s="3">
        <f t="shared" si="7"/>
        <v>55961.197982353668</v>
      </c>
      <c r="K55" s="11">
        <f t="shared" si="8"/>
        <v>-4293.0661847939182</v>
      </c>
      <c r="L55" s="3">
        <f t="shared" si="1"/>
        <v>-540.95824716275217</v>
      </c>
      <c r="M55" s="11">
        <f t="shared" si="9"/>
        <v>-3752.1079376311659</v>
      </c>
      <c r="N55" s="3">
        <f t="shared" si="2"/>
        <v>52209.090044722499</v>
      </c>
    </row>
    <row r="56" spans="4:14" x14ac:dyDescent="0.3">
      <c r="D56" s="3">
        <f t="shared" si="3"/>
        <v>52391.794255470908</v>
      </c>
      <c r="E56" s="11">
        <f t="shared" si="4"/>
        <v>-4317.8602756706541</v>
      </c>
      <c r="F56" s="3">
        <f t="shared" si="0"/>
        <v>-523.91794255470904</v>
      </c>
      <c r="G56" s="11">
        <f t="shared" si="5"/>
        <v>-3793.9423331159451</v>
      </c>
      <c r="H56" s="3">
        <f t="shared" si="6"/>
        <v>48597.851922354967</v>
      </c>
      <c r="J56" s="3">
        <f t="shared" si="7"/>
        <v>52209.090044722499</v>
      </c>
      <c r="K56" s="11">
        <f t="shared" si="8"/>
        <v>-4293.0661847939182</v>
      </c>
      <c r="L56" s="3">
        <f t="shared" si="1"/>
        <v>-504.68787043231754</v>
      </c>
      <c r="M56" s="11">
        <f t="shared" si="9"/>
        <v>-3788.3783143616006</v>
      </c>
      <c r="N56" s="3">
        <f t="shared" si="2"/>
        <v>48420.711730360897</v>
      </c>
    </row>
    <row r="57" spans="4:14" x14ac:dyDescent="0.3">
      <c r="D57" s="3">
        <f t="shared" ref="D57:D68" si="10">H56</f>
        <v>48597.851922354967</v>
      </c>
      <c r="E57" s="11">
        <f t="shared" si="4"/>
        <v>-4317.8602756706541</v>
      </c>
      <c r="F57" s="3">
        <f t="shared" si="0"/>
        <v>-485.97851922354965</v>
      </c>
      <c r="G57" s="11">
        <f t="shared" ref="G57:G68" si="11">E57-F57</f>
        <v>-3831.8817564471046</v>
      </c>
      <c r="H57" s="3">
        <f t="shared" ref="H57:H68" si="12">D57+G57</f>
        <v>44765.970165907864</v>
      </c>
      <c r="J57" s="3">
        <f t="shared" ref="J57:J68" si="13">+N56</f>
        <v>48420.711730360897</v>
      </c>
      <c r="K57" s="11">
        <f t="shared" si="8"/>
        <v>-4293.0661847939182</v>
      </c>
      <c r="L57" s="3">
        <f t="shared" ref="L57:L68" si="14">-+$E$26*J57</f>
        <v>-468.06688006015537</v>
      </c>
      <c r="M57" s="11">
        <f t="shared" ref="M57:M68" si="15">K57-L57</f>
        <v>-3824.999304733763</v>
      </c>
      <c r="N57" s="3">
        <f t="shared" ref="N57:N68" si="16">J57+M57</f>
        <v>44595.712425627135</v>
      </c>
    </row>
    <row r="58" spans="4:14" x14ac:dyDescent="0.3">
      <c r="D58" s="3">
        <f t="shared" si="10"/>
        <v>44765.970165907864</v>
      </c>
      <c r="E58" s="11">
        <f t="shared" si="4"/>
        <v>-4317.8602756706541</v>
      </c>
      <c r="F58" s="3">
        <f t="shared" si="0"/>
        <v>-447.65970165907862</v>
      </c>
      <c r="G58" s="11">
        <f t="shared" si="11"/>
        <v>-3870.2005740115756</v>
      </c>
      <c r="H58" s="3">
        <f t="shared" si="12"/>
        <v>40895.769591896285</v>
      </c>
      <c r="J58" s="3">
        <f t="shared" si="13"/>
        <v>44595.712425627135</v>
      </c>
      <c r="K58" s="11">
        <f t="shared" si="8"/>
        <v>-4293.0661847939182</v>
      </c>
      <c r="L58" s="3">
        <f t="shared" si="14"/>
        <v>-431.09188678106233</v>
      </c>
      <c r="M58" s="11">
        <f t="shared" si="15"/>
        <v>-3861.9742980128558</v>
      </c>
      <c r="N58" s="3">
        <f t="shared" si="16"/>
        <v>40733.738127614277</v>
      </c>
    </row>
    <row r="59" spans="4:14" x14ac:dyDescent="0.3">
      <c r="D59" s="3">
        <f t="shared" si="10"/>
        <v>40895.769591896285</v>
      </c>
      <c r="E59" s="11">
        <f t="shared" si="4"/>
        <v>-4317.8602756706541</v>
      </c>
      <c r="F59" s="3">
        <f t="shared" si="0"/>
        <v>-408.95769591896288</v>
      </c>
      <c r="G59" s="11">
        <f t="shared" si="11"/>
        <v>-3908.9025797516911</v>
      </c>
      <c r="H59" s="3">
        <f t="shared" si="12"/>
        <v>36986.867012144598</v>
      </c>
      <c r="J59" s="3">
        <f t="shared" si="13"/>
        <v>40733.738127614277</v>
      </c>
      <c r="K59" s="11">
        <f t="shared" si="8"/>
        <v>-4293.0661847939182</v>
      </c>
      <c r="L59" s="3">
        <f t="shared" si="14"/>
        <v>-393.75946856693804</v>
      </c>
      <c r="M59" s="11">
        <f t="shared" si="15"/>
        <v>-3899.3067162269799</v>
      </c>
      <c r="N59" s="3">
        <f t="shared" si="16"/>
        <v>36834.431411387297</v>
      </c>
    </row>
    <row r="60" spans="4:14" x14ac:dyDescent="0.3">
      <c r="D60" s="3">
        <f t="shared" si="10"/>
        <v>36986.867012144598</v>
      </c>
      <c r="E60" s="11">
        <f t="shared" si="4"/>
        <v>-4317.8602756706541</v>
      </c>
      <c r="F60" s="3">
        <f t="shared" si="0"/>
        <v>-369.86867012144597</v>
      </c>
      <c r="G60" s="11">
        <f t="shared" si="11"/>
        <v>-3947.9916055492081</v>
      </c>
      <c r="H60" s="3">
        <f t="shared" si="12"/>
        <v>33038.875406595391</v>
      </c>
      <c r="J60" s="3">
        <f t="shared" si="13"/>
        <v>36834.431411387297</v>
      </c>
      <c r="K60" s="11">
        <f t="shared" si="8"/>
        <v>-4293.0661847939182</v>
      </c>
      <c r="L60" s="3">
        <f t="shared" si="14"/>
        <v>-356.06617031007721</v>
      </c>
      <c r="M60" s="11">
        <f t="shared" si="15"/>
        <v>-3937.0000144838409</v>
      </c>
      <c r="N60" s="3">
        <f t="shared" si="16"/>
        <v>32897.431396903456</v>
      </c>
    </row>
    <row r="61" spans="4:14" x14ac:dyDescent="0.3">
      <c r="D61" s="3">
        <f t="shared" si="10"/>
        <v>33038.875406595391</v>
      </c>
      <c r="E61" s="11">
        <f t="shared" si="4"/>
        <v>-4317.8602756706541</v>
      </c>
      <c r="F61" s="3">
        <f t="shared" si="0"/>
        <v>-330.38875406595389</v>
      </c>
      <c r="G61" s="11">
        <f t="shared" si="11"/>
        <v>-3987.4715216047002</v>
      </c>
      <c r="H61" s="3">
        <f t="shared" si="12"/>
        <v>29051.40388499069</v>
      </c>
      <c r="J61" s="3">
        <f t="shared" si="13"/>
        <v>32897.431396903456</v>
      </c>
      <c r="K61" s="11">
        <f t="shared" si="8"/>
        <v>-4293.0661847939182</v>
      </c>
      <c r="L61" s="3">
        <f t="shared" si="14"/>
        <v>-318.00850350340011</v>
      </c>
      <c r="M61" s="11">
        <f t="shared" si="15"/>
        <v>-3975.0576812905183</v>
      </c>
      <c r="N61" s="3">
        <f t="shared" si="16"/>
        <v>28922.373715612935</v>
      </c>
    </row>
    <row r="62" spans="4:14" x14ac:dyDescent="0.3">
      <c r="D62" s="3">
        <f t="shared" si="10"/>
        <v>29051.40388499069</v>
      </c>
      <c r="E62" s="11">
        <f t="shared" si="4"/>
        <v>-4317.8602756706541</v>
      </c>
      <c r="F62" s="3">
        <f t="shared" si="0"/>
        <v>-290.51403884990691</v>
      </c>
      <c r="G62" s="11">
        <f t="shared" si="11"/>
        <v>-4027.3462368207474</v>
      </c>
      <c r="H62" s="3">
        <f t="shared" si="12"/>
        <v>25024.057648169943</v>
      </c>
      <c r="J62" s="3">
        <f t="shared" si="13"/>
        <v>28922.373715612935</v>
      </c>
      <c r="K62" s="11">
        <f t="shared" si="8"/>
        <v>-4293.0661847939182</v>
      </c>
      <c r="L62" s="3">
        <f t="shared" si="14"/>
        <v>-279.5829459175917</v>
      </c>
      <c r="M62" s="11">
        <f t="shared" si="15"/>
        <v>-4013.4832388763266</v>
      </c>
      <c r="N62" s="3">
        <f t="shared" si="16"/>
        <v>24908.890476736608</v>
      </c>
    </row>
    <row r="63" spans="4:14" x14ac:dyDescent="0.3">
      <c r="D63" s="3">
        <f t="shared" si="10"/>
        <v>25024.057648169943</v>
      </c>
      <c r="E63" s="11">
        <f t="shared" si="4"/>
        <v>-4317.8602756706541</v>
      </c>
      <c r="F63" s="3">
        <f t="shared" si="0"/>
        <v>-250.24057648169943</v>
      </c>
      <c r="G63" s="11">
        <f t="shared" si="11"/>
        <v>-4067.6196991889547</v>
      </c>
      <c r="H63" s="3">
        <f t="shared" si="12"/>
        <v>20956.437948980987</v>
      </c>
      <c r="J63" s="3">
        <f t="shared" si="13"/>
        <v>24908.890476736608</v>
      </c>
      <c r="K63" s="11">
        <f t="shared" si="8"/>
        <v>-4293.0661847939182</v>
      </c>
      <c r="L63" s="3">
        <f t="shared" si="14"/>
        <v>-240.78594127512056</v>
      </c>
      <c r="M63" s="11">
        <f t="shared" si="15"/>
        <v>-4052.2802435187978</v>
      </c>
      <c r="N63" s="3">
        <f t="shared" si="16"/>
        <v>20856.610233217809</v>
      </c>
    </row>
    <row r="64" spans="4:14" x14ac:dyDescent="0.3">
      <c r="D64" s="3">
        <f t="shared" si="10"/>
        <v>20956.437948980987</v>
      </c>
      <c r="E64" s="11">
        <f t="shared" si="4"/>
        <v>-4317.8602756706541</v>
      </c>
      <c r="F64" s="3">
        <f t="shared" si="0"/>
        <v>-209.56437948980988</v>
      </c>
      <c r="G64" s="11">
        <f t="shared" si="11"/>
        <v>-4108.2958961808445</v>
      </c>
      <c r="H64" s="3">
        <f t="shared" si="12"/>
        <v>16848.142052800144</v>
      </c>
      <c r="J64" s="3">
        <f t="shared" si="13"/>
        <v>20856.610233217809</v>
      </c>
      <c r="K64" s="11">
        <f t="shared" si="8"/>
        <v>-4293.0661847939182</v>
      </c>
      <c r="L64" s="3">
        <f t="shared" si="14"/>
        <v>-201.61389892110549</v>
      </c>
      <c r="M64" s="11">
        <f t="shared" si="15"/>
        <v>-4091.4522858728128</v>
      </c>
      <c r="N64" s="3">
        <f t="shared" si="16"/>
        <v>16765.157947344997</v>
      </c>
    </row>
    <row r="65" spans="1:14" x14ac:dyDescent="0.3">
      <c r="D65" s="3">
        <f t="shared" si="10"/>
        <v>16848.142052800144</v>
      </c>
      <c r="E65" s="11">
        <f t="shared" si="4"/>
        <v>-4317.8602756706541</v>
      </c>
      <c r="F65" s="3">
        <f t="shared" si="0"/>
        <v>-168.48142052800145</v>
      </c>
      <c r="G65" s="11">
        <f t="shared" si="11"/>
        <v>-4149.3788551426524</v>
      </c>
      <c r="H65" s="3">
        <f t="shared" si="12"/>
        <v>12698.763197657492</v>
      </c>
      <c r="J65" s="3">
        <f t="shared" si="13"/>
        <v>16765.157947344997</v>
      </c>
      <c r="K65" s="11">
        <f t="shared" si="8"/>
        <v>-4293.0661847939182</v>
      </c>
      <c r="L65" s="3">
        <f t="shared" si="14"/>
        <v>-162.06319349100164</v>
      </c>
      <c r="M65" s="11">
        <f t="shared" si="15"/>
        <v>-4131.0029913029166</v>
      </c>
      <c r="N65" s="3">
        <f t="shared" si="16"/>
        <v>12634.154956042079</v>
      </c>
    </row>
    <row r="66" spans="1:14" x14ac:dyDescent="0.3">
      <c r="D66" s="3">
        <f t="shared" si="10"/>
        <v>12698.763197657492</v>
      </c>
      <c r="E66" s="11">
        <f t="shared" si="4"/>
        <v>-4317.8602756706541</v>
      </c>
      <c r="F66" s="3">
        <f t="shared" si="0"/>
        <v>-126.98763197657492</v>
      </c>
      <c r="G66" s="11">
        <f t="shared" si="11"/>
        <v>-4190.8726436940788</v>
      </c>
      <c r="H66" s="3">
        <f t="shared" si="12"/>
        <v>8507.8905539634143</v>
      </c>
      <c r="J66" s="3">
        <f t="shared" si="13"/>
        <v>12634.154956042079</v>
      </c>
      <c r="K66" s="11">
        <f t="shared" si="8"/>
        <v>-4293.0661847939182</v>
      </c>
      <c r="L66" s="3">
        <f t="shared" si="14"/>
        <v>-122.13016457507344</v>
      </c>
      <c r="M66" s="11">
        <f t="shared" si="15"/>
        <v>-4170.9360202188445</v>
      </c>
      <c r="N66" s="3">
        <f t="shared" si="16"/>
        <v>8463.2189358232354</v>
      </c>
    </row>
    <row r="67" spans="1:14" x14ac:dyDescent="0.3">
      <c r="D67" s="3">
        <f t="shared" si="10"/>
        <v>8507.8905539634143</v>
      </c>
      <c r="E67" s="11">
        <f t="shared" si="4"/>
        <v>-4317.8602756706541</v>
      </c>
      <c r="F67" s="3">
        <f t="shared" si="0"/>
        <v>-85.07890553963415</v>
      </c>
      <c r="G67" s="11">
        <f t="shared" si="11"/>
        <v>-4232.7813701310197</v>
      </c>
      <c r="H67" s="3">
        <f t="shared" si="12"/>
        <v>4275.1091838323946</v>
      </c>
      <c r="J67" s="3">
        <f t="shared" si="13"/>
        <v>8463.2189358232354</v>
      </c>
      <c r="K67" s="11">
        <f t="shared" si="8"/>
        <v>-4293.0661847939182</v>
      </c>
      <c r="L67" s="3">
        <f t="shared" si="14"/>
        <v>-81.811116379624607</v>
      </c>
      <c r="M67" s="11">
        <f t="shared" si="15"/>
        <v>-4211.2550684142934</v>
      </c>
      <c r="N67" s="3">
        <f t="shared" si="16"/>
        <v>4251.963867408942</v>
      </c>
    </row>
    <row r="68" spans="1:14" x14ac:dyDescent="0.3">
      <c r="D68" s="3">
        <f t="shared" si="10"/>
        <v>4275.1091838323946</v>
      </c>
      <c r="E68" s="11">
        <f t="shared" si="4"/>
        <v>-4317.8602756706541</v>
      </c>
      <c r="F68" s="3">
        <f t="shared" si="0"/>
        <v>-42.751091838323944</v>
      </c>
      <c r="G68" s="11">
        <f t="shared" si="11"/>
        <v>-4275.10918383233</v>
      </c>
      <c r="H68" s="3">
        <f t="shared" si="12"/>
        <v>6.4574123825877905E-11</v>
      </c>
      <c r="J68" s="3">
        <f t="shared" si="13"/>
        <v>4251.963867408942</v>
      </c>
      <c r="K68" s="11">
        <f t="shared" si="8"/>
        <v>-4293.0661847939182</v>
      </c>
      <c r="L68" s="3">
        <f t="shared" si="14"/>
        <v>-41.10231738495311</v>
      </c>
      <c r="M68" s="11">
        <f t="shared" si="15"/>
        <v>-4251.9638674089647</v>
      </c>
      <c r="N68" s="3">
        <f t="shared" si="16"/>
        <v>-2.2737367544323206E-11</v>
      </c>
    </row>
    <row r="69" spans="1:14" x14ac:dyDescent="0.3">
      <c r="D69" s="3"/>
      <c r="E69" s="11"/>
      <c r="F69" s="3"/>
      <c r="G69" s="11"/>
      <c r="H69" s="3"/>
      <c r="J69" s="3"/>
      <c r="K69" s="11"/>
      <c r="L69" s="3"/>
      <c r="M69" s="11"/>
      <c r="N69" s="3"/>
    </row>
    <row r="70" spans="1:14" x14ac:dyDescent="0.3">
      <c r="D70" s="3"/>
      <c r="E70" s="4">
        <f>SUM(E33:E68)</f>
        <v>-155442.96992414354</v>
      </c>
      <c r="F70" s="4">
        <f t="shared" ref="F70:G70" si="17">SUM(F33:F68)</f>
        <v>-25442.969924143588</v>
      </c>
      <c r="G70" s="4">
        <f t="shared" si="17"/>
        <v>-130000</v>
      </c>
      <c r="H70" s="3"/>
      <c r="K70" s="4">
        <f>SUM(K33:K68)</f>
        <v>-154550.38265258106</v>
      </c>
      <c r="L70" s="4">
        <f t="shared" ref="L70:M70" si="18">SUM(L33:L68)</f>
        <v>-24550.382652581062</v>
      </c>
      <c r="M70" s="4">
        <f t="shared" si="18"/>
        <v>-129999.99999999997</v>
      </c>
    </row>
    <row r="71" spans="1:14" x14ac:dyDescent="0.3">
      <c r="E71" s="3"/>
      <c r="F71" s="11"/>
      <c r="G71" s="3"/>
      <c r="H71" s="11"/>
      <c r="I71" s="14"/>
      <c r="L71" s="11"/>
    </row>
    <row r="72" spans="1:14" x14ac:dyDescent="0.3">
      <c r="E72" s="3"/>
      <c r="F72" s="11"/>
      <c r="G72" s="3"/>
      <c r="H72" s="11"/>
      <c r="I72" s="14"/>
      <c r="K72" s="11"/>
    </row>
    <row r="73" spans="1:14" x14ac:dyDescent="0.3">
      <c r="E73" s="3"/>
      <c r="F73" s="11"/>
      <c r="G73" s="3"/>
      <c r="H73" s="11"/>
      <c r="I73" s="14"/>
    </row>
    <row r="74" spans="1:14" x14ac:dyDescent="0.3">
      <c r="A74" s="1" t="s">
        <v>182</v>
      </c>
      <c r="E74" s="3"/>
      <c r="F74" s="11"/>
      <c r="G74" s="3"/>
      <c r="H74" s="11"/>
      <c r="I74" s="14"/>
    </row>
    <row r="75" spans="1:14" x14ac:dyDescent="0.3">
      <c r="A75" t="s">
        <v>174</v>
      </c>
      <c r="E75" s="3"/>
      <c r="F75" s="11"/>
      <c r="G75" s="3"/>
      <c r="H75" s="11"/>
      <c r="I75" s="14"/>
    </row>
    <row r="76" spans="1:14" x14ac:dyDescent="0.3">
      <c r="A76" t="s">
        <v>175</v>
      </c>
      <c r="E76" s="3"/>
      <c r="F76" s="11"/>
      <c r="G76" s="3"/>
      <c r="H76" s="11"/>
      <c r="I76" s="14"/>
    </row>
    <row r="77" spans="1:14" x14ac:dyDescent="0.3">
      <c r="A77" t="s">
        <v>176</v>
      </c>
      <c r="E77" s="3"/>
      <c r="F77" s="11"/>
      <c r="G77" s="3"/>
      <c r="H77" s="11"/>
      <c r="I77" s="14"/>
    </row>
    <row r="78" spans="1:14" x14ac:dyDescent="0.3">
      <c r="A78" t="s">
        <v>181</v>
      </c>
      <c r="E78" s="3"/>
      <c r="F78" s="11"/>
      <c r="G78" s="3"/>
      <c r="H78" s="11"/>
      <c r="I78" s="14"/>
    </row>
    <row r="79" spans="1:14" x14ac:dyDescent="0.3">
      <c r="E79" s="3"/>
      <c r="F79" s="11"/>
      <c r="G79" s="3"/>
      <c r="H79" s="11"/>
      <c r="I79" s="14"/>
    </row>
    <row r="80" spans="1:14" x14ac:dyDescent="0.3">
      <c r="E80" s="3"/>
      <c r="F80" s="11"/>
      <c r="G80" s="3"/>
      <c r="H80" s="11"/>
      <c r="I80" s="14"/>
    </row>
    <row r="81" spans="5:9" x14ac:dyDescent="0.3">
      <c r="E81" s="3"/>
      <c r="F81" s="11"/>
      <c r="G81" s="3"/>
      <c r="H81" s="11"/>
      <c r="I81" s="14"/>
    </row>
    <row r="82" spans="5:9" x14ac:dyDescent="0.3">
      <c r="E82" s="3"/>
      <c r="F82" s="11"/>
      <c r="G82" s="3"/>
      <c r="H82" s="11"/>
      <c r="I82" s="14"/>
    </row>
    <row r="83" spans="5:9" x14ac:dyDescent="0.3">
      <c r="E83" s="3"/>
      <c r="F83" s="11"/>
      <c r="G83" s="3"/>
      <c r="H83" s="11"/>
      <c r="I83" s="14"/>
    </row>
    <row r="84" spans="5:9" x14ac:dyDescent="0.3">
      <c r="E84" s="3"/>
      <c r="F84" s="11"/>
      <c r="G84" s="3"/>
      <c r="H84" s="11"/>
      <c r="I84" s="14"/>
    </row>
    <row r="85" spans="5:9" x14ac:dyDescent="0.3">
      <c r="E85" s="3"/>
      <c r="F85" s="11"/>
      <c r="G85" s="3"/>
      <c r="H85" s="11"/>
      <c r="I85" s="14"/>
    </row>
    <row r="86" spans="5:9" x14ac:dyDescent="0.3">
      <c r="E86" s="3"/>
      <c r="F86" s="11"/>
      <c r="G86" s="3"/>
      <c r="H86" s="11"/>
      <c r="I86" s="14"/>
    </row>
    <row r="87" spans="5:9" x14ac:dyDescent="0.3">
      <c r="E87" s="3"/>
      <c r="F87" s="11"/>
      <c r="G87" s="3"/>
      <c r="H87" s="11"/>
      <c r="I87" s="14"/>
    </row>
    <row r="88" spans="5:9" x14ac:dyDescent="0.3">
      <c r="E88" s="3"/>
      <c r="F88" s="11"/>
      <c r="G88" s="3"/>
      <c r="H88" s="11"/>
      <c r="I88" s="14"/>
    </row>
    <row r="89" spans="5:9" x14ac:dyDescent="0.3">
      <c r="E89" s="3"/>
      <c r="F89" s="11"/>
      <c r="G89" s="3"/>
      <c r="H89" s="11"/>
      <c r="I89" s="14"/>
    </row>
  </sheetData>
  <mergeCells count="6">
    <mergeCell ref="D31:H31"/>
    <mergeCell ref="J31:N31"/>
    <mergeCell ref="D1:F1"/>
    <mergeCell ref="D3:F3"/>
    <mergeCell ref="J3:L3"/>
    <mergeCell ref="J10:L1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EB6C-7939-4506-AAFD-33FBCF21F7BB}">
  <sheetPr>
    <tabColor rgb="FF92D050"/>
  </sheetPr>
  <dimension ref="A1:J76"/>
  <sheetViews>
    <sheetView topLeftCell="A17" workbookViewId="0">
      <selection activeCell="H43" sqref="H43"/>
    </sheetView>
  </sheetViews>
  <sheetFormatPr defaultRowHeight="14.4" x14ac:dyDescent="0.3"/>
  <cols>
    <col min="1" max="1" width="1.109375" style="8" customWidth="1"/>
    <col min="2" max="2" width="50.88671875" bestFit="1" customWidth="1"/>
    <col min="3" max="3" width="16.21875" customWidth="1"/>
    <col min="4" max="4" width="14.44140625" customWidth="1"/>
    <col min="5" max="5" width="32.6640625" bestFit="1" customWidth="1"/>
    <col min="6" max="6" width="14.33203125" customWidth="1"/>
    <col min="7" max="7" width="1.109375" style="14" customWidth="1"/>
    <col min="8" max="8" width="33.109375" bestFit="1" customWidth="1"/>
    <col min="9" max="9" width="33.88671875" bestFit="1" customWidth="1"/>
    <col min="10" max="10" width="25.6640625" bestFit="1" customWidth="1"/>
    <col min="11" max="11" width="14.109375" customWidth="1"/>
    <col min="12" max="12" width="12.21875" customWidth="1"/>
    <col min="13" max="13" width="12.109375" customWidth="1"/>
  </cols>
  <sheetData>
    <row r="1" spans="2:5" x14ac:dyDescent="0.3">
      <c r="B1" s="45" t="s">
        <v>108</v>
      </c>
      <c r="C1" s="45"/>
      <c r="D1" s="45"/>
      <c r="E1" s="1" t="s">
        <v>138</v>
      </c>
    </row>
    <row r="2" spans="2:5" ht="31.2" x14ac:dyDescent="0.6">
      <c r="B2" s="1" t="s">
        <v>161</v>
      </c>
      <c r="E2" s="32"/>
    </row>
    <row r="3" spans="2:5" ht="13.2" customHeight="1" x14ac:dyDescent="0.6">
      <c r="B3" s="46"/>
      <c r="C3" s="46"/>
      <c r="D3" s="46"/>
    </row>
    <row r="4" spans="2:5" x14ac:dyDescent="0.3">
      <c r="B4" s="1" t="s">
        <v>177</v>
      </c>
      <c r="C4" s="31" t="s">
        <v>136</v>
      </c>
      <c r="D4" s="31"/>
    </row>
    <row r="5" spans="2:5" x14ac:dyDescent="0.3">
      <c r="B5" t="s">
        <v>111</v>
      </c>
      <c r="C5" s="27">
        <v>0.03</v>
      </c>
    </row>
    <row r="6" spans="2:5" x14ac:dyDescent="0.3">
      <c r="B6" t="s">
        <v>112</v>
      </c>
      <c r="C6" s="28">
        <v>0.01</v>
      </c>
    </row>
    <row r="7" spans="2:5" x14ac:dyDescent="0.3">
      <c r="B7" t="s">
        <v>113</v>
      </c>
      <c r="C7" s="27">
        <v>0.01</v>
      </c>
    </row>
    <row r="8" spans="2:5" x14ac:dyDescent="0.3">
      <c r="B8" t="s">
        <v>114</v>
      </c>
      <c r="C8" s="27">
        <v>0.01</v>
      </c>
    </row>
    <row r="9" spans="2:5" x14ac:dyDescent="0.3">
      <c r="B9" t="s">
        <v>139</v>
      </c>
      <c r="C9" s="58">
        <v>0.11600000000000001</v>
      </c>
    </row>
    <row r="10" spans="2:5" x14ac:dyDescent="0.3">
      <c r="B10" t="s">
        <v>121</v>
      </c>
    </row>
    <row r="11" spans="2:5" x14ac:dyDescent="0.3">
      <c r="B11" t="s">
        <v>140</v>
      </c>
      <c r="C11" s="2">
        <f>180*10</f>
        <v>1800</v>
      </c>
      <c r="D11" s="2"/>
    </row>
    <row r="12" spans="2:5" x14ac:dyDescent="0.3">
      <c r="B12" t="s">
        <v>48</v>
      </c>
      <c r="C12">
        <v>24</v>
      </c>
    </row>
    <row r="13" spans="2:5" x14ac:dyDescent="0.3">
      <c r="B13" t="s">
        <v>49</v>
      </c>
      <c r="C13" s="27">
        <v>0.09</v>
      </c>
    </row>
    <row r="14" spans="2:5" x14ac:dyDescent="0.3">
      <c r="C14" s="4"/>
      <c r="D14" s="4"/>
    </row>
    <row r="16" spans="2:5" x14ac:dyDescent="0.3">
      <c r="B16" s="1" t="s">
        <v>50</v>
      </c>
      <c r="C16" s="12">
        <f>-+SUM(D33:D56)+C23</f>
        <v>281.58086646027766</v>
      </c>
      <c r="D16" s="10"/>
    </row>
    <row r="17" spans="2:6" x14ac:dyDescent="0.3">
      <c r="E17" s="11"/>
    </row>
    <row r="18" spans="2:6" x14ac:dyDescent="0.3">
      <c r="B18" s="1" t="s">
        <v>71</v>
      </c>
    </row>
    <row r="19" spans="2:6" x14ac:dyDescent="0.3">
      <c r="B19" t="s">
        <v>111</v>
      </c>
      <c r="C19" s="5">
        <f>C5*C11</f>
        <v>54</v>
      </c>
      <c r="D19" s="5"/>
    </row>
    <row r="20" spans="2:6" x14ac:dyDescent="0.3">
      <c r="B20" t="s">
        <v>112</v>
      </c>
      <c r="C20" s="3">
        <f>C6*C11</f>
        <v>18</v>
      </c>
      <c r="D20" s="3"/>
    </row>
    <row r="21" spans="2:6" x14ac:dyDescent="0.3">
      <c r="B21" t="s">
        <v>113</v>
      </c>
      <c r="C21" s="5">
        <f>C7*C11</f>
        <v>18</v>
      </c>
      <c r="D21" s="5"/>
    </row>
    <row r="22" spans="2:6" x14ac:dyDescent="0.3">
      <c r="B22" t="s">
        <v>114</v>
      </c>
      <c r="C22" s="5">
        <f>C8*C11</f>
        <v>18</v>
      </c>
      <c r="D22" s="5"/>
    </row>
    <row r="23" spans="2:6" ht="15" thickBot="1" x14ac:dyDescent="0.35">
      <c r="B23" t="s">
        <v>54</v>
      </c>
      <c r="C23" s="6">
        <f>SUM(C19:C22)</f>
        <v>108</v>
      </c>
      <c r="D23" s="5"/>
    </row>
    <row r="24" spans="2:6" ht="15" thickTop="1" x14ac:dyDescent="0.3"/>
    <row r="26" spans="2:6" x14ac:dyDescent="0.3">
      <c r="B26" t="s">
        <v>100</v>
      </c>
      <c r="C26" s="23">
        <f>C13/12</f>
        <v>7.4999999999999997E-3</v>
      </c>
    </row>
    <row r="31" spans="2:6" x14ac:dyDescent="0.3">
      <c r="B31" s="42" t="s">
        <v>99</v>
      </c>
      <c r="C31" s="42"/>
      <c r="D31" s="42"/>
      <c r="E31" s="42"/>
      <c r="F31" s="42"/>
    </row>
    <row r="32" spans="2:6" x14ac:dyDescent="0.3">
      <c r="B32" s="1" t="s">
        <v>93</v>
      </c>
      <c r="C32" s="1" t="s">
        <v>96</v>
      </c>
      <c r="D32" s="1" t="s">
        <v>94</v>
      </c>
      <c r="E32" s="1" t="s">
        <v>95</v>
      </c>
      <c r="F32" s="1" t="s">
        <v>97</v>
      </c>
    </row>
    <row r="33" spans="2:8" x14ac:dyDescent="0.3">
      <c r="B33" s="3">
        <f>+C11</f>
        <v>1800</v>
      </c>
      <c r="C33" s="11">
        <f>+PMT(C26,C12,C11)</f>
        <v>-82.232536102511574</v>
      </c>
      <c r="D33" s="3">
        <f t="shared" ref="D33:D56" si="0">-+$C$26*B33</f>
        <v>-13.5</v>
      </c>
      <c r="E33" s="11">
        <f>C33-D33</f>
        <v>-68.732536102511574</v>
      </c>
      <c r="F33" s="3">
        <f>B33+E33</f>
        <v>1731.2674638974884</v>
      </c>
    </row>
    <row r="34" spans="2:8" ht="15" thickBot="1" x14ac:dyDescent="0.35">
      <c r="B34" s="3">
        <f>+F33</f>
        <v>1731.2674638974884</v>
      </c>
      <c r="C34" s="11">
        <f>+C33</f>
        <v>-82.232536102511574</v>
      </c>
      <c r="D34" s="3">
        <f t="shared" si="0"/>
        <v>-12.984505979231162</v>
      </c>
      <c r="E34" s="11">
        <f>C34-D34</f>
        <v>-69.248030123280415</v>
      </c>
      <c r="F34" s="3">
        <f t="shared" ref="F34:F56" si="1">B34+E34</f>
        <v>1662.019433774208</v>
      </c>
      <c r="H34" s="1" t="s">
        <v>155</v>
      </c>
    </row>
    <row r="35" spans="2:8" x14ac:dyDescent="0.3">
      <c r="B35" s="3">
        <f t="shared" ref="B35:B56" si="2">+F34</f>
        <v>1662.019433774208</v>
      </c>
      <c r="C35" s="11">
        <f t="shared" ref="C35:C56" si="3">+C34</f>
        <v>-82.232536102511574</v>
      </c>
      <c r="D35" s="3">
        <f t="shared" si="0"/>
        <v>-12.46514575330656</v>
      </c>
      <c r="E35" s="11">
        <f t="shared" ref="E35:E56" si="4">C35-D35</f>
        <v>-69.767390349205016</v>
      </c>
      <c r="F35" s="3">
        <f t="shared" si="1"/>
        <v>1592.252043425003</v>
      </c>
      <c r="H35" s="49" t="s">
        <v>156</v>
      </c>
    </row>
    <row r="36" spans="2:8" x14ac:dyDescent="0.3">
      <c r="B36" s="3">
        <f t="shared" si="2"/>
        <v>1592.252043425003</v>
      </c>
      <c r="C36" s="11">
        <f t="shared" si="3"/>
        <v>-82.232536102511574</v>
      </c>
      <c r="D36" s="3">
        <f t="shared" si="0"/>
        <v>-11.941890325687522</v>
      </c>
      <c r="E36" s="11">
        <f t="shared" si="4"/>
        <v>-70.29064577682405</v>
      </c>
      <c r="F36" s="3">
        <f t="shared" si="1"/>
        <v>1521.9613976481789</v>
      </c>
      <c r="H36" s="50"/>
    </row>
    <row r="37" spans="2:8" x14ac:dyDescent="0.3">
      <c r="B37" s="3">
        <f t="shared" si="2"/>
        <v>1521.9613976481789</v>
      </c>
      <c r="C37" s="11">
        <f t="shared" si="3"/>
        <v>-82.232536102511574</v>
      </c>
      <c r="D37" s="3">
        <f t="shared" si="0"/>
        <v>-11.414710482361341</v>
      </c>
      <c r="E37" s="11">
        <f t="shared" si="4"/>
        <v>-70.817825620150231</v>
      </c>
      <c r="F37" s="3">
        <f t="shared" si="1"/>
        <v>1451.1435720280288</v>
      </c>
      <c r="H37" s="50"/>
    </row>
    <row r="38" spans="2:8" x14ac:dyDescent="0.3">
      <c r="B38" s="3">
        <f t="shared" si="2"/>
        <v>1451.1435720280288</v>
      </c>
      <c r="C38" s="11">
        <f t="shared" si="3"/>
        <v>-82.232536102511574</v>
      </c>
      <c r="D38" s="3">
        <f t="shared" si="0"/>
        <v>-10.883576790210215</v>
      </c>
      <c r="E38" s="11">
        <f t="shared" si="4"/>
        <v>-71.348959312301361</v>
      </c>
      <c r="F38" s="3">
        <f t="shared" si="1"/>
        <v>1379.7946127157275</v>
      </c>
      <c r="H38" s="50"/>
    </row>
    <row r="39" spans="2:8" x14ac:dyDescent="0.3">
      <c r="B39" s="3">
        <f t="shared" si="2"/>
        <v>1379.7946127157275</v>
      </c>
      <c r="C39" s="11">
        <f t="shared" si="3"/>
        <v>-82.232536102511574</v>
      </c>
      <c r="D39" s="3">
        <f t="shared" si="0"/>
        <v>-10.348459595367956</v>
      </c>
      <c r="E39" s="11">
        <f t="shared" si="4"/>
        <v>-71.884076507143618</v>
      </c>
      <c r="F39" s="3">
        <f t="shared" si="1"/>
        <v>1307.9105362085838</v>
      </c>
      <c r="H39" s="50"/>
    </row>
    <row r="40" spans="2:8" x14ac:dyDescent="0.3">
      <c r="B40" s="3">
        <f t="shared" si="2"/>
        <v>1307.9105362085838</v>
      </c>
      <c r="C40" s="11">
        <f t="shared" si="3"/>
        <v>-82.232536102511574</v>
      </c>
      <c r="D40" s="3">
        <f t="shared" si="0"/>
        <v>-9.8093290215643787</v>
      </c>
      <c r="E40" s="11">
        <f t="shared" si="4"/>
        <v>-72.423207080947194</v>
      </c>
      <c r="F40" s="3">
        <f t="shared" si="1"/>
        <v>1235.4873291276367</v>
      </c>
      <c r="H40" s="50"/>
    </row>
    <row r="41" spans="2:8" x14ac:dyDescent="0.3">
      <c r="B41" s="3">
        <f t="shared" si="2"/>
        <v>1235.4873291276367</v>
      </c>
      <c r="C41" s="11">
        <f t="shared" si="3"/>
        <v>-82.232536102511574</v>
      </c>
      <c r="D41" s="3">
        <f t="shared" si="0"/>
        <v>-9.2661549684572755</v>
      </c>
      <c r="E41" s="11">
        <f t="shared" si="4"/>
        <v>-72.966381134054302</v>
      </c>
      <c r="F41" s="3">
        <f t="shared" si="1"/>
        <v>1162.5209479935825</v>
      </c>
      <c r="H41" s="50"/>
    </row>
    <row r="42" spans="2:8" x14ac:dyDescent="0.3">
      <c r="B42" s="3">
        <f t="shared" si="2"/>
        <v>1162.5209479935825</v>
      </c>
      <c r="C42" s="11">
        <f t="shared" si="3"/>
        <v>-82.232536102511574</v>
      </c>
      <c r="D42" s="3">
        <f t="shared" si="0"/>
        <v>-8.7189071099518678</v>
      </c>
      <c r="E42" s="11">
        <f t="shared" si="4"/>
        <v>-73.513628992559703</v>
      </c>
      <c r="F42" s="3">
        <f t="shared" si="1"/>
        <v>1089.0073190010228</v>
      </c>
      <c r="H42" s="50"/>
    </row>
    <row r="43" spans="2:8" x14ac:dyDescent="0.3">
      <c r="B43" s="3">
        <f t="shared" si="2"/>
        <v>1089.0073190010228</v>
      </c>
      <c r="C43" s="11">
        <f t="shared" si="3"/>
        <v>-82.232536102511574</v>
      </c>
      <c r="D43" s="3">
        <f t="shared" si="0"/>
        <v>-8.1675548925076704</v>
      </c>
      <c r="E43" s="11">
        <f t="shared" si="4"/>
        <v>-74.064981210003907</v>
      </c>
      <c r="F43" s="3">
        <f t="shared" si="1"/>
        <v>1014.9423377910189</v>
      </c>
      <c r="H43" s="50"/>
    </row>
    <row r="44" spans="2:8" x14ac:dyDescent="0.3">
      <c r="B44" s="3">
        <f t="shared" si="2"/>
        <v>1014.9423377910189</v>
      </c>
      <c r="C44" s="11">
        <f t="shared" si="3"/>
        <v>-82.232536102511574</v>
      </c>
      <c r="D44" s="3">
        <f t="shared" si="0"/>
        <v>-7.6120675334326409</v>
      </c>
      <c r="E44" s="11">
        <f t="shared" si="4"/>
        <v>-74.620468569078938</v>
      </c>
      <c r="F44" s="3">
        <f t="shared" si="1"/>
        <v>940.32186922193989</v>
      </c>
      <c r="H44" s="50"/>
    </row>
    <row r="45" spans="2:8" x14ac:dyDescent="0.3">
      <c r="B45" s="3">
        <f t="shared" si="2"/>
        <v>940.32186922193989</v>
      </c>
      <c r="C45" s="11">
        <f t="shared" si="3"/>
        <v>-82.232536102511574</v>
      </c>
      <c r="D45" s="3">
        <f t="shared" si="0"/>
        <v>-7.0524140191645488</v>
      </c>
      <c r="E45" s="11">
        <f t="shared" si="4"/>
        <v>-75.18012208334703</v>
      </c>
      <c r="F45" s="3">
        <f t="shared" si="1"/>
        <v>865.1417471385929</v>
      </c>
      <c r="H45" s="50"/>
    </row>
    <row r="46" spans="2:8" x14ac:dyDescent="0.3">
      <c r="B46" s="3">
        <f t="shared" si="2"/>
        <v>865.1417471385929</v>
      </c>
      <c r="C46" s="11">
        <f t="shared" si="3"/>
        <v>-82.232536102511574</v>
      </c>
      <c r="D46" s="3">
        <f t="shared" si="0"/>
        <v>-6.4885631035394464</v>
      </c>
      <c r="E46" s="11">
        <f t="shared" si="4"/>
        <v>-75.743972998972126</v>
      </c>
      <c r="F46" s="3">
        <f t="shared" si="1"/>
        <v>789.39777413962076</v>
      </c>
      <c r="H46" s="50"/>
    </row>
    <row r="47" spans="2:8" x14ac:dyDescent="0.3">
      <c r="B47" s="3">
        <f t="shared" si="2"/>
        <v>789.39777413962076</v>
      </c>
      <c r="C47" s="11">
        <f t="shared" si="3"/>
        <v>-82.232536102511574</v>
      </c>
      <c r="D47" s="3">
        <f t="shared" si="0"/>
        <v>-5.9204833060471556</v>
      </c>
      <c r="E47" s="11">
        <f t="shared" si="4"/>
        <v>-76.312052796464414</v>
      </c>
      <c r="F47" s="3">
        <f t="shared" si="1"/>
        <v>713.08572134315637</v>
      </c>
      <c r="H47" s="50"/>
    </row>
    <row r="48" spans="2:8" x14ac:dyDescent="0.3">
      <c r="B48" s="3">
        <f t="shared" si="2"/>
        <v>713.08572134315637</v>
      </c>
      <c r="C48" s="11">
        <f t="shared" si="3"/>
        <v>-82.232536102511574</v>
      </c>
      <c r="D48" s="3">
        <f t="shared" si="0"/>
        <v>-5.3481429100736726</v>
      </c>
      <c r="E48" s="11">
        <f t="shared" si="4"/>
        <v>-76.884393192437898</v>
      </c>
      <c r="F48" s="3">
        <f t="shared" si="1"/>
        <v>636.2013281507185</v>
      </c>
      <c r="H48" s="50"/>
    </row>
    <row r="49" spans="2:10" ht="15" thickBot="1" x14ac:dyDescent="0.35">
      <c r="B49" s="3">
        <f t="shared" si="2"/>
        <v>636.2013281507185</v>
      </c>
      <c r="C49" s="11">
        <f t="shared" si="3"/>
        <v>-82.232536102511574</v>
      </c>
      <c r="D49" s="3">
        <f t="shared" si="0"/>
        <v>-4.7715099611303886</v>
      </c>
      <c r="E49" s="11">
        <f t="shared" si="4"/>
        <v>-77.461026141381183</v>
      </c>
      <c r="F49" s="3">
        <f t="shared" si="1"/>
        <v>558.74030200933726</v>
      </c>
      <c r="H49" s="51"/>
    </row>
    <row r="50" spans="2:10" x14ac:dyDescent="0.3">
      <c r="B50" s="3">
        <f t="shared" si="2"/>
        <v>558.74030200933726</v>
      </c>
      <c r="C50" s="11">
        <f t="shared" si="3"/>
        <v>-82.232536102511574</v>
      </c>
      <c r="D50" s="3">
        <f t="shared" si="0"/>
        <v>-4.1905522650700293</v>
      </c>
      <c r="E50" s="11">
        <f t="shared" si="4"/>
        <v>-78.041983837441549</v>
      </c>
      <c r="F50" s="3">
        <f t="shared" si="1"/>
        <v>480.69831817189572</v>
      </c>
    </row>
    <row r="51" spans="2:10" x14ac:dyDescent="0.3">
      <c r="B51" s="3">
        <f t="shared" si="2"/>
        <v>480.69831817189572</v>
      </c>
      <c r="C51" s="11">
        <f t="shared" si="3"/>
        <v>-82.232536102511574</v>
      </c>
      <c r="D51" s="3">
        <f t="shared" si="0"/>
        <v>-3.6052373862892177</v>
      </c>
      <c r="E51" s="11">
        <f t="shared" si="4"/>
        <v>-78.627298716222356</v>
      </c>
      <c r="F51" s="3">
        <f t="shared" si="1"/>
        <v>402.07101945567337</v>
      </c>
    </row>
    <row r="52" spans="2:10" x14ac:dyDescent="0.3">
      <c r="B52" s="3">
        <f t="shared" si="2"/>
        <v>402.07101945567337</v>
      </c>
      <c r="C52" s="11">
        <f t="shared" si="3"/>
        <v>-82.232536102511574</v>
      </c>
      <c r="D52" s="3">
        <f t="shared" si="0"/>
        <v>-3.01553264591755</v>
      </c>
      <c r="E52" s="11">
        <f t="shared" si="4"/>
        <v>-79.217003456594028</v>
      </c>
      <c r="F52" s="3">
        <f t="shared" si="1"/>
        <v>322.85401599907937</v>
      </c>
    </row>
    <row r="53" spans="2:10" x14ac:dyDescent="0.3">
      <c r="B53" s="3">
        <f t="shared" si="2"/>
        <v>322.85401599907937</v>
      </c>
      <c r="C53" s="11">
        <f t="shared" si="3"/>
        <v>-82.232536102511574</v>
      </c>
      <c r="D53" s="3">
        <f t="shared" si="0"/>
        <v>-2.421405119993095</v>
      </c>
      <c r="E53" s="11">
        <f t="shared" si="4"/>
        <v>-79.811130982518478</v>
      </c>
      <c r="F53" s="3">
        <f t="shared" si="1"/>
        <v>243.04288501656089</v>
      </c>
    </row>
    <row r="54" spans="2:10" x14ac:dyDescent="0.3">
      <c r="B54" s="3">
        <f t="shared" si="2"/>
        <v>243.04288501656089</v>
      </c>
      <c r="C54" s="11">
        <f t="shared" si="3"/>
        <v>-82.232536102511574</v>
      </c>
      <c r="D54" s="3">
        <f t="shared" si="0"/>
        <v>-1.8228216376242066</v>
      </c>
      <c r="E54" s="11">
        <f t="shared" si="4"/>
        <v>-80.409714464887372</v>
      </c>
      <c r="F54" s="3">
        <f t="shared" si="1"/>
        <v>162.63317055167352</v>
      </c>
    </row>
    <row r="55" spans="2:10" x14ac:dyDescent="0.3">
      <c r="B55" s="3">
        <f t="shared" si="2"/>
        <v>162.63317055167352</v>
      </c>
      <c r="C55" s="11">
        <f t="shared" si="3"/>
        <v>-82.232536102511574</v>
      </c>
      <c r="D55" s="3">
        <f t="shared" si="0"/>
        <v>-1.2197487791375514</v>
      </c>
      <c r="E55" s="11">
        <f t="shared" si="4"/>
        <v>-81.012787323374027</v>
      </c>
      <c r="F55" s="3">
        <f t="shared" si="1"/>
        <v>81.620383228299488</v>
      </c>
    </row>
    <row r="56" spans="2:10" x14ac:dyDescent="0.3">
      <c r="B56" s="3">
        <f t="shared" si="2"/>
        <v>81.620383228299488</v>
      </c>
      <c r="C56" s="11">
        <f t="shared" si="3"/>
        <v>-82.232536102511574</v>
      </c>
      <c r="D56" s="3">
        <f t="shared" si="0"/>
        <v>-0.61215287421224618</v>
      </c>
      <c r="E56" s="11">
        <f t="shared" si="4"/>
        <v>-81.620383228299332</v>
      </c>
      <c r="F56" s="3">
        <f t="shared" si="1"/>
        <v>1.5631940186722204E-13</v>
      </c>
    </row>
    <row r="57" spans="2:10" x14ac:dyDescent="0.3">
      <c r="C57" s="4">
        <f>SUM(C33:C56)</f>
        <v>-1973.5808664602787</v>
      </c>
      <c r="D57" s="4">
        <f>SUM(D33:D56)</f>
        <v>-173.58086646027769</v>
      </c>
      <c r="E57" s="4">
        <f>SUM(E33:E56)</f>
        <v>-1800.0000000000002</v>
      </c>
    </row>
    <row r="58" spans="2:10" x14ac:dyDescent="0.3">
      <c r="C58" s="3"/>
      <c r="D58" s="11"/>
      <c r="E58" s="3"/>
      <c r="F58" s="11"/>
      <c r="J58" s="11"/>
    </row>
    <row r="59" spans="2:10" x14ac:dyDescent="0.3">
      <c r="C59" s="3"/>
      <c r="D59" s="11"/>
      <c r="E59" s="3"/>
      <c r="F59" s="11"/>
      <c r="I59" s="11"/>
    </row>
    <row r="60" spans="2:10" x14ac:dyDescent="0.3">
      <c r="C60" s="3"/>
      <c r="D60" s="11"/>
      <c r="E60" s="3"/>
      <c r="F60" s="11"/>
    </row>
    <row r="61" spans="2:10" x14ac:dyDescent="0.3">
      <c r="C61" s="3"/>
      <c r="D61" s="11"/>
      <c r="E61" s="3"/>
      <c r="F61" s="11"/>
    </row>
    <row r="62" spans="2:10" x14ac:dyDescent="0.3">
      <c r="C62" s="3"/>
      <c r="D62" s="11"/>
      <c r="E62" s="3"/>
      <c r="F62" s="11"/>
    </row>
    <row r="63" spans="2:10" x14ac:dyDescent="0.3">
      <c r="C63" s="3"/>
      <c r="D63" s="11"/>
      <c r="E63" s="3"/>
      <c r="F63" s="11"/>
    </row>
    <row r="64" spans="2:10" x14ac:dyDescent="0.3">
      <c r="C64" s="3"/>
      <c r="D64" s="11"/>
      <c r="E64" s="3"/>
      <c r="F64" s="11"/>
    </row>
    <row r="65" spans="3:6" x14ac:dyDescent="0.3">
      <c r="C65" s="3"/>
      <c r="D65" s="11"/>
      <c r="E65" s="3"/>
      <c r="F65" s="11"/>
    </row>
    <row r="66" spans="3:6" x14ac:dyDescent="0.3">
      <c r="C66" s="3"/>
      <c r="D66" s="11"/>
      <c r="E66" s="3"/>
      <c r="F66" s="11"/>
    </row>
    <row r="67" spans="3:6" x14ac:dyDescent="0.3">
      <c r="C67" s="3"/>
      <c r="D67" s="11"/>
      <c r="E67" s="3"/>
      <c r="F67" s="11"/>
    </row>
    <row r="68" spans="3:6" x14ac:dyDescent="0.3">
      <c r="C68" s="3"/>
      <c r="D68" s="11"/>
      <c r="E68" s="3"/>
      <c r="F68" s="11"/>
    </row>
    <row r="69" spans="3:6" x14ac:dyDescent="0.3">
      <c r="C69" s="3"/>
      <c r="D69" s="11"/>
      <c r="E69" s="3"/>
      <c r="F69" s="11"/>
    </row>
    <row r="70" spans="3:6" x14ac:dyDescent="0.3">
      <c r="C70" s="3"/>
      <c r="D70" s="11"/>
      <c r="E70" s="3"/>
      <c r="F70" s="11"/>
    </row>
    <row r="71" spans="3:6" x14ac:dyDescent="0.3">
      <c r="C71" s="3"/>
      <c r="D71" s="11"/>
      <c r="E71" s="3"/>
      <c r="F71" s="11"/>
    </row>
    <row r="72" spans="3:6" x14ac:dyDescent="0.3">
      <c r="C72" s="3"/>
      <c r="D72" s="11"/>
      <c r="E72" s="3"/>
      <c r="F72" s="11"/>
    </row>
    <row r="73" spans="3:6" x14ac:dyDescent="0.3">
      <c r="C73" s="3"/>
      <c r="D73" s="11"/>
      <c r="E73" s="3"/>
      <c r="F73" s="11"/>
    </row>
    <row r="74" spans="3:6" x14ac:dyDescent="0.3">
      <c r="C74" s="3"/>
      <c r="D74" s="11"/>
      <c r="E74" s="3"/>
      <c r="F74" s="11"/>
    </row>
    <row r="75" spans="3:6" x14ac:dyDescent="0.3">
      <c r="C75" s="3"/>
      <c r="D75" s="11"/>
      <c r="E75" s="3"/>
      <c r="F75" s="11"/>
    </row>
    <row r="76" spans="3:6" x14ac:dyDescent="0.3">
      <c r="C76" s="3"/>
      <c r="D76" s="11"/>
      <c r="E76" s="3"/>
      <c r="F76" s="11"/>
    </row>
  </sheetData>
  <mergeCells count="3">
    <mergeCell ref="B1:D1"/>
    <mergeCell ref="B3:D3"/>
    <mergeCell ref="B31:F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EB41-AEDA-48AC-9659-3968271B9706}">
  <sheetPr>
    <tabColor rgb="FF92D050"/>
  </sheetPr>
  <dimension ref="A1"/>
  <sheetViews>
    <sheetView workbookViewId="0">
      <selection activeCell="G28" sqref="G28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B7D8-B964-4807-AE8F-3F553716E2CF}">
  <sheetPr>
    <tabColor rgb="FF92D050"/>
  </sheetPr>
  <dimension ref="A1:J76"/>
  <sheetViews>
    <sheetView workbookViewId="0">
      <selection activeCell="D25" sqref="D25"/>
    </sheetView>
  </sheetViews>
  <sheetFormatPr defaultRowHeight="14.4" x14ac:dyDescent="0.3"/>
  <cols>
    <col min="1" max="1" width="1.109375" style="8" customWidth="1"/>
    <col min="2" max="2" width="50.88671875" bestFit="1" customWidth="1"/>
    <col min="3" max="3" width="16.21875" customWidth="1"/>
    <col min="4" max="4" width="33.109375" bestFit="1" customWidth="1"/>
    <col min="5" max="5" width="32.6640625" bestFit="1" customWidth="1"/>
    <col min="6" max="6" width="33.88671875" bestFit="1" customWidth="1"/>
    <col min="7" max="7" width="2.5546875" style="14" customWidth="1"/>
    <col min="8" max="8" width="33.109375" bestFit="1" customWidth="1"/>
    <col min="9" max="9" width="33.88671875" bestFit="1" customWidth="1"/>
    <col min="10" max="10" width="25.6640625" bestFit="1" customWidth="1"/>
    <col min="11" max="11" width="14.109375" customWidth="1"/>
    <col min="12" max="12" width="12.21875" customWidth="1"/>
    <col min="13" max="13" width="12.109375" customWidth="1"/>
  </cols>
  <sheetData>
    <row r="1" spans="2:6" x14ac:dyDescent="0.3">
      <c r="B1" s="45" t="s">
        <v>108</v>
      </c>
      <c r="C1" s="45"/>
      <c r="D1" s="45"/>
      <c r="E1" s="1" t="s">
        <v>138</v>
      </c>
    </row>
    <row r="2" spans="2:6" ht="31.2" x14ac:dyDescent="0.6">
      <c r="B2" s="1" t="s">
        <v>70</v>
      </c>
      <c r="E2" s="32" t="s">
        <v>137</v>
      </c>
    </row>
    <row r="3" spans="2:6" ht="13.2" customHeight="1" x14ac:dyDescent="0.6">
      <c r="B3" s="46"/>
      <c r="C3" s="46"/>
      <c r="D3" s="46"/>
    </row>
    <row r="4" spans="2:6" x14ac:dyDescent="0.3">
      <c r="B4" s="1" t="s">
        <v>101</v>
      </c>
      <c r="C4" s="31" t="s">
        <v>136</v>
      </c>
      <c r="D4" s="31"/>
    </row>
    <row r="5" spans="2:6" x14ac:dyDescent="0.3">
      <c r="B5" t="s">
        <v>111</v>
      </c>
      <c r="C5" s="25">
        <v>0.01</v>
      </c>
    </row>
    <row r="6" spans="2:6" x14ac:dyDescent="0.3">
      <c r="B6" t="s">
        <v>112</v>
      </c>
      <c r="C6" s="26">
        <v>1.2E-2</v>
      </c>
    </row>
    <row r="7" spans="2:6" x14ac:dyDescent="0.3">
      <c r="B7" t="s">
        <v>113</v>
      </c>
      <c r="C7" s="25">
        <v>0.01</v>
      </c>
      <c r="E7" s="63" t="s">
        <v>131</v>
      </c>
      <c r="F7" s="63"/>
    </row>
    <row r="8" spans="2:6" x14ac:dyDescent="0.3">
      <c r="B8" t="s">
        <v>114</v>
      </c>
      <c r="C8" s="25">
        <v>0.01</v>
      </c>
    </row>
    <row r="9" spans="2:6" x14ac:dyDescent="0.3">
      <c r="B9" s="52" t="s">
        <v>139</v>
      </c>
      <c r="C9" s="27">
        <v>0.09</v>
      </c>
      <c r="E9" t="s">
        <v>189</v>
      </c>
      <c r="F9" s="60">
        <v>0</v>
      </c>
    </row>
    <row r="10" spans="2:6" x14ac:dyDescent="0.3">
      <c r="B10" t="s">
        <v>121</v>
      </c>
      <c r="E10" t="s">
        <v>190</v>
      </c>
      <c r="F10" s="60" t="s">
        <v>191</v>
      </c>
    </row>
    <row r="11" spans="2:6" x14ac:dyDescent="0.3">
      <c r="B11" t="s">
        <v>183</v>
      </c>
      <c r="C11" s="2">
        <f>1000</f>
        <v>1000</v>
      </c>
      <c r="E11" s="61" t="s">
        <v>192</v>
      </c>
      <c r="F11" s="60">
        <v>0</v>
      </c>
    </row>
    <row r="12" spans="2:6" x14ac:dyDescent="0.3">
      <c r="B12" t="s">
        <v>48</v>
      </c>
      <c r="C12">
        <v>24</v>
      </c>
      <c r="E12" s="60" t="s">
        <v>193</v>
      </c>
      <c r="F12" s="60">
        <v>0</v>
      </c>
    </row>
    <row r="13" spans="2:6" x14ac:dyDescent="0.3">
      <c r="B13" t="s">
        <v>49</v>
      </c>
      <c r="C13" s="27">
        <v>0.09</v>
      </c>
      <c r="E13" s="60" t="s">
        <v>195</v>
      </c>
      <c r="F13" s="61" t="s">
        <v>197</v>
      </c>
    </row>
    <row r="14" spans="2:6" x14ac:dyDescent="0.3">
      <c r="B14" t="s">
        <v>201</v>
      </c>
      <c r="C14" s="4"/>
      <c r="D14" s="4"/>
      <c r="E14" s="60" t="s">
        <v>194</v>
      </c>
      <c r="F14" s="60" t="s">
        <v>196</v>
      </c>
    </row>
    <row r="15" spans="2:6" x14ac:dyDescent="0.3">
      <c r="E15" s="60" t="s">
        <v>198</v>
      </c>
      <c r="F15" s="60">
        <v>0</v>
      </c>
    </row>
    <row r="16" spans="2:6" x14ac:dyDescent="0.3">
      <c r="B16" s="1" t="s">
        <v>50</v>
      </c>
      <c r="C16" s="12">
        <f>-+SUM(D33:D56)+C23</f>
        <v>138.43381470015424</v>
      </c>
      <c r="D16" s="10"/>
    </row>
    <row r="17" spans="2:6" x14ac:dyDescent="0.3">
      <c r="E17" s="11" t="s">
        <v>199</v>
      </c>
    </row>
    <row r="18" spans="2:6" x14ac:dyDescent="0.3">
      <c r="B18" s="1" t="s">
        <v>71</v>
      </c>
      <c r="E18" s="60" t="s">
        <v>200</v>
      </c>
    </row>
    <row r="19" spans="2:6" x14ac:dyDescent="0.3">
      <c r="B19" t="s">
        <v>111</v>
      </c>
      <c r="C19" s="5">
        <f>C5*C11</f>
        <v>10</v>
      </c>
      <c r="D19" s="5"/>
    </row>
    <row r="20" spans="2:6" x14ac:dyDescent="0.3">
      <c r="B20" t="s">
        <v>112</v>
      </c>
      <c r="C20" s="3">
        <f>C6*C11</f>
        <v>12</v>
      </c>
      <c r="D20" s="3"/>
      <c r="E20" s="11"/>
    </row>
    <row r="21" spans="2:6" x14ac:dyDescent="0.3">
      <c r="B21" t="s">
        <v>113</v>
      </c>
      <c r="C21" s="5">
        <f>C7*C11</f>
        <v>10</v>
      </c>
      <c r="D21" s="5"/>
    </row>
    <row r="22" spans="2:6" x14ac:dyDescent="0.3">
      <c r="B22" t="s">
        <v>114</v>
      </c>
      <c r="C22" s="5">
        <f>C8*C11</f>
        <v>10</v>
      </c>
      <c r="D22" s="5"/>
    </row>
    <row r="23" spans="2:6" ht="15" thickBot="1" x14ac:dyDescent="0.35">
      <c r="B23" t="s">
        <v>54</v>
      </c>
      <c r="C23" s="6">
        <f>SUM(C19:C22)</f>
        <v>42</v>
      </c>
      <c r="D23" s="5"/>
    </row>
    <row r="24" spans="2:6" ht="15" thickTop="1" x14ac:dyDescent="0.3"/>
    <row r="26" spans="2:6" x14ac:dyDescent="0.3">
      <c r="B26" t="s">
        <v>100</v>
      </c>
      <c r="C26" s="23">
        <f>C13/12</f>
        <v>7.4999999999999997E-3</v>
      </c>
    </row>
    <row r="31" spans="2:6" x14ac:dyDescent="0.3">
      <c r="B31" s="42" t="s">
        <v>99</v>
      </c>
      <c r="C31" s="42"/>
      <c r="D31" s="42"/>
      <c r="E31" s="42"/>
      <c r="F31" s="42"/>
    </row>
    <row r="32" spans="2:6" x14ac:dyDescent="0.3">
      <c r="B32" s="1" t="s">
        <v>93</v>
      </c>
      <c r="C32" s="1" t="s">
        <v>96</v>
      </c>
      <c r="D32" s="1" t="s">
        <v>94</v>
      </c>
      <c r="E32" s="1" t="s">
        <v>95</v>
      </c>
      <c r="F32" s="1" t="s">
        <v>97</v>
      </c>
    </row>
    <row r="33" spans="2:8" x14ac:dyDescent="0.3">
      <c r="B33" s="3">
        <f>+C11</f>
        <v>1000</v>
      </c>
      <c r="C33" s="11">
        <f>+PMT(C26,C12,C11)</f>
        <v>-45.684742279173093</v>
      </c>
      <c r="D33" s="3">
        <f t="shared" ref="D33:D56" si="0">-+$C$26*B33</f>
        <v>-7.5</v>
      </c>
      <c r="E33" s="11">
        <f>C33-D33</f>
        <v>-38.184742279173093</v>
      </c>
      <c r="F33" s="3">
        <f>B33+E33</f>
        <v>961.81525772082693</v>
      </c>
    </row>
    <row r="34" spans="2:8" ht="15" thickBot="1" x14ac:dyDescent="0.35">
      <c r="B34" s="3">
        <f>+F33</f>
        <v>961.81525772082693</v>
      </c>
      <c r="C34" s="11">
        <f>+C33</f>
        <v>-45.684742279173093</v>
      </c>
      <c r="D34" s="3">
        <f t="shared" si="0"/>
        <v>-7.2136144329062013</v>
      </c>
      <c r="E34" s="11">
        <f>C34-D34</f>
        <v>-38.471127846266896</v>
      </c>
      <c r="F34" s="3">
        <f t="shared" ref="F34:F56" si="1">B34+E34</f>
        <v>923.34412987456005</v>
      </c>
      <c r="H34" s="1" t="s">
        <v>155</v>
      </c>
    </row>
    <row r="35" spans="2:8" x14ac:dyDescent="0.3">
      <c r="B35" s="3">
        <f t="shared" ref="B35:B56" si="2">+F34</f>
        <v>923.34412987456005</v>
      </c>
      <c r="C35" s="11">
        <f t="shared" ref="C35:C56" si="3">+C34</f>
        <v>-45.684742279173093</v>
      </c>
      <c r="D35" s="3">
        <f t="shared" si="0"/>
        <v>-6.9250809740591999</v>
      </c>
      <c r="E35" s="11">
        <f t="shared" ref="E35:E56" si="4">C35-D35</f>
        <v>-38.759661305113895</v>
      </c>
      <c r="F35" s="3">
        <f t="shared" si="1"/>
        <v>884.58446856944613</v>
      </c>
      <c r="H35" s="49" t="s">
        <v>185</v>
      </c>
    </row>
    <row r="36" spans="2:8" x14ac:dyDescent="0.3">
      <c r="B36" s="3">
        <f t="shared" si="2"/>
        <v>884.58446856944613</v>
      </c>
      <c r="C36" s="11">
        <f t="shared" si="3"/>
        <v>-45.684742279173093</v>
      </c>
      <c r="D36" s="3">
        <f t="shared" si="0"/>
        <v>-6.634383514270846</v>
      </c>
      <c r="E36" s="11">
        <f t="shared" si="4"/>
        <v>-39.050358764902249</v>
      </c>
      <c r="F36" s="3">
        <f t="shared" si="1"/>
        <v>845.53410980454385</v>
      </c>
      <c r="H36" s="50" t="s">
        <v>186</v>
      </c>
    </row>
    <row r="37" spans="2:8" x14ac:dyDescent="0.3">
      <c r="B37" s="3">
        <f t="shared" si="2"/>
        <v>845.53410980454385</v>
      </c>
      <c r="C37" s="11">
        <f t="shared" si="3"/>
        <v>-45.684742279173093</v>
      </c>
      <c r="D37" s="3">
        <f t="shared" si="0"/>
        <v>-6.3415058235340789</v>
      </c>
      <c r="E37" s="11">
        <f t="shared" si="4"/>
        <v>-39.343236455639016</v>
      </c>
      <c r="F37" s="3">
        <f t="shared" si="1"/>
        <v>806.1908733489048</v>
      </c>
      <c r="H37" s="50" t="s">
        <v>187</v>
      </c>
    </row>
    <row r="38" spans="2:8" x14ac:dyDescent="0.3">
      <c r="B38" s="3">
        <f t="shared" si="2"/>
        <v>806.1908733489048</v>
      </c>
      <c r="C38" s="11">
        <f t="shared" si="3"/>
        <v>-45.684742279173093</v>
      </c>
      <c r="D38" s="3">
        <f t="shared" si="0"/>
        <v>-6.046431550116786</v>
      </c>
      <c r="E38" s="11">
        <f t="shared" si="4"/>
        <v>-39.638310729056307</v>
      </c>
      <c r="F38" s="3">
        <f t="shared" si="1"/>
        <v>766.55256261984846</v>
      </c>
      <c r="H38" s="50" t="s">
        <v>188</v>
      </c>
    </row>
    <row r="39" spans="2:8" x14ac:dyDescent="0.3">
      <c r="B39" s="3">
        <f t="shared" si="2"/>
        <v>766.55256261984846</v>
      </c>
      <c r="C39" s="11">
        <f t="shared" si="3"/>
        <v>-45.684742279173093</v>
      </c>
      <c r="D39" s="3">
        <f t="shared" si="0"/>
        <v>-5.7491442196488629</v>
      </c>
      <c r="E39" s="11">
        <f t="shared" si="4"/>
        <v>-39.935598059524231</v>
      </c>
      <c r="F39" s="3">
        <f t="shared" si="1"/>
        <v>726.61696456032428</v>
      </c>
      <c r="H39" s="50"/>
    </row>
    <row r="40" spans="2:8" x14ac:dyDescent="0.3">
      <c r="B40" s="3">
        <f t="shared" si="2"/>
        <v>726.61696456032428</v>
      </c>
      <c r="C40" s="11">
        <f t="shared" si="3"/>
        <v>-45.684742279173093</v>
      </c>
      <c r="D40" s="3">
        <f t="shared" si="0"/>
        <v>-5.4496272342024321</v>
      </c>
      <c r="E40" s="11">
        <f t="shared" si="4"/>
        <v>-40.235115044970662</v>
      </c>
      <c r="F40" s="3">
        <f t="shared" si="1"/>
        <v>686.38184951535357</v>
      </c>
      <c r="H40" s="50"/>
    </row>
    <row r="41" spans="2:8" x14ac:dyDescent="0.3">
      <c r="B41" s="3">
        <f t="shared" si="2"/>
        <v>686.38184951535357</v>
      </c>
      <c r="C41" s="11">
        <f t="shared" si="3"/>
        <v>-45.684742279173093</v>
      </c>
      <c r="D41" s="3">
        <f t="shared" si="0"/>
        <v>-5.1478638713651517</v>
      </c>
      <c r="E41" s="11">
        <f t="shared" si="4"/>
        <v>-40.53687840780794</v>
      </c>
      <c r="F41" s="3">
        <f t="shared" si="1"/>
        <v>645.84497110754558</v>
      </c>
      <c r="H41" s="50"/>
    </row>
    <row r="42" spans="2:8" x14ac:dyDescent="0.3">
      <c r="B42" s="3">
        <f t="shared" si="2"/>
        <v>645.84497110754558</v>
      </c>
      <c r="C42" s="11">
        <f t="shared" si="3"/>
        <v>-45.684742279173093</v>
      </c>
      <c r="D42" s="3">
        <f t="shared" si="0"/>
        <v>-4.8438372833065912</v>
      </c>
      <c r="E42" s="11">
        <f t="shared" si="4"/>
        <v>-40.840904995866502</v>
      </c>
      <c r="F42" s="3">
        <f t="shared" si="1"/>
        <v>605.00406611167909</v>
      </c>
      <c r="H42" s="50"/>
    </row>
    <row r="43" spans="2:8" x14ac:dyDescent="0.3">
      <c r="B43" s="3">
        <f t="shared" si="2"/>
        <v>605.00406611167909</v>
      </c>
      <c r="C43" s="11">
        <f t="shared" si="3"/>
        <v>-45.684742279173093</v>
      </c>
      <c r="D43" s="3">
        <f t="shared" si="0"/>
        <v>-4.5375304958375926</v>
      </c>
      <c r="E43" s="11">
        <f t="shared" si="4"/>
        <v>-41.1472117833355</v>
      </c>
      <c r="F43" s="3">
        <f t="shared" si="1"/>
        <v>563.85685432834362</v>
      </c>
      <c r="H43" s="50"/>
    </row>
    <row r="44" spans="2:8" x14ac:dyDescent="0.3">
      <c r="B44" s="3">
        <f t="shared" si="2"/>
        <v>563.85685432834362</v>
      </c>
      <c r="C44" s="11">
        <f t="shared" si="3"/>
        <v>-45.684742279173093</v>
      </c>
      <c r="D44" s="3">
        <f t="shared" si="0"/>
        <v>-4.228926407462577</v>
      </c>
      <c r="E44" s="11">
        <f t="shared" si="4"/>
        <v>-41.455815871710513</v>
      </c>
      <c r="F44" s="3">
        <f t="shared" si="1"/>
        <v>522.40103845663316</v>
      </c>
      <c r="H44" s="50"/>
    </row>
    <row r="45" spans="2:8" x14ac:dyDescent="0.3">
      <c r="B45" s="3">
        <f t="shared" si="2"/>
        <v>522.40103845663316</v>
      </c>
      <c r="C45" s="11">
        <f t="shared" si="3"/>
        <v>-45.684742279173093</v>
      </c>
      <c r="D45" s="3">
        <f t="shared" si="0"/>
        <v>-3.9180077884247484</v>
      </c>
      <c r="E45" s="11">
        <f t="shared" si="4"/>
        <v>-41.766734490748348</v>
      </c>
      <c r="F45" s="3">
        <f t="shared" si="1"/>
        <v>480.63430396588478</v>
      </c>
      <c r="H45" s="50"/>
    </row>
    <row r="46" spans="2:8" x14ac:dyDescent="0.3">
      <c r="B46" s="3">
        <f t="shared" si="2"/>
        <v>480.63430396588478</v>
      </c>
      <c r="C46" s="11">
        <f t="shared" si="3"/>
        <v>-45.684742279173093</v>
      </c>
      <c r="D46" s="3">
        <f t="shared" si="0"/>
        <v>-3.6047572797441356</v>
      </c>
      <c r="E46" s="11">
        <f t="shared" si="4"/>
        <v>-42.079984999428959</v>
      </c>
      <c r="F46" s="3">
        <f t="shared" si="1"/>
        <v>438.55431896645581</v>
      </c>
      <c r="H46" s="50"/>
    </row>
    <row r="47" spans="2:8" x14ac:dyDescent="0.3">
      <c r="B47" s="3">
        <f t="shared" si="2"/>
        <v>438.55431896645581</v>
      </c>
      <c r="C47" s="11">
        <f t="shared" si="3"/>
        <v>-45.684742279173093</v>
      </c>
      <c r="D47" s="3">
        <f t="shared" si="0"/>
        <v>-3.2891573922484185</v>
      </c>
      <c r="E47" s="11">
        <f t="shared" si="4"/>
        <v>-42.395584886924674</v>
      </c>
      <c r="F47" s="3">
        <f t="shared" si="1"/>
        <v>396.15873407953114</v>
      </c>
      <c r="H47" s="50"/>
    </row>
    <row r="48" spans="2:8" x14ac:dyDescent="0.3">
      <c r="B48" s="3">
        <f t="shared" si="2"/>
        <v>396.15873407953114</v>
      </c>
      <c r="C48" s="11">
        <f t="shared" si="3"/>
        <v>-45.684742279173093</v>
      </c>
      <c r="D48" s="3">
        <f t="shared" si="0"/>
        <v>-2.9711905055964833</v>
      </c>
      <c r="E48" s="11">
        <f t="shared" si="4"/>
        <v>-42.713551773576611</v>
      </c>
      <c r="F48" s="3">
        <f t="shared" si="1"/>
        <v>353.44518230595452</v>
      </c>
      <c r="H48" s="50"/>
    </row>
    <row r="49" spans="2:10" ht="15" thickBot="1" x14ac:dyDescent="0.35">
      <c r="B49" s="3">
        <f t="shared" si="2"/>
        <v>353.44518230595452</v>
      </c>
      <c r="C49" s="11">
        <f t="shared" si="3"/>
        <v>-45.684742279173093</v>
      </c>
      <c r="D49" s="3">
        <f t="shared" si="0"/>
        <v>-2.6508388672946586</v>
      </c>
      <c r="E49" s="11">
        <f t="shared" si="4"/>
        <v>-43.033903411878434</v>
      </c>
      <c r="F49" s="3">
        <f t="shared" si="1"/>
        <v>310.41127889407608</v>
      </c>
      <c r="H49" s="51"/>
    </row>
    <row r="50" spans="2:10" x14ac:dyDescent="0.3">
      <c r="B50" s="3">
        <f t="shared" si="2"/>
        <v>310.41127889407608</v>
      </c>
      <c r="C50" s="11">
        <f t="shared" si="3"/>
        <v>-45.684742279173093</v>
      </c>
      <c r="D50" s="3">
        <f t="shared" si="0"/>
        <v>-2.3280845917055704</v>
      </c>
      <c r="E50" s="11">
        <f t="shared" si="4"/>
        <v>-43.356657687467525</v>
      </c>
      <c r="F50" s="3">
        <f t="shared" si="1"/>
        <v>267.05462120660854</v>
      </c>
    </row>
    <row r="51" spans="2:10" x14ac:dyDescent="0.3">
      <c r="B51" s="3">
        <f t="shared" si="2"/>
        <v>267.05462120660854</v>
      </c>
      <c r="C51" s="11">
        <f t="shared" si="3"/>
        <v>-45.684742279173093</v>
      </c>
      <c r="D51" s="3">
        <f t="shared" si="0"/>
        <v>-2.0029096590495641</v>
      </c>
      <c r="E51" s="11">
        <f t="shared" si="4"/>
        <v>-43.681832620123529</v>
      </c>
      <c r="F51" s="3">
        <f t="shared" si="1"/>
        <v>223.372788586485</v>
      </c>
    </row>
    <row r="52" spans="2:10" x14ac:dyDescent="0.3">
      <c r="B52" s="3">
        <f t="shared" si="2"/>
        <v>223.372788586485</v>
      </c>
      <c r="C52" s="11">
        <f t="shared" si="3"/>
        <v>-45.684742279173093</v>
      </c>
      <c r="D52" s="3">
        <f t="shared" si="0"/>
        <v>-1.6752959143986375</v>
      </c>
      <c r="E52" s="11">
        <f t="shared" si="4"/>
        <v>-44.009446364774455</v>
      </c>
      <c r="F52" s="3">
        <f t="shared" si="1"/>
        <v>179.36334222171055</v>
      </c>
    </row>
    <row r="53" spans="2:10" x14ac:dyDescent="0.3">
      <c r="B53" s="3">
        <f t="shared" si="2"/>
        <v>179.36334222171055</v>
      </c>
      <c r="C53" s="11">
        <f t="shared" si="3"/>
        <v>-45.684742279173093</v>
      </c>
      <c r="D53" s="3">
        <f t="shared" si="0"/>
        <v>-1.3452250666628291</v>
      </c>
      <c r="E53" s="11">
        <f t="shared" si="4"/>
        <v>-44.339517212510266</v>
      </c>
      <c r="F53" s="3">
        <f t="shared" si="1"/>
        <v>135.02382500920029</v>
      </c>
    </row>
    <row r="54" spans="2:10" x14ac:dyDescent="0.3">
      <c r="B54" s="3">
        <f t="shared" si="2"/>
        <v>135.02382500920029</v>
      </c>
      <c r="C54" s="11">
        <f t="shared" si="3"/>
        <v>-45.684742279173093</v>
      </c>
      <c r="D54" s="3">
        <f t="shared" si="0"/>
        <v>-1.0126786875690021</v>
      </c>
      <c r="E54" s="11">
        <f t="shared" si="4"/>
        <v>-44.672063591604093</v>
      </c>
      <c r="F54" s="3">
        <f t="shared" si="1"/>
        <v>90.351761417596208</v>
      </c>
    </row>
    <row r="55" spans="2:10" x14ac:dyDescent="0.3">
      <c r="B55" s="3">
        <f t="shared" si="2"/>
        <v>90.351761417596208</v>
      </c>
      <c r="C55" s="11">
        <f t="shared" si="3"/>
        <v>-45.684742279173093</v>
      </c>
      <c r="D55" s="3">
        <f t="shared" si="0"/>
        <v>-0.67763821063197149</v>
      </c>
      <c r="E55" s="11">
        <f t="shared" si="4"/>
        <v>-45.007104068541125</v>
      </c>
      <c r="F55" s="3">
        <f t="shared" si="1"/>
        <v>45.344657349055083</v>
      </c>
    </row>
    <row r="56" spans="2:10" x14ac:dyDescent="0.3">
      <c r="B56" s="3">
        <f t="shared" si="2"/>
        <v>45.344657349055083</v>
      </c>
      <c r="C56" s="11">
        <f t="shared" si="3"/>
        <v>-45.684742279173093</v>
      </c>
      <c r="D56" s="3">
        <f t="shared" si="0"/>
        <v>-0.34008493011791313</v>
      </c>
      <c r="E56" s="11">
        <f t="shared" si="4"/>
        <v>-45.344657349055183</v>
      </c>
      <c r="F56" s="3">
        <f t="shared" si="1"/>
        <v>-9.9475983006414026E-14</v>
      </c>
    </row>
    <row r="57" spans="2:10" x14ac:dyDescent="0.3">
      <c r="C57" s="4">
        <f>SUM(C33:C56)</f>
        <v>-1096.433814700154</v>
      </c>
      <c r="D57" s="4">
        <f>SUM(D33:D56)</f>
        <v>-96.433814700154244</v>
      </c>
      <c r="E57" s="4">
        <f>SUM(E33:E56)</f>
        <v>-999.99999999999989</v>
      </c>
    </row>
    <row r="58" spans="2:10" x14ac:dyDescent="0.3">
      <c r="C58" s="3"/>
      <c r="D58" s="11"/>
      <c r="E58" s="3"/>
      <c r="F58" s="11"/>
      <c r="J58" s="11"/>
    </row>
    <row r="59" spans="2:10" x14ac:dyDescent="0.3">
      <c r="C59" s="3"/>
      <c r="D59" s="11"/>
      <c r="E59" s="3"/>
      <c r="F59" s="11"/>
      <c r="I59" s="11"/>
    </row>
    <row r="60" spans="2:10" x14ac:dyDescent="0.3">
      <c r="C60" s="3"/>
      <c r="D60" s="11"/>
      <c r="E60" s="3"/>
      <c r="F60" s="11"/>
    </row>
    <row r="61" spans="2:10" x14ac:dyDescent="0.3">
      <c r="C61" s="3"/>
      <c r="D61" s="11"/>
      <c r="E61" s="3"/>
      <c r="F61" s="11"/>
    </row>
    <row r="62" spans="2:10" x14ac:dyDescent="0.3">
      <c r="C62" s="3"/>
      <c r="D62" s="11"/>
      <c r="E62" s="3"/>
      <c r="F62" s="11"/>
    </row>
    <row r="63" spans="2:10" x14ac:dyDescent="0.3">
      <c r="C63" s="3"/>
      <c r="D63" s="11"/>
      <c r="E63" s="3"/>
      <c r="F63" s="11"/>
    </row>
    <row r="64" spans="2:10" x14ac:dyDescent="0.3">
      <c r="C64" s="3"/>
      <c r="D64" s="11"/>
      <c r="E64" s="3"/>
      <c r="F64" s="11"/>
    </row>
    <row r="65" spans="3:6" x14ac:dyDescent="0.3">
      <c r="C65" s="3"/>
      <c r="D65" s="11"/>
      <c r="E65" s="3"/>
      <c r="F65" s="11"/>
    </row>
    <row r="66" spans="3:6" x14ac:dyDescent="0.3">
      <c r="C66" s="3"/>
      <c r="D66" s="11"/>
      <c r="E66" s="3"/>
      <c r="F66" s="11"/>
    </row>
    <row r="67" spans="3:6" x14ac:dyDescent="0.3">
      <c r="C67" s="3"/>
      <c r="D67" s="11"/>
      <c r="E67" s="3"/>
      <c r="F67" s="11"/>
    </row>
    <row r="68" spans="3:6" x14ac:dyDescent="0.3">
      <c r="C68" s="3"/>
      <c r="D68" s="11"/>
      <c r="E68" s="3"/>
      <c r="F68" s="11"/>
    </row>
    <row r="69" spans="3:6" x14ac:dyDescent="0.3">
      <c r="C69" s="3"/>
      <c r="D69" s="11"/>
      <c r="E69" s="3"/>
      <c r="F69" s="11"/>
    </row>
    <row r="70" spans="3:6" x14ac:dyDescent="0.3">
      <c r="C70" s="3"/>
      <c r="D70" s="11"/>
      <c r="E70" s="3"/>
      <c r="F70" s="11"/>
    </row>
    <row r="71" spans="3:6" x14ac:dyDescent="0.3">
      <c r="C71" s="3"/>
      <c r="D71" s="11"/>
      <c r="E71" s="3"/>
      <c r="F71" s="11"/>
    </row>
    <row r="72" spans="3:6" x14ac:dyDescent="0.3">
      <c r="C72" s="3"/>
      <c r="D72" s="11"/>
      <c r="E72" s="3"/>
      <c r="F72" s="11"/>
    </row>
    <row r="73" spans="3:6" x14ac:dyDescent="0.3">
      <c r="C73" s="3"/>
      <c r="D73" s="11"/>
      <c r="E73" s="3"/>
      <c r="F73" s="11"/>
    </row>
    <row r="74" spans="3:6" x14ac:dyDescent="0.3">
      <c r="C74" s="3"/>
      <c r="D74" s="11"/>
      <c r="E74" s="3"/>
      <c r="F74" s="11"/>
    </row>
    <row r="75" spans="3:6" x14ac:dyDescent="0.3">
      <c r="C75" s="3"/>
      <c r="D75" s="11"/>
      <c r="E75" s="3"/>
      <c r="F75" s="11"/>
    </row>
    <row r="76" spans="3:6" x14ac:dyDescent="0.3">
      <c r="C76" s="3"/>
      <c r="D76" s="11"/>
      <c r="E76" s="3"/>
      <c r="F76" s="11"/>
    </row>
  </sheetData>
  <mergeCells count="4">
    <mergeCell ref="B1:D1"/>
    <mergeCell ref="B3:D3"/>
    <mergeCell ref="B31:F31"/>
    <mergeCell ref="E7:F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45FD-FD56-48E0-A1E2-81E445EC7301}">
  <sheetPr>
    <tabColor rgb="FF92D050"/>
  </sheetPr>
  <dimension ref="A1"/>
  <sheetViews>
    <sheetView workbookViewId="0">
      <selection activeCell="K19" sqref="K19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5171-6CC3-43C9-93F5-90C1C5DD95BC}">
  <sheetPr>
    <tabColor rgb="FF92D050"/>
  </sheetPr>
  <dimension ref="A1:J76"/>
  <sheetViews>
    <sheetView workbookViewId="0">
      <selection activeCell="E20" sqref="E20"/>
    </sheetView>
  </sheetViews>
  <sheetFormatPr defaultRowHeight="14.4" x14ac:dyDescent="0.3"/>
  <cols>
    <col min="1" max="1" width="1.109375" style="8" customWidth="1"/>
    <col min="2" max="2" width="50.88671875" bestFit="1" customWidth="1"/>
    <col min="3" max="3" width="16.21875" customWidth="1"/>
    <col min="4" max="4" width="14.44140625" customWidth="1"/>
    <col min="5" max="5" width="32.6640625" bestFit="1" customWidth="1"/>
    <col min="6" max="6" width="14.33203125" customWidth="1"/>
    <col min="7" max="7" width="1.109375" style="14" customWidth="1"/>
    <col min="8" max="8" width="40.88671875" bestFit="1" customWidth="1"/>
    <col min="9" max="9" width="33.88671875" bestFit="1" customWidth="1"/>
    <col min="10" max="10" width="25.6640625" bestFit="1" customWidth="1"/>
    <col min="11" max="11" width="14.109375" customWidth="1"/>
    <col min="12" max="12" width="12.21875" customWidth="1"/>
    <col min="13" max="13" width="12.109375" customWidth="1"/>
  </cols>
  <sheetData>
    <row r="1" spans="2:5" x14ac:dyDescent="0.3">
      <c r="B1" s="45" t="s">
        <v>108</v>
      </c>
      <c r="C1" s="45"/>
      <c r="D1" s="45"/>
      <c r="E1" s="1" t="s">
        <v>138</v>
      </c>
    </row>
    <row r="2" spans="2:5" ht="31.2" x14ac:dyDescent="0.6">
      <c r="B2" s="1" t="s">
        <v>70</v>
      </c>
      <c r="E2" s="32" t="s">
        <v>141</v>
      </c>
    </row>
    <row r="3" spans="2:5" ht="13.2" customHeight="1" x14ac:dyDescent="0.6">
      <c r="B3" s="46"/>
      <c r="C3" s="46"/>
      <c r="D3" s="46"/>
    </row>
    <row r="4" spans="2:5" x14ac:dyDescent="0.3">
      <c r="B4" s="1" t="s">
        <v>101</v>
      </c>
      <c r="C4" s="31" t="s">
        <v>136</v>
      </c>
      <c r="D4" s="31"/>
    </row>
    <row r="5" spans="2:5" x14ac:dyDescent="0.3">
      <c r="B5" t="s">
        <v>111</v>
      </c>
      <c r="C5" s="25">
        <v>0.01</v>
      </c>
    </row>
    <row r="6" spans="2:5" x14ac:dyDescent="0.3">
      <c r="B6" t="s">
        <v>112</v>
      </c>
      <c r="C6" s="26">
        <v>1.2E-2</v>
      </c>
    </row>
    <row r="7" spans="2:5" x14ac:dyDescent="0.3">
      <c r="B7" t="s">
        <v>113</v>
      </c>
      <c r="C7" s="25">
        <v>0.01</v>
      </c>
    </row>
    <row r="8" spans="2:5" x14ac:dyDescent="0.3">
      <c r="B8" t="s">
        <v>114</v>
      </c>
      <c r="C8" s="25">
        <v>0.01</v>
      </c>
    </row>
    <row r="9" spans="2:5" x14ac:dyDescent="0.3">
      <c r="B9" t="s">
        <v>139</v>
      </c>
      <c r="C9" s="36">
        <v>0.09</v>
      </c>
    </row>
    <row r="10" spans="2:5" x14ac:dyDescent="0.3">
      <c r="B10" t="s">
        <v>121</v>
      </c>
    </row>
    <row r="11" spans="2:5" x14ac:dyDescent="0.3">
      <c r="B11" t="s">
        <v>184</v>
      </c>
      <c r="C11" s="2">
        <v>500</v>
      </c>
      <c r="D11" s="2"/>
    </row>
    <row r="12" spans="2:5" x14ac:dyDescent="0.3">
      <c r="B12" t="s">
        <v>48</v>
      </c>
      <c r="C12">
        <v>24</v>
      </c>
    </row>
    <row r="13" spans="2:5" x14ac:dyDescent="0.3">
      <c r="B13" t="s">
        <v>49</v>
      </c>
      <c r="C13" s="36">
        <v>0.09</v>
      </c>
    </row>
    <row r="14" spans="2:5" x14ac:dyDescent="0.3">
      <c r="C14" s="4"/>
      <c r="D14" s="4"/>
    </row>
    <row r="16" spans="2:5" x14ac:dyDescent="0.3">
      <c r="B16" s="1" t="s">
        <v>50</v>
      </c>
      <c r="C16" s="12">
        <f>-+SUM(D33:D56)+C23</f>
        <v>69.216907350077122</v>
      </c>
      <c r="D16" s="10"/>
    </row>
    <row r="18" spans="2:6" x14ac:dyDescent="0.3">
      <c r="B18" s="1" t="s">
        <v>71</v>
      </c>
    </row>
    <row r="19" spans="2:6" x14ac:dyDescent="0.3">
      <c r="B19" t="s">
        <v>111</v>
      </c>
      <c r="C19" s="5">
        <f>C5*C11</f>
        <v>5</v>
      </c>
      <c r="D19" s="5"/>
    </row>
    <row r="20" spans="2:6" x14ac:dyDescent="0.3">
      <c r="B20" t="s">
        <v>112</v>
      </c>
      <c r="C20" s="3">
        <f>C6*C11</f>
        <v>6</v>
      </c>
      <c r="D20" s="3"/>
    </row>
    <row r="21" spans="2:6" x14ac:dyDescent="0.3">
      <c r="B21" t="s">
        <v>113</v>
      </c>
      <c r="C21" s="5">
        <f>C7*C11</f>
        <v>5</v>
      </c>
      <c r="D21" s="5"/>
    </row>
    <row r="22" spans="2:6" x14ac:dyDescent="0.3">
      <c r="B22" t="s">
        <v>114</v>
      </c>
      <c r="C22" s="5">
        <f>C8*C11</f>
        <v>5</v>
      </c>
      <c r="D22" s="5"/>
    </row>
    <row r="23" spans="2:6" ht="15" thickBot="1" x14ac:dyDescent="0.35">
      <c r="B23" t="s">
        <v>54</v>
      </c>
      <c r="C23" s="6">
        <f>SUM(C19:C22)</f>
        <v>21</v>
      </c>
      <c r="D23" s="5"/>
    </row>
    <row r="24" spans="2:6" ht="15" thickTop="1" x14ac:dyDescent="0.3"/>
    <row r="26" spans="2:6" x14ac:dyDescent="0.3">
      <c r="B26" t="s">
        <v>100</v>
      </c>
      <c r="C26" s="23">
        <f>C13/12</f>
        <v>7.4999999999999997E-3</v>
      </c>
    </row>
    <row r="31" spans="2:6" x14ac:dyDescent="0.3">
      <c r="B31" s="42" t="s">
        <v>99</v>
      </c>
      <c r="C31" s="42"/>
      <c r="D31" s="42"/>
      <c r="E31" s="42"/>
      <c r="F31" s="42"/>
    </row>
    <row r="32" spans="2:6" x14ac:dyDescent="0.3">
      <c r="B32" s="1" t="s">
        <v>93</v>
      </c>
      <c r="C32" s="1" t="s">
        <v>96</v>
      </c>
      <c r="D32" s="1" t="s">
        <v>94</v>
      </c>
      <c r="E32" s="1" t="s">
        <v>95</v>
      </c>
      <c r="F32" s="1" t="s">
        <v>97</v>
      </c>
    </row>
    <row r="33" spans="2:8" x14ac:dyDescent="0.3">
      <c r="B33" s="3">
        <f>+C11</f>
        <v>500</v>
      </c>
      <c r="C33" s="11">
        <f>+PMT(C26,C12,C11)</f>
        <v>-22.842371139586547</v>
      </c>
      <c r="D33" s="3">
        <f t="shared" ref="D33:D56" si="0">-+$C$26*B33</f>
        <v>-3.75</v>
      </c>
      <c r="E33" s="11">
        <f>C33-D33</f>
        <v>-19.092371139586547</v>
      </c>
      <c r="F33" s="3">
        <f>B33+E33</f>
        <v>480.90762886041347</v>
      </c>
    </row>
    <row r="34" spans="2:8" x14ac:dyDescent="0.3">
      <c r="B34" s="3">
        <f>+F33</f>
        <v>480.90762886041347</v>
      </c>
      <c r="C34" s="11">
        <f>+C33</f>
        <v>-22.842371139586547</v>
      </c>
      <c r="D34" s="3">
        <f t="shared" si="0"/>
        <v>-3.6068072164531007</v>
      </c>
      <c r="E34" s="11">
        <f>C34-D34</f>
        <v>-19.235563923133448</v>
      </c>
      <c r="F34" s="3">
        <f t="shared" ref="F34:F56" si="1">B34+E34</f>
        <v>461.67206493728003</v>
      </c>
    </row>
    <row r="35" spans="2:8" x14ac:dyDescent="0.3">
      <c r="B35" s="3">
        <f t="shared" ref="B35:B56" si="2">+F34</f>
        <v>461.67206493728003</v>
      </c>
      <c r="C35" s="11">
        <f t="shared" ref="C35:C56" si="3">+C34</f>
        <v>-22.842371139586547</v>
      </c>
      <c r="D35" s="3">
        <f t="shared" si="0"/>
        <v>-3.4625404870295999</v>
      </c>
      <c r="E35" s="11">
        <f t="shared" ref="E35:E56" si="4">C35-D35</f>
        <v>-19.379830652556947</v>
      </c>
      <c r="F35" s="3">
        <f t="shared" si="1"/>
        <v>442.29223428472307</v>
      </c>
    </row>
    <row r="36" spans="2:8" x14ac:dyDescent="0.3">
      <c r="B36" s="3">
        <f t="shared" si="2"/>
        <v>442.29223428472307</v>
      </c>
      <c r="C36" s="11">
        <f t="shared" si="3"/>
        <v>-22.842371139586547</v>
      </c>
      <c r="D36" s="3">
        <f t="shared" si="0"/>
        <v>-3.317191757135423</v>
      </c>
      <c r="E36" s="11">
        <f t="shared" si="4"/>
        <v>-19.525179382451125</v>
      </c>
      <c r="F36" s="3">
        <f t="shared" si="1"/>
        <v>422.76705490227192</v>
      </c>
    </row>
    <row r="37" spans="2:8" ht="15" thickBot="1" x14ac:dyDescent="0.35">
      <c r="B37" s="3">
        <f t="shared" si="2"/>
        <v>422.76705490227192</v>
      </c>
      <c r="C37" s="11">
        <f t="shared" si="3"/>
        <v>-22.842371139586547</v>
      </c>
      <c r="D37" s="3">
        <f t="shared" si="0"/>
        <v>-3.1707529117670394</v>
      </c>
      <c r="E37" s="11">
        <f t="shared" si="4"/>
        <v>-19.671618227819508</v>
      </c>
      <c r="F37" s="3">
        <f t="shared" si="1"/>
        <v>403.0954366744524</v>
      </c>
      <c r="H37" s="1" t="s">
        <v>155</v>
      </c>
    </row>
    <row r="38" spans="2:8" x14ac:dyDescent="0.3">
      <c r="B38" s="3">
        <f t="shared" si="2"/>
        <v>403.0954366744524</v>
      </c>
      <c r="C38" s="11">
        <f t="shared" si="3"/>
        <v>-22.842371139586547</v>
      </c>
      <c r="D38" s="3">
        <f t="shared" si="0"/>
        <v>-3.023215775058393</v>
      </c>
      <c r="E38" s="11">
        <f t="shared" si="4"/>
        <v>-19.819155364528154</v>
      </c>
      <c r="F38" s="3">
        <f t="shared" si="1"/>
        <v>383.27628130992423</v>
      </c>
      <c r="H38" s="49"/>
    </row>
    <row r="39" spans="2:8" x14ac:dyDescent="0.3">
      <c r="B39" s="3">
        <f t="shared" si="2"/>
        <v>383.27628130992423</v>
      </c>
      <c r="C39" s="11">
        <f t="shared" si="3"/>
        <v>-22.842371139586547</v>
      </c>
      <c r="D39" s="3">
        <f t="shared" si="0"/>
        <v>-2.8745721098244315</v>
      </c>
      <c r="E39" s="11">
        <f t="shared" si="4"/>
        <v>-19.967799029762116</v>
      </c>
      <c r="F39" s="3">
        <f t="shared" si="1"/>
        <v>363.30848228016214</v>
      </c>
      <c r="H39" s="50" t="s">
        <v>157</v>
      </c>
    </row>
    <row r="40" spans="2:8" x14ac:dyDescent="0.3">
      <c r="B40" s="3">
        <f t="shared" si="2"/>
        <v>363.30848228016214</v>
      </c>
      <c r="C40" s="11">
        <f t="shared" si="3"/>
        <v>-22.842371139586547</v>
      </c>
      <c r="D40" s="3">
        <f t="shared" si="0"/>
        <v>-2.7248136171012161</v>
      </c>
      <c r="E40" s="11">
        <f t="shared" si="4"/>
        <v>-20.117557522485331</v>
      </c>
      <c r="F40" s="3">
        <f t="shared" si="1"/>
        <v>343.19092475767678</v>
      </c>
      <c r="H40" s="50"/>
    </row>
    <row r="41" spans="2:8" x14ac:dyDescent="0.3">
      <c r="B41" s="3">
        <f t="shared" si="2"/>
        <v>343.19092475767678</v>
      </c>
      <c r="C41" s="11">
        <f t="shared" si="3"/>
        <v>-22.842371139586547</v>
      </c>
      <c r="D41" s="3">
        <f t="shared" si="0"/>
        <v>-2.5739319356825758</v>
      </c>
      <c r="E41" s="11">
        <f t="shared" si="4"/>
        <v>-20.26843920390397</v>
      </c>
      <c r="F41" s="3">
        <f t="shared" si="1"/>
        <v>322.92248555377279</v>
      </c>
      <c r="H41" s="50"/>
    </row>
    <row r="42" spans="2:8" x14ac:dyDescent="0.3">
      <c r="B42" s="3">
        <f t="shared" si="2"/>
        <v>322.92248555377279</v>
      </c>
      <c r="C42" s="11">
        <f t="shared" si="3"/>
        <v>-22.842371139586547</v>
      </c>
      <c r="D42" s="3">
        <f t="shared" si="0"/>
        <v>-2.4219186416532956</v>
      </c>
      <c r="E42" s="11">
        <f t="shared" si="4"/>
        <v>-20.420452497933251</v>
      </c>
      <c r="F42" s="3">
        <f t="shared" si="1"/>
        <v>302.50203305583955</v>
      </c>
      <c r="H42" s="50"/>
    </row>
    <row r="43" spans="2:8" x14ac:dyDescent="0.3">
      <c r="B43" s="3">
        <f t="shared" si="2"/>
        <v>302.50203305583955</v>
      </c>
      <c r="C43" s="11">
        <f t="shared" si="3"/>
        <v>-22.842371139586547</v>
      </c>
      <c r="D43" s="3">
        <f t="shared" si="0"/>
        <v>-2.2687652479187963</v>
      </c>
      <c r="E43" s="11">
        <f t="shared" si="4"/>
        <v>-20.57360589166775</v>
      </c>
      <c r="F43" s="3">
        <f t="shared" si="1"/>
        <v>281.92842716417181</v>
      </c>
      <c r="H43" s="50"/>
    </row>
    <row r="44" spans="2:8" x14ac:dyDescent="0.3">
      <c r="B44" s="3">
        <f t="shared" si="2"/>
        <v>281.92842716417181</v>
      </c>
      <c r="C44" s="11">
        <f t="shared" si="3"/>
        <v>-22.842371139586547</v>
      </c>
      <c r="D44" s="3">
        <f t="shared" si="0"/>
        <v>-2.1144632037312885</v>
      </c>
      <c r="E44" s="11">
        <f t="shared" si="4"/>
        <v>-20.727907935855256</v>
      </c>
      <c r="F44" s="3">
        <f t="shared" si="1"/>
        <v>261.20051922831658</v>
      </c>
      <c r="H44" s="50"/>
    </row>
    <row r="45" spans="2:8" x14ac:dyDescent="0.3">
      <c r="B45" s="3">
        <f t="shared" si="2"/>
        <v>261.20051922831658</v>
      </c>
      <c r="C45" s="11">
        <f t="shared" si="3"/>
        <v>-22.842371139586547</v>
      </c>
      <c r="D45" s="3">
        <f t="shared" si="0"/>
        <v>-1.9590038942123742</v>
      </c>
      <c r="E45" s="11">
        <f t="shared" si="4"/>
        <v>-20.883367245374174</v>
      </c>
      <c r="F45" s="3">
        <f t="shared" si="1"/>
        <v>240.31715198294239</v>
      </c>
      <c r="H45" s="50"/>
    </row>
    <row r="46" spans="2:8" x14ac:dyDescent="0.3">
      <c r="B46" s="3">
        <f t="shared" si="2"/>
        <v>240.31715198294239</v>
      </c>
      <c r="C46" s="11">
        <f t="shared" si="3"/>
        <v>-22.842371139586547</v>
      </c>
      <c r="D46" s="3">
        <f t="shared" si="0"/>
        <v>-1.8023786398720678</v>
      </c>
      <c r="E46" s="11">
        <f t="shared" si="4"/>
        <v>-21.039992499714479</v>
      </c>
      <c r="F46" s="3">
        <f t="shared" si="1"/>
        <v>219.2771594832279</v>
      </c>
      <c r="H46" s="50"/>
    </row>
    <row r="47" spans="2:8" x14ac:dyDescent="0.3">
      <c r="B47" s="3">
        <f t="shared" si="2"/>
        <v>219.2771594832279</v>
      </c>
      <c r="C47" s="11">
        <f t="shared" si="3"/>
        <v>-22.842371139586547</v>
      </c>
      <c r="D47" s="3">
        <f t="shared" si="0"/>
        <v>-1.6445786961242093</v>
      </c>
      <c r="E47" s="11">
        <f t="shared" si="4"/>
        <v>-21.197792443462337</v>
      </c>
      <c r="F47" s="3">
        <f t="shared" si="1"/>
        <v>198.07936703976557</v>
      </c>
      <c r="H47" s="50"/>
    </row>
    <row r="48" spans="2:8" x14ac:dyDescent="0.3">
      <c r="B48" s="3">
        <f t="shared" si="2"/>
        <v>198.07936703976557</v>
      </c>
      <c r="C48" s="11">
        <f t="shared" si="3"/>
        <v>-22.842371139586547</v>
      </c>
      <c r="D48" s="3">
        <f t="shared" si="0"/>
        <v>-1.4855952527982417</v>
      </c>
      <c r="E48" s="11">
        <f t="shared" si="4"/>
        <v>-21.356775886788306</v>
      </c>
      <c r="F48" s="3">
        <f t="shared" si="1"/>
        <v>176.72259115297726</v>
      </c>
      <c r="H48" s="50"/>
    </row>
    <row r="49" spans="2:10" x14ac:dyDescent="0.3">
      <c r="B49" s="3">
        <f t="shared" si="2"/>
        <v>176.72259115297726</v>
      </c>
      <c r="C49" s="11">
        <f t="shared" si="3"/>
        <v>-22.842371139586547</v>
      </c>
      <c r="D49" s="3">
        <f t="shared" si="0"/>
        <v>-1.3254194336473293</v>
      </c>
      <c r="E49" s="11">
        <f t="shared" si="4"/>
        <v>-21.516951705939217</v>
      </c>
      <c r="F49" s="3">
        <f t="shared" si="1"/>
        <v>155.20563944703804</v>
      </c>
      <c r="H49" s="50"/>
    </row>
    <row r="50" spans="2:10" x14ac:dyDescent="0.3">
      <c r="B50" s="3">
        <f t="shared" si="2"/>
        <v>155.20563944703804</v>
      </c>
      <c r="C50" s="11">
        <f t="shared" si="3"/>
        <v>-22.842371139586547</v>
      </c>
      <c r="D50" s="3">
        <f t="shared" si="0"/>
        <v>-1.1640422958527852</v>
      </c>
      <c r="E50" s="11">
        <f t="shared" si="4"/>
        <v>-21.678328843733762</v>
      </c>
      <c r="F50" s="3">
        <f t="shared" si="1"/>
        <v>133.52731060330427</v>
      </c>
      <c r="H50" s="50"/>
    </row>
    <row r="51" spans="2:10" x14ac:dyDescent="0.3">
      <c r="B51" s="3">
        <f t="shared" si="2"/>
        <v>133.52731060330427</v>
      </c>
      <c r="C51" s="11">
        <f t="shared" si="3"/>
        <v>-22.842371139586547</v>
      </c>
      <c r="D51" s="3">
        <f t="shared" si="0"/>
        <v>-1.001454829524782</v>
      </c>
      <c r="E51" s="11">
        <f t="shared" si="4"/>
        <v>-21.840916310061765</v>
      </c>
      <c r="F51" s="3">
        <f t="shared" si="1"/>
        <v>111.6863942932425</v>
      </c>
      <c r="H51" s="50"/>
    </row>
    <row r="52" spans="2:10" ht="15" thickBot="1" x14ac:dyDescent="0.35">
      <c r="B52" s="3">
        <f t="shared" si="2"/>
        <v>111.6863942932425</v>
      </c>
      <c r="C52" s="11">
        <f t="shared" si="3"/>
        <v>-22.842371139586547</v>
      </c>
      <c r="D52" s="3">
        <f t="shared" si="0"/>
        <v>-0.83764795719931873</v>
      </c>
      <c r="E52" s="11">
        <f t="shared" si="4"/>
        <v>-22.004723182387227</v>
      </c>
      <c r="F52" s="3">
        <f t="shared" si="1"/>
        <v>89.681671110855277</v>
      </c>
      <c r="H52" s="51"/>
    </row>
    <row r="53" spans="2:10" x14ac:dyDescent="0.3">
      <c r="B53" s="3">
        <f t="shared" si="2"/>
        <v>89.681671110855277</v>
      </c>
      <c r="C53" s="11">
        <f t="shared" si="3"/>
        <v>-22.842371139586547</v>
      </c>
      <c r="D53" s="3">
        <f t="shared" si="0"/>
        <v>-0.67261253333141457</v>
      </c>
      <c r="E53" s="11">
        <f t="shared" si="4"/>
        <v>-22.169758606255133</v>
      </c>
      <c r="F53" s="3">
        <f t="shared" si="1"/>
        <v>67.511912504600147</v>
      </c>
    </row>
    <row r="54" spans="2:10" x14ac:dyDescent="0.3">
      <c r="B54" s="3">
        <f t="shared" si="2"/>
        <v>67.511912504600147</v>
      </c>
      <c r="C54" s="11">
        <f t="shared" si="3"/>
        <v>-22.842371139586547</v>
      </c>
      <c r="D54" s="3">
        <f t="shared" si="0"/>
        <v>-0.50633934378450107</v>
      </c>
      <c r="E54" s="11">
        <f t="shared" si="4"/>
        <v>-22.336031795802047</v>
      </c>
      <c r="F54" s="3">
        <f t="shared" si="1"/>
        <v>45.175880708798104</v>
      </c>
    </row>
    <row r="55" spans="2:10" x14ac:dyDescent="0.3">
      <c r="B55" s="3">
        <f t="shared" si="2"/>
        <v>45.175880708798104</v>
      </c>
      <c r="C55" s="11">
        <f t="shared" si="3"/>
        <v>-22.842371139586547</v>
      </c>
      <c r="D55" s="3">
        <f t="shared" si="0"/>
        <v>-0.33881910531598575</v>
      </c>
      <c r="E55" s="11">
        <f t="shared" si="4"/>
        <v>-22.503552034270562</v>
      </c>
      <c r="F55" s="3">
        <f t="shared" si="1"/>
        <v>22.672328674527542</v>
      </c>
    </row>
    <row r="56" spans="2:10" x14ac:dyDescent="0.3">
      <c r="B56" s="3">
        <f t="shared" si="2"/>
        <v>22.672328674527542</v>
      </c>
      <c r="C56" s="11">
        <f t="shared" si="3"/>
        <v>-22.842371139586547</v>
      </c>
      <c r="D56" s="3">
        <f t="shared" si="0"/>
        <v>-0.17004246505895657</v>
      </c>
      <c r="E56" s="11">
        <f t="shared" si="4"/>
        <v>-22.672328674527591</v>
      </c>
      <c r="F56" s="3">
        <f t="shared" si="1"/>
        <v>-4.9737991503207013E-14</v>
      </c>
    </row>
    <row r="57" spans="2:10" x14ac:dyDescent="0.3">
      <c r="C57" s="4">
        <f>SUM(C33:C56)</f>
        <v>-548.21690735007701</v>
      </c>
      <c r="D57" s="4">
        <f>SUM(D33:D56)</f>
        <v>-48.216907350077122</v>
      </c>
      <c r="E57" s="4">
        <f>SUM(E33:E56)</f>
        <v>-499.99999999999994</v>
      </c>
    </row>
    <row r="58" spans="2:10" x14ac:dyDescent="0.3">
      <c r="C58" s="3"/>
      <c r="D58" s="11"/>
      <c r="E58" s="3"/>
      <c r="F58" s="11"/>
      <c r="J58" s="11"/>
    </row>
    <row r="59" spans="2:10" x14ac:dyDescent="0.3">
      <c r="C59" s="3"/>
      <c r="D59" s="11"/>
      <c r="E59" s="3"/>
      <c r="F59" s="11"/>
      <c r="I59" s="11"/>
    </row>
    <row r="60" spans="2:10" x14ac:dyDescent="0.3">
      <c r="C60" s="3"/>
      <c r="D60" s="11"/>
      <c r="E60" s="3"/>
      <c r="F60" s="11"/>
    </row>
    <row r="61" spans="2:10" x14ac:dyDescent="0.3">
      <c r="C61" s="3"/>
      <c r="D61" s="11"/>
      <c r="E61" s="3"/>
      <c r="F61" s="11"/>
    </row>
    <row r="62" spans="2:10" x14ac:dyDescent="0.3">
      <c r="C62" s="3"/>
      <c r="D62" s="11"/>
      <c r="E62" s="3"/>
      <c r="F62" s="11"/>
    </row>
    <row r="63" spans="2:10" x14ac:dyDescent="0.3">
      <c r="C63" s="3"/>
      <c r="D63" s="11"/>
      <c r="E63" s="3"/>
      <c r="F63" s="11"/>
    </row>
    <row r="64" spans="2:10" x14ac:dyDescent="0.3">
      <c r="C64" s="3"/>
      <c r="D64" s="11"/>
      <c r="E64" s="3"/>
      <c r="F64" s="11"/>
    </row>
    <row r="65" spans="3:6" x14ac:dyDescent="0.3">
      <c r="C65" s="3"/>
      <c r="D65" s="11"/>
      <c r="E65" s="3"/>
      <c r="F65" s="11"/>
    </row>
    <row r="66" spans="3:6" x14ac:dyDescent="0.3">
      <c r="C66" s="3"/>
      <c r="D66" s="11"/>
      <c r="E66" s="3"/>
      <c r="F66" s="11"/>
    </row>
    <row r="67" spans="3:6" x14ac:dyDescent="0.3">
      <c r="C67" s="3"/>
      <c r="D67" s="11"/>
      <c r="E67" s="3"/>
      <c r="F67" s="11"/>
    </row>
    <row r="68" spans="3:6" x14ac:dyDescent="0.3">
      <c r="C68" s="3"/>
      <c r="D68" s="11"/>
      <c r="E68" s="3"/>
      <c r="F68" s="11"/>
    </row>
    <row r="69" spans="3:6" x14ac:dyDescent="0.3">
      <c r="C69" s="3"/>
      <c r="D69" s="11"/>
      <c r="E69" s="3"/>
      <c r="F69" s="11"/>
    </row>
    <row r="70" spans="3:6" x14ac:dyDescent="0.3">
      <c r="C70" s="3"/>
      <c r="D70" s="11"/>
      <c r="E70" s="3"/>
      <c r="F70" s="11"/>
    </row>
    <row r="71" spans="3:6" x14ac:dyDescent="0.3">
      <c r="C71" s="3"/>
      <c r="D71" s="11"/>
      <c r="E71" s="3"/>
      <c r="F71" s="11"/>
    </row>
    <row r="72" spans="3:6" x14ac:dyDescent="0.3">
      <c r="C72" s="3"/>
      <c r="D72" s="11"/>
      <c r="E72" s="3"/>
      <c r="F72" s="11"/>
    </row>
    <row r="73" spans="3:6" x14ac:dyDescent="0.3">
      <c r="C73" s="3"/>
      <c r="D73" s="11"/>
      <c r="E73" s="3"/>
      <c r="F73" s="11"/>
    </row>
    <row r="74" spans="3:6" x14ac:dyDescent="0.3">
      <c r="C74" s="3"/>
      <c r="D74" s="11"/>
      <c r="E74" s="3"/>
      <c r="F74" s="11"/>
    </row>
    <row r="75" spans="3:6" x14ac:dyDescent="0.3">
      <c r="C75" s="3"/>
      <c r="D75" s="11"/>
      <c r="E75" s="3"/>
      <c r="F75" s="11"/>
    </row>
    <row r="76" spans="3:6" x14ac:dyDescent="0.3">
      <c r="C76" s="3"/>
      <c r="D76" s="11"/>
      <c r="E76" s="3"/>
      <c r="F76" s="11"/>
    </row>
  </sheetData>
  <mergeCells count="3">
    <mergeCell ref="B1:D1"/>
    <mergeCell ref="B3:D3"/>
    <mergeCell ref="B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CIVIL SERVANTS Infor </vt:lpstr>
      <vt:lpstr>SUMMARY </vt:lpstr>
      <vt:lpstr>AGRICULTURE info </vt:lpstr>
      <vt:lpstr>MARKET ANALYSIS-Civil servants </vt:lpstr>
      <vt:lpstr>SCHOOLS ANALYSIS </vt:lpstr>
      <vt:lpstr>CONSTRUCTION -SCHOOLS</vt:lpstr>
      <vt:lpstr>School Funiture Loan</vt:lpstr>
      <vt:lpstr>PENSION ANALYSIS</vt:lpstr>
      <vt:lpstr>School vehicle loan</vt:lpstr>
      <vt:lpstr>STARLINK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Glaides | AFC Commercial Bank</dc:creator>
  <cp:lastModifiedBy>Lloyd Glaides | AFC Commercial Bank</cp:lastModifiedBy>
  <dcterms:created xsi:type="dcterms:W3CDTF">2026-03-09T07:41:36Z</dcterms:created>
  <dcterms:modified xsi:type="dcterms:W3CDTF">2026-03-20T15:45:09Z</dcterms:modified>
</cp:coreProperties>
</file>