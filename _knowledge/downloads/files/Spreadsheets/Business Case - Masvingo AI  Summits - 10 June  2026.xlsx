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165060d6b98135/Desktop/Working Folder/Zimpapers AI Conference Proposal/2026 Summits/Letters  - Nyanga Summit/"/>
    </mc:Choice>
  </mc:AlternateContent>
  <xr:revisionPtr revIDLastSave="0" documentId="8_{A9F50F1C-121B-4883-9D33-0B72FCC121C4}" xr6:coauthVersionLast="36" xr6:coauthVersionMax="36" xr10:uidLastSave="{00000000-0000-0000-0000-000000000000}"/>
  <bookViews>
    <workbookView xWindow="0" yWindow="0" windowWidth="23040" windowHeight="9588" activeTab="1" xr2:uid="{E637D956-0D65-4F97-9442-8E31C7C82B67}"/>
  </bookViews>
  <sheets>
    <sheet name="Model " sheetId="1" r:id="rId1"/>
    <sheet name="Real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N4" i="2" s="1"/>
  <c r="N139" i="2" s="1"/>
  <c r="J4" i="2"/>
  <c r="J139" i="2" s="1"/>
  <c r="I4" i="2"/>
  <c r="I139" i="2" s="1"/>
  <c r="W139" i="2"/>
  <c r="U139" i="2"/>
  <c r="Q139" i="2"/>
  <c r="H139" i="2"/>
  <c r="G139" i="2"/>
  <c r="F139" i="2"/>
  <c r="D117" i="1"/>
  <c r="D126" i="1" s="1"/>
  <c r="D127" i="1" s="1"/>
  <c r="G49" i="1"/>
  <c r="D49" i="1"/>
  <c r="R4" i="2" l="1"/>
  <c r="R139" i="2" s="1"/>
  <c r="L4" i="2"/>
  <c r="L139" i="2" s="1"/>
  <c r="K139" i="2"/>
  <c r="M4" i="2"/>
  <c r="O4" i="2"/>
  <c r="O139" i="2" s="1"/>
  <c r="P4" i="2"/>
  <c r="P139" i="2" s="1"/>
  <c r="S4" i="2"/>
  <c r="S139" i="2" s="1"/>
  <c r="G50" i="1"/>
  <c r="D50" i="1"/>
  <c r="M139" i="2" l="1"/>
  <c r="T4" i="2"/>
  <c r="G40" i="1"/>
  <c r="G39" i="1"/>
  <c r="D52" i="1"/>
  <c r="D51" i="1"/>
  <c r="G25" i="1"/>
  <c r="D25" i="1"/>
  <c r="G140" i="1"/>
  <c r="G141" i="1" s="1"/>
  <c r="E135" i="1"/>
  <c r="F131" i="1"/>
  <c r="F130" i="1"/>
  <c r="F129" i="1"/>
  <c r="G129" i="1" s="1"/>
  <c r="T139" i="2" l="1"/>
  <c r="V4" i="2"/>
  <c r="D76" i="1"/>
  <c r="G78" i="1"/>
  <c r="G77" i="1"/>
  <c r="G76" i="1"/>
  <c r="D77" i="1"/>
  <c r="D78" i="1"/>
  <c r="G34" i="1"/>
  <c r="G28" i="1" s="1"/>
  <c r="D34" i="1"/>
  <c r="V139" i="2" l="1"/>
  <c r="X4" i="2"/>
  <c r="X139" i="2" s="1"/>
  <c r="D28" i="1"/>
  <c r="D31" i="1" s="1"/>
  <c r="D38" i="1"/>
  <c r="G38" i="1"/>
  <c r="G52" i="1"/>
  <c r="G46" i="1"/>
  <c r="G45" i="1"/>
  <c r="D46" i="1"/>
  <c r="D40" i="1" l="1"/>
  <c r="D39" i="1"/>
  <c r="G56" i="1"/>
  <c r="G54" i="1" s="1"/>
  <c r="G35" i="1"/>
  <c r="G33" i="1" s="1"/>
  <c r="G31" i="1"/>
  <c r="D85" i="1" s="1"/>
  <c r="D56" i="1"/>
  <c r="D45" i="1"/>
  <c r="D35" i="1"/>
  <c r="D84" i="1"/>
  <c r="D86" i="1" l="1"/>
  <c r="G42" i="1"/>
  <c r="G41" i="1"/>
  <c r="G48" i="1"/>
  <c r="G44" i="1" s="1"/>
  <c r="D33" i="1"/>
  <c r="D48" i="1" s="1"/>
  <c r="D54" i="1"/>
  <c r="D41" i="1" l="1"/>
  <c r="D42" i="1"/>
  <c r="G37" i="1"/>
  <c r="D90" i="1" s="1"/>
  <c r="D44" i="1"/>
  <c r="G57" i="1" l="1"/>
  <c r="G58" i="1" s="1"/>
  <c r="G68" i="1"/>
  <c r="G70" i="1" s="1"/>
  <c r="D37" i="1"/>
  <c r="D89" i="1" s="1"/>
  <c r="D91" i="1" s="1"/>
  <c r="D93" i="1" s="1"/>
  <c r="D96" i="1" l="1"/>
  <c r="D95" i="1"/>
  <c r="D57" i="1"/>
  <c r="D58" i="1" s="1"/>
  <c r="D64" i="1" s="1"/>
  <c r="D68" i="1"/>
  <c r="G71" i="1"/>
  <c r="H70" i="1"/>
  <c r="G64" i="1"/>
  <c r="G66" i="1" s="1"/>
  <c r="G60" i="1"/>
  <c r="G62" i="1" s="1"/>
  <c r="D60" i="1" l="1"/>
  <c r="H62" i="1"/>
  <c r="G63" i="1"/>
  <c r="G67" i="1"/>
  <c r="H66" i="1"/>
  <c r="D66" i="1"/>
  <c r="D67" i="1" s="1"/>
  <c r="D70" i="1"/>
  <c r="D62" i="1" l="1"/>
  <c r="E66" i="1"/>
  <c r="D71" i="1"/>
  <c r="E70" i="1"/>
  <c r="E62" i="1" l="1"/>
  <c r="D63" i="1"/>
  <c r="D97" i="1"/>
</calcChain>
</file>

<file path=xl/sharedStrings.xml><?xml version="1.0" encoding="utf-8"?>
<sst xmlns="http://schemas.openxmlformats.org/spreadsheetml/2006/main" count="358" uniqueCount="167">
  <si>
    <t xml:space="preserve">Paying Delegates </t>
  </si>
  <si>
    <t xml:space="preserve">Aiia Management </t>
  </si>
  <si>
    <t xml:space="preserve">Zimpapers Management </t>
  </si>
  <si>
    <t>Price per Room</t>
  </si>
  <si>
    <t xml:space="preserve">Venue Costs </t>
  </si>
  <si>
    <t xml:space="preserve">PA System </t>
  </si>
  <si>
    <t xml:space="preserve">Venue Branding </t>
  </si>
  <si>
    <t xml:space="preserve">Total Delegates Income </t>
  </si>
  <si>
    <t xml:space="preserve">Sponsorship Income </t>
  </si>
  <si>
    <t xml:space="preserve">Total Income </t>
  </si>
  <si>
    <t xml:space="preserve">Speakers Fees </t>
  </si>
  <si>
    <t xml:space="preserve">Delegates Gifts </t>
  </si>
  <si>
    <t>Delegates Gifts - Unit Price</t>
  </si>
  <si>
    <t xml:space="preserve">Officials Presents Unit Prices </t>
  </si>
  <si>
    <t xml:space="preserve">Number of Officials </t>
  </si>
  <si>
    <t xml:space="preserve">Venue </t>
  </si>
  <si>
    <t xml:space="preserve">Number of Local Speakers </t>
  </si>
  <si>
    <t xml:space="preserve">Key Speakers </t>
  </si>
  <si>
    <t xml:space="preserve">Key Speaker Fees </t>
  </si>
  <si>
    <t xml:space="preserve">Conference  Days </t>
  </si>
  <si>
    <t xml:space="preserve">Number of Nights </t>
  </si>
  <si>
    <t xml:space="preserve">Non-paying </t>
  </si>
  <si>
    <t xml:space="preserve">Paying </t>
  </si>
  <si>
    <t>Staff</t>
  </si>
  <si>
    <t>Local Flight Costs</t>
  </si>
  <si>
    <t>International Flight Costs</t>
  </si>
  <si>
    <t>Total Delegates</t>
  </si>
  <si>
    <t xml:space="preserve">Paying Delegates Rooms </t>
  </si>
  <si>
    <t>Speakers</t>
  </si>
  <si>
    <t xml:space="preserve">Boat / Activities </t>
  </si>
  <si>
    <t xml:space="preserve">Speaker Fees </t>
  </si>
  <si>
    <t xml:space="preserve">Officials presents </t>
  </si>
  <si>
    <t xml:space="preserve">local flights </t>
  </si>
  <si>
    <t xml:space="preserve">International Flights </t>
  </si>
  <si>
    <t>Inputs</t>
  </si>
  <si>
    <t>MC</t>
  </si>
  <si>
    <t xml:space="preserve">Dinner </t>
  </si>
  <si>
    <t>Dinner</t>
  </si>
  <si>
    <t xml:space="preserve">Number of International Speakers </t>
  </si>
  <si>
    <t xml:space="preserve">USD </t>
  </si>
  <si>
    <t>Other costs (USD)</t>
  </si>
  <si>
    <t xml:space="preserve">Flight Costs  - USD </t>
  </si>
  <si>
    <t>Hotel Costs (USD)</t>
  </si>
  <si>
    <t>AI Tech Forum - Nyanga - Montclair  - May 2026</t>
  </si>
  <si>
    <t xml:space="preserve">National AI Policy Summit  - Nyanga  - Montclair - May </t>
  </si>
  <si>
    <t xml:space="preserve">3 Days </t>
  </si>
  <si>
    <t xml:space="preserve">Tech AI Forum Summit </t>
  </si>
  <si>
    <t xml:space="preserve">1.5Days </t>
  </si>
  <si>
    <t>National AI Policy Summit</t>
  </si>
  <si>
    <t xml:space="preserve">1.5 Days </t>
  </si>
  <si>
    <t>Total Summit Duration*</t>
  </si>
  <si>
    <t>* The 2 Summits will be held in 3 Consecutive Days to Maximisze Delegates numbers</t>
  </si>
  <si>
    <t xml:space="preserve">Total Costs </t>
  </si>
  <si>
    <t xml:space="preserve">Transport </t>
  </si>
  <si>
    <t>Cost/Paying Delegate (Excl Transport)</t>
  </si>
  <si>
    <t>Total Costs / Delegate (Inclusive)</t>
  </si>
  <si>
    <t>Profit/Delegate (Inclusive)</t>
  </si>
  <si>
    <t>Price / Delegate (Inclusive)</t>
  </si>
  <si>
    <t xml:space="preserve">Total Profit </t>
  </si>
  <si>
    <t xml:space="preserve">TechForum </t>
  </si>
  <si>
    <t xml:space="preserve">AI Summit </t>
  </si>
  <si>
    <t>Summit + Dinner</t>
  </si>
  <si>
    <t xml:space="preserve">Summit + Dinner </t>
  </si>
  <si>
    <t>Total Profit  (Summit + Dinner)</t>
  </si>
  <si>
    <t>Profit/Delegate (Summit + Dinner)</t>
  </si>
  <si>
    <t>Price / Delegate (Summit + Dinner)</t>
  </si>
  <si>
    <t>Total Cost/Delegate (Summit + Dinner)</t>
  </si>
  <si>
    <t>Total Cost/Delegate (Summit + Dinner + Hotel)</t>
  </si>
  <si>
    <t>Price / Delegate (Summit + Dinner + Hotel)</t>
  </si>
  <si>
    <t>Profit/Delegate (Summit + Dinner + Hotel)</t>
  </si>
  <si>
    <t>Total Profit  (Summit + Dinner + Hotel )</t>
  </si>
  <si>
    <t>Price/Delegate (USD)</t>
  </si>
  <si>
    <t xml:space="preserve">Price/Delegate (USD) </t>
  </si>
  <si>
    <t>Summit + Hotel + Dinner + Transport (Harare-Nyanga)</t>
  </si>
  <si>
    <t xml:space="preserve">Summit + Hotel + Dinner </t>
  </si>
  <si>
    <t>AI Tech Forum  :  26 - 28 May 2026</t>
  </si>
  <si>
    <t>Check In - 26 May and Check Out - 28 May 2026</t>
  </si>
  <si>
    <t>Check In - 28 May and Check Out - 30 May 2026</t>
  </si>
  <si>
    <t>National AI Policy Summit  :  28 - 30 May 2026</t>
  </si>
  <si>
    <t>Airtime ($2/day/20days)</t>
  </si>
  <si>
    <t>Fuel</t>
  </si>
  <si>
    <t xml:space="preserve">InDrive </t>
  </si>
  <si>
    <t>Fixed payment (Weekly)</t>
  </si>
  <si>
    <t xml:space="preserve">Costs </t>
  </si>
  <si>
    <t xml:space="preserve">Profit </t>
  </si>
  <si>
    <t xml:space="preserve">Total Delegates </t>
  </si>
  <si>
    <t xml:space="preserve">Total </t>
  </si>
  <si>
    <t>Proportion of Delegates (Summit+Hotel+Dinner+Trans)</t>
  </si>
  <si>
    <t>Proportion of Delegates (Summit+Hotel+Dinner)</t>
  </si>
  <si>
    <t xml:space="preserve">Income </t>
  </si>
  <si>
    <t>Boat / Activities  (Great Zimnbabwe Tour)</t>
  </si>
  <si>
    <t>Boat / Activities  (Great Zimbabwe Tour)</t>
  </si>
  <si>
    <t>Proportion of Delegates (Summit+Dinner)</t>
  </si>
  <si>
    <t>PRAZ</t>
  </si>
  <si>
    <t>POTEAZ</t>
  </si>
  <si>
    <t>AFC</t>
  </si>
  <si>
    <t>ZRP</t>
  </si>
  <si>
    <t>ZEC</t>
  </si>
  <si>
    <t>ZERA</t>
  </si>
  <si>
    <t>ZESA</t>
  </si>
  <si>
    <t>AU</t>
  </si>
  <si>
    <t>UZ</t>
  </si>
  <si>
    <t>Total</t>
  </si>
  <si>
    <t>MICT</t>
  </si>
  <si>
    <t xml:space="preserve">Students </t>
  </si>
  <si>
    <t>Aiia</t>
  </si>
  <si>
    <t>Linos</t>
  </si>
  <si>
    <t xml:space="preserve">Econet </t>
  </si>
  <si>
    <t xml:space="preserve">NetOne </t>
  </si>
  <si>
    <t xml:space="preserve">Media </t>
  </si>
  <si>
    <t xml:space="preserve">NSSA </t>
  </si>
  <si>
    <t>POTRAZ</t>
  </si>
  <si>
    <t>Name</t>
  </si>
  <si>
    <t>Mobile</t>
  </si>
  <si>
    <t>org</t>
  </si>
  <si>
    <t>size</t>
  </si>
  <si>
    <t>Hotel</t>
  </si>
  <si>
    <t>Lunch</t>
  </si>
  <si>
    <t xml:space="preserve">gift </t>
  </si>
  <si>
    <t xml:space="preserve">Fee </t>
  </si>
  <si>
    <t>Total Cost</t>
  </si>
  <si>
    <t xml:space="preserve">Paid </t>
  </si>
  <si>
    <t>Dr Dennis Magaya</t>
  </si>
  <si>
    <t>071777 0666</t>
  </si>
  <si>
    <t>2XL</t>
  </si>
  <si>
    <t xml:space="preserve">A. Magaya </t>
  </si>
  <si>
    <t xml:space="preserve">Ms Patiennce Makupeni </t>
  </si>
  <si>
    <t xml:space="preserve">Mr Anesu Gorerokufa </t>
  </si>
  <si>
    <t xml:space="preserve">Mr Godswill Ndlovu </t>
  </si>
  <si>
    <t>Zimpapers</t>
  </si>
  <si>
    <t xml:space="preserve">MICT </t>
  </si>
  <si>
    <t xml:space="preserve">Nyaradzo </t>
  </si>
  <si>
    <t xml:space="preserve">POTRAZ </t>
  </si>
  <si>
    <t xml:space="preserve">ZIMRA </t>
  </si>
  <si>
    <t>CBZ</t>
  </si>
  <si>
    <t xml:space="preserve">Speaker </t>
  </si>
  <si>
    <t>DPC</t>
  </si>
  <si>
    <t>Powertel</t>
  </si>
  <si>
    <t>NBSZ</t>
  </si>
  <si>
    <t xml:space="preserve">MCA </t>
  </si>
  <si>
    <t>CUT</t>
  </si>
  <si>
    <t xml:space="preserve">TelOne </t>
  </si>
  <si>
    <t xml:space="preserve">Mutapa </t>
  </si>
  <si>
    <t>MOSAD</t>
  </si>
  <si>
    <t>ZIMSWITCH</t>
  </si>
  <si>
    <t xml:space="preserve">Innovators </t>
  </si>
  <si>
    <t xml:space="preserve">L. Madziwa </t>
  </si>
  <si>
    <t xml:space="preserve">Individual </t>
  </si>
  <si>
    <t xml:space="preserve">POSB </t>
  </si>
  <si>
    <t xml:space="preserve">ZOU </t>
  </si>
  <si>
    <t xml:space="preserve">ZRP </t>
  </si>
  <si>
    <t xml:space="preserve">President Office </t>
  </si>
  <si>
    <t xml:space="preserve">City Parking </t>
  </si>
  <si>
    <t xml:space="preserve">Fidelity </t>
  </si>
  <si>
    <t>OrionX</t>
  </si>
  <si>
    <t>ZBC</t>
  </si>
  <si>
    <t xml:space="preserve">Mr Robert Rusike </t>
  </si>
  <si>
    <t xml:space="preserve">Aiia </t>
  </si>
  <si>
    <t xml:space="preserve">AFC </t>
  </si>
  <si>
    <t>BancABC</t>
  </si>
  <si>
    <t xml:space="preserve">Musarurwa </t>
  </si>
  <si>
    <t xml:space="preserve">Law Society </t>
  </si>
  <si>
    <t xml:space="preserve">UZ </t>
  </si>
  <si>
    <t>ZIMDEF</t>
  </si>
  <si>
    <t>Mr Tsamba</t>
  </si>
  <si>
    <t xml:space="preserve">Masvingo Province </t>
  </si>
  <si>
    <t xml:space="preserve">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</si>
</sst>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US$-3009]* #,##0.00_-;\-[$US$-3009]* #,##0.00_-;_-[$US$-3009]* &quot;-&quot;??_-;_-@_-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/>
    <xf numFmtId="43" fontId="0" fillId="0" borderId="2" xfId="1" applyFont="1" applyBorder="1"/>
    <xf numFmtId="0" fontId="0" fillId="0" borderId="3" xfId="0" applyBorder="1"/>
    <xf numFmtId="43" fontId="0" fillId="0" borderId="4" xfId="1" applyFont="1" applyBorder="1"/>
    <xf numFmtId="0" fontId="0" fillId="0" borderId="0" xfId="0" applyAlignment="1">
      <alignment horizontal="right"/>
    </xf>
    <xf numFmtId="0" fontId="0" fillId="0" borderId="5" xfId="0" applyBorder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5" xfId="0" applyFont="1" applyBorder="1"/>
    <xf numFmtId="43" fontId="2" fillId="0" borderId="6" xfId="0" applyNumberFormat="1" applyFont="1" applyBorder="1"/>
    <xf numFmtId="43" fontId="0" fillId="0" borderId="6" xfId="1" applyFont="1" applyBorder="1"/>
    <xf numFmtId="43" fontId="2" fillId="0" borderId="6" xfId="1" applyFont="1" applyBorder="1"/>
    <xf numFmtId="43" fontId="2" fillId="0" borderId="4" xfId="1" applyFont="1" applyBorder="1"/>
    <xf numFmtId="0" fontId="0" fillId="0" borderId="2" xfId="0" applyBorder="1"/>
    <xf numFmtId="0" fontId="0" fillId="0" borderId="6" xfId="0" applyBorder="1"/>
    <xf numFmtId="0" fontId="0" fillId="0" borderId="0" xfId="0" applyBorder="1"/>
    <xf numFmtId="43" fontId="0" fillId="0" borderId="0" xfId="1" applyFont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2" fillId="0" borderId="9" xfId="0" applyFont="1" applyBorder="1"/>
    <xf numFmtId="0" fontId="0" fillId="0" borderId="14" xfId="0" applyBorder="1"/>
    <xf numFmtId="43" fontId="0" fillId="0" borderId="4" xfId="1" applyFont="1" applyFill="1" applyBorder="1"/>
    <xf numFmtId="0" fontId="2" fillId="0" borderId="0" xfId="0" applyFont="1" applyBorder="1"/>
    <xf numFmtId="43" fontId="2" fillId="0" borderId="0" xfId="0" applyNumberFormat="1" applyFont="1" applyBorder="1"/>
    <xf numFmtId="164" fontId="0" fillId="0" borderId="0" xfId="0" applyNumberFormat="1" applyBorder="1"/>
    <xf numFmtId="0" fontId="0" fillId="0" borderId="15" xfId="0" applyBorder="1"/>
    <xf numFmtId="43" fontId="0" fillId="0" borderId="10" xfId="1" applyFont="1" applyBorder="1"/>
    <xf numFmtId="0" fontId="2" fillId="0" borderId="11" xfId="0" applyFont="1" applyBorder="1"/>
    <xf numFmtId="0" fontId="0" fillId="0" borderId="5" xfId="0" applyFill="1" applyBorder="1"/>
    <xf numFmtId="0" fontId="0" fillId="0" borderId="1" xfId="0" applyFill="1" applyBorder="1"/>
    <xf numFmtId="0" fontId="0" fillId="0" borderId="3" xfId="0" applyFill="1" applyBorder="1"/>
    <xf numFmtId="9" fontId="0" fillId="0" borderId="0" xfId="2" applyFont="1"/>
    <xf numFmtId="164" fontId="0" fillId="0" borderId="10" xfId="0" applyNumberFormat="1" applyBorder="1"/>
    <xf numFmtId="43" fontId="2" fillId="0" borderId="7" xfId="1" applyFont="1" applyBorder="1"/>
    <xf numFmtId="0" fontId="2" fillId="0" borderId="18" xfId="0" applyFont="1" applyBorder="1"/>
    <xf numFmtId="0" fontId="4" fillId="0" borderId="8" xfId="0" applyFont="1" applyBorder="1"/>
    <xf numFmtId="0" fontId="3" fillId="0" borderId="24" xfId="0" applyFont="1" applyBorder="1"/>
    <xf numFmtId="0" fontId="3" fillId="0" borderId="23" xfId="0" applyFont="1" applyBorder="1" applyAlignment="1">
      <alignment horizontal="center"/>
    </xf>
    <xf numFmtId="0" fontId="4" fillId="0" borderId="0" xfId="0" applyFont="1" applyBorder="1"/>
    <xf numFmtId="0" fontId="4" fillId="0" borderId="9" xfId="0" applyFont="1" applyBorder="1"/>
    <xf numFmtId="43" fontId="4" fillId="0" borderId="21" xfId="1" applyFont="1" applyBorder="1" applyAlignment="1">
      <alignment horizontal="right"/>
    </xf>
    <xf numFmtId="43" fontId="4" fillId="0" borderId="21" xfId="1" applyFont="1" applyBorder="1"/>
    <xf numFmtId="0" fontId="4" fillId="0" borderId="11" xfId="0" applyFont="1" applyBorder="1"/>
    <xf numFmtId="43" fontId="4" fillId="0" borderId="22" xfId="1" applyFont="1" applyBorder="1" applyAlignment="1">
      <alignment horizontal="right"/>
    </xf>
    <xf numFmtId="43" fontId="4" fillId="0" borderId="22" xfId="1" applyFont="1" applyBorder="1"/>
    <xf numFmtId="0" fontId="3" fillId="0" borderId="23" xfId="0" applyFont="1" applyBorder="1"/>
    <xf numFmtId="0" fontId="4" fillId="0" borderId="21" xfId="0" applyFont="1" applyBorder="1"/>
    <xf numFmtId="0" fontId="4" fillId="0" borderId="22" xfId="0" applyFont="1" applyBorder="1"/>
    <xf numFmtId="9" fontId="0" fillId="0" borderId="0" xfId="0" applyNumberFormat="1"/>
    <xf numFmtId="43" fontId="0" fillId="0" borderId="0" xfId="0" applyNumberFormat="1" applyBorder="1"/>
    <xf numFmtId="43" fontId="4" fillId="0" borderId="0" xfId="1" applyFont="1" applyBorder="1" applyAlignment="1">
      <alignment horizontal="right"/>
    </xf>
    <xf numFmtId="43" fontId="4" fillId="0" borderId="10" xfId="1" applyFont="1" applyBorder="1"/>
    <xf numFmtId="9" fontId="4" fillId="0" borderId="0" xfId="1" applyNumberFormat="1" applyFont="1" applyBorder="1" applyAlignment="1">
      <alignment horizontal="right"/>
    </xf>
    <xf numFmtId="0" fontId="4" fillId="0" borderId="25" xfId="0" applyFont="1" applyBorder="1"/>
    <xf numFmtId="0" fontId="3" fillId="0" borderId="9" xfId="0" applyFont="1" applyBorder="1"/>
    <xf numFmtId="43" fontId="3" fillId="0" borderId="0" xfId="1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2" borderId="5" xfId="0" applyFill="1" applyBorder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66" fontId="0" fillId="0" borderId="0" xfId="0" applyNumberFormat="1"/>
    <xf numFmtId="0" fontId="2" fillId="0" borderId="0" xfId="0" applyFont="1"/>
    <xf numFmtId="1" fontId="2" fillId="0" borderId="0" xfId="0" applyNumberFormat="1" applyFont="1"/>
    <xf numFmtId="0" fontId="0" fillId="0" borderId="17" xfId="0" applyBorder="1"/>
    <xf numFmtId="0" fontId="0" fillId="0" borderId="4" xfId="0" applyBorder="1"/>
    <xf numFmtId="0" fontId="0" fillId="0" borderId="27" xfId="0" applyBorder="1"/>
    <xf numFmtId="0" fontId="0" fillId="0" borderId="28" xfId="0" applyBorder="1"/>
    <xf numFmtId="0" fontId="2" fillId="0" borderId="26" xfId="0" applyFont="1" applyBorder="1"/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7" xfId="0" applyFont="1" applyBorder="1"/>
    <xf numFmtId="0" fontId="2" fillId="0" borderId="6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C839-462D-481A-9166-0F165815FED3}">
  <dimension ref="C1:H141"/>
  <sheetViews>
    <sheetView zoomScale="110" zoomScaleNormal="110" workbookViewId="0">
      <selection activeCell="D91" sqref="D91"/>
    </sheetView>
  </sheetViews>
  <sheetFormatPr defaultRowHeight="14.4" x14ac:dyDescent="0.3"/>
  <cols>
    <col min="3" max="3" width="51.21875" customWidth="1"/>
    <col min="4" max="4" width="14.33203125" customWidth="1"/>
    <col min="5" max="5" width="11.44140625" customWidth="1"/>
    <col min="6" max="6" width="51.21875" customWidth="1"/>
    <col min="7" max="7" width="20.77734375" customWidth="1"/>
  </cols>
  <sheetData>
    <row r="1" spans="3:7" x14ac:dyDescent="0.3">
      <c r="C1" t="s">
        <v>43</v>
      </c>
      <c r="F1" t="s">
        <v>44</v>
      </c>
    </row>
    <row r="2" spans="3:7" x14ac:dyDescent="0.3">
      <c r="C2" s="9" t="s">
        <v>34</v>
      </c>
      <c r="D2" s="17"/>
      <c r="F2" s="9" t="s">
        <v>34</v>
      </c>
      <c r="G2" s="17"/>
    </row>
    <row r="3" spans="3:7" x14ac:dyDescent="0.3">
      <c r="C3" s="8" t="s">
        <v>19</v>
      </c>
      <c r="D3" s="18">
        <v>2</v>
      </c>
      <c r="F3" s="8" t="s">
        <v>19</v>
      </c>
      <c r="G3" s="18">
        <v>2</v>
      </c>
    </row>
    <row r="4" spans="3:7" x14ac:dyDescent="0.3">
      <c r="C4" s="8" t="s">
        <v>20</v>
      </c>
      <c r="D4" s="18">
        <v>2</v>
      </c>
      <c r="F4" s="8" t="s">
        <v>20</v>
      </c>
      <c r="G4" s="18">
        <v>2</v>
      </c>
    </row>
    <row r="5" spans="3:7" x14ac:dyDescent="0.3">
      <c r="C5" s="8" t="s">
        <v>0</v>
      </c>
      <c r="D5" s="18">
        <v>40</v>
      </c>
      <c r="F5" s="8" t="s">
        <v>0</v>
      </c>
      <c r="G5" s="18">
        <v>40</v>
      </c>
    </row>
    <row r="6" spans="3:7" x14ac:dyDescent="0.3">
      <c r="C6" s="8" t="s">
        <v>1</v>
      </c>
      <c r="D6" s="18">
        <v>3</v>
      </c>
      <c r="F6" s="8" t="s">
        <v>1</v>
      </c>
      <c r="G6" s="18">
        <v>3</v>
      </c>
    </row>
    <row r="7" spans="3:7" x14ac:dyDescent="0.3">
      <c r="C7" s="8" t="s">
        <v>2</v>
      </c>
      <c r="D7" s="18">
        <v>3</v>
      </c>
      <c r="F7" s="8" t="s">
        <v>2</v>
      </c>
      <c r="G7" s="18">
        <v>3</v>
      </c>
    </row>
    <row r="8" spans="3:7" x14ac:dyDescent="0.3">
      <c r="C8" s="64" t="s">
        <v>3</v>
      </c>
      <c r="D8" s="18">
        <v>80</v>
      </c>
      <c r="F8" s="8" t="s">
        <v>3</v>
      </c>
      <c r="G8" s="18">
        <v>80</v>
      </c>
    </row>
    <row r="9" spans="3:7" x14ac:dyDescent="0.3">
      <c r="C9" s="64" t="s">
        <v>37</v>
      </c>
      <c r="D9" s="18">
        <v>25</v>
      </c>
      <c r="F9" s="8" t="s">
        <v>36</v>
      </c>
      <c r="G9" s="18">
        <v>25</v>
      </c>
    </row>
    <row r="10" spans="3:7" x14ac:dyDescent="0.3">
      <c r="C10" s="8" t="s">
        <v>24</v>
      </c>
      <c r="D10" s="18">
        <v>300</v>
      </c>
      <c r="F10" s="8" t="s">
        <v>24</v>
      </c>
      <c r="G10" s="18">
        <v>300</v>
      </c>
    </row>
    <row r="11" spans="3:7" x14ac:dyDescent="0.3">
      <c r="C11" s="8" t="s">
        <v>25</v>
      </c>
      <c r="D11" s="18">
        <v>450</v>
      </c>
      <c r="F11" s="8" t="s">
        <v>25</v>
      </c>
      <c r="G11" s="18">
        <v>450</v>
      </c>
    </row>
    <row r="12" spans="3:7" x14ac:dyDescent="0.3">
      <c r="C12" s="64" t="s">
        <v>4</v>
      </c>
      <c r="D12" s="18">
        <v>30</v>
      </c>
      <c r="F12" s="8" t="s">
        <v>4</v>
      </c>
      <c r="G12" s="18">
        <v>30</v>
      </c>
    </row>
    <row r="13" spans="3:7" x14ac:dyDescent="0.3">
      <c r="C13" s="8" t="s">
        <v>5</v>
      </c>
      <c r="D13" s="18">
        <v>200</v>
      </c>
      <c r="F13" s="8" t="s">
        <v>5</v>
      </c>
      <c r="G13" s="18">
        <v>200</v>
      </c>
    </row>
    <row r="14" spans="3:7" x14ac:dyDescent="0.3">
      <c r="C14" s="8" t="s">
        <v>6</v>
      </c>
      <c r="D14" s="18">
        <v>500</v>
      </c>
      <c r="F14" s="8" t="s">
        <v>6</v>
      </c>
      <c r="G14" s="18">
        <v>500</v>
      </c>
    </row>
    <row r="15" spans="3:7" x14ac:dyDescent="0.3">
      <c r="C15" s="8" t="s">
        <v>90</v>
      </c>
      <c r="D15" s="18">
        <v>0</v>
      </c>
      <c r="F15" s="8" t="s">
        <v>91</v>
      </c>
      <c r="G15" s="18">
        <v>0</v>
      </c>
    </row>
    <row r="16" spans="3:7" x14ac:dyDescent="0.3">
      <c r="C16" s="8" t="s">
        <v>10</v>
      </c>
      <c r="D16" s="18">
        <v>250</v>
      </c>
      <c r="F16" s="8" t="s">
        <v>10</v>
      </c>
      <c r="G16" s="18">
        <v>250</v>
      </c>
    </row>
    <row r="17" spans="3:7" x14ac:dyDescent="0.3">
      <c r="C17" s="8" t="s">
        <v>17</v>
      </c>
      <c r="D17" s="18">
        <v>1</v>
      </c>
      <c r="F17" s="8" t="s">
        <v>17</v>
      </c>
      <c r="G17" s="18">
        <v>1</v>
      </c>
    </row>
    <row r="18" spans="3:7" x14ac:dyDescent="0.3">
      <c r="C18" s="64" t="s">
        <v>18</v>
      </c>
      <c r="D18" s="18">
        <v>300</v>
      </c>
      <c r="F18" s="8" t="s">
        <v>18</v>
      </c>
      <c r="G18" s="18">
        <v>300</v>
      </c>
    </row>
    <row r="19" spans="3:7" x14ac:dyDescent="0.3">
      <c r="C19" s="8" t="s">
        <v>16</v>
      </c>
      <c r="D19" s="18">
        <v>12</v>
      </c>
      <c r="F19" s="8" t="s">
        <v>16</v>
      </c>
      <c r="G19" s="18">
        <v>12</v>
      </c>
    </row>
    <row r="20" spans="3:7" x14ac:dyDescent="0.3">
      <c r="C20" s="8" t="s">
        <v>38</v>
      </c>
      <c r="D20" s="18">
        <v>0</v>
      </c>
      <c r="F20" s="8" t="s">
        <v>38</v>
      </c>
      <c r="G20" s="18">
        <v>0</v>
      </c>
    </row>
    <row r="21" spans="3:7" x14ac:dyDescent="0.3">
      <c r="C21" s="8" t="s">
        <v>14</v>
      </c>
      <c r="D21" s="18">
        <v>1</v>
      </c>
      <c r="F21" s="8" t="s">
        <v>14</v>
      </c>
      <c r="G21" s="18">
        <v>1</v>
      </c>
    </row>
    <row r="22" spans="3:7" x14ac:dyDescent="0.3">
      <c r="C22" s="64" t="s">
        <v>13</v>
      </c>
      <c r="D22" s="18">
        <v>200</v>
      </c>
      <c r="F22" s="8" t="s">
        <v>13</v>
      </c>
      <c r="G22" s="18">
        <v>200</v>
      </c>
    </row>
    <row r="23" spans="3:7" x14ac:dyDescent="0.3">
      <c r="C23" s="64" t="s">
        <v>12</v>
      </c>
      <c r="D23" s="18">
        <v>30</v>
      </c>
      <c r="F23" s="8" t="s">
        <v>12</v>
      </c>
      <c r="G23" s="18">
        <v>30</v>
      </c>
    </row>
    <row r="24" spans="3:7" x14ac:dyDescent="0.3">
      <c r="C24" s="8" t="s">
        <v>35</v>
      </c>
      <c r="D24" s="18">
        <v>500</v>
      </c>
      <c r="F24" s="8" t="s">
        <v>35</v>
      </c>
      <c r="G24" s="18">
        <v>500</v>
      </c>
    </row>
    <row r="25" spans="3:7" x14ac:dyDescent="0.3">
      <c r="C25" s="5" t="s">
        <v>26</v>
      </c>
      <c r="D25" s="27">
        <f>+D5+D6+D7+D17+D19+D20</f>
        <v>59</v>
      </c>
      <c r="F25" s="5" t="s">
        <v>85</v>
      </c>
      <c r="G25" s="27">
        <f>+G5+G6+G7+G17+G19+G20</f>
        <v>59</v>
      </c>
    </row>
    <row r="27" spans="3:7" x14ac:dyDescent="0.3">
      <c r="D27" s="7" t="s">
        <v>39</v>
      </c>
      <c r="G27" s="7" t="s">
        <v>39</v>
      </c>
    </row>
    <row r="28" spans="3:7" x14ac:dyDescent="0.3">
      <c r="C28" s="3" t="s">
        <v>7</v>
      </c>
      <c r="D28" s="4">
        <f>+D34*D76*D80+D77*D34*D81+D34*D82*D78</f>
        <v>26778</v>
      </c>
      <c r="F28" s="3" t="s">
        <v>7</v>
      </c>
      <c r="G28" s="4">
        <f>+G34*G76*G80+G77*G34*G81+G34*G82*G78</f>
        <v>26778</v>
      </c>
    </row>
    <row r="29" spans="3:7" x14ac:dyDescent="0.3">
      <c r="C29" s="8" t="s">
        <v>8</v>
      </c>
      <c r="D29" s="14">
        <v>7500</v>
      </c>
      <c r="F29" s="8" t="s">
        <v>8</v>
      </c>
      <c r="G29" s="14">
        <v>0</v>
      </c>
    </row>
    <row r="30" spans="3:7" x14ac:dyDescent="0.3">
      <c r="C30" s="8" t="s">
        <v>111</v>
      </c>
      <c r="D30" s="14">
        <v>3000</v>
      </c>
      <c r="F30" s="8"/>
      <c r="G30" s="14"/>
    </row>
    <row r="31" spans="3:7" x14ac:dyDescent="0.3">
      <c r="C31" s="5" t="s">
        <v>9</v>
      </c>
      <c r="D31" s="16">
        <f>SUM(D28:D30)</f>
        <v>37278</v>
      </c>
      <c r="F31" s="5" t="s">
        <v>9</v>
      </c>
      <c r="G31" s="16">
        <f>SUM(G28:G29)</f>
        <v>26778</v>
      </c>
    </row>
    <row r="33" spans="3:7" x14ac:dyDescent="0.3">
      <c r="C33" s="9" t="s">
        <v>26</v>
      </c>
      <c r="D33" s="10">
        <f>SUM(D34:D35)</f>
        <v>59</v>
      </c>
      <c r="E33" s="1"/>
      <c r="F33" s="9" t="s">
        <v>26</v>
      </c>
      <c r="G33" s="10">
        <f>SUM(G34:G35)</f>
        <v>59</v>
      </c>
    </row>
    <row r="34" spans="3:7" x14ac:dyDescent="0.3">
      <c r="C34" s="8" t="s">
        <v>22</v>
      </c>
      <c r="D34" s="11">
        <f>+D5</f>
        <v>40</v>
      </c>
      <c r="E34" s="2"/>
      <c r="F34" s="8" t="s">
        <v>22</v>
      </c>
      <c r="G34" s="11">
        <f>+G5</f>
        <v>40</v>
      </c>
    </row>
    <row r="35" spans="3:7" x14ac:dyDescent="0.3">
      <c r="C35" s="8" t="s">
        <v>21</v>
      </c>
      <c r="D35" s="11">
        <f>+D6+D7+D19+D20+D21</f>
        <v>19</v>
      </c>
      <c r="F35" s="8" t="s">
        <v>21</v>
      </c>
      <c r="G35" s="11">
        <f>+G6+G7+G19+G20+G21</f>
        <v>19</v>
      </c>
    </row>
    <row r="36" spans="3:7" x14ac:dyDescent="0.3">
      <c r="C36" s="8"/>
      <c r="D36" s="11"/>
      <c r="F36" s="8"/>
      <c r="G36" s="11"/>
    </row>
    <row r="37" spans="3:7" x14ac:dyDescent="0.3">
      <c r="C37" s="12" t="s">
        <v>42</v>
      </c>
      <c r="D37" s="13">
        <f>SUM(D38:D42)</f>
        <v>11685</v>
      </c>
      <c r="F37" s="12" t="s">
        <v>42</v>
      </c>
      <c r="G37" s="13">
        <f>SUM(G38:G42)</f>
        <v>11685</v>
      </c>
    </row>
    <row r="38" spans="3:7" x14ac:dyDescent="0.3">
      <c r="C38" s="8" t="s">
        <v>27</v>
      </c>
      <c r="D38" s="14">
        <f>+D34*D8</f>
        <v>3200</v>
      </c>
      <c r="F38" s="8" t="s">
        <v>27</v>
      </c>
      <c r="G38" s="14">
        <f>+G34*G8</f>
        <v>3200</v>
      </c>
    </row>
    <row r="39" spans="3:7" x14ac:dyDescent="0.3">
      <c r="C39" s="8" t="s">
        <v>28</v>
      </c>
      <c r="D39" s="14">
        <f>+(D20+D19)*D8*D4</f>
        <v>1920</v>
      </c>
      <c r="F39" s="8" t="s">
        <v>28</v>
      </c>
      <c r="G39" s="14">
        <f>+(G20+G19)*G8*G4</f>
        <v>1920</v>
      </c>
    </row>
    <row r="40" spans="3:7" x14ac:dyDescent="0.3">
      <c r="C40" s="8" t="s">
        <v>23</v>
      </c>
      <c r="D40" s="14">
        <f>+(D7+D6)*D8*D4</f>
        <v>960</v>
      </c>
      <c r="F40" s="8" t="s">
        <v>23</v>
      </c>
      <c r="G40" s="14">
        <f>+(G7+G6)*G8*G4</f>
        <v>960</v>
      </c>
    </row>
    <row r="41" spans="3:7" x14ac:dyDescent="0.3">
      <c r="C41" s="8" t="s">
        <v>36</v>
      </c>
      <c r="D41" s="14">
        <f>+D9*D33*D4</f>
        <v>2950</v>
      </c>
      <c r="F41" s="8" t="s">
        <v>36</v>
      </c>
      <c r="G41" s="14">
        <f>+G9*G33*G4</f>
        <v>2950</v>
      </c>
    </row>
    <row r="42" spans="3:7" x14ac:dyDescent="0.3">
      <c r="C42" s="8" t="s">
        <v>15</v>
      </c>
      <c r="D42" s="14">
        <f>+D12*D33*1.5</f>
        <v>2655</v>
      </c>
      <c r="F42" s="8" t="s">
        <v>15</v>
      </c>
      <c r="G42" s="14">
        <f>+G12*G33*1.5</f>
        <v>2655</v>
      </c>
    </row>
    <row r="43" spans="3:7" x14ac:dyDescent="0.3">
      <c r="C43" s="8"/>
      <c r="D43" s="14"/>
      <c r="F43" s="8"/>
      <c r="G43" s="14"/>
    </row>
    <row r="44" spans="3:7" x14ac:dyDescent="0.3">
      <c r="C44" s="12" t="s">
        <v>40</v>
      </c>
      <c r="D44" s="15">
        <f>SUM(D45:D52)</f>
        <v>6970</v>
      </c>
      <c r="F44" s="12" t="s">
        <v>40</v>
      </c>
      <c r="G44" s="15">
        <f>SUM(G45:G52)</f>
        <v>6970</v>
      </c>
    </row>
    <row r="45" spans="3:7" x14ac:dyDescent="0.3">
      <c r="C45" s="8" t="s">
        <v>6</v>
      </c>
      <c r="D45" s="14">
        <f>+D14</f>
        <v>500</v>
      </c>
      <c r="F45" s="8" t="s">
        <v>6</v>
      </c>
      <c r="G45" s="14">
        <f>+G14</f>
        <v>500</v>
      </c>
    </row>
    <row r="46" spans="3:7" x14ac:dyDescent="0.3">
      <c r="C46" s="8" t="s">
        <v>5</v>
      </c>
      <c r="D46" s="14">
        <f>+D13*D3</f>
        <v>400</v>
      </c>
      <c r="F46" s="8" t="s">
        <v>5</v>
      </c>
      <c r="G46" s="14">
        <f>+G13*G3</f>
        <v>400</v>
      </c>
    </row>
    <row r="47" spans="3:7" x14ac:dyDescent="0.3">
      <c r="C47" s="8" t="s">
        <v>29</v>
      </c>
      <c r="D47" s="14">
        <v>0</v>
      </c>
      <c r="F47" s="8" t="s">
        <v>29</v>
      </c>
      <c r="G47" s="14">
        <v>0</v>
      </c>
    </row>
    <row r="48" spans="3:7" x14ac:dyDescent="0.3">
      <c r="C48" s="8" t="s">
        <v>11</v>
      </c>
      <c r="D48" s="14">
        <f>+D33*D23</f>
        <v>1770</v>
      </c>
      <c r="F48" s="8" t="s">
        <v>11</v>
      </c>
      <c r="G48" s="14">
        <f>+G33*G23</f>
        <v>1770</v>
      </c>
    </row>
    <row r="49" spans="3:8" x14ac:dyDescent="0.3">
      <c r="C49" s="8" t="s">
        <v>30</v>
      </c>
      <c r="D49" s="14">
        <f>+(D19*D16)+D17*D18</f>
        <v>3300</v>
      </c>
      <c r="F49" s="8" t="s">
        <v>30</v>
      </c>
      <c r="G49" s="14">
        <f>+(G19*G16)+G17*G18</f>
        <v>3300</v>
      </c>
    </row>
    <row r="50" spans="3:8" x14ac:dyDescent="0.3">
      <c r="C50" s="8" t="s">
        <v>35</v>
      </c>
      <c r="D50" s="14">
        <f>+D24</f>
        <v>500</v>
      </c>
      <c r="F50" s="8" t="s">
        <v>35</v>
      </c>
      <c r="G50" s="14">
        <f>+G24</f>
        <v>500</v>
      </c>
    </row>
    <row r="51" spans="3:8" x14ac:dyDescent="0.3">
      <c r="C51" s="8" t="s">
        <v>18</v>
      </c>
      <c r="D51" s="14">
        <f>+D18</f>
        <v>300</v>
      </c>
      <c r="F51" s="8" t="s">
        <v>18</v>
      </c>
      <c r="G51" s="14">
        <v>300</v>
      </c>
    </row>
    <row r="52" spans="3:8" x14ac:dyDescent="0.3">
      <c r="C52" s="8" t="s">
        <v>31</v>
      </c>
      <c r="D52" s="14">
        <f>+D22*D21</f>
        <v>200</v>
      </c>
      <c r="F52" s="8" t="s">
        <v>31</v>
      </c>
      <c r="G52" s="14">
        <f>+G22*G21</f>
        <v>200</v>
      </c>
    </row>
    <row r="53" spans="3:8" x14ac:dyDescent="0.3">
      <c r="C53" s="8"/>
      <c r="D53" s="14"/>
      <c r="F53" s="8"/>
      <c r="G53" s="14"/>
    </row>
    <row r="54" spans="3:8" x14ac:dyDescent="0.3">
      <c r="C54" s="12" t="s">
        <v>41</v>
      </c>
      <c r="D54" s="15">
        <f>SUM(D55:D56)</f>
        <v>0</v>
      </c>
      <c r="F54" s="12" t="s">
        <v>41</v>
      </c>
      <c r="G54" s="15">
        <f>SUM(G55:G56)</f>
        <v>0</v>
      </c>
    </row>
    <row r="55" spans="3:8" x14ac:dyDescent="0.3">
      <c r="C55" s="8" t="s">
        <v>32</v>
      </c>
      <c r="D55" s="14">
        <v>0</v>
      </c>
      <c r="F55" s="8" t="s">
        <v>32</v>
      </c>
      <c r="G55" s="14">
        <v>0</v>
      </c>
    </row>
    <row r="56" spans="3:8" x14ac:dyDescent="0.3">
      <c r="C56" s="5" t="s">
        <v>33</v>
      </c>
      <c r="D56" s="6">
        <f>+D20*D11</f>
        <v>0</v>
      </c>
      <c r="F56" s="5" t="s">
        <v>33</v>
      </c>
      <c r="G56" s="6">
        <f>+G20*G11</f>
        <v>0</v>
      </c>
    </row>
    <row r="57" spans="3:8" x14ac:dyDescent="0.3">
      <c r="C57" s="34" t="s">
        <v>52</v>
      </c>
      <c r="D57" s="20">
        <f>+D54+D44+D37</f>
        <v>18655</v>
      </c>
      <c r="F57" s="34" t="s">
        <v>52</v>
      </c>
      <c r="G57" s="20">
        <f>+G54+G44+G37</f>
        <v>18655</v>
      </c>
    </row>
    <row r="58" spans="3:8" x14ac:dyDescent="0.3">
      <c r="C58" s="34" t="s">
        <v>54</v>
      </c>
      <c r="D58" s="20">
        <f>+D57/D34</f>
        <v>466.375</v>
      </c>
      <c r="F58" s="34" t="s">
        <v>54</v>
      </c>
      <c r="G58" s="20">
        <f>+G57/G34</f>
        <v>466.375</v>
      </c>
    </row>
    <row r="59" spans="3:8" x14ac:dyDescent="0.3">
      <c r="C59" s="34" t="s">
        <v>53</v>
      </c>
      <c r="D59" s="20">
        <v>40</v>
      </c>
      <c r="F59" s="34" t="s">
        <v>53</v>
      </c>
      <c r="G59" s="20">
        <v>40</v>
      </c>
    </row>
    <row r="60" spans="3:8" x14ac:dyDescent="0.3">
      <c r="C60" s="35" t="s">
        <v>55</v>
      </c>
      <c r="D60" s="4">
        <f>+D59+D58</f>
        <v>506.375</v>
      </c>
      <c r="F60" s="35" t="s">
        <v>55</v>
      </c>
      <c r="G60" s="4">
        <f>+G59+G58</f>
        <v>506.375</v>
      </c>
    </row>
    <row r="61" spans="3:8" x14ac:dyDescent="0.3">
      <c r="C61" s="34" t="s">
        <v>57</v>
      </c>
      <c r="D61" s="14">
        <v>765</v>
      </c>
      <c r="F61" s="34" t="s">
        <v>57</v>
      </c>
      <c r="G61" s="14">
        <v>765</v>
      </c>
    </row>
    <row r="62" spans="3:8" x14ac:dyDescent="0.3">
      <c r="C62" s="34" t="s">
        <v>56</v>
      </c>
      <c r="D62" s="14">
        <f>+D61-D60</f>
        <v>258.625</v>
      </c>
      <c r="E62" s="37">
        <f>+D62/D60</f>
        <v>0.51073808936065168</v>
      </c>
      <c r="F62" s="34" t="s">
        <v>56</v>
      </c>
      <c r="G62" s="14">
        <f>+G61-G60</f>
        <v>258.625</v>
      </c>
      <c r="H62" s="37">
        <f>+G62/G60</f>
        <v>0.51073808936065168</v>
      </c>
    </row>
    <row r="63" spans="3:8" x14ac:dyDescent="0.3">
      <c r="C63" s="36" t="s">
        <v>58</v>
      </c>
      <c r="D63" s="6">
        <f>+D62*D5</f>
        <v>10345</v>
      </c>
      <c r="F63" s="36" t="s">
        <v>58</v>
      </c>
      <c r="G63" s="6">
        <f>+G62*G5</f>
        <v>10345</v>
      </c>
    </row>
    <row r="64" spans="3:8" x14ac:dyDescent="0.3">
      <c r="C64" s="35" t="s">
        <v>67</v>
      </c>
      <c r="D64" s="4">
        <f>+D58</f>
        <v>466.375</v>
      </c>
      <c r="F64" s="35" t="s">
        <v>67</v>
      </c>
      <c r="G64" s="4">
        <f>+G58</f>
        <v>466.375</v>
      </c>
    </row>
    <row r="65" spans="3:8" x14ac:dyDescent="0.3">
      <c r="C65" s="34" t="s">
        <v>68</v>
      </c>
      <c r="D65" s="14">
        <v>720</v>
      </c>
      <c r="F65" s="34" t="s">
        <v>68</v>
      </c>
      <c r="G65" s="14">
        <v>720</v>
      </c>
    </row>
    <row r="66" spans="3:8" x14ac:dyDescent="0.3">
      <c r="C66" s="34" t="s">
        <v>69</v>
      </c>
      <c r="D66" s="14">
        <f>+D65-D64</f>
        <v>253.625</v>
      </c>
      <c r="E66" s="37">
        <f>+D66/D64</f>
        <v>0.54382203162690967</v>
      </c>
      <c r="F66" s="34" t="s">
        <v>69</v>
      </c>
      <c r="G66" s="14">
        <f>+G65-G64</f>
        <v>253.625</v>
      </c>
      <c r="H66" s="37">
        <f>+G66/G64</f>
        <v>0.54382203162690967</v>
      </c>
    </row>
    <row r="67" spans="3:8" x14ac:dyDescent="0.3">
      <c r="C67" s="36" t="s">
        <v>70</v>
      </c>
      <c r="D67" s="6">
        <f>+D66*D5</f>
        <v>10145</v>
      </c>
      <c r="F67" s="36" t="s">
        <v>70</v>
      </c>
      <c r="G67" s="6">
        <f>+G66*G5</f>
        <v>10145</v>
      </c>
    </row>
    <row r="68" spans="3:8" x14ac:dyDescent="0.3">
      <c r="C68" s="35" t="s">
        <v>66</v>
      </c>
      <c r="D68" s="4">
        <f>+(D54+D44+D37-D38)/D34</f>
        <v>386.375</v>
      </c>
      <c r="F68" s="35" t="s">
        <v>66</v>
      </c>
      <c r="G68" s="4">
        <f>+(G54+G44+G37-G38)/G34</f>
        <v>386.375</v>
      </c>
    </row>
    <row r="69" spans="3:8" x14ac:dyDescent="0.3">
      <c r="C69" s="34" t="s">
        <v>65</v>
      </c>
      <c r="D69" s="14">
        <v>570</v>
      </c>
      <c r="F69" s="34" t="s">
        <v>65</v>
      </c>
      <c r="G69" s="14">
        <v>570</v>
      </c>
    </row>
    <row r="70" spans="3:8" x14ac:dyDescent="0.3">
      <c r="C70" s="34" t="s">
        <v>64</v>
      </c>
      <c r="D70" s="14">
        <f>+D69-D68</f>
        <v>183.625</v>
      </c>
      <c r="E70" s="37">
        <f>+D70/D68</f>
        <v>0.47525072791976708</v>
      </c>
      <c r="F70" s="34" t="s">
        <v>64</v>
      </c>
      <c r="G70" s="14">
        <f>+G69-G68</f>
        <v>183.625</v>
      </c>
      <c r="H70" s="37">
        <f>+G70/G68</f>
        <v>0.47525072791976708</v>
      </c>
    </row>
    <row r="71" spans="3:8" x14ac:dyDescent="0.3">
      <c r="C71" s="36" t="s">
        <v>63</v>
      </c>
      <c r="D71" s="6">
        <f>+D70*D9</f>
        <v>4590.625</v>
      </c>
      <c r="F71" s="36" t="s">
        <v>63</v>
      </c>
      <c r="G71" s="6">
        <f>+G70*G9</f>
        <v>4590.625</v>
      </c>
    </row>
    <row r="73" spans="3:8" ht="15" thickBot="1" x14ac:dyDescent="0.35">
      <c r="C73" s="28"/>
      <c r="D73" s="29"/>
      <c r="F73" s="28"/>
      <c r="G73" s="29"/>
    </row>
    <row r="74" spans="3:8" ht="16.2" thickBot="1" x14ac:dyDescent="0.35">
      <c r="C74" s="62" t="s">
        <v>75</v>
      </c>
      <c r="D74" s="63"/>
      <c r="E74" s="41"/>
      <c r="F74" s="62" t="s">
        <v>78</v>
      </c>
      <c r="G74" s="63"/>
    </row>
    <row r="75" spans="3:8" ht="15.6" x14ac:dyDescent="0.3">
      <c r="C75" s="51" t="s">
        <v>76</v>
      </c>
      <c r="D75" s="43" t="s">
        <v>71</v>
      </c>
      <c r="E75" s="44"/>
      <c r="F75" s="42" t="s">
        <v>77</v>
      </c>
      <c r="G75" s="43" t="s">
        <v>72</v>
      </c>
    </row>
    <row r="76" spans="3:8" ht="15.6" x14ac:dyDescent="0.3">
      <c r="C76" s="52" t="s">
        <v>73</v>
      </c>
      <c r="D76" s="46">
        <f>+D61</f>
        <v>765</v>
      </c>
      <c r="E76" s="44"/>
      <c r="F76" s="45" t="s">
        <v>73</v>
      </c>
      <c r="G76" s="47">
        <f>+G61</f>
        <v>765</v>
      </c>
    </row>
    <row r="77" spans="3:8" ht="15.6" x14ac:dyDescent="0.3">
      <c r="C77" s="52" t="s">
        <v>74</v>
      </c>
      <c r="D77" s="46">
        <f>+D65</f>
        <v>720</v>
      </c>
      <c r="E77" s="44"/>
      <c r="F77" s="45" t="s">
        <v>74</v>
      </c>
      <c r="G77" s="47">
        <f>+G65</f>
        <v>720</v>
      </c>
    </row>
    <row r="78" spans="3:8" ht="16.2" thickBot="1" x14ac:dyDescent="0.35">
      <c r="C78" s="53" t="s">
        <v>61</v>
      </c>
      <c r="D78" s="49">
        <f>+D69</f>
        <v>570</v>
      </c>
      <c r="E78" s="44"/>
      <c r="F78" s="48" t="s">
        <v>62</v>
      </c>
      <c r="G78" s="50">
        <f>+G69</f>
        <v>570</v>
      </c>
    </row>
    <row r="79" spans="3:8" ht="15.6" x14ac:dyDescent="0.3">
      <c r="C79" s="59"/>
      <c r="D79" s="56"/>
      <c r="E79" s="44"/>
      <c r="F79" s="44"/>
      <c r="G79" s="57"/>
    </row>
    <row r="80" spans="3:8" ht="15.6" x14ac:dyDescent="0.3">
      <c r="C80" s="45" t="s">
        <v>87</v>
      </c>
      <c r="D80" s="58">
        <v>0.01</v>
      </c>
      <c r="E80" s="44"/>
      <c r="F80" s="45" t="s">
        <v>87</v>
      </c>
      <c r="G80" s="58">
        <v>0.01</v>
      </c>
    </row>
    <row r="81" spans="3:7" ht="15.6" x14ac:dyDescent="0.3">
      <c r="C81" s="45" t="s">
        <v>88</v>
      </c>
      <c r="D81" s="58">
        <v>0.65</v>
      </c>
      <c r="E81" s="44"/>
      <c r="F81" s="45" t="s">
        <v>88</v>
      </c>
      <c r="G81" s="58">
        <v>0.65</v>
      </c>
    </row>
    <row r="82" spans="3:7" ht="15.6" x14ac:dyDescent="0.3">
      <c r="C82" s="45" t="s">
        <v>92</v>
      </c>
      <c r="D82" s="58">
        <v>0.34</v>
      </c>
      <c r="E82" s="44"/>
      <c r="F82" s="45" t="s">
        <v>92</v>
      </c>
      <c r="G82" s="58">
        <v>0.34</v>
      </c>
    </row>
    <row r="83" spans="3:7" ht="15.6" x14ac:dyDescent="0.3">
      <c r="C83" s="60" t="s">
        <v>89</v>
      </c>
      <c r="D83" s="56"/>
      <c r="E83" s="44"/>
      <c r="F83" s="44"/>
      <c r="G83" s="57"/>
    </row>
    <row r="84" spans="3:7" ht="15.6" x14ac:dyDescent="0.3">
      <c r="C84" s="26" t="s">
        <v>59</v>
      </c>
      <c r="D84" s="56">
        <f>+D31</f>
        <v>37278</v>
      </c>
      <c r="E84" s="44"/>
      <c r="F84" s="44"/>
      <c r="G84" s="57"/>
    </row>
    <row r="85" spans="3:7" ht="15.6" x14ac:dyDescent="0.3">
      <c r="C85" s="21" t="s">
        <v>60</v>
      </c>
      <c r="D85" s="56">
        <f>+G31</f>
        <v>26778</v>
      </c>
      <c r="E85" s="44"/>
      <c r="F85" s="44"/>
      <c r="G85" s="57"/>
    </row>
    <row r="86" spans="3:7" ht="15.6" x14ac:dyDescent="0.3">
      <c r="C86" s="60" t="s">
        <v>86</v>
      </c>
      <c r="D86" s="61">
        <f>SUM(D84:D85)</f>
        <v>64056</v>
      </c>
      <c r="E86" s="44"/>
      <c r="F86" s="44"/>
      <c r="G86" s="57"/>
    </row>
    <row r="87" spans="3:7" ht="15.6" x14ac:dyDescent="0.3">
      <c r="C87" s="45"/>
      <c r="D87" s="56"/>
      <c r="E87" s="44"/>
      <c r="F87" s="44"/>
      <c r="G87" s="57"/>
    </row>
    <row r="88" spans="3:7" ht="15.6" x14ac:dyDescent="0.3">
      <c r="C88" s="60" t="s">
        <v>83</v>
      </c>
      <c r="D88" s="56"/>
      <c r="E88" s="44"/>
      <c r="F88" s="44"/>
      <c r="G88" s="57"/>
    </row>
    <row r="89" spans="3:7" ht="15.6" x14ac:dyDescent="0.3">
      <c r="C89" s="26" t="s">
        <v>59</v>
      </c>
      <c r="D89" s="56">
        <f>+D37+D44+D54</f>
        <v>18655</v>
      </c>
      <c r="E89" s="44"/>
      <c r="F89" s="44"/>
      <c r="G89" s="57"/>
    </row>
    <row r="90" spans="3:7" ht="15.6" x14ac:dyDescent="0.3">
      <c r="C90" s="21" t="s">
        <v>60</v>
      </c>
      <c r="D90" s="56">
        <f>+G37+G44+G54</f>
        <v>18655</v>
      </c>
      <c r="E90" s="44"/>
      <c r="F90" s="44"/>
      <c r="G90" s="57"/>
    </row>
    <row r="91" spans="3:7" ht="15.6" x14ac:dyDescent="0.3">
      <c r="C91" s="60" t="s">
        <v>86</v>
      </c>
      <c r="D91" s="61">
        <f>SUM(D89:D90)</f>
        <v>37310</v>
      </c>
      <c r="E91" s="44"/>
      <c r="F91" s="44"/>
      <c r="G91" s="57"/>
    </row>
    <row r="92" spans="3:7" ht="15.6" x14ac:dyDescent="0.3">
      <c r="C92" s="45"/>
      <c r="D92" s="56"/>
      <c r="E92" s="44"/>
      <c r="F92" s="44"/>
      <c r="G92" s="57"/>
    </row>
    <row r="93" spans="3:7" ht="15.6" x14ac:dyDescent="0.3">
      <c r="C93" s="45" t="s">
        <v>84</v>
      </c>
      <c r="D93" s="56">
        <f>+D86-D91</f>
        <v>26746</v>
      </c>
      <c r="E93" s="44"/>
      <c r="F93" s="44"/>
      <c r="G93" s="57"/>
    </row>
    <row r="94" spans="3:7" x14ac:dyDescent="0.3">
      <c r="C94" s="21"/>
      <c r="D94" s="19"/>
      <c r="E94" s="30"/>
      <c r="F94" s="19"/>
      <c r="G94" s="38"/>
    </row>
    <row r="95" spans="3:7" x14ac:dyDescent="0.3">
      <c r="C95" s="26" t="s">
        <v>59</v>
      </c>
      <c r="D95" s="4">
        <f>+D93/2</f>
        <v>13373</v>
      </c>
      <c r="E95" s="19"/>
      <c r="F95" s="19"/>
      <c r="G95" s="32"/>
    </row>
    <row r="96" spans="3:7" x14ac:dyDescent="0.3">
      <c r="C96" s="31" t="s">
        <v>60</v>
      </c>
      <c r="D96" s="6">
        <f>+D93/2</f>
        <v>13373</v>
      </c>
      <c r="E96" s="19"/>
      <c r="F96" s="19"/>
      <c r="G96" s="32"/>
    </row>
    <row r="97" spans="3:7" x14ac:dyDescent="0.3">
      <c r="C97" s="40" t="s">
        <v>58</v>
      </c>
      <c r="D97" s="39">
        <f>SUM(D95:D96)</f>
        <v>26746</v>
      </c>
      <c r="E97" s="19"/>
      <c r="F97" s="19"/>
      <c r="G97" s="32"/>
    </row>
    <row r="98" spans="3:7" x14ac:dyDescent="0.3">
      <c r="C98" s="21"/>
      <c r="D98" s="20"/>
      <c r="E98" s="19"/>
      <c r="F98" s="19"/>
      <c r="G98" s="32"/>
    </row>
    <row r="99" spans="3:7" x14ac:dyDescent="0.3">
      <c r="C99" s="21"/>
      <c r="D99" s="19"/>
      <c r="E99" s="19"/>
      <c r="F99" s="19"/>
      <c r="G99" s="22"/>
    </row>
    <row r="100" spans="3:7" x14ac:dyDescent="0.3">
      <c r="C100" s="25" t="s">
        <v>50</v>
      </c>
      <c r="D100" s="28" t="s">
        <v>45</v>
      </c>
      <c r="E100" s="19"/>
      <c r="F100" s="19"/>
      <c r="G100" s="22"/>
    </row>
    <row r="101" spans="3:7" x14ac:dyDescent="0.3">
      <c r="C101" s="21" t="s">
        <v>46</v>
      </c>
      <c r="D101" s="19" t="s">
        <v>47</v>
      </c>
      <c r="E101" s="55"/>
      <c r="F101" s="19"/>
      <c r="G101" s="22"/>
    </row>
    <row r="102" spans="3:7" x14ac:dyDescent="0.3">
      <c r="C102" s="21" t="s">
        <v>48</v>
      </c>
      <c r="D102" s="19" t="s">
        <v>49</v>
      </c>
      <c r="E102" s="55"/>
      <c r="F102" s="19"/>
      <c r="G102" s="22"/>
    </row>
    <row r="103" spans="3:7" x14ac:dyDescent="0.3">
      <c r="C103" s="21"/>
      <c r="D103" s="19"/>
      <c r="E103" s="19"/>
      <c r="F103" s="19"/>
      <c r="G103" s="22"/>
    </row>
    <row r="104" spans="3:7" ht="15" thickBot="1" x14ac:dyDescent="0.35">
      <c r="C104" s="33" t="s">
        <v>51</v>
      </c>
      <c r="D104" s="23"/>
      <c r="E104" s="23"/>
      <c r="F104" s="23"/>
      <c r="G104" s="24"/>
    </row>
    <row r="107" spans="3:7" x14ac:dyDescent="0.3">
      <c r="C107" t="s">
        <v>93</v>
      </c>
      <c r="D107" s="66">
        <v>1</v>
      </c>
    </row>
    <row r="108" spans="3:7" x14ac:dyDescent="0.3">
      <c r="C108" t="s">
        <v>94</v>
      </c>
      <c r="D108" s="67">
        <v>3</v>
      </c>
    </row>
    <row r="109" spans="3:7" x14ac:dyDescent="0.3">
      <c r="C109" t="s">
        <v>95</v>
      </c>
      <c r="D109" s="67">
        <v>6</v>
      </c>
    </row>
    <row r="110" spans="3:7" x14ac:dyDescent="0.3">
      <c r="C110" t="s">
        <v>96</v>
      </c>
      <c r="D110" s="67">
        <v>3</v>
      </c>
    </row>
    <row r="111" spans="3:7" x14ac:dyDescent="0.3">
      <c r="C111" t="s">
        <v>97</v>
      </c>
      <c r="D111" s="67">
        <v>1</v>
      </c>
    </row>
    <row r="112" spans="3:7" x14ac:dyDescent="0.3">
      <c r="C112" t="s">
        <v>110</v>
      </c>
      <c r="D112" s="67">
        <v>0</v>
      </c>
    </row>
    <row r="113" spans="3:4" x14ac:dyDescent="0.3">
      <c r="C113" t="s">
        <v>98</v>
      </c>
      <c r="D113" s="65">
        <v>1</v>
      </c>
    </row>
    <row r="114" spans="3:4" x14ac:dyDescent="0.3">
      <c r="C114" t="s">
        <v>99</v>
      </c>
      <c r="D114" s="68">
        <v>2</v>
      </c>
    </row>
    <row r="115" spans="3:4" x14ac:dyDescent="0.3">
      <c r="C115" t="s">
        <v>100</v>
      </c>
      <c r="D115" s="68">
        <v>2</v>
      </c>
    </row>
    <row r="116" spans="3:4" x14ac:dyDescent="0.3">
      <c r="C116" t="s">
        <v>101</v>
      </c>
      <c r="D116" s="68">
        <v>2</v>
      </c>
    </row>
    <row r="117" spans="3:4" x14ac:dyDescent="0.3">
      <c r="C117" s="69" t="s">
        <v>102</v>
      </c>
      <c r="D117" s="70">
        <f>SUM(D107:D116)</f>
        <v>21</v>
      </c>
    </row>
    <row r="118" spans="3:4" x14ac:dyDescent="0.3">
      <c r="C118" t="s">
        <v>103</v>
      </c>
      <c r="D118" s="68">
        <v>10</v>
      </c>
    </row>
    <row r="119" spans="3:4" x14ac:dyDescent="0.3">
      <c r="C119" t="s">
        <v>104</v>
      </c>
      <c r="D119" s="68">
        <v>10</v>
      </c>
    </row>
    <row r="120" spans="3:4" x14ac:dyDescent="0.3">
      <c r="C120" t="s">
        <v>28</v>
      </c>
      <c r="D120" s="68">
        <v>10</v>
      </c>
    </row>
    <row r="121" spans="3:4" x14ac:dyDescent="0.3">
      <c r="C121" t="s">
        <v>105</v>
      </c>
      <c r="D121" s="68">
        <v>6</v>
      </c>
    </row>
    <row r="122" spans="3:4" x14ac:dyDescent="0.3">
      <c r="C122" t="s">
        <v>106</v>
      </c>
      <c r="D122" s="68">
        <v>1</v>
      </c>
    </row>
    <row r="123" spans="3:4" x14ac:dyDescent="0.3">
      <c r="C123" t="s">
        <v>107</v>
      </c>
      <c r="D123" s="68">
        <v>0</v>
      </c>
    </row>
    <row r="124" spans="3:4" x14ac:dyDescent="0.3">
      <c r="C124" t="s">
        <v>108</v>
      </c>
      <c r="D124" s="68">
        <v>0</v>
      </c>
    </row>
    <row r="125" spans="3:4" x14ac:dyDescent="0.3">
      <c r="C125" t="s">
        <v>109</v>
      </c>
      <c r="D125" s="68">
        <v>5</v>
      </c>
    </row>
    <row r="126" spans="3:4" x14ac:dyDescent="0.3">
      <c r="D126" s="68">
        <f>SUM(D117:D125)</f>
        <v>63</v>
      </c>
    </row>
    <row r="127" spans="3:4" x14ac:dyDescent="0.3">
      <c r="D127" s="68">
        <f>+D126+D5</f>
        <v>103</v>
      </c>
    </row>
    <row r="129" spans="4:7" x14ac:dyDescent="0.3">
      <c r="D129">
        <v>765</v>
      </c>
      <c r="E129" s="37">
        <v>0.03</v>
      </c>
      <c r="F129">
        <f>+E129*D129</f>
        <v>22.95</v>
      </c>
      <c r="G129">
        <f>+F129*70</f>
        <v>1606.5</v>
      </c>
    </row>
    <row r="130" spans="4:7" x14ac:dyDescent="0.3">
      <c r="D130">
        <v>720</v>
      </c>
      <c r="E130" s="54">
        <v>0.03</v>
      </c>
      <c r="F130">
        <f>+E130*D130</f>
        <v>21.599999999999998</v>
      </c>
    </row>
    <row r="131" spans="4:7" x14ac:dyDescent="0.3">
      <c r="D131">
        <v>570</v>
      </c>
      <c r="E131" s="54">
        <v>0.03</v>
      </c>
      <c r="F131">
        <f>+E131*D131</f>
        <v>17.099999999999998</v>
      </c>
    </row>
    <row r="133" spans="4:7" x14ac:dyDescent="0.3">
      <c r="D133" t="s">
        <v>82</v>
      </c>
      <c r="E133">
        <v>50</v>
      </c>
    </row>
    <row r="134" spans="4:7" x14ac:dyDescent="0.3">
      <c r="D134" t="s">
        <v>80</v>
      </c>
      <c r="E134" s="7" t="s">
        <v>81</v>
      </c>
    </row>
    <row r="135" spans="4:7" x14ac:dyDescent="0.3">
      <c r="D135" t="s">
        <v>79</v>
      </c>
      <c r="E135">
        <f>2*2*5</f>
        <v>20</v>
      </c>
    </row>
    <row r="140" spans="4:7" x14ac:dyDescent="0.3">
      <c r="G140">
        <f>47.5/2.5</f>
        <v>19</v>
      </c>
    </row>
    <row r="141" spans="4:7" x14ac:dyDescent="0.3">
      <c r="G141">
        <f>+G140*0.9</f>
        <v>17.100000000000001</v>
      </c>
    </row>
  </sheetData>
  <mergeCells count="2">
    <mergeCell ref="C74:D74"/>
    <mergeCell ref="F74:G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B2D7-C2E0-46FD-8AC9-12E615E0FA30}">
  <dimension ref="B2:X139"/>
  <sheetViews>
    <sheetView tabSelected="1" topLeftCell="A79" workbookViewId="0">
      <selection activeCell="H22" sqref="H22"/>
    </sheetView>
  </sheetViews>
  <sheetFormatPr defaultRowHeight="14.4" x14ac:dyDescent="0.3"/>
  <cols>
    <col min="2" max="2" width="24.109375" customWidth="1"/>
    <col min="3" max="3" width="12" customWidth="1"/>
    <col min="4" max="4" width="16.44140625" customWidth="1"/>
    <col min="5" max="5" width="14.88671875" customWidth="1"/>
    <col min="6" max="6" width="12.21875" customWidth="1"/>
    <col min="7" max="7" width="12.77734375" customWidth="1"/>
  </cols>
  <sheetData>
    <row r="2" spans="2:24" x14ac:dyDescent="0.3">
      <c r="B2" s="69"/>
      <c r="C2" s="69"/>
      <c r="D2" s="69"/>
      <c r="E2" s="69"/>
      <c r="F2" s="75"/>
      <c r="G2" s="75"/>
      <c r="H2" s="76">
        <v>15</v>
      </c>
      <c r="I2" s="77"/>
      <c r="J2" s="78"/>
      <c r="K2" s="76">
        <v>16</v>
      </c>
      <c r="L2" s="77"/>
      <c r="M2" s="78"/>
      <c r="N2" s="76">
        <v>17</v>
      </c>
      <c r="O2" s="77"/>
      <c r="P2" s="77"/>
      <c r="Q2" s="78"/>
      <c r="R2" s="76">
        <v>18</v>
      </c>
      <c r="S2" s="77"/>
      <c r="T2" s="78"/>
      <c r="U2" s="75">
        <v>19</v>
      </c>
      <c r="V2" s="75"/>
      <c r="W2" s="75"/>
      <c r="X2" s="75"/>
    </row>
    <row r="3" spans="2:24" x14ac:dyDescent="0.3">
      <c r="B3" s="69" t="s">
        <v>112</v>
      </c>
      <c r="C3" s="69" t="s">
        <v>113</v>
      </c>
      <c r="D3" s="69" t="s">
        <v>114</v>
      </c>
      <c r="E3" s="69" t="s">
        <v>115</v>
      </c>
      <c r="F3" s="79" t="s">
        <v>118</v>
      </c>
      <c r="G3" s="79" t="s">
        <v>119</v>
      </c>
      <c r="H3" s="12" t="s">
        <v>53</v>
      </c>
      <c r="I3" s="28" t="s">
        <v>36</v>
      </c>
      <c r="J3" s="80" t="s">
        <v>116</v>
      </c>
      <c r="K3" s="12" t="s">
        <v>117</v>
      </c>
      <c r="L3" s="28" t="s">
        <v>36</v>
      </c>
      <c r="M3" s="80" t="s">
        <v>116</v>
      </c>
      <c r="N3" s="12" t="s">
        <v>117</v>
      </c>
      <c r="O3" s="28" t="s">
        <v>36</v>
      </c>
      <c r="P3" s="28" t="s">
        <v>116</v>
      </c>
      <c r="Q3" s="80" t="s">
        <v>53</v>
      </c>
      <c r="R3" s="12" t="s">
        <v>117</v>
      </c>
      <c r="S3" s="28" t="s">
        <v>36</v>
      </c>
      <c r="T3" s="80" t="s">
        <v>116</v>
      </c>
      <c r="U3" s="79" t="s">
        <v>53</v>
      </c>
      <c r="V3" s="79" t="s">
        <v>120</v>
      </c>
      <c r="W3" s="79" t="s">
        <v>121</v>
      </c>
      <c r="X3" s="79" t="s">
        <v>84</v>
      </c>
    </row>
    <row r="4" spans="2:24" x14ac:dyDescent="0.3">
      <c r="B4" t="s">
        <v>122</v>
      </c>
      <c r="C4" t="s">
        <v>123</v>
      </c>
      <c r="D4" t="s">
        <v>105</v>
      </c>
      <c r="E4" t="s">
        <v>124</v>
      </c>
      <c r="F4" s="73">
        <v>35</v>
      </c>
      <c r="G4" s="73">
        <v>250</v>
      </c>
      <c r="H4" s="8">
        <v>0</v>
      </c>
      <c r="I4" s="19">
        <f>+'Model '!D9</f>
        <v>25</v>
      </c>
      <c r="J4" s="18">
        <f>+'Model '!D8</f>
        <v>80</v>
      </c>
      <c r="K4" s="8">
        <f>+'Model '!D12</f>
        <v>30</v>
      </c>
      <c r="L4" s="19">
        <f>+I4</f>
        <v>25</v>
      </c>
      <c r="M4" s="18">
        <f>+J4</f>
        <v>80</v>
      </c>
      <c r="N4" s="8">
        <f>+K4</f>
        <v>30</v>
      </c>
      <c r="O4" s="19">
        <f>+I4</f>
        <v>25</v>
      </c>
      <c r="P4" s="19">
        <f>+J4</f>
        <v>80</v>
      </c>
      <c r="Q4" s="18"/>
      <c r="R4" s="8">
        <f>+K4</f>
        <v>30</v>
      </c>
      <c r="S4" s="19">
        <f>+I4</f>
        <v>25</v>
      </c>
      <c r="T4" s="18">
        <f>+M4</f>
        <v>80</v>
      </c>
      <c r="U4" s="73"/>
      <c r="V4" s="73">
        <f>SUM(F4:U4)</f>
        <v>795</v>
      </c>
      <c r="W4" s="73">
        <v>0</v>
      </c>
      <c r="X4" s="73">
        <f>+W4-V4</f>
        <v>-795</v>
      </c>
    </row>
    <row r="5" spans="2:24" x14ac:dyDescent="0.3">
      <c r="B5" t="s">
        <v>125</v>
      </c>
      <c r="D5" t="s">
        <v>105</v>
      </c>
      <c r="F5" s="73"/>
      <c r="G5" s="73"/>
      <c r="H5" s="8"/>
      <c r="I5" s="19"/>
      <c r="J5" s="18"/>
      <c r="K5" s="8"/>
      <c r="L5" s="19"/>
      <c r="M5" s="18"/>
      <c r="N5" s="8"/>
      <c r="O5" s="19"/>
      <c r="P5" s="19"/>
      <c r="Q5" s="18"/>
      <c r="R5" s="8"/>
      <c r="S5" s="19"/>
      <c r="T5" s="18"/>
      <c r="U5" s="73"/>
      <c r="V5" s="73"/>
      <c r="W5" s="73"/>
      <c r="X5" s="73"/>
    </row>
    <row r="6" spans="2:24" x14ac:dyDescent="0.3">
      <c r="B6" t="s">
        <v>126</v>
      </c>
      <c r="D6" t="s">
        <v>105</v>
      </c>
      <c r="F6" s="73"/>
      <c r="G6" s="73"/>
      <c r="H6" s="8"/>
      <c r="I6" s="19"/>
      <c r="J6" s="18"/>
      <c r="K6" s="8"/>
      <c r="L6" s="19"/>
      <c r="M6" s="18"/>
      <c r="N6" s="8"/>
      <c r="O6" s="19"/>
      <c r="P6" s="19"/>
      <c r="Q6" s="18"/>
      <c r="R6" s="8"/>
      <c r="S6" s="19"/>
      <c r="T6" s="18"/>
      <c r="U6" s="73"/>
      <c r="V6" s="73"/>
      <c r="W6" s="73"/>
      <c r="X6" s="73"/>
    </row>
    <row r="7" spans="2:24" x14ac:dyDescent="0.3">
      <c r="B7" t="s">
        <v>127</v>
      </c>
      <c r="D7" t="s">
        <v>105</v>
      </c>
      <c r="F7" s="73"/>
      <c r="G7" s="73"/>
      <c r="H7" s="8"/>
      <c r="I7" s="19"/>
      <c r="J7" s="18"/>
      <c r="K7" s="8"/>
      <c r="L7" s="19"/>
      <c r="M7" s="18"/>
      <c r="N7" s="8"/>
      <c r="O7" s="19"/>
      <c r="P7" s="19"/>
      <c r="Q7" s="18"/>
      <c r="R7" s="8"/>
      <c r="S7" s="19"/>
      <c r="T7" s="18"/>
      <c r="U7" s="73"/>
      <c r="V7" s="73"/>
      <c r="W7" s="73"/>
      <c r="X7" s="73"/>
    </row>
    <row r="8" spans="2:24" x14ac:dyDescent="0.3">
      <c r="B8" t="s">
        <v>128</v>
      </c>
      <c r="D8" t="s">
        <v>105</v>
      </c>
      <c r="F8" s="73"/>
      <c r="G8" s="73"/>
      <c r="H8" s="8"/>
      <c r="I8" s="19"/>
      <c r="J8" s="18"/>
      <c r="K8" s="8"/>
      <c r="L8" s="19"/>
      <c r="M8" s="18"/>
      <c r="N8" s="8"/>
      <c r="O8" s="19"/>
      <c r="P8" s="19"/>
      <c r="Q8" s="18"/>
      <c r="R8" s="8"/>
      <c r="S8" s="19"/>
      <c r="T8" s="18"/>
      <c r="U8" s="73"/>
      <c r="V8" s="73"/>
      <c r="W8" s="73"/>
      <c r="X8" s="73"/>
    </row>
    <row r="9" spans="2:24" x14ac:dyDescent="0.3">
      <c r="F9" s="73"/>
      <c r="G9" s="73"/>
      <c r="H9" s="8"/>
      <c r="I9" s="19"/>
      <c r="J9" s="18"/>
      <c r="K9" s="8"/>
      <c r="L9" s="19"/>
      <c r="M9" s="18"/>
      <c r="N9" s="8"/>
      <c r="O9" s="19"/>
      <c r="P9" s="19"/>
      <c r="Q9" s="18"/>
      <c r="R9" s="8"/>
      <c r="S9" s="19"/>
      <c r="T9" s="18"/>
      <c r="U9" s="73"/>
      <c r="V9" s="73"/>
      <c r="W9" s="73"/>
      <c r="X9" s="73"/>
    </row>
    <row r="10" spans="2:24" x14ac:dyDescent="0.3">
      <c r="F10" s="73"/>
      <c r="G10" s="73"/>
      <c r="H10" s="8"/>
      <c r="I10" s="19"/>
      <c r="J10" s="18"/>
      <c r="K10" s="8"/>
      <c r="L10" s="19"/>
      <c r="M10" s="18"/>
      <c r="N10" s="8"/>
      <c r="O10" s="19"/>
      <c r="P10" s="19"/>
      <c r="Q10" s="18"/>
      <c r="R10" s="8"/>
      <c r="S10" s="19"/>
      <c r="T10" s="18"/>
      <c r="U10" s="73"/>
      <c r="V10" s="73"/>
      <c r="W10" s="73"/>
      <c r="X10" s="73"/>
    </row>
    <row r="11" spans="2:24" x14ac:dyDescent="0.3">
      <c r="B11" t="s">
        <v>156</v>
      </c>
      <c r="D11" t="s">
        <v>157</v>
      </c>
      <c r="F11" s="73"/>
      <c r="G11" s="73"/>
      <c r="H11" s="8"/>
      <c r="I11" s="19"/>
      <c r="J11" s="18"/>
      <c r="K11" s="8"/>
      <c r="L11" s="19"/>
      <c r="M11" s="18"/>
      <c r="N11" s="8"/>
      <c r="O11" s="19"/>
      <c r="P11" s="19"/>
      <c r="Q11" s="18"/>
      <c r="R11" s="8"/>
      <c r="S11" s="19"/>
      <c r="T11" s="18"/>
      <c r="U11" s="73"/>
      <c r="V11" s="73"/>
      <c r="W11" s="73"/>
      <c r="X11" s="73"/>
    </row>
    <row r="12" spans="2:24" x14ac:dyDescent="0.3">
      <c r="D12" t="s">
        <v>129</v>
      </c>
      <c r="F12" s="73"/>
      <c r="G12" s="73"/>
      <c r="H12" s="8"/>
      <c r="I12" s="19"/>
      <c r="J12" s="18"/>
      <c r="K12" s="8"/>
      <c r="L12" s="19"/>
      <c r="M12" s="18"/>
      <c r="N12" s="8"/>
      <c r="O12" s="19"/>
      <c r="P12" s="19"/>
      <c r="Q12" s="18"/>
      <c r="R12" s="8"/>
      <c r="S12" s="19"/>
      <c r="T12" s="18"/>
      <c r="U12" s="73"/>
      <c r="V12" s="73"/>
      <c r="W12" s="73"/>
      <c r="X12" s="73"/>
    </row>
    <row r="13" spans="2:24" x14ac:dyDescent="0.3">
      <c r="D13" t="s">
        <v>129</v>
      </c>
      <c r="F13" s="73"/>
      <c r="G13" s="73"/>
      <c r="H13" s="8"/>
      <c r="I13" s="19"/>
      <c r="J13" s="18"/>
      <c r="K13" s="8"/>
      <c r="L13" s="19"/>
      <c r="M13" s="18"/>
      <c r="N13" s="8"/>
      <c r="O13" s="19"/>
      <c r="P13" s="19"/>
      <c r="Q13" s="18"/>
      <c r="R13" s="8"/>
      <c r="S13" s="19"/>
      <c r="T13" s="18"/>
      <c r="U13" s="73"/>
      <c r="V13" s="73"/>
      <c r="W13" s="73"/>
      <c r="X13" s="73"/>
    </row>
    <row r="14" spans="2:24" x14ac:dyDescent="0.3">
      <c r="D14" t="s">
        <v>129</v>
      </c>
      <c r="F14" s="73"/>
      <c r="G14" s="73"/>
      <c r="H14" s="8"/>
      <c r="I14" s="19"/>
      <c r="J14" s="18"/>
      <c r="K14" s="8"/>
      <c r="L14" s="19"/>
      <c r="M14" s="18"/>
      <c r="N14" s="8"/>
      <c r="O14" s="19"/>
      <c r="P14" s="19"/>
      <c r="Q14" s="18"/>
      <c r="R14" s="8"/>
      <c r="S14" s="19"/>
      <c r="T14" s="18"/>
      <c r="U14" s="73"/>
      <c r="V14" s="73"/>
      <c r="W14" s="73"/>
      <c r="X14" s="73"/>
    </row>
    <row r="15" spans="2:24" x14ac:dyDescent="0.3">
      <c r="D15" t="s">
        <v>130</v>
      </c>
      <c r="F15" s="73"/>
      <c r="G15" s="73"/>
      <c r="H15" s="8"/>
      <c r="I15" s="19"/>
      <c r="J15" s="18"/>
      <c r="K15" s="8"/>
      <c r="L15" s="19"/>
      <c r="M15" s="18"/>
      <c r="N15" s="8"/>
      <c r="O15" s="19"/>
      <c r="P15" s="19"/>
      <c r="Q15" s="18"/>
      <c r="R15" s="8"/>
      <c r="S15" s="19"/>
      <c r="T15" s="18"/>
      <c r="U15" s="73"/>
      <c r="V15" s="73"/>
      <c r="W15" s="73"/>
      <c r="X15" s="73"/>
    </row>
    <row r="16" spans="2:24" x14ac:dyDescent="0.3">
      <c r="D16" t="s">
        <v>130</v>
      </c>
      <c r="F16" s="73"/>
      <c r="G16" s="73"/>
      <c r="H16" s="8"/>
      <c r="I16" s="19"/>
      <c r="J16" s="18"/>
      <c r="K16" s="8"/>
      <c r="L16" s="19"/>
      <c r="M16" s="18"/>
      <c r="N16" s="8"/>
      <c r="O16" s="19"/>
      <c r="P16" s="19"/>
      <c r="Q16" s="18"/>
      <c r="R16" s="8"/>
      <c r="S16" s="19"/>
      <c r="T16" s="18"/>
      <c r="U16" s="73"/>
      <c r="V16" s="73"/>
      <c r="W16" s="73"/>
      <c r="X16" s="73"/>
    </row>
    <row r="17" spans="4:24" x14ac:dyDescent="0.3">
      <c r="D17" t="s">
        <v>130</v>
      </c>
      <c r="F17" s="73"/>
      <c r="G17" s="73"/>
      <c r="H17" s="8"/>
      <c r="I17" s="19"/>
      <c r="J17" s="18"/>
      <c r="K17" s="8"/>
      <c r="L17" s="19"/>
      <c r="M17" s="18"/>
      <c r="N17" s="8"/>
      <c r="O17" s="19"/>
      <c r="P17" s="19"/>
      <c r="Q17" s="18"/>
      <c r="R17" s="8"/>
      <c r="S17" s="19"/>
      <c r="T17" s="18"/>
      <c r="U17" s="73"/>
      <c r="V17" s="73"/>
      <c r="W17" s="73"/>
      <c r="X17" s="73"/>
    </row>
    <row r="18" spans="4:24" x14ac:dyDescent="0.3">
      <c r="D18" t="s">
        <v>130</v>
      </c>
      <c r="F18" s="73"/>
      <c r="G18" s="73"/>
      <c r="H18" s="8"/>
      <c r="I18" s="19"/>
      <c r="J18" s="18"/>
      <c r="K18" s="8"/>
      <c r="L18" s="19"/>
      <c r="M18" s="18"/>
      <c r="N18" s="8"/>
      <c r="O18" s="19"/>
      <c r="P18" s="19"/>
      <c r="Q18" s="18"/>
      <c r="R18" s="8"/>
      <c r="S18" s="19"/>
      <c r="T18" s="18"/>
      <c r="U18" s="73"/>
      <c r="V18" s="73"/>
      <c r="W18" s="73"/>
      <c r="X18" s="73"/>
    </row>
    <row r="19" spans="4:24" x14ac:dyDescent="0.3">
      <c r="D19" t="s">
        <v>130</v>
      </c>
      <c r="F19" s="73"/>
      <c r="G19" s="73"/>
      <c r="H19" s="8"/>
      <c r="I19" s="19"/>
      <c r="J19" s="18"/>
      <c r="K19" s="8"/>
      <c r="L19" s="19"/>
      <c r="M19" s="18"/>
      <c r="N19" s="8"/>
      <c r="O19" s="19"/>
      <c r="P19" s="19"/>
      <c r="Q19" s="18"/>
      <c r="R19" s="8"/>
      <c r="S19" s="19"/>
      <c r="T19" s="18"/>
      <c r="U19" s="73"/>
      <c r="V19" s="73"/>
      <c r="W19" s="73"/>
      <c r="X19" s="73"/>
    </row>
    <row r="20" spans="4:24" x14ac:dyDescent="0.3">
      <c r="D20" t="s">
        <v>130</v>
      </c>
      <c r="F20" s="73"/>
      <c r="G20" s="73"/>
      <c r="H20" s="8"/>
      <c r="I20" s="19"/>
      <c r="J20" s="18"/>
      <c r="K20" s="8"/>
      <c r="L20" s="19"/>
      <c r="M20" s="18"/>
      <c r="N20" s="8"/>
      <c r="O20" s="19"/>
      <c r="P20" s="19"/>
      <c r="Q20" s="18"/>
      <c r="R20" s="8"/>
      <c r="S20" s="19"/>
      <c r="T20" s="18"/>
      <c r="U20" s="73"/>
      <c r="V20" s="73"/>
      <c r="W20" s="73"/>
      <c r="X20" s="73"/>
    </row>
    <row r="21" spans="4:24" x14ac:dyDescent="0.3">
      <c r="D21" t="s">
        <v>35</v>
      </c>
      <c r="F21" s="73"/>
      <c r="G21" s="73"/>
      <c r="H21" s="8"/>
      <c r="I21" s="19"/>
      <c r="J21" s="18"/>
      <c r="K21" s="8"/>
      <c r="L21" s="19"/>
      <c r="M21" s="18"/>
      <c r="N21" s="8"/>
      <c r="O21" s="19"/>
      <c r="P21" s="19"/>
      <c r="Q21" s="18"/>
      <c r="R21" s="8"/>
      <c r="S21" s="19"/>
      <c r="T21" s="18"/>
      <c r="U21" s="73"/>
      <c r="V21" s="73"/>
      <c r="W21" s="73"/>
      <c r="X21" s="73"/>
    </row>
    <row r="22" spans="4:24" x14ac:dyDescent="0.3">
      <c r="D22" t="s">
        <v>135</v>
      </c>
      <c r="F22" s="73"/>
      <c r="G22" s="73"/>
      <c r="H22" s="8"/>
      <c r="I22" s="19"/>
      <c r="J22" s="18"/>
      <c r="K22" s="8"/>
      <c r="L22" s="19"/>
      <c r="M22" s="18"/>
      <c r="N22" s="8"/>
      <c r="O22" s="19"/>
      <c r="P22" s="19"/>
      <c r="Q22" s="18"/>
      <c r="R22" s="8"/>
      <c r="S22" s="19"/>
      <c r="T22" s="18"/>
      <c r="U22" s="73"/>
      <c r="V22" s="73"/>
      <c r="W22" s="73"/>
      <c r="X22" s="73"/>
    </row>
    <row r="23" spans="4:24" x14ac:dyDescent="0.3">
      <c r="D23" t="s">
        <v>135</v>
      </c>
      <c r="F23" s="73"/>
      <c r="G23" s="73"/>
      <c r="H23" s="8"/>
      <c r="I23" s="19"/>
      <c r="J23" s="18"/>
      <c r="K23" s="8"/>
      <c r="L23" s="19"/>
      <c r="M23" s="18"/>
      <c r="N23" s="8"/>
      <c r="O23" s="19"/>
      <c r="P23" s="19"/>
      <c r="Q23" s="18"/>
      <c r="R23" s="8"/>
      <c r="S23" s="19"/>
      <c r="T23" s="18"/>
      <c r="U23" s="73"/>
      <c r="V23" s="73"/>
      <c r="W23" s="73"/>
      <c r="X23" s="73"/>
    </row>
    <row r="24" spans="4:24" x14ac:dyDescent="0.3">
      <c r="D24" t="s">
        <v>135</v>
      </c>
      <c r="F24" s="73"/>
      <c r="G24" s="73"/>
      <c r="H24" s="8"/>
      <c r="I24" s="19"/>
      <c r="J24" s="18"/>
      <c r="K24" s="8"/>
      <c r="L24" s="19"/>
      <c r="M24" s="18"/>
      <c r="N24" s="8"/>
      <c r="O24" s="19"/>
      <c r="P24" s="19"/>
      <c r="Q24" s="18"/>
      <c r="R24" s="8"/>
      <c r="S24" s="19"/>
      <c r="T24" s="18"/>
      <c r="U24" s="73"/>
      <c r="V24" s="73"/>
      <c r="W24" s="73"/>
      <c r="X24" s="73"/>
    </row>
    <row r="25" spans="4:24" x14ac:dyDescent="0.3">
      <c r="D25" t="s">
        <v>135</v>
      </c>
      <c r="F25" s="73"/>
      <c r="G25" s="73"/>
      <c r="H25" s="8"/>
      <c r="I25" s="19"/>
      <c r="J25" s="18"/>
      <c r="K25" s="8"/>
      <c r="L25" s="19"/>
      <c r="M25" s="18"/>
      <c r="N25" s="8"/>
      <c r="O25" s="19"/>
      <c r="P25" s="19"/>
      <c r="Q25" s="18"/>
      <c r="R25" s="8"/>
      <c r="S25" s="19"/>
      <c r="T25" s="18"/>
      <c r="U25" s="73"/>
      <c r="V25" s="73"/>
      <c r="W25" s="73"/>
      <c r="X25" s="73"/>
    </row>
    <row r="26" spans="4:24" x14ac:dyDescent="0.3">
      <c r="D26" t="s">
        <v>135</v>
      </c>
      <c r="F26" s="73"/>
      <c r="G26" s="73"/>
      <c r="H26" s="8"/>
      <c r="I26" s="19"/>
      <c r="J26" s="18"/>
      <c r="K26" s="8"/>
      <c r="L26" s="19"/>
      <c r="M26" s="18"/>
      <c r="N26" s="8"/>
      <c r="O26" s="19"/>
      <c r="P26" s="19"/>
      <c r="Q26" s="18"/>
      <c r="R26" s="8"/>
      <c r="S26" s="19"/>
      <c r="T26" s="18"/>
      <c r="U26" s="73"/>
      <c r="V26" s="73"/>
      <c r="W26" s="73"/>
      <c r="X26" s="73"/>
    </row>
    <row r="27" spans="4:24" x14ac:dyDescent="0.3">
      <c r="D27" t="s">
        <v>135</v>
      </c>
      <c r="F27" s="73"/>
      <c r="G27" s="73"/>
      <c r="H27" s="8"/>
      <c r="I27" s="19"/>
      <c r="J27" s="18"/>
      <c r="K27" s="8"/>
      <c r="L27" s="19"/>
      <c r="M27" s="18"/>
      <c r="N27" s="8"/>
      <c r="O27" s="19"/>
      <c r="P27" s="19"/>
      <c r="Q27" s="18"/>
      <c r="R27" s="8"/>
      <c r="S27" s="19"/>
      <c r="T27" s="18"/>
      <c r="U27" s="73"/>
      <c r="V27" s="73"/>
      <c r="W27" s="73"/>
      <c r="X27" s="73"/>
    </row>
    <row r="28" spans="4:24" x14ac:dyDescent="0.3">
      <c r="D28" t="s">
        <v>135</v>
      </c>
      <c r="F28" s="73"/>
      <c r="G28" s="73"/>
      <c r="H28" s="8"/>
      <c r="I28" s="19"/>
      <c r="J28" s="18"/>
      <c r="K28" s="8"/>
      <c r="L28" s="19"/>
      <c r="M28" s="18"/>
      <c r="N28" s="8"/>
      <c r="O28" s="19"/>
      <c r="P28" s="19"/>
      <c r="Q28" s="18"/>
      <c r="R28" s="8"/>
      <c r="S28" s="19"/>
      <c r="T28" s="18"/>
      <c r="U28" s="73"/>
      <c r="V28" s="73"/>
      <c r="W28" s="73"/>
      <c r="X28" s="73"/>
    </row>
    <row r="29" spans="4:24" x14ac:dyDescent="0.3">
      <c r="D29" t="s">
        <v>135</v>
      </c>
      <c r="F29" s="73"/>
      <c r="G29" s="73"/>
      <c r="H29" s="8"/>
      <c r="I29" s="19"/>
      <c r="J29" s="18"/>
      <c r="K29" s="8"/>
      <c r="L29" s="19"/>
      <c r="M29" s="18"/>
      <c r="N29" s="8"/>
      <c r="O29" s="19"/>
      <c r="P29" s="19"/>
      <c r="Q29" s="18"/>
      <c r="R29" s="8"/>
      <c r="S29" s="19"/>
      <c r="T29" s="18"/>
      <c r="U29" s="73"/>
      <c r="V29" s="73"/>
      <c r="W29" s="73"/>
      <c r="X29" s="73"/>
    </row>
    <row r="30" spans="4:24" x14ac:dyDescent="0.3">
      <c r="D30" t="s">
        <v>135</v>
      </c>
      <c r="F30" s="73"/>
      <c r="G30" s="73"/>
      <c r="H30" s="8"/>
      <c r="I30" s="19"/>
      <c r="J30" s="18"/>
      <c r="K30" s="8"/>
      <c r="L30" s="19"/>
      <c r="M30" s="18"/>
      <c r="N30" s="8"/>
      <c r="O30" s="19"/>
      <c r="P30" s="19"/>
      <c r="Q30" s="18"/>
      <c r="R30" s="8"/>
      <c r="S30" s="19"/>
      <c r="T30" s="18"/>
      <c r="U30" s="73"/>
      <c r="V30" s="73"/>
      <c r="W30" s="73"/>
      <c r="X30" s="73"/>
    </row>
    <row r="31" spans="4:24" x14ac:dyDescent="0.3">
      <c r="D31" t="s">
        <v>135</v>
      </c>
      <c r="F31" s="73"/>
      <c r="G31" s="73"/>
      <c r="H31" s="8"/>
      <c r="I31" s="19"/>
      <c r="J31" s="18"/>
      <c r="K31" s="8"/>
      <c r="L31" s="19"/>
      <c r="M31" s="18"/>
      <c r="N31" s="8"/>
      <c r="O31" s="19"/>
      <c r="P31" s="19"/>
      <c r="Q31" s="18"/>
      <c r="R31" s="8"/>
      <c r="S31" s="19"/>
      <c r="T31" s="18"/>
      <c r="U31" s="73"/>
      <c r="V31" s="73"/>
      <c r="W31" s="73"/>
      <c r="X31" s="73"/>
    </row>
    <row r="32" spans="4:24" x14ac:dyDescent="0.3">
      <c r="D32" t="s">
        <v>135</v>
      </c>
      <c r="F32" s="73"/>
      <c r="G32" s="73"/>
      <c r="H32" s="8"/>
      <c r="I32" s="19"/>
      <c r="J32" s="18"/>
      <c r="K32" s="8"/>
      <c r="L32" s="19"/>
      <c r="M32" s="18"/>
      <c r="N32" s="8"/>
      <c r="O32" s="19"/>
      <c r="P32" s="19"/>
      <c r="Q32" s="18"/>
      <c r="R32" s="8"/>
      <c r="S32" s="19"/>
      <c r="T32" s="18"/>
      <c r="U32" s="73"/>
      <c r="V32" s="73"/>
      <c r="W32" s="73"/>
      <c r="X32" s="73"/>
    </row>
    <row r="33" spans="4:24" x14ac:dyDescent="0.3">
      <c r="D33" t="s">
        <v>135</v>
      </c>
      <c r="F33" s="73"/>
      <c r="G33" s="73"/>
      <c r="H33" s="8"/>
      <c r="I33" s="19"/>
      <c r="J33" s="18"/>
      <c r="K33" s="8"/>
      <c r="L33" s="19"/>
      <c r="M33" s="18"/>
      <c r="N33" s="8"/>
      <c r="O33" s="19"/>
      <c r="P33" s="19"/>
      <c r="Q33" s="18"/>
      <c r="R33" s="8"/>
      <c r="S33" s="19"/>
      <c r="T33" s="18"/>
      <c r="U33" s="73"/>
      <c r="V33" s="73"/>
      <c r="W33" s="73"/>
      <c r="X33" s="73"/>
    </row>
    <row r="34" spans="4:24" x14ac:dyDescent="0.3">
      <c r="D34" t="s">
        <v>135</v>
      </c>
      <c r="F34" s="73"/>
      <c r="G34" s="73"/>
      <c r="H34" s="8"/>
      <c r="I34" s="19"/>
      <c r="J34" s="18"/>
      <c r="K34" s="8"/>
      <c r="L34" s="19"/>
      <c r="M34" s="18"/>
      <c r="N34" s="8"/>
      <c r="O34" s="19"/>
      <c r="P34" s="19"/>
      <c r="Q34" s="18"/>
      <c r="R34" s="8"/>
      <c r="S34" s="19"/>
      <c r="T34" s="18"/>
      <c r="U34" s="73"/>
      <c r="V34" s="73"/>
      <c r="W34" s="73"/>
      <c r="X34" s="73"/>
    </row>
    <row r="35" spans="4:24" x14ac:dyDescent="0.3">
      <c r="D35" t="s">
        <v>135</v>
      </c>
      <c r="F35" s="73"/>
      <c r="G35" s="73"/>
      <c r="H35" s="8"/>
      <c r="I35" s="19"/>
      <c r="J35" s="18"/>
      <c r="K35" s="8"/>
      <c r="L35" s="19"/>
      <c r="M35" s="18"/>
      <c r="N35" s="8"/>
      <c r="O35" s="19"/>
      <c r="P35" s="19"/>
      <c r="Q35" s="18"/>
      <c r="R35" s="8"/>
      <c r="S35" s="19"/>
      <c r="T35" s="18"/>
      <c r="U35" s="73"/>
      <c r="V35" s="73"/>
      <c r="W35" s="73"/>
      <c r="X35" s="73"/>
    </row>
    <row r="36" spans="4:24" x14ac:dyDescent="0.3">
      <c r="D36" t="s">
        <v>135</v>
      </c>
      <c r="F36" s="73"/>
      <c r="G36" s="73"/>
      <c r="H36" s="8"/>
      <c r="I36" s="19"/>
      <c r="J36" s="18"/>
      <c r="K36" s="8"/>
      <c r="L36" s="19"/>
      <c r="M36" s="18"/>
      <c r="N36" s="8"/>
      <c r="O36" s="19"/>
      <c r="P36" s="19"/>
      <c r="Q36" s="18"/>
      <c r="R36" s="8"/>
      <c r="S36" s="19"/>
      <c r="T36" s="18"/>
      <c r="U36" s="73"/>
      <c r="V36" s="73"/>
      <c r="W36" s="73"/>
      <c r="X36" s="73"/>
    </row>
    <row r="37" spans="4:24" x14ac:dyDescent="0.3">
      <c r="D37" t="s">
        <v>135</v>
      </c>
      <c r="F37" s="73"/>
      <c r="G37" s="73"/>
      <c r="H37" s="8"/>
      <c r="I37" s="19"/>
      <c r="J37" s="18"/>
      <c r="K37" s="8"/>
      <c r="L37" s="19"/>
      <c r="M37" s="18"/>
      <c r="N37" s="8"/>
      <c r="O37" s="19"/>
      <c r="P37" s="19"/>
      <c r="Q37" s="18"/>
      <c r="R37" s="8"/>
      <c r="S37" s="19"/>
      <c r="T37" s="18"/>
      <c r="U37" s="73"/>
      <c r="V37" s="73"/>
      <c r="W37" s="73"/>
      <c r="X37" s="73"/>
    </row>
    <row r="38" spans="4:24" x14ac:dyDescent="0.3">
      <c r="D38" t="s">
        <v>135</v>
      </c>
      <c r="F38" s="73"/>
      <c r="G38" s="73"/>
      <c r="H38" s="8"/>
      <c r="I38" s="19"/>
      <c r="J38" s="18"/>
      <c r="K38" s="8"/>
      <c r="L38" s="19"/>
      <c r="M38" s="18"/>
      <c r="N38" s="8"/>
      <c r="O38" s="19"/>
      <c r="P38" s="19"/>
      <c r="Q38" s="18"/>
      <c r="R38" s="8"/>
      <c r="S38" s="19"/>
      <c r="T38" s="18"/>
      <c r="U38" s="73"/>
      <c r="V38" s="73"/>
      <c r="W38" s="73"/>
      <c r="X38" s="73"/>
    </row>
    <row r="39" spans="4:24" x14ac:dyDescent="0.3">
      <c r="D39" t="s">
        <v>135</v>
      </c>
      <c r="F39" s="73"/>
      <c r="G39" s="73"/>
      <c r="H39" s="8"/>
      <c r="I39" s="19"/>
      <c r="J39" s="18"/>
      <c r="K39" s="8"/>
      <c r="L39" s="19"/>
      <c r="M39" s="18"/>
      <c r="N39" s="8"/>
      <c r="O39" s="19"/>
      <c r="P39" s="19"/>
      <c r="Q39" s="18"/>
      <c r="R39" s="8"/>
      <c r="S39" s="19"/>
      <c r="T39" s="18"/>
      <c r="U39" s="73"/>
      <c r="V39" s="73"/>
      <c r="W39" s="73"/>
      <c r="X39" s="73"/>
    </row>
    <row r="40" spans="4:24" x14ac:dyDescent="0.3">
      <c r="D40" t="s">
        <v>135</v>
      </c>
      <c r="F40" s="73"/>
      <c r="G40" s="73"/>
      <c r="H40" s="8"/>
      <c r="I40" s="19"/>
      <c r="J40" s="18"/>
      <c r="K40" s="8"/>
      <c r="L40" s="19"/>
      <c r="M40" s="18"/>
      <c r="N40" s="8"/>
      <c r="O40" s="19"/>
      <c r="P40" s="19"/>
      <c r="Q40" s="18"/>
      <c r="R40" s="8"/>
      <c r="S40" s="19"/>
      <c r="T40" s="18"/>
      <c r="U40" s="73"/>
      <c r="V40" s="73"/>
      <c r="W40" s="73"/>
      <c r="X40" s="73"/>
    </row>
    <row r="41" spans="4:24" x14ac:dyDescent="0.3">
      <c r="D41" t="s">
        <v>135</v>
      </c>
      <c r="F41" s="73"/>
      <c r="G41" s="73"/>
      <c r="H41" s="8"/>
      <c r="I41" s="19"/>
      <c r="J41" s="18"/>
      <c r="K41" s="8"/>
      <c r="L41" s="19"/>
      <c r="M41" s="18"/>
      <c r="N41" s="8"/>
      <c r="O41" s="19"/>
      <c r="P41" s="19"/>
      <c r="Q41" s="18"/>
      <c r="R41" s="8"/>
      <c r="S41" s="19"/>
      <c r="T41" s="18"/>
      <c r="U41" s="73"/>
      <c r="V41" s="73"/>
      <c r="W41" s="73"/>
      <c r="X41" s="73"/>
    </row>
    <row r="42" spans="4:24" x14ac:dyDescent="0.3">
      <c r="D42" t="s">
        <v>135</v>
      </c>
      <c r="F42" s="73"/>
      <c r="G42" s="73"/>
      <c r="H42" s="8"/>
      <c r="I42" s="19"/>
      <c r="J42" s="18"/>
      <c r="K42" s="8"/>
      <c r="L42" s="19"/>
      <c r="M42" s="18"/>
      <c r="N42" s="8"/>
      <c r="O42" s="19"/>
      <c r="P42" s="19"/>
      <c r="Q42" s="18"/>
      <c r="R42" s="8"/>
      <c r="S42" s="19"/>
      <c r="T42" s="18"/>
      <c r="U42" s="73"/>
      <c r="V42" s="73"/>
      <c r="W42" s="73"/>
      <c r="X42" s="73"/>
    </row>
    <row r="43" spans="4:24" x14ac:dyDescent="0.3">
      <c r="D43" t="s">
        <v>131</v>
      </c>
      <c r="F43" s="73"/>
      <c r="G43" s="73"/>
      <c r="H43" s="8"/>
      <c r="I43" s="19"/>
      <c r="J43" s="18"/>
      <c r="K43" s="8"/>
      <c r="L43" s="19"/>
      <c r="M43" s="18"/>
      <c r="N43" s="8"/>
      <c r="O43" s="19"/>
      <c r="P43" s="19"/>
      <c r="Q43" s="18"/>
      <c r="R43" s="8"/>
      <c r="S43" s="19"/>
      <c r="T43" s="18"/>
      <c r="U43" s="73"/>
      <c r="V43" s="73"/>
      <c r="W43" s="73"/>
      <c r="X43" s="73"/>
    </row>
    <row r="44" spans="4:24" x14ac:dyDescent="0.3">
      <c r="D44" t="s">
        <v>131</v>
      </c>
      <c r="F44" s="73"/>
      <c r="G44" s="73"/>
      <c r="H44" s="8"/>
      <c r="I44" s="19"/>
      <c r="J44" s="18"/>
      <c r="K44" s="8"/>
      <c r="L44" s="19"/>
      <c r="M44" s="18"/>
      <c r="N44" s="8"/>
      <c r="O44" s="19"/>
      <c r="P44" s="19"/>
      <c r="Q44" s="18"/>
      <c r="R44" s="8"/>
      <c r="S44" s="19"/>
      <c r="T44" s="18"/>
      <c r="U44" s="73"/>
      <c r="V44" s="73"/>
      <c r="W44" s="73"/>
      <c r="X44" s="73"/>
    </row>
    <row r="45" spans="4:24" x14ac:dyDescent="0.3">
      <c r="D45" t="s">
        <v>131</v>
      </c>
      <c r="F45" s="73"/>
      <c r="G45" s="73"/>
      <c r="H45" s="8"/>
      <c r="I45" s="19"/>
      <c r="J45" s="18"/>
      <c r="K45" s="8"/>
      <c r="L45" s="19"/>
      <c r="M45" s="18"/>
      <c r="N45" s="8"/>
      <c r="O45" s="19"/>
      <c r="P45" s="19"/>
      <c r="Q45" s="18"/>
      <c r="R45" s="8"/>
      <c r="S45" s="19"/>
      <c r="T45" s="18"/>
      <c r="U45" s="73"/>
      <c r="V45" s="73"/>
      <c r="W45" s="73"/>
      <c r="X45" s="73"/>
    </row>
    <row r="46" spans="4:24" x14ac:dyDescent="0.3">
      <c r="D46" t="s">
        <v>132</v>
      </c>
      <c r="F46" s="73"/>
      <c r="G46" s="73"/>
      <c r="H46" s="8"/>
      <c r="I46" s="19"/>
      <c r="J46" s="18"/>
      <c r="K46" s="8"/>
      <c r="L46" s="19"/>
      <c r="M46" s="18"/>
      <c r="N46" s="8"/>
      <c r="O46" s="19"/>
      <c r="P46" s="19"/>
      <c r="Q46" s="18"/>
      <c r="R46" s="8"/>
      <c r="S46" s="19"/>
      <c r="T46" s="18"/>
      <c r="U46" s="73"/>
      <c r="V46" s="73"/>
      <c r="W46" s="73"/>
      <c r="X46" s="73"/>
    </row>
    <row r="47" spans="4:24" x14ac:dyDescent="0.3">
      <c r="D47" t="s">
        <v>132</v>
      </c>
      <c r="F47" s="73"/>
      <c r="G47" s="73"/>
      <c r="H47" s="8"/>
      <c r="I47" s="19"/>
      <c r="J47" s="18"/>
      <c r="K47" s="8"/>
      <c r="L47" s="19"/>
      <c r="M47" s="18"/>
      <c r="N47" s="8"/>
      <c r="O47" s="19"/>
      <c r="P47" s="19"/>
      <c r="Q47" s="18"/>
      <c r="R47" s="8"/>
      <c r="S47" s="19"/>
      <c r="T47" s="18"/>
      <c r="U47" s="73"/>
      <c r="V47" s="73"/>
      <c r="W47" s="73"/>
      <c r="X47" s="73"/>
    </row>
    <row r="48" spans="4:24" x14ac:dyDescent="0.3">
      <c r="D48" t="s">
        <v>132</v>
      </c>
      <c r="F48" s="73"/>
      <c r="G48" s="73"/>
      <c r="H48" s="8"/>
      <c r="I48" s="19"/>
      <c r="J48" s="18"/>
      <c r="K48" s="8"/>
      <c r="L48" s="19"/>
      <c r="M48" s="18"/>
      <c r="N48" s="8"/>
      <c r="O48" s="19"/>
      <c r="P48" s="19"/>
      <c r="Q48" s="18"/>
      <c r="R48" s="8"/>
      <c r="S48" s="19"/>
      <c r="T48" s="18"/>
      <c r="U48" s="73"/>
      <c r="V48" s="73"/>
      <c r="W48" s="73"/>
      <c r="X48" s="73"/>
    </row>
    <row r="49" spans="4:24" x14ac:dyDescent="0.3">
      <c r="D49" t="s">
        <v>133</v>
      </c>
      <c r="F49" s="73"/>
      <c r="G49" s="73"/>
      <c r="H49" s="8"/>
      <c r="I49" s="19"/>
      <c r="J49" s="18"/>
      <c r="K49" s="8"/>
      <c r="L49" s="19"/>
      <c r="M49" s="18"/>
      <c r="N49" s="8"/>
      <c r="O49" s="19"/>
      <c r="P49" s="19"/>
      <c r="Q49" s="18"/>
      <c r="R49" s="8"/>
      <c r="S49" s="19"/>
      <c r="T49" s="18"/>
      <c r="U49" s="73"/>
      <c r="V49" s="73"/>
      <c r="W49" s="73"/>
      <c r="X49" s="73"/>
    </row>
    <row r="50" spans="4:24" x14ac:dyDescent="0.3">
      <c r="D50" t="s">
        <v>133</v>
      </c>
      <c r="F50" s="73"/>
      <c r="G50" s="73"/>
      <c r="H50" s="8"/>
      <c r="I50" s="19"/>
      <c r="J50" s="18"/>
      <c r="K50" s="8"/>
      <c r="L50" s="19"/>
      <c r="M50" s="18"/>
      <c r="N50" s="8"/>
      <c r="O50" s="19"/>
      <c r="P50" s="19"/>
      <c r="Q50" s="18"/>
      <c r="R50" s="8"/>
      <c r="S50" s="19"/>
      <c r="T50" s="18"/>
      <c r="U50" s="73"/>
      <c r="V50" s="73"/>
      <c r="W50" s="73"/>
      <c r="X50" s="73"/>
    </row>
    <row r="51" spans="4:24" x14ac:dyDescent="0.3">
      <c r="D51" t="s">
        <v>133</v>
      </c>
      <c r="F51" s="73"/>
      <c r="G51" s="73"/>
      <c r="H51" s="8"/>
      <c r="I51" s="19"/>
      <c r="J51" s="18"/>
      <c r="K51" s="8"/>
      <c r="L51" s="19"/>
      <c r="M51" s="18"/>
      <c r="N51" s="8"/>
      <c r="O51" s="19"/>
      <c r="P51" s="19"/>
      <c r="Q51" s="18"/>
      <c r="R51" s="8"/>
      <c r="S51" s="19"/>
      <c r="T51" s="18"/>
      <c r="U51" s="73"/>
      <c r="V51" s="73"/>
      <c r="W51" s="73"/>
      <c r="X51" s="73"/>
    </row>
    <row r="52" spans="4:24" x14ac:dyDescent="0.3">
      <c r="D52" t="s">
        <v>133</v>
      </c>
      <c r="F52" s="73"/>
      <c r="G52" s="73"/>
      <c r="H52" s="8"/>
      <c r="I52" s="19"/>
      <c r="J52" s="18"/>
      <c r="K52" s="8"/>
      <c r="L52" s="19"/>
      <c r="M52" s="18"/>
      <c r="N52" s="8"/>
      <c r="O52" s="19"/>
      <c r="P52" s="19"/>
      <c r="Q52" s="18"/>
      <c r="R52" s="8"/>
      <c r="S52" s="19"/>
      <c r="T52" s="18"/>
      <c r="U52" s="73"/>
      <c r="V52" s="73"/>
      <c r="W52" s="73"/>
      <c r="X52" s="73"/>
    </row>
    <row r="53" spans="4:24" x14ac:dyDescent="0.3">
      <c r="D53" t="s">
        <v>134</v>
      </c>
      <c r="F53" s="73"/>
      <c r="G53" s="73"/>
      <c r="H53" s="8"/>
      <c r="I53" s="19"/>
      <c r="J53" s="18"/>
      <c r="K53" s="8"/>
      <c r="L53" s="19"/>
      <c r="M53" s="18"/>
      <c r="N53" s="8"/>
      <c r="O53" s="19"/>
      <c r="P53" s="19"/>
      <c r="Q53" s="18"/>
      <c r="R53" s="8"/>
      <c r="S53" s="19"/>
      <c r="T53" s="18"/>
      <c r="U53" s="73"/>
      <c r="V53" s="73"/>
      <c r="W53" s="73"/>
      <c r="X53" s="73"/>
    </row>
    <row r="54" spans="4:24" x14ac:dyDescent="0.3">
      <c r="D54" t="s">
        <v>93</v>
      </c>
      <c r="F54" s="73"/>
      <c r="G54" s="73"/>
      <c r="H54" s="8"/>
      <c r="I54" s="19"/>
      <c r="J54" s="18"/>
      <c r="K54" s="8"/>
      <c r="L54" s="19"/>
      <c r="M54" s="18"/>
      <c r="N54" s="8"/>
      <c r="O54" s="19"/>
      <c r="P54" s="19"/>
      <c r="Q54" s="18"/>
      <c r="R54" s="8"/>
      <c r="S54" s="19"/>
      <c r="T54" s="18"/>
      <c r="U54" s="73"/>
      <c r="V54" s="73"/>
      <c r="W54" s="73"/>
      <c r="X54" s="73"/>
    </row>
    <row r="55" spans="4:24" x14ac:dyDescent="0.3">
      <c r="D55" t="s">
        <v>137</v>
      </c>
      <c r="F55" s="73"/>
      <c r="G55" s="73"/>
      <c r="H55" s="8"/>
      <c r="I55" s="19"/>
      <c r="J55" s="18"/>
      <c r="K55" s="8"/>
      <c r="L55" s="19"/>
      <c r="M55" s="18"/>
      <c r="N55" s="8"/>
      <c r="O55" s="19"/>
      <c r="P55" s="19"/>
      <c r="Q55" s="18"/>
      <c r="R55" s="8"/>
      <c r="S55" s="19"/>
      <c r="T55" s="18"/>
      <c r="U55" s="73"/>
      <c r="V55" s="73"/>
      <c r="W55" s="73"/>
      <c r="X55" s="73"/>
    </row>
    <row r="56" spans="4:24" x14ac:dyDescent="0.3">
      <c r="D56" t="s">
        <v>136</v>
      </c>
      <c r="F56" s="73"/>
      <c r="G56" s="73"/>
      <c r="H56" s="8"/>
      <c r="I56" s="19"/>
      <c r="J56" s="18"/>
      <c r="K56" s="8"/>
      <c r="L56" s="19"/>
      <c r="M56" s="18"/>
      <c r="N56" s="8"/>
      <c r="O56" s="19"/>
      <c r="P56" s="19"/>
      <c r="Q56" s="18"/>
      <c r="R56" s="8"/>
      <c r="S56" s="19"/>
      <c r="T56" s="18"/>
      <c r="U56" s="73"/>
      <c r="V56" s="73"/>
      <c r="W56" s="73"/>
      <c r="X56" s="73"/>
    </row>
    <row r="57" spans="4:24" x14ac:dyDescent="0.3">
      <c r="D57" t="s">
        <v>138</v>
      </c>
      <c r="F57" s="73"/>
      <c r="G57" s="73"/>
      <c r="H57" s="8"/>
      <c r="I57" s="19"/>
      <c r="J57" s="18"/>
      <c r="K57" s="8"/>
      <c r="L57" s="19"/>
      <c r="M57" s="18"/>
      <c r="N57" s="8"/>
      <c r="O57" s="19"/>
      <c r="P57" s="19"/>
      <c r="Q57" s="18"/>
      <c r="R57" s="8"/>
      <c r="S57" s="19"/>
      <c r="T57" s="18"/>
      <c r="U57" s="73"/>
      <c r="V57" s="73"/>
      <c r="W57" s="73"/>
      <c r="X57" s="73"/>
    </row>
    <row r="58" spans="4:24" x14ac:dyDescent="0.3">
      <c r="D58" t="s">
        <v>138</v>
      </c>
      <c r="F58" s="73"/>
      <c r="G58" s="73"/>
      <c r="H58" s="8"/>
      <c r="I58" s="19"/>
      <c r="J58" s="18"/>
      <c r="K58" s="8"/>
      <c r="L58" s="19"/>
      <c r="M58" s="18"/>
      <c r="N58" s="8"/>
      <c r="O58" s="19"/>
      <c r="P58" s="19"/>
      <c r="Q58" s="18"/>
      <c r="R58" s="8"/>
      <c r="S58" s="19"/>
      <c r="T58" s="18"/>
      <c r="U58" s="73"/>
      <c r="V58" s="73"/>
      <c r="W58" s="73"/>
      <c r="X58" s="73"/>
    </row>
    <row r="59" spans="4:24" x14ac:dyDescent="0.3">
      <c r="D59" t="s">
        <v>138</v>
      </c>
      <c r="F59" s="73"/>
      <c r="G59" s="73"/>
      <c r="H59" s="8"/>
      <c r="I59" s="19"/>
      <c r="J59" s="18"/>
      <c r="K59" s="8"/>
      <c r="L59" s="19"/>
      <c r="M59" s="18"/>
      <c r="N59" s="8"/>
      <c r="O59" s="19"/>
      <c r="P59" s="19"/>
      <c r="Q59" s="18"/>
      <c r="R59" s="8"/>
      <c r="S59" s="19"/>
      <c r="T59" s="18"/>
      <c r="U59" s="73"/>
      <c r="V59" s="73"/>
      <c r="W59" s="73"/>
      <c r="X59" s="73"/>
    </row>
    <row r="60" spans="4:24" x14ac:dyDescent="0.3">
      <c r="D60" t="s">
        <v>139</v>
      </c>
      <c r="F60" s="73"/>
      <c r="G60" s="73"/>
      <c r="H60" s="8"/>
      <c r="I60" s="19"/>
      <c r="J60" s="18"/>
      <c r="K60" s="8"/>
      <c r="L60" s="19"/>
      <c r="M60" s="18"/>
      <c r="N60" s="8"/>
      <c r="O60" s="19"/>
      <c r="P60" s="19"/>
      <c r="Q60" s="18"/>
      <c r="R60" s="8"/>
      <c r="S60" s="19"/>
      <c r="T60" s="18"/>
      <c r="U60" s="73"/>
      <c r="V60" s="73"/>
      <c r="W60" s="73"/>
      <c r="X60" s="73"/>
    </row>
    <row r="61" spans="4:24" x14ac:dyDescent="0.3">
      <c r="D61" t="s">
        <v>140</v>
      </c>
      <c r="F61" s="73"/>
      <c r="G61" s="73"/>
      <c r="H61" s="8"/>
      <c r="I61" s="19"/>
      <c r="J61" s="18"/>
      <c r="K61" s="8"/>
      <c r="L61" s="19"/>
      <c r="M61" s="18"/>
      <c r="N61" s="8"/>
      <c r="O61" s="19"/>
      <c r="P61" s="19"/>
      <c r="Q61" s="18"/>
      <c r="R61" s="8"/>
      <c r="S61" s="19"/>
      <c r="T61" s="18"/>
      <c r="U61" s="73"/>
      <c r="V61" s="73"/>
      <c r="W61" s="73"/>
      <c r="X61" s="73"/>
    </row>
    <row r="62" spans="4:24" x14ac:dyDescent="0.3">
      <c r="D62" t="s">
        <v>140</v>
      </c>
      <c r="F62" s="73"/>
      <c r="G62" s="73"/>
      <c r="H62" s="8"/>
      <c r="I62" s="19"/>
      <c r="J62" s="18"/>
      <c r="K62" s="8"/>
      <c r="L62" s="19"/>
      <c r="M62" s="18"/>
      <c r="N62" s="8"/>
      <c r="O62" s="19"/>
      <c r="P62" s="19"/>
      <c r="Q62" s="18"/>
      <c r="R62" s="8"/>
      <c r="S62" s="19"/>
      <c r="T62" s="18"/>
      <c r="U62" s="73"/>
      <c r="V62" s="73"/>
      <c r="W62" s="73"/>
      <c r="X62" s="73"/>
    </row>
    <row r="63" spans="4:24" x14ac:dyDescent="0.3">
      <c r="D63" t="s">
        <v>140</v>
      </c>
      <c r="F63" s="73"/>
      <c r="G63" s="73"/>
      <c r="H63" s="8"/>
      <c r="I63" s="19"/>
      <c r="J63" s="18"/>
      <c r="K63" s="8"/>
      <c r="L63" s="19"/>
      <c r="M63" s="18"/>
      <c r="N63" s="8"/>
      <c r="O63" s="19"/>
      <c r="P63" s="19"/>
      <c r="Q63" s="18"/>
      <c r="R63" s="8"/>
      <c r="S63" s="19"/>
      <c r="T63" s="18"/>
      <c r="U63" s="73"/>
      <c r="V63" s="73"/>
      <c r="W63" s="73"/>
      <c r="X63" s="73"/>
    </row>
    <row r="64" spans="4:24" x14ac:dyDescent="0.3">
      <c r="D64" t="s">
        <v>140</v>
      </c>
      <c r="F64" s="73"/>
      <c r="G64" s="73"/>
      <c r="H64" s="8"/>
      <c r="I64" s="19"/>
      <c r="J64" s="18"/>
      <c r="K64" s="8"/>
      <c r="L64" s="19"/>
      <c r="M64" s="18"/>
      <c r="N64" s="8"/>
      <c r="O64" s="19"/>
      <c r="P64" s="19"/>
      <c r="Q64" s="18"/>
      <c r="R64" s="8"/>
      <c r="S64" s="19"/>
      <c r="T64" s="18"/>
      <c r="U64" s="73"/>
      <c r="V64" s="73"/>
      <c r="W64" s="73"/>
      <c r="X64" s="73"/>
    </row>
    <row r="65" spans="4:24" x14ac:dyDescent="0.3">
      <c r="D65" t="s">
        <v>140</v>
      </c>
      <c r="F65" s="73"/>
      <c r="G65" s="73"/>
      <c r="H65" s="8"/>
      <c r="I65" s="19"/>
      <c r="J65" s="18"/>
      <c r="K65" s="8"/>
      <c r="L65" s="19"/>
      <c r="M65" s="18"/>
      <c r="N65" s="8"/>
      <c r="O65" s="19"/>
      <c r="P65" s="19"/>
      <c r="Q65" s="18"/>
      <c r="R65" s="8"/>
      <c r="S65" s="19"/>
      <c r="T65" s="18"/>
      <c r="U65" s="73"/>
      <c r="V65" s="73"/>
      <c r="W65" s="73"/>
      <c r="X65" s="73"/>
    </row>
    <row r="66" spans="4:24" x14ac:dyDescent="0.3">
      <c r="D66" t="s">
        <v>140</v>
      </c>
      <c r="F66" s="73"/>
      <c r="G66" s="73"/>
      <c r="H66" s="8"/>
      <c r="I66" s="19"/>
      <c r="J66" s="18"/>
      <c r="K66" s="8"/>
      <c r="L66" s="19"/>
      <c r="M66" s="18"/>
      <c r="N66" s="8"/>
      <c r="O66" s="19"/>
      <c r="P66" s="19"/>
      <c r="Q66" s="18"/>
      <c r="R66" s="8"/>
      <c r="S66" s="19"/>
      <c r="T66" s="18"/>
      <c r="U66" s="73"/>
      <c r="V66" s="73"/>
      <c r="W66" s="73"/>
      <c r="X66" s="73"/>
    </row>
    <row r="67" spans="4:24" x14ac:dyDescent="0.3">
      <c r="D67" t="s">
        <v>140</v>
      </c>
      <c r="F67" s="73"/>
      <c r="G67" s="73"/>
      <c r="H67" s="8"/>
      <c r="I67" s="19"/>
      <c r="J67" s="18"/>
      <c r="K67" s="8"/>
      <c r="L67" s="19"/>
      <c r="M67" s="18"/>
      <c r="N67" s="8"/>
      <c r="O67" s="19"/>
      <c r="P67" s="19"/>
      <c r="Q67" s="18"/>
      <c r="R67" s="8"/>
      <c r="S67" s="19"/>
      <c r="T67" s="18"/>
      <c r="U67" s="73"/>
      <c r="V67" s="73"/>
      <c r="W67" s="73"/>
      <c r="X67" s="73"/>
    </row>
    <row r="68" spans="4:24" x14ac:dyDescent="0.3">
      <c r="D68" t="s">
        <v>101</v>
      </c>
      <c r="F68" s="73"/>
      <c r="G68" s="73"/>
      <c r="H68" s="8"/>
      <c r="I68" s="19"/>
      <c r="J68" s="18"/>
      <c r="K68" s="8"/>
      <c r="L68" s="19"/>
      <c r="M68" s="18"/>
      <c r="N68" s="8"/>
      <c r="O68" s="19"/>
      <c r="P68" s="19"/>
      <c r="Q68" s="18"/>
      <c r="R68" s="8"/>
      <c r="S68" s="19"/>
      <c r="T68" s="18"/>
      <c r="U68" s="73"/>
      <c r="V68" s="73"/>
      <c r="W68" s="73"/>
      <c r="X68" s="73"/>
    </row>
    <row r="69" spans="4:24" x14ac:dyDescent="0.3">
      <c r="D69" t="s">
        <v>101</v>
      </c>
      <c r="F69" s="73"/>
      <c r="G69" s="73"/>
      <c r="H69" s="8"/>
      <c r="I69" s="19"/>
      <c r="J69" s="18"/>
      <c r="K69" s="8"/>
      <c r="L69" s="19"/>
      <c r="M69" s="18"/>
      <c r="N69" s="8"/>
      <c r="O69" s="19"/>
      <c r="P69" s="19"/>
      <c r="Q69" s="18"/>
      <c r="R69" s="8"/>
      <c r="S69" s="19"/>
      <c r="T69" s="18"/>
      <c r="U69" s="73"/>
      <c r="V69" s="73"/>
      <c r="W69" s="73"/>
      <c r="X69" s="73"/>
    </row>
    <row r="70" spans="4:24" x14ac:dyDescent="0.3">
      <c r="D70" t="s">
        <v>101</v>
      </c>
      <c r="F70" s="73"/>
      <c r="G70" s="73"/>
      <c r="H70" s="8"/>
      <c r="I70" s="19"/>
      <c r="J70" s="18"/>
      <c r="K70" s="8"/>
      <c r="L70" s="19"/>
      <c r="M70" s="18"/>
      <c r="N70" s="8"/>
      <c r="O70" s="19"/>
      <c r="P70" s="19"/>
      <c r="Q70" s="18"/>
      <c r="R70" s="8"/>
      <c r="S70" s="19"/>
      <c r="T70" s="18"/>
      <c r="U70" s="73"/>
      <c r="V70" s="73"/>
      <c r="W70" s="73"/>
      <c r="X70" s="73"/>
    </row>
    <row r="71" spans="4:24" x14ac:dyDescent="0.3">
      <c r="D71" t="s">
        <v>101</v>
      </c>
      <c r="F71" s="73"/>
      <c r="G71" s="73"/>
      <c r="H71" s="8"/>
      <c r="I71" s="19"/>
      <c r="J71" s="18"/>
      <c r="K71" s="8"/>
      <c r="L71" s="19"/>
      <c r="M71" s="18"/>
      <c r="N71" s="8"/>
      <c r="O71" s="19"/>
      <c r="P71" s="19"/>
      <c r="Q71" s="18"/>
      <c r="R71" s="8"/>
      <c r="S71" s="19"/>
      <c r="T71" s="18"/>
      <c r="U71" s="73"/>
      <c r="V71" s="73"/>
      <c r="W71" s="73"/>
      <c r="X71" s="73"/>
    </row>
    <row r="72" spans="4:24" x14ac:dyDescent="0.3">
      <c r="D72" t="s">
        <v>149</v>
      </c>
      <c r="F72" s="73"/>
      <c r="G72" s="73"/>
      <c r="H72" s="8"/>
      <c r="I72" s="19"/>
      <c r="J72" s="18"/>
      <c r="K72" s="8"/>
      <c r="L72" s="19"/>
      <c r="M72" s="18"/>
      <c r="N72" s="8"/>
      <c r="O72" s="19"/>
      <c r="P72" s="19"/>
      <c r="Q72" s="18"/>
      <c r="R72" s="8"/>
      <c r="S72" s="19"/>
      <c r="T72" s="18"/>
      <c r="U72" s="73"/>
      <c r="V72" s="73"/>
      <c r="W72" s="73"/>
      <c r="X72" s="73"/>
    </row>
    <row r="73" spans="4:24" x14ac:dyDescent="0.3">
      <c r="D73" t="s">
        <v>149</v>
      </c>
      <c r="F73" s="73"/>
      <c r="G73" s="73"/>
      <c r="H73" s="8"/>
      <c r="I73" s="19"/>
      <c r="J73" s="18"/>
      <c r="K73" s="8"/>
      <c r="L73" s="19"/>
      <c r="M73" s="18"/>
      <c r="N73" s="8"/>
      <c r="O73" s="19"/>
      <c r="P73" s="19"/>
      <c r="Q73" s="18"/>
      <c r="R73" s="8"/>
      <c r="S73" s="19"/>
      <c r="T73" s="18"/>
      <c r="U73" s="73"/>
      <c r="V73" s="73"/>
      <c r="W73" s="73"/>
      <c r="X73" s="73"/>
    </row>
    <row r="74" spans="4:24" x14ac:dyDescent="0.3">
      <c r="D74" t="s">
        <v>149</v>
      </c>
      <c r="F74" s="73"/>
      <c r="G74" s="73"/>
      <c r="H74" s="8"/>
      <c r="I74" s="19"/>
      <c r="J74" s="18"/>
      <c r="K74" s="8"/>
      <c r="L74" s="19"/>
      <c r="M74" s="18"/>
      <c r="N74" s="8"/>
      <c r="O74" s="19"/>
      <c r="P74" s="19"/>
      <c r="Q74" s="18"/>
      <c r="R74" s="8"/>
      <c r="S74" s="19"/>
      <c r="T74" s="18"/>
      <c r="U74" s="73"/>
      <c r="V74" s="73"/>
      <c r="W74" s="73"/>
      <c r="X74" s="73"/>
    </row>
    <row r="75" spans="4:24" x14ac:dyDescent="0.3">
      <c r="D75" t="s">
        <v>166</v>
      </c>
      <c r="F75" s="73"/>
      <c r="G75" s="73"/>
      <c r="H75" s="8"/>
      <c r="I75" s="19"/>
      <c r="J75" s="18"/>
      <c r="K75" s="8"/>
      <c r="L75" s="19"/>
      <c r="M75" s="18"/>
      <c r="N75" s="8"/>
      <c r="O75" s="19"/>
      <c r="P75" s="19"/>
      <c r="Q75" s="18"/>
      <c r="R75" s="8"/>
      <c r="S75" s="19"/>
      <c r="T75" s="18"/>
      <c r="U75" s="73"/>
      <c r="V75" s="73"/>
      <c r="W75" s="73"/>
      <c r="X75" s="73"/>
    </row>
    <row r="76" spans="4:24" x14ac:dyDescent="0.3">
      <c r="D76" t="s">
        <v>166</v>
      </c>
      <c r="F76" s="73"/>
      <c r="G76" s="73"/>
      <c r="H76" s="8"/>
      <c r="I76" s="19"/>
      <c r="J76" s="18"/>
      <c r="K76" s="8"/>
      <c r="L76" s="19"/>
      <c r="M76" s="18"/>
      <c r="N76" s="8"/>
      <c r="O76" s="19"/>
      <c r="P76" s="19"/>
      <c r="Q76" s="18"/>
      <c r="R76" s="8"/>
      <c r="S76" s="19"/>
      <c r="T76" s="18"/>
      <c r="U76" s="73"/>
      <c r="V76" s="73"/>
      <c r="W76" s="73"/>
      <c r="X76" s="73"/>
    </row>
    <row r="77" spans="4:24" x14ac:dyDescent="0.3">
      <c r="D77" t="s">
        <v>141</v>
      </c>
      <c r="F77" s="73"/>
      <c r="G77" s="73"/>
      <c r="H77" s="8"/>
      <c r="I77" s="19"/>
      <c r="J77" s="18"/>
      <c r="K77" s="8"/>
      <c r="L77" s="19"/>
      <c r="M77" s="18"/>
      <c r="N77" s="8"/>
      <c r="O77" s="19"/>
      <c r="P77" s="19"/>
      <c r="Q77" s="18"/>
      <c r="R77" s="8"/>
      <c r="S77" s="19"/>
      <c r="T77" s="18"/>
      <c r="U77" s="73"/>
      <c r="V77" s="73"/>
      <c r="W77" s="73"/>
      <c r="X77" s="73"/>
    </row>
    <row r="78" spans="4:24" x14ac:dyDescent="0.3">
      <c r="D78" t="s">
        <v>141</v>
      </c>
      <c r="F78" s="73"/>
      <c r="G78" s="73"/>
      <c r="H78" s="8"/>
      <c r="I78" s="19"/>
      <c r="J78" s="18"/>
      <c r="K78" s="8"/>
      <c r="L78" s="19"/>
      <c r="M78" s="18"/>
      <c r="N78" s="8"/>
      <c r="O78" s="19"/>
      <c r="P78" s="19"/>
      <c r="Q78" s="18"/>
      <c r="R78" s="8"/>
      <c r="S78" s="19"/>
      <c r="T78" s="18"/>
      <c r="U78" s="73"/>
      <c r="V78" s="73"/>
      <c r="W78" s="73"/>
      <c r="X78" s="73"/>
    </row>
    <row r="79" spans="4:24" x14ac:dyDescent="0.3">
      <c r="D79" t="s">
        <v>141</v>
      </c>
      <c r="F79" s="73"/>
      <c r="G79" s="73"/>
      <c r="H79" s="8"/>
      <c r="I79" s="19"/>
      <c r="J79" s="18"/>
      <c r="K79" s="8"/>
      <c r="L79" s="19"/>
      <c r="M79" s="18"/>
      <c r="N79" s="8"/>
      <c r="O79" s="19"/>
      <c r="P79" s="19"/>
      <c r="Q79" s="18"/>
      <c r="R79" s="8"/>
      <c r="S79" s="19"/>
      <c r="T79" s="18"/>
      <c r="U79" s="73"/>
      <c r="V79" s="73"/>
      <c r="W79" s="73"/>
      <c r="X79" s="73"/>
    </row>
    <row r="80" spans="4:24" x14ac:dyDescent="0.3">
      <c r="D80" t="s">
        <v>108</v>
      </c>
      <c r="F80" s="73"/>
      <c r="G80" s="73"/>
      <c r="H80" s="8"/>
      <c r="I80" s="19"/>
      <c r="J80" s="18"/>
      <c r="K80" s="8"/>
      <c r="L80" s="19"/>
      <c r="M80" s="18"/>
      <c r="N80" s="8"/>
      <c r="O80" s="19"/>
      <c r="P80" s="19"/>
      <c r="Q80" s="18"/>
      <c r="R80" s="8"/>
      <c r="S80" s="19"/>
      <c r="T80" s="18"/>
      <c r="U80" s="73"/>
      <c r="V80" s="73"/>
      <c r="W80" s="73"/>
      <c r="X80" s="73"/>
    </row>
    <row r="81" spans="4:24" x14ac:dyDescent="0.3">
      <c r="D81" t="s">
        <v>108</v>
      </c>
      <c r="F81" s="73"/>
      <c r="G81" s="73"/>
      <c r="H81" s="8"/>
      <c r="I81" s="19"/>
      <c r="J81" s="18"/>
      <c r="K81" s="8"/>
      <c r="L81" s="19"/>
      <c r="M81" s="18"/>
      <c r="N81" s="8"/>
      <c r="O81" s="19"/>
      <c r="P81" s="19"/>
      <c r="Q81" s="18"/>
      <c r="R81" s="8"/>
      <c r="S81" s="19"/>
      <c r="T81" s="18"/>
      <c r="U81" s="73"/>
      <c r="V81" s="73"/>
      <c r="W81" s="73"/>
      <c r="X81" s="73"/>
    </row>
    <row r="82" spans="4:24" x14ac:dyDescent="0.3">
      <c r="D82" t="s">
        <v>108</v>
      </c>
      <c r="F82" s="73"/>
      <c r="G82" s="73"/>
      <c r="H82" s="8"/>
      <c r="I82" s="19"/>
      <c r="J82" s="18"/>
      <c r="K82" s="8"/>
      <c r="L82" s="19"/>
      <c r="M82" s="18"/>
      <c r="N82" s="8"/>
      <c r="O82" s="19"/>
      <c r="P82" s="19"/>
      <c r="Q82" s="18"/>
      <c r="R82" s="8"/>
      <c r="S82" s="19"/>
      <c r="T82" s="18"/>
      <c r="U82" s="73"/>
      <c r="V82" s="73"/>
      <c r="W82" s="73"/>
      <c r="X82" s="73"/>
    </row>
    <row r="83" spans="4:24" x14ac:dyDescent="0.3">
      <c r="D83" t="s">
        <v>108</v>
      </c>
      <c r="F83" s="73"/>
      <c r="G83" s="73"/>
      <c r="H83" s="8"/>
      <c r="I83" s="19"/>
      <c r="J83" s="18"/>
      <c r="K83" s="8"/>
      <c r="L83" s="19"/>
      <c r="M83" s="18"/>
      <c r="N83" s="8"/>
      <c r="O83" s="19"/>
      <c r="P83" s="19"/>
      <c r="Q83" s="18"/>
      <c r="R83" s="8"/>
      <c r="S83" s="19"/>
      <c r="T83" s="18"/>
      <c r="U83" s="73"/>
      <c r="V83" s="73"/>
      <c r="W83" s="73"/>
      <c r="X83" s="73"/>
    </row>
    <row r="84" spans="4:24" x14ac:dyDescent="0.3">
      <c r="D84" t="s">
        <v>108</v>
      </c>
      <c r="F84" s="73"/>
      <c r="G84" s="73"/>
      <c r="H84" s="8"/>
      <c r="I84" s="19"/>
      <c r="J84" s="18"/>
      <c r="K84" s="8"/>
      <c r="L84" s="19"/>
      <c r="M84" s="18"/>
      <c r="N84" s="8"/>
      <c r="O84" s="19"/>
      <c r="P84" s="19"/>
      <c r="Q84" s="18"/>
      <c r="R84" s="8"/>
      <c r="S84" s="19"/>
      <c r="T84" s="18"/>
      <c r="U84" s="73"/>
      <c r="V84" s="73"/>
      <c r="W84" s="73"/>
      <c r="X84" s="73"/>
    </row>
    <row r="85" spans="4:24" x14ac:dyDescent="0.3">
      <c r="D85" t="s">
        <v>142</v>
      </c>
      <c r="F85" s="73"/>
      <c r="G85" s="73"/>
      <c r="H85" s="8"/>
      <c r="I85" s="19"/>
      <c r="J85" s="18"/>
      <c r="K85" s="8"/>
      <c r="L85" s="19"/>
      <c r="M85" s="18"/>
      <c r="N85" s="8"/>
      <c r="O85" s="19"/>
      <c r="P85" s="19"/>
      <c r="Q85" s="18"/>
      <c r="R85" s="8"/>
      <c r="S85" s="19"/>
      <c r="T85" s="18"/>
      <c r="U85" s="73"/>
      <c r="V85" s="73"/>
      <c r="W85" s="73"/>
      <c r="X85" s="73"/>
    </row>
    <row r="86" spans="4:24" x14ac:dyDescent="0.3">
      <c r="D86" t="s">
        <v>142</v>
      </c>
      <c r="F86" s="73"/>
      <c r="G86" s="73"/>
      <c r="H86" s="8"/>
      <c r="I86" s="19"/>
      <c r="J86" s="18"/>
      <c r="K86" s="8"/>
      <c r="L86" s="19"/>
      <c r="M86" s="18"/>
      <c r="N86" s="8"/>
      <c r="O86" s="19"/>
      <c r="P86" s="19"/>
      <c r="Q86" s="18"/>
      <c r="R86" s="8"/>
      <c r="S86" s="19"/>
      <c r="T86" s="18"/>
      <c r="U86" s="73"/>
      <c r="V86" s="73"/>
      <c r="W86" s="73"/>
      <c r="X86" s="73"/>
    </row>
    <row r="87" spans="4:24" x14ac:dyDescent="0.3">
      <c r="D87" t="s">
        <v>142</v>
      </c>
      <c r="F87" s="73"/>
      <c r="G87" s="73"/>
      <c r="H87" s="8"/>
      <c r="I87" s="19"/>
      <c r="J87" s="18"/>
      <c r="K87" s="8"/>
      <c r="L87" s="19"/>
      <c r="M87" s="18"/>
      <c r="N87" s="8"/>
      <c r="O87" s="19"/>
      <c r="P87" s="19"/>
      <c r="Q87" s="18"/>
      <c r="R87" s="8"/>
      <c r="S87" s="19"/>
      <c r="T87" s="18"/>
      <c r="U87" s="73"/>
      <c r="V87" s="73"/>
      <c r="W87" s="73"/>
      <c r="X87" s="73"/>
    </row>
    <row r="88" spans="4:24" x14ac:dyDescent="0.3">
      <c r="D88" t="s">
        <v>143</v>
      </c>
      <c r="F88" s="73"/>
      <c r="G88" s="73"/>
      <c r="H88" s="8"/>
      <c r="I88" s="19"/>
      <c r="J88" s="18"/>
      <c r="K88" s="8"/>
      <c r="L88" s="19"/>
      <c r="M88" s="18"/>
      <c r="N88" s="8"/>
      <c r="O88" s="19"/>
      <c r="P88" s="19"/>
      <c r="Q88" s="18"/>
      <c r="R88" s="8"/>
      <c r="S88" s="19"/>
      <c r="T88" s="18"/>
      <c r="U88" s="73"/>
      <c r="V88" s="73"/>
      <c r="W88" s="73"/>
      <c r="X88" s="73"/>
    </row>
    <row r="89" spans="4:24" x14ac:dyDescent="0.3">
      <c r="D89" t="s">
        <v>144</v>
      </c>
      <c r="F89" s="73"/>
      <c r="G89" s="73"/>
      <c r="H89" s="8"/>
      <c r="I89" s="19"/>
      <c r="J89" s="18"/>
      <c r="K89" s="8"/>
      <c r="L89" s="19"/>
      <c r="M89" s="18"/>
      <c r="N89" s="8"/>
      <c r="O89" s="19"/>
      <c r="P89" s="19"/>
      <c r="Q89" s="18"/>
      <c r="R89" s="8"/>
      <c r="S89" s="19"/>
      <c r="T89" s="18"/>
      <c r="U89" s="73"/>
      <c r="V89" s="73"/>
      <c r="W89" s="73"/>
      <c r="X89" s="73"/>
    </row>
    <row r="90" spans="4:24" x14ac:dyDescent="0.3">
      <c r="D90" t="s">
        <v>152</v>
      </c>
      <c r="F90" s="73"/>
      <c r="G90" s="73"/>
      <c r="H90" s="8"/>
      <c r="I90" s="19"/>
      <c r="J90" s="18"/>
      <c r="K90" s="8"/>
      <c r="L90" s="19"/>
      <c r="M90" s="18"/>
      <c r="N90" s="8"/>
      <c r="O90" s="19"/>
      <c r="P90" s="19"/>
      <c r="Q90" s="18"/>
      <c r="R90" s="8"/>
      <c r="S90" s="19"/>
      <c r="T90" s="18"/>
      <c r="U90" s="73"/>
      <c r="V90" s="73"/>
      <c r="W90" s="73"/>
      <c r="X90" s="73"/>
    </row>
    <row r="91" spans="4:24" x14ac:dyDescent="0.3">
      <c r="D91" t="s">
        <v>153</v>
      </c>
      <c r="F91" s="73"/>
      <c r="G91" s="73"/>
      <c r="H91" s="8"/>
      <c r="I91" s="19"/>
      <c r="J91" s="18"/>
      <c r="K91" s="8"/>
      <c r="L91" s="19"/>
      <c r="M91" s="18"/>
      <c r="N91" s="8"/>
      <c r="O91" s="19"/>
      <c r="P91" s="19"/>
      <c r="Q91" s="18"/>
      <c r="R91" s="8"/>
      <c r="S91" s="19"/>
      <c r="T91" s="18"/>
      <c r="U91" s="73"/>
      <c r="V91" s="73"/>
      <c r="W91" s="73"/>
      <c r="X91" s="73"/>
    </row>
    <row r="92" spans="4:24" x14ac:dyDescent="0.3">
      <c r="D92" t="s">
        <v>153</v>
      </c>
      <c r="F92" s="73"/>
      <c r="G92" s="73"/>
      <c r="H92" s="8"/>
      <c r="I92" s="19"/>
      <c r="J92" s="18"/>
      <c r="K92" s="8"/>
      <c r="L92" s="19"/>
      <c r="M92" s="18"/>
      <c r="N92" s="8"/>
      <c r="O92" s="19"/>
      <c r="P92" s="19"/>
      <c r="Q92" s="18"/>
      <c r="R92" s="8"/>
      <c r="S92" s="19"/>
      <c r="T92" s="18"/>
      <c r="U92" s="73"/>
      <c r="V92" s="73"/>
      <c r="W92" s="73"/>
      <c r="X92" s="73"/>
    </row>
    <row r="93" spans="4:24" x14ac:dyDescent="0.3">
      <c r="D93" t="s">
        <v>153</v>
      </c>
      <c r="F93" s="73"/>
      <c r="G93" s="73"/>
      <c r="H93" s="8"/>
      <c r="I93" s="19"/>
      <c r="J93" s="18"/>
      <c r="K93" s="8"/>
      <c r="L93" s="19"/>
      <c r="M93" s="18"/>
      <c r="N93" s="8"/>
      <c r="O93" s="19"/>
      <c r="P93" s="19"/>
      <c r="Q93" s="18"/>
      <c r="R93" s="8"/>
      <c r="S93" s="19"/>
      <c r="T93" s="18"/>
      <c r="U93" s="73"/>
      <c r="V93" s="73"/>
      <c r="W93" s="73"/>
      <c r="X93" s="73"/>
    </row>
    <row r="94" spans="4:24" x14ac:dyDescent="0.3">
      <c r="D94" t="s">
        <v>148</v>
      </c>
      <c r="F94" s="73"/>
      <c r="G94" s="73"/>
      <c r="H94" s="8"/>
      <c r="I94" s="19"/>
      <c r="J94" s="18"/>
      <c r="K94" s="8"/>
      <c r="L94" s="19"/>
      <c r="M94" s="18"/>
      <c r="N94" s="8"/>
      <c r="O94" s="19"/>
      <c r="P94" s="19"/>
      <c r="Q94" s="18"/>
      <c r="R94" s="8"/>
      <c r="S94" s="19"/>
      <c r="T94" s="18"/>
      <c r="U94" s="73"/>
      <c r="V94" s="73"/>
      <c r="W94" s="73"/>
      <c r="X94" s="73"/>
    </row>
    <row r="95" spans="4:24" x14ac:dyDescent="0.3">
      <c r="D95" t="s">
        <v>148</v>
      </c>
      <c r="F95" s="73"/>
      <c r="G95" s="73"/>
      <c r="H95" s="8"/>
      <c r="I95" s="19"/>
      <c r="J95" s="18"/>
      <c r="K95" s="8"/>
      <c r="L95" s="19"/>
      <c r="M95" s="18"/>
      <c r="N95" s="8"/>
      <c r="O95" s="19"/>
      <c r="P95" s="19"/>
      <c r="Q95" s="18"/>
      <c r="R95" s="8"/>
      <c r="S95" s="19"/>
      <c r="T95" s="18"/>
      <c r="U95" s="73"/>
      <c r="V95" s="73"/>
      <c r="W95" s="73"/>
      <c r="X95" s="73"/>
    </row>
    <row r="96" spans="4:24" x14ac:dyDescent="0.3">
      <c r="D96" t="s">
        <v>151</v>
      </c>
      <c r="F96" s="73"/>
      <c r="G96" s="73"/>
      <c r="H96" s="8"/>
      <c r="I96" s="19"/>
      <c r="J96" s="18"/>
      <c r="K96" s="8"/>
      <c r="L96" s="19"/>
      <c r="M96" s="18"/>
      <c r="N96" s="8"/>
      <c r="O96" s="19"/>
      <c r="P96" s="19"/>
      <c r="Q96" s="18"/>
      <c r="R96" s="8"/>
      <c r="S96" s="19"/>
      <c r="T96" s="18"/>
      <c r="U96" s="73"/>
      <c r="V96" s="73"/>
      <c r="W96" s="73"/>
      <c r="X96" s="73"/>
    </row>
    <row r="97" spans="2:24" x14ac:dyDescent="0.3">
      <c r="D97" t="s">
        <v>151</v>
      </c>
      <c r="F97" s="73"/>
      <c r="G97" s="73"/>
      <c r="H97" s="8"/>
      <c r="I97" s="19"/>
      <c r="J97" s="18"/>
      <c r="K97" s="8"/>
      <c r="L97" s="19"/>
      <c r="M97" s="18"/>
      <c r="N97" s="8"/>
      <c r="O97" s="19"/>
      <c r="P97" s="19"/>
      <c r="Q97" s="18"/>
      <c r="R97" s="8"/>
      <c r="S97" s="19"/>
      <c r="T97" s="18"/>
      <c r="U97" s="73"/>
      <c r="V97" s="73"/>
      <c r="W97" s="73"/>
      <c r="X97" s="73"/>
    </row>
    <row r="98" spans="2:24" x14ac:dyDescent="0.3">
      <c r="B98" t="s">
        <v>164</v>
      </c>
      <c r="D98" t="s">
        <v>163</v>
      </c>
      <c r="F98" s="73"/>
      <c r="G98" s="73"/>
      <c r="H98" s="8"/>
      <c r="I98" s="19"/>
      <c r="J98" s="18"/>
      <c r="K98" s="8"/>
      <c r="L98" s="19"/>
      <c r="M98" s="18"/>
      <c r="N98" s="8"/>
      <c r="O98" s="19"/>
      <c r="P98" s="19"/>
      <c r="Q98" s="18"/>
      <c r="R98" s="8"/>
      <c r="S98" s="19"/>
      <c r="T98" s="18"/>
      <c r="U98" s="73"/>
      <c r="V98" s="73"/>
      <c r="W98" s="73"/>
      <c r="X98" s="73"/>
    </row>
    <row r="99" spans="2:24" x14ac:dyDescent="0.3">
      <c r="B99" t="s">
        <v>160</v>
      </c>
      <c r="D99" t="s">
        <v>162</v>
      </c>
      <c r="F99" s="73"/>
      <c r="G99" s="73"/>
      <c r="H99" s="8"/>
      <c r="I99" s="19"/>
      <c r="J99" s="18"/>
      <c r="K99" s="8"/>
      <c r="L99" s="19"/>
      <c r="M99" s="18"/>
      <c r="N99" s="8"/>
      <c r="O99" s="19"/>
      <c r="P99" s="19"/>
      <c r="Q99" s="18"/>
      <c r="R99" s="8"/>
      <c r="S99" s="19"/>
      <c r="T99" s="18"/>
      <c r="U99" s="73"/>
      <c r="V99" s="73"/>
      <c r="W99" s="73"/>
      <c r="X99" s="73"/>
    </row>
    <row r="100" spans="2:24" x14ac:dyDescent="0.3">
      <c r="D100" t="s">
        <v>161</v>
      </c>
      <c r="F100" s="73"/>
      <c r="G100" s="73"/>
      <c r="H100" s="8"/>
      <c r="I100" s="19"/>
      <c r="J100" s="18"/>
      <c r="K100" s="8"/>
      <c r="L100" s="19"/>
      <c r="M100" s="18"/>
      <c r="N100" s="8"/>
      <c r="O100" s="19"/>
      <c r="P100" s="19"/>
      <c r="Q100" s="18"/>
      <c r="R100" s="8"/>
      <c r="S100" s="19"/>
      <c r="T100" s="18"/>
      <c r="U100" s="73"/>
      <c r="V100" s="73"/>
      <c r="W100" s="73"/>
      <c r="X100" s="73"/>
    </row>
    <row r="101" spans="2:24" x14ac:dyDescent="0.3">
      <c r="D101" t="s">
        <v>150</v>
      </c>
      <c r="F101" s="73"/>
      <c r="G101" s="73"/>
      <c r="H101" s="8"/>
      <c r="I101" s="19"/>
      <c r="J101" s="18"/>
      <c r="K101" s="8"/>
      <c r="L101" s="19"/>
      <c r="M101" s="18"/>
      <c r="N101" s="8"/>
      <c r="O101" s="19"/>
      <c r="P101" s="19"/>
      <c r="Q101" s="18"/>
      <c r="R101" s="8"/>
      <c r="S101" s="19"/>
      <c r="T101" s="18"/>
      <c r="U101" s="73"/>
      <c r="V101" s="73"/>
      <c r="W101" s="73"/>
      <c r="X101" s="73"/>
    </row>
    <row r="102" spans="2:24" x14ac:dyDescent="0.3">
      <c r="D102" t="s">
        <v>150</v>
      </c>
      <c r="F102" s="73"/>
      <c r="G102" s="73"/>
      <c r="H102" s="8"/>
      <c r="I102" s="19"/>
      <c r="J102" s="18"/>
      <c r="K102" s="8"/>
      <c r="L102" s="19"/>
      <c r="M102" s="18"/>
      <c r="N102" s="8"/>
      <c r="O102" s="19"/>
      <c r="P102" s="19"/>
      <c r="Q102" s="18"/>
      <c r="R102" s="8"/>
      <c r="S102" s="19"/>
      <c r="T102" s="18"/>
      <c r="U102" s="73"/>
      <c r="V102" s="73"/>
      <c r="W102" s="73"/>
      <c r="X102" s="73"/>
    </row>
    <row r="103" spans="2:24" x14ac:dyDescent="0.3">
      <c r="D103" t="s">
        <v>97</v>
      </c>
      <c r="F103" s="73"/>
      <c r="G103" s="73"/>
      <c r="H103" s="8"/>
      <c r="I103" s="19"/>
      <c r="J103" s="18"/>
      <c r="K103" s="8"/>
      <c r="L103" s="19"/>
      <c r="M103" s="18"/>
      <c r="N103" s="8"/>
      <c r="O103" s="19"/>
      <c r="P103" s="19"/>
      <c r="Q103" s="18"/>
      <c r="R103" s="8"/>
      <c r="S103" s="19"/>
      <c r="T103" s="18"/>
      <c r="U103" s="73"/>
      <c r="V103" s="73"/>
      <c r="W103" s="73"/>
      <c r="X103" s="73"/>
    </row>
    <row r="104" spans="2:24" x14ac:dyDescent="0.3">
      <c r="D104" t="s">
        <v>158</v>
      </c>
      <c r="F104" s="73"/>
      <c r="G104" s="73"/>
      <c r="H104" s="8"/>
      <c r="I104" s="19"/>
      <c r="J104" s="18"/>
      <c r="K104" s="8"/>
      <c r="L104" s="19"/>
      <c r="M104" s="18"/>
      <c r="N104" s="8"/>
      <c r="O104" s="19"/>
      <c r="P104" s="19"/>
      <c r="Q104" s="18"/>
      <c r="R104" s="8"/>
      <c r="S104" s="19"/>
      <c r="T104" s="18"/>
      <c r="U104" s="73"/>
      <c r="V104" s="73"/>
      <c r="W104" s="73"/>
      <c r="X104" s="73"/>
    </row>
    <row r="105" spans="2:24" x14ac:dyDescent="0.3">
      <c r="D105" t="s">
        <v>158</v>
      </c>
      <c r="F105" s="73"/>
      <c r="G105" s="73"/>
      <c r="H105" s="8"/>
      <c r="I105" s="19"/>
      <c r="J105" s="18"/>
      <c r="K105" s="8"/>
      <c r="L105" s="19"/>
      <c r="M105" s="18"/>
      <c r="N105" s="8"/>
      <c r="O105" s="19"/>
      <c r="P105" s="19"/>
      <c r="Q105" s="18"/>
      <c r="R105" s="8"/>
      <c r="S105" s="19"/>
      <c r="T105" s="18"/>
      <c r="U105" s="73"/>
      <c r="V105" s="73"/>
      <c r="W105" s="73"/>
      <c r="X105" s="73"/>
    </row>
    <row r="106" spans="2:24" x14ac:dyDescent="0.3">
      <c r="D106" t="s">
        <v>158</v>
      </c>
      <c r="F106" s="73"/>
      <c r="G106" s="73"/>
      <c r="H106" s="8"/>
      <c r="I106" s="19"/>
      <c r="J106" s="18"/>
      <c r="K106" s="8"/>
      <c r="L106" s="19"/>
      <c r="M106" s="18"/>
      <c r="N106" s="8"/>
      <c r="O106" s="19"/>
      <c r="P106" s="19"/>
      <c r="Q106" s="18"/>
      <c r="R106" s="8"/>
      <c r="S106" s="19"/>
      <c r="T106" s="18"/>
      <c r="U106" s="73"/>
      <c r="V106" s="73"/>
      <c r="W106" s="73"/>
      <c r="X106" s="73"/>
    </row>
    <row r="107" spans="2:24" x14ac:dyDescent="0.3">
      <c r="D107" t="s">
        <v>159</v>
      </c>
      <c r="F107" s="73"/>
      <c r="G107" s="73"/>
      <c r="H107" s="8"/>
      <c r="I107" s="19"/>
      <c r="J107" s="18"/>
      <c r="K107" s="8"/>
      <c r="L107" s="19"/>
      <c r="M107" s="18"/>
      <c r="N107" s="8"/>
      <c r="O107" s="19"/>
      <c r="P107" s="19"/>
      <c r="Q107" s="18"/>
      <c r="R107" s="8"/>
      <c r="S107" s="19"/>
      <c r="T107" s="18"/>
      <c r="U107" s="73"/>
      <c r="V107" s="73"/>
      <c r="W107" s="73"/>
      <c r="X107" s="73"/>
    </row>
    <row r="108" spans="2:24" x14ac:dyDescent="0.3">
      <c r="D108" t="s">
        <v>145</v>
      </c>
      <c r="F108" s="73"/>
      <c r="G108" s="73"/>
      <c r="H108" s="8"/>
      <c r="I108" s="19"/>
      <c r="J108" s="18"/>
      <c r="K108" s="8"/>
      <c r="L108" s="19"/>
      <c r="M108" s="18"/>
      <c r="N108" s="8"/>
      <c r="O108" s="19"/>
      <c r="P108" s="19"/>
      <c r="Q108" s="18"/>
      <c r="R108" s="8"/>
      <c r="S108" s="19"/>
      <c r="T108" s="18"/>
      <c r="U108" s="73"/>
      <c r="V108" s="73"/>
      <c r="W108" s="73"/>
      <c r="X108" s="73"/>
    </row>
    <row r="109" spans="2:24" x14ac:dyDescent="0.3">
      <c r="D109" t="s">
        <v>145</v>
      </c>
      <c r="F109" s="73"/>
      <c r="G109" s="73"/>
      <c r="H109" s="8"/>
      <c r="I109" s="19"/>
      <c r="J109" s="18"/>
      <c r="K109" s="8"/>
      <c r="L109" s="19"/>
      <c r="M109" s="18"/>
      <c r="N109" s="8"/>
      <c r="O109" s="19"/>
      <c r="P109" s="19"/>
      <c r="Q109" s="18"/>
      <c r="R109" s="8"/>
      <c r="S109" s="19"/>
      <c r="T109" s="18"/>
      <c r="U109" s="73"/>
      <c r="V109" s="73"/>
      <c r="W109" s="73"/>
      <c r="X109" s="73"/>
    </row>
    <row r="110" spans="2:24" x14ac:dyDescent="0.3">
      <c r="D110" t="s">
        <v>145</v>
      </c>
      <c r="F110" s="73"/>
      <c r="G110" s="73"/>
      <c r="H110" s="8"/>
      <c r="I110" s="19"/>
      <c r="J110" s="18"/>
      <c r="K110" s="8"/>
      <c r="L110" s="19"/>
      <c r="M110" s="18"/>
      <c r="N110" s="8"/>
      <c r="O110" s="19"/>
      <c r="P110" s="19"/>
      <c r="Q110" s="18"/>
      <c r="R110" s="8"/>
      <c r="S110" s="19"/>
      <c r="T110" s="18"/>
      <c r="U110" s="73"/>
      <c r="V110" s="73"/>
      <c r="W110" s="73"/>
      <c r="X110" s="73"/>
    </row>
    <row r="111" spans="2:24" x14ac:dyDescent="0.3">
      <c r="D111" t="s">
        <v>145</v>
      </c>
      <c r="F111" s="73"/>
      <c r="G111" s="73"/>
      <c r="H111" s="8"/>
      <c r="I111" s="19"/>
      <c r="J111" s="18"/>
      <c r="K111" s="8"/>
      <c r="L111" s="19"/>
      <c r="M111" s="18"/>
      <c r="N111" s="8"/>
      <c r="O111" s="19"/>
      <c r="P111" s="19"/>
      <c r="Q111" s="18"/>
      <c r="R111" s="8"/>
      <c r="S111" s="19"/>
      <c r="T111" s="18"/>
      <c r="U111" s="73"/>
      <c r="V111" s="73"/>
      <c r="W111" s="73"/>
      <c r="X111" s="73"/>
    </row>
    <row r="112" spans="2:24" x14ac:dyDescent="0.3">
      <c r="D112" t="s">
        <v>145</v>
      </c>
      <c r="F112" s="73"/>
      <c r="G112" s="73"/>
      <c r="H112" s="8"/>
      <c r="I112" s="19"/>
      <c r="J112" s="18"/>
      <c r="K112" s="8"/>
      <c r="L112" s="19"/>
      <c r="M112" s="18"/>
      <c r="N112" s="8"/>
      <c r="O112" s="19"/>
      <c r="P112" s="19"/>
      <c r="Q112" s="18"/>
      <c r="R112" s="8"/>
      <c r="S112" s="19"/>
      <c r="T112" s="18"/>
      <c r="U112" s="73"/>
      <c r="V112" s="73"/>
      <c r="W112" s="73"/>
      <c r="X112" s="73"/>
    </row>
    <row r="113" spans="2:24" x14ac:dyDescent="0.3">
      <c r="B113" t="s">
        <v>146</v>
      </c>
      <c r="D113" t="s">
        <v>147</v>
      </c>
      <c r="F113" s="73"/>
      <c r="G113" s="73"/>
      <c r="H113" s="8"/>
      <c r="I113" s="19"/>
      <c r="J113" s="18"/>
      <c r="K113" s="8"/>
      <c r="L113" s="19"/>
      <c r="M113" s="18"/>
      <c r="N113" s="8"/>
      <c r="O113" s="19"/>
      <c r="P113" s="19"/>
      <c r="Q113" s="18"/>
      <c r="R113" s="8"/>
      <c r="S113" s="19"/>
      <c r="T113" s="18"/>
      <c r="U113" s="73"/>
      <c r="V113" s="73"/>
      <c r="W113" s="73"/>
      <c r="X113" s="73"/>
    </row>
    <row r="114" spans="2:24" x14ac:dyDescent="0.3">
      <c r="D114" t="s">
        <v>154</v>
      </c>
      <c r="F114" s="73"/>
      <c r="G114" s="73"/>
      <c r="H114" s="8"/>
      <c r="I114" s="19"/>
      <c r="J114" s="18"/>
      <c r="K114" s="8"/>
      <c r="L114" s="19"/>
      <c r="M114" s="18"/>
      <c r="N114" s="8"/>
      <c r="O114" s="19"/>
      <c r="P114" s="19"/>
      <c r="Q114" s="18"/>
      <c r="R114" s="8"/>
      <c r="S114" s="19"/>
      <c r="T114" s="18"/>
      <c r="U114" s="73"/>
      <c r="V114" s="73"/>
      <c r="W114" s="73"/>
      <c r="X114" s="73"/>
    </row>
    <row r="115" spans="2:24" x14ac:dyDescent="0.3">
      <c r="D115" t="s">
        <v>154</v>
      </c>
      <c r="F115" s="73"/>
      <c r="G115" s="73"/>
      <c r="H115" s="8"/>
      <c r="I115" s="19"/>
      <c r="J115" s="18"/>
      <c r="K115" s="8"/>
      <c r="L115" s="19"/>
      <c r="M115" s="18"/>
      <c r="N115" s="8"/>
      <c r="O115" s="19"/>
      <c r="P115" s="19"/>
      <c r="Q115" s="18"/>
      <c r="R115" s="8"/>
      <c r="S115" s="19"/>
      <c r="T115" s="18"/>
      <c r="U115" s="73"/>
      <c r="V115" s="73"/>
      <c r="W115" s="73"/>
      <c r="X115" s="73"/>
    </row>
    <row r="116" spans="2:24" x14ac:dyDescent="0.3">
      <c r="D116" t="s">
        <v>154</v>
      </c>
      <c r="F116" s="73"/>
      <c r="G116" s="73"/>
      <c r="H116" s="8"/>
      <c r="I116" s="19"/>
      <c r="J116" s="18"/>
      <c r="K116" s="8"/>
      <c r="L116" s="19"/>
      <c r="M116" s="18"/>
      <c r="N116" s="8"/>
      <c r="O116" s="19"/>
      <c r="P116" s="19"/>
      <c r="Q116" s="18"/>
      <c r="R116" s="8"/>
      <c r="S116" s="19"/>
      <c r="T116" s="18"/>
      <c r="U116" s="73"/>
      <c r="V116" s="73"/>
      <c r="W116" s="73"/>
      <c r="X116" s="73"/>
    </row>
    <row r="117" spans="2:24" x14ac:dyDescent="0.3">
      <c r="D117" t="s">
        <v>155</v>
      </c>
      <c r="F117" s="73"/>
      <c r="G117" s="73"/>
      <c r="H117" s="8"/>
      <c r="I117" s="19"/>
      <c r="J117" s="18"/>
      <c r="K117" s="8"/>
      <c r="L117" s="19"/>
      <c r="M117" s="18"/>
      <c r="N117" s="8"/>
      <c r="O117" s="19"/>
      <c r="P117" s="19"/>
      <c r="Q117" s="18"/>
      <c r="R117" s="8"/>
      <c r="S117" s="19"/>
      <c r="T117" s="18"/>
      <c r="U117" s="73"/>
      <c r="V117" s="73"/>
      <c r="W117" s="73"/>
      <c r="X117" s="73"/>
    </row>
    <row r="118" spans="2:24" x14ac:dyDescent="0.3">
      <c r="D118" t="s">
        <v>155</v>
      </c>
      <c r="F118" s="73"/>
      <c r="G118" s="73"/>
      <c r="H118" s="8"/>
      <c r="I118" s="19"/>
      <c r="J118" s="18"/>
      <c r="K118" s="8"/>
      <c r="L118" s="19"/>
      <c r="M118" s="18"/>
      <c r="N118" s="8"/>
      <c r="O118" s="19"/>
      <c r="P118" s="19"/>
      <c r="Q118" s="18"/>
      <c r="R118" s="8"/>
      <c r="S118" s="19"/>
      <c r="T118" s="18"/>
      <c r="U118" s="73"/>
      <c r="V118" s="73"/>
      <c r="W118" s="73"/>
      <c r="X118" s="73"/>
    </row>
    <row r="119" spans="2:24" x14ac:dyDescent="0.3">
      <c r="D119" t="s">
        <v>155</v>
      </c>
      <c r="F119" s="73"/>
      <c r="G119" s="73"/>
      <c r="H119" s="8"/>
      <c r="I119" s="19"/>
      <c r="J119" s="18"/>
      <c r="K119" s="8"/>
      <c r="L119" s="19"/>
      <c r="M119" s="18"/>
      <c r="N119" s="8"/>
      <c r="O119" s="19"/>
      <c r="P119" s="19"/>
      <c r="Q119" s="18"/>
      <c r="R119" s="8"/>
      <c r="S119" s="19"/>
      <c r="T119" s="18"/>
      <c r="U119" s="73"/>
      <c r="V119" s="73"/>
      <c r="W119" s="73"/>
      <c r="X119" s="73"/>
    </row>
    <row r="120" spans="2:24" x14ac:dyDescent="0.3">
      <c r="D120" t="s">
        <v>165</v>
      </c>
      <c r="F120" s="73"/>
      <c r="G120" s="73"/>
      <c r="H120" s="8"/>
      <c r="I120" s="19"/>
      <c r="J120" s="18"/>
      <c r="K120" s="8"/>
      <c r="L120" s="19"/>
      <c r="M120" s="18"/>
      <c r="N120" s="8"/>
      <c r="O120" s="19"/>
      <c r="P120" s="19"/>
      <c r="Q120" s="18"/>
      <c r="R120" s="8"/>
      <c r="S120" s="19"/>
      <c r="T120" s="18"/>
      <c r="U120" s="73"/>
      <c r="V120" s="73"/>
      <c r="W120" s="73"/>
      <c r="X120" s="73"/>
    </row>
    <row r="121" spans="2:24" x14ac:dyDescent="0.3">
      <c r="D121" t="s">
        <v>165</v>
      </c>
      <c r="F121" s="73"/>
      <c r="G121" s="73"/>
      <c r="H121" s="8"/>
      <c r="I121" s="19"/>
      <c r="J121" s="18"/>
      <c r="K121" s="8"/>
      <c r="L121" s="19"/>
      <c r="M121" s="18"/>
      <c r="N121" s="8"/>
      <c r="O121" s="19"/>
      <c r="P121" s="19"/>
      <c r="Q121" s="18"/>
      <c r="R121" s="8"/>
      <c r="S121" s="19"/>
      <c r="T121" s="18"/>
      <c r="U121" s="73"/>
      <c r="V121" s="73"/>
      <c r="W121" s="73"/>
      <c r="X121" s="73"/>
    </row>
    <row r="122" spans="2:24" x14ac:dyDescent="0.3">
      <c r="D122" t="s">
        <v>165</v>
      </c>
      <c r="F122" s="73"/>
      <c r="G122" s="73"/>
      <c r="H122" s="8"/>
      <c r="I122" s="19"/>
      <c r="J122" s="18"/>
      <c r="K122" s="8"/>
      <c r="L122" s="19"/>
      <c r="M122" s="18"/>
      <c r="N122" s="8"/>
      <c r="O122" s="19"/>
      <c r="P122" s="19"/>
      <c r="Q122" s="18"/>
      <c r="R122" s="8"/>
      <c r="S122" s="19"/>
      <c r="T122" s="18"/>
      <c r="U122" s="73"/>
      <c r="V122" s="73"/>
      <c r="W122" s="73"/>
      <c r="X122" s="73"/>
    </row>
    <row r="123" spans="2:24" x14ac:dyDescent="0.3">
      <c r="D123" t="s">
        <v>165</v>
      </c>
      <c r="F123" s="73"/>
      <c r="G123" s="73"/>
      <c r="H123" s="8"/>
      <c r="I123" s="19"/>
      <c r="J123" s="18"/>
      <c r="K123" s="8"/>
      <c r="L123" s="19"/>
      <c r="M123" s="18"/>
      <c r="N123" s="8"/>
      <c r="O123" s="19"/>
      <c r="P123" s="19"/>
      <c r="Q123" s="18"/>
      <c r="R123" s="8"/>
      <c r="S123" s="19"/>
      <c r="T123" s="18"/>
      <c r="U123" s="73"/>
      <c r="V123" s="73"/>
      <c r="W123" s="73"/>
      <c r="X123" s="73"/>
    </row>
    <row r="124" spans="2:24" x14ac:dyDescent="0.3">
      <c r="D124" t="s">
        <v>165</v>
      </c>
      <c r="F124" s="73"/>
      <c r="G124" s="73"/>
      <c r="H124" s="8"/>
      <c r="I124" s="19"/>
      <c r="J124" s="18"/>
      <c r="K124" s="8"/>
      <c r="L124" s="19"/>
      <c r="M124" s="18"/>
      <c r="N124" s="8"/>
      <c r="O124" s="19"/>
      <c r="P124" s="19"/>
      <c r="Q124" s="18"/>
      <c r="R124" s="8"/>
      <c r="S124" s="19"/>
      <c r="T124" s="18"/>
      <c r="U124" s="73"/>
      <c r="V124" s="73"/>
      <c r="W124" s="73"/>
      <c r="X124" s="73"/>
    </row>
    <row r="125" spans="2:24" x14ac:dyDescent="0.3">
      <c r="D125" t="s">
        <v>165</v>
      </c>
      <c r="F125" s="73"/>
      <c r="G125" s="73"/>
      <c r="H125" s="8"/>
      <c r="I125" s="19"/>
      <c r="J125" s="18"/>
      <c r="K125" s="8"/>
      <c r="L125" s="19"/>
      <c r="M125" s="18"/>
      <c r="N125" s="8"/>
      <c r="O125" s="19"/>
      <c r="P125" s="19"/>
      <c r="Q125" s="18"/>
      <c r="R125" s="8"/>
      <c r="S125" s="19"/>
      <c r="T125" s="18"/>
      <c r="U125" s="73"/>
      <c r="V125" s="73"/>
      <c r="W125" s="73"/>
      <c r="X125" s="73"/>
    </row>
    <row r="126" spans="2:24" x14ac:dyDescent="0.3">
      <c r="D126" t="s">
        <v>165</v>
      </c>
      <c r="F126" s="73"/>
      <c r="G126" s="73"/>
      <c r="H126" s="8"/>
      <c r="I126" s="19"/>
      <c r="J126" s="18"/>
      <c r="K126" s="8"/>
      <c r="L126" s="19"/>
      <c r="M126" s="18"/>
      <c r="N126" s="8"/>
      <c r="O126" s="19"/>
      <c r="P126" s="19"/>
      <c r="Q126" s="18"/>
      <c r="R126" s="8"/>
      <c r="S126" s="19"/>
      <c r="T126" s="18"/>
      <c r="U126" s="73"/>
      <c r="V126" s="73"/>
      <c r="W126" s="73"/>
      <c r="X126" s="73"/>
    </row>
    <row r="127" spans="2:24" x14ac:dyDescent="0.3">
      <c r="D127" t="s">
        <v>165</v>
      </c>
      <c r="F127" s="73"/>
      <c r="G127" s="73"/>
      <c r="H127" s="8"/>
      <c r="I127" s="19"/>
      <c r="J127" s="18"/>
      <c r="K127" s="8"/>
      <c r="L127" s="19"/>
      <c r="M127" s="18"/>
      <c r="N127" s="8"/>
      <c r="O127" s="19"/>
      <c r="P127" s="19"/>
      <c r="Q127" s="18"/>
      <c r="R127" s="8"/>
      <c r="S127" s="19"/>
      <c r="T127" s="18"/>
      <c r="U127" s="73"/>
      <c r="V127" s="73"/>
      <c r="W127" s="73"/>
      <c r="X127" s="73"/>
    </row>
    <row r="128" spans="2:24" x14ac:dyDescent="0.3">
      <c r="D128" t="s">
        <v>165</v>
      </c>
      <c r="F128" s="73"/>
      <c r="G128" s="73"/>
      <c r="H128" s="8"/>
      <c r="I128" s="19"/>
      <c r="J128" s="18"/>
      <c r="K128" s="8"/>
      <c r="L128" s="19"/>
      <c r="M128" s="18"/>
      <c r="N128" s="8"/>
      <c r="O128" s="19"/>
      <c r="P128" s="19"/>
      <c r="Q128" s="18"/>
      <c r="R128" s="8"/>
      <c r="S128" s="19"/>
      <c r="T128" s="18"/>
      <c r="U128" s="73"/>
      <c r="V128" s="73"/>
      <c r="W128" s="73"/>
      <c r="X128" s="73"/>
    </row>
    <row r="129" spans="4:24" x14ac:dyDescent="0.3">
      <c r="D129" t="s">
        <v>165</v>
      </c>
      <c r="F129" s="73"/>
      <c r="G129" s="73"/>
      <c r="H129" s="8"/>
      <c r="I129" s="19"/>
      <c r="J129" s="18"/>
      <c r="K129" s="8"/>
      <c r="L129" s="19"/>
      <c r="M129" s="18"/>
      <c r="N129" s="8"/>
      <c r="O129" s="19"/>
      <c r="P129" s="19"/>
      <c r="Q129" s="18"/>
      <c r="R129" s="8"/>
      <c r="S129" s="19"/>
      <c r="T129" s="18"/>
      <c r="U129" s="73"/>
      <c r="V129" s="73"/>
      <c r="W129" s="73"/>
      <c r="X129" s="73"/>
    </row>
    <row r="130" spans="4:24" x14ac:dyDescent="0.3">
      <c r="D130" t="s">
        <v>165</v>
      </c>
      <c r="F130" s="73"/>
      <c r="G130" s="73"/>
      <c r="H130" s="8"/>
      <c r="I130" s="19"/>
      <c r="J130" s="18"/>
      <c r="K130" s="8"/>
      <c r="L130" s="19"/>
      <c r="M130" s="18"/>
      <c r="N130" s="8"/>
      <c r="O130" s="19"/>
      <c r="P130" s="19"/>
      <c r="Q130" s="18"/>
      <c r="R130" s="8"/>
      <c r="S130" s="19"/>
      <c r="T130" s="18"/>
      <c r="U130" s="73"/>
      <c r="V130" s="73"/>
      <c r="W130" s="73"/>
      <c r="X130" s="73"/>
    </row>
    <row r="131" spans="4:24" x14ac:dyDescent="0.3">
      <c r="D131" t="s">
        <v>165</v>
      </c>
      <c r="F131" s="73"/>
      <c r="G131" s="73"/>
      <c r="H131" s="8"/>
      <c r="I131" s="19"/>
      <c r="J131" s="18"/>
      <c r="K131" s="8"/>
      <c r="L131" s="19"/>
      <c r="M131" s="18"/>
      <c r="N131" s="8"/>
      <c r="O131" s="19"/>
      <c r="P131" s="19"/>
      <c r="Q131" s="18"/>
      <c r="R131" s="8"/>
      <c r="S131" s="19"/>
      <c r="T131" s="18"/>
      <c r="U131" s="73"/>
      <c r="V131" s="73"/>
      <c r="W131" s="73"/>
      <c r="X131" s="73"/>
    </row>
    <row r="132" spans="4:24" x14ac:dyDescent="0.3">
      <c r="D132" t="s">
        <v>165</v>
      </c>
      <c r="F132" s="73"/>
      <c r="G132" s="73"/>
      <c r="H132" s="8"/>
      <c r="I132" s="19"/>
      <c r="J132" s="18"/>
      <c r="K132" s="8"/>
      <c r="L132" s="19"/>
      <c r="M132" s="18"/>
      <c r="N132" s="8"/>
      <c r="O132" s="19"/>
      <c r="P132" s="19"/>
      <c r="Q132" s="18"/>
      <c r="R132" s="8"/>
      <c r="S132" s="19"/>
      <c r="T132" s="18"/>
      <c r="U132" s="73"/>
      <c r="V132" s="73"/>
      <c r="W132" s="73"/>
      <c r="X132" s="73"/>
    </row>
    <row r="133" spans="4:24" x14ac:dyDescent="0.3">
      <c r="D133" t="s">
        <v>165</v>
      </c>
      <c r="F133" s="73"/>
      <c r="G133" s="73"/>
      <c r="H133" s="8"/>
      <c r="I133" s="19"/>
      <c r="J133" s="18"/>
      <c r="K133" s="8"/>
      <c r="L133" s="19"/>
      <c r="M133" s="18"/>
      <c r="N133" s="8"/>
      <c r="O133" s="19"/>
      <c r="P133" s="19"/>
      <c r="Q133" s="18"/>
      <c r="R133" s="8"/>
      <c r="S133" s="19"/>
      <c r="T133" s="18"/>
      <c r="U133" s="73"/>
      <c r="V133" s="73"/>
      <c r="W133" s="73"/>
      <c r="X133" s="73"/>
    </row>
    <row r="134" spans="4:24" x14ac:dyDescent="0.3">
      <c r="D134" t="s">
        <v>165</v>
      </c>
      <c r="F134" s="73"/>
      <c r="G134" s="73"/>
      <c r="H134" s="8"/>
      <c r="I134" s="19"/>
      <c r="J134" s="18"/>
      <c r="K134" s="8"/>
      <c r="L134" s="19"/>
      <c r="M134" s="18"/>
      <c r="N134" s="8"/>
      <c r="O134" s="19"/>
      <c r="P134" s="19"/>
      <c r="Q134" s="18"/>
      <c r="R134" s="8"/>
      <c r="S134" s="19"/>
      <c r="T134" s="18"/>
      <c r="U134" s="73"/>
      <c r="V134" s="73"/>
      <c r="W134" s="73"/>
      <c r="X134" s="73"/>
    </row>
    <row r="135" spans="4:24" x14ac:dyDescent="0.3">
      <c r="D135" t="s">
        <v>165</v>
      </c>
      <c r="F135" s="73"/>
      <c r="G135" s="73"/>
      <c r="H135" s="8"/>
      <c r="I135" s="19"/>
      <c r="J135" s="18"/>
      <c r="K135" s="8"/>
      <c r="L135" s="19"/>
      <c r="M135" s="18"/>
      <c r="N135" s="8"/>
      <c r="O135" s="19"/>
      <c r="P135" s="19"/>
      <c r="Q135" s="18"/>
      <c r="R135" s="8"/>
      <c r="S135" s="19"/>
      <c r="T135" s="18"/>
      <c r="U135" s="73"/>
      <c r="V135" s="73"/>
      <c r="W135" s="73"/>
      <c r="X135" s="73"/>
    </row>
    <row r="136" spans="4:24" x14ac:dyDescent="0.3">
      <c r="D136" t="s">
        <v>165</v>
      </c>
      <c r="F136" s="73"/>
      <c r="G136" s="73"/>
      <c r="H136" s="8"/>
      <c r="I136" s="19"/>
      <c r="J136" s="18"/>
      <c r="K136" s="8"/>
      <c r="L136" s="19"/>
      <c r="M136" s="18"/>
      <c r="N136" s="8"/>
      <c r="O136" s="19"/>
      <c r="P136" s="19"/>
      <c r="Q136" s="18"/>
      <c r="R136" s="8"/>
      <c r="S136" s="19"/>
      <c r="T136" s="18"/>
      <c r="U136" s="73"/>
      <c r="V136" s="73"/>
      <c r="W136" s="73"/>
      <c r="X136" s="73"/>
    </row>
    <row r="137" spans="4:24" x14ac:dyDescent="0.3">
      <c r="D137" t="s">
        <v>165</v>
      </c>
      <c r="F137" s="73"/>
      <c r="G137" s="73"/>
      <c r="H137" s="8"/>
      <c r="I137" s="19"/>
      <c r="J137" s="18"/>
      <c r="K137" s="8"/>
      <c r="L137" s="19"/>
      <c r="M137" s="18"/>
      <c r="N137" s="8"/>
      <c r="O137" s="19"/>
      <c r="P137" s="19"/>
      <c r="Q137" s="18"/>
      <c r="R137" s="8"/>
      <c r="S137" s="19"/>
      <c r="T137" s="18"/>
      <c r="U137" s="73"/>
      <c r="V137" s="73"/>
      <c r="W137" s="73"/>
      <c r="X137" s="73"/>
    </row>
    <row r="138" spans="4:24" x14ac:dyDescent="0.3">
      <c r="D138" t="s">
        <v>165</v>
      </c>
      <c r="F138" s="73"/>
      <c r="G138" s="73"/>
      <c r="H138" s="8"/>
      <c r="I138" s="19"/>
      <c r="J138" s="18"/>
      <c r="K138" s="8"/>
      <c r="L138" s="19"/>
      <c r="M138" s="18"/>
      <c r="N138" s="8"/>
      <c r="O138" s="19"/>
      <c r="P138" s="19"/>
      <c r="Q138" s="18"/>
      <c r="R138" s="8"/>
      <c r="S138" s="19"/>
      <c r="T138" s="18"/>
      <c r="U138" s="73"/>
      <c r="V138" s="73"/>
      <c r="W138" s="73"/>
      <c r="X138" s="73"/>
    </row>
    <row r="139" spans="4:24" x14ac:dyDescent="0.3">
      <c r="F139" s="74">
        <f>SUM(F4:F136)</f>
        <v>35</v>
      </c>
      <c r="G139" s="74">
        <f>SUM(G4:G136)</f>
        <v>250</v>
      </c>
      <c r="H139" s="5">
        <f t="shared" ref="H139:X139" si="0">SUM(H4:H136)</f>
        <v>0</v>
      </c>
      <c r="I139" s="71">
        <f t="shared" si="0"/>
        <v>25</v>
      </c>
      <c r="J139" s="72">
        <f t="shared" si="0"/>
        <v>80</v>
      </c>
      <c r="K139" s="5">
        <f t="shared" si="0"/>
        <v>30</v>
      </c>
      <c r="L139" s="71">
        <f t="shared" si="0"/>
        <v>25</v>
      </c>
      <c r="M139" s="72">
        <f t="shared" si="0"/>
        <v>80</v>
      </c>
      <c r="N139" s="5">
        <f t="shared" si="0"/>
        <v>30</v>
      </c>
      <c r="O139" s="71">
        <f t="shared" si="0"/>
        <v>25</v>
      </c>
      <c r="P139" s="71">
        <f t="shared" si="0"/>
        <v>80</v>
      </c>
      <c r="Q139" s="72">
        <f t="shared" si="0"/>
        <v>0</v>
      </c>
      <c r="R139" s="5">
        <f t="shared" si="0"/>
        <v>30</v>
      </c>
      <c r="S139" s="71">
        <f t="shared" si="0"/>
        <v>25</v>
      </c>
      <c r="T139" s="72">
        <f t="shared" si="0"/>
        <v>80</v>
      </c>
      <c r="U139" s="74">
        <f t="shared" si="0"/>
        <v>0</v>
      </c>
      <c r="V139" s="74">
        <f t="shared" si="0"/>
        <v>795</v>
      </c>
      <c r="W139" s="74">
        <f t="shared" si="0"/>
        <v>0</v>
      </c>
      <c r="X139" s="74">
        <f t="shared" si="0"/>
        <v>-795</v>
      </c>
    </row>
  </sheetData>
  <mergeCells count="4">
    <mergeCell ref="H2:J2"/>
    <mergeCell ref="K2:M2"/>
    <mergeCell ref="N2:Q2"/>
    <mergeCell ref="R2:T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</vt:lpstr>
      <vt:lpstr>Real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dr magaya</cp:lastModifiedBy>
  <dcterms:created xsi:type="dcterms:W3CDTF">2026-01-08T12:20:32Z</dcterms:created>
  <dcterms:modified xsi:type="dcterms:W3CDTF">2026-06-10T07:30:46Z</dcterms:modified>
</cp:coreProperties>
</file>