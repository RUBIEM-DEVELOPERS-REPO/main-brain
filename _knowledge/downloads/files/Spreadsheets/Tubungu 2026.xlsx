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magaya\OneDrive\Desktop\"/>
    </mc:Choice>
  </mc:AlternateContent>
  <xr:revisionPtr revIDLastSave="0" documentId="13_ncr:1_{CE998562-1BBC-465D-A2E5-E7D767D1E57A}" xr6:coauthVersionLast="36" xr6:coauthVersionMax="36" xr10:uidLastSave="{00000000-0000-0000-0000-000000000000}"/>
  <bookViews>
    <workbookView xWindow="0" yWindow="0" windowWidth="19008" windowHeight="9588" activeTab="1" xr2:uid="{886B7A7E-2EBA-4E42-A90C-D4F4A9AE7B76}"/>
  </bookViews>
  <sheets>
    <sheet name="Financials" sheetId="1" r:id="rId1"/>
    <sheet name="Foundational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1" l="1"/>
  <c r="F51" i="1"/>
  <c r="F46" i="1"/>
  <c r="F45" i="1"/>
  <c r="D45" i="1"/>
  <c r="F43" i="1"/>
  <c r="F21" i="1"/>
  <c r="F22" i="1"/>
  <c r="F23" i="1"/>
  <c r="D14" i="1"/>
  <c r="D18" i="1"/>
  <c r="D15" i="1" l="1"/>
  <c r="F15" i="1" s="1"/>
  <c r="D38" i="1"/>
  <c r="D43" i="1"/>
  <c r="D8" i="1"/>
  <c r="D9" i="1"/>
  <c r="D35" i="1"/>
  <c r="F32" i="1"/>
  <c r="F34" i="1"/>
  <c r="D12" i="1"/>
  <c r="F12" i="1" s="1"/>
  <c r="D6" i="1"/>
  <c r="F44" i="1"/>
  <c r="F39" i="1"/>
  <c r="F31" i="1"/>
  <c r="F30" i="1"/>
  <c r="F29" i="1"/>
  <c r="F28" i="1"/>
  <c r="F27" i="1"/>
  <c r="F26" i="1"/>
  <c r="F25" i="1"/>
  <c r="F24" i="1"/>
  <c r="F20" i="1"/>
  <c r="F19" i="1"/>
  <c r="F18" i="1"/>
  <c r="F6" i="1"/>
  <c r="F7" i="1"/>
  <c r="F9" i="1"/>
  <c r="F10" i="1"/>
  <c r="F11" i="1"/>
  <c r="F13" i="1"/>
  <c r="F14" i="1"/>
  <c r="D11" i="1"/>
  <c r="D10" i="1"/>
  <c r="D7" i="1"/>
  <c r="D39" i="1"/>
  <c r="D44" i="1"/>
  <c r="D27" i="1"/>
  <c r="D4" i="1"/>
  <c r="F4" i="1" s="1"/>
  <c r="D5" i="1"/>
  <c r="F5" i="1" s="1"/>
  <c r="D40" i="1" l="1"/>
  <c r="F35" i="1"/>
  <c r="D16" i="1"/>
  <c r="F38" i="1"/>
  <c r="F40" i="1" s="1"/>
  <c r="F8" i="1"/>
  <c r="F16" i="1"/>
  <c r="D46" i="1"/>
  <c r="D48" i="1" l="1"/>
  <c r="D50" i="1" s="1"/>
  <c r="F48" i="1"/>
  <c r="F49" i="1" l="1"/>
  <c r="F50" i="1"/>
  <c r="F52" i="1" s="1"/>
  <c r="F53" i="1" s="1"/>
</calcChain>
</file>

<file path=xl/sharedStrings.xml><?xml version="1.0" encoding="utf-8"?>
<sst xmlns="http://schemas.openxmlformats.org/spreadsheetml/2006/main" count="365" uniqueCount="207">
  <si>
    <t>Aiia</t>
  </si>
  <si>
    <t xml:space="preserve">rubiem </t>
  </si>
  <si>
    <t xml:space="preserve">Easy Mobile </t>
  </si>
  <si>
    <t>SS Income</t>
  </si>
  <si>
    <t>Omni</t>
  </si>
  <si>
    <t xml:space="preserve">Zimpapers Summit - Vic Falls </t>
  </si>
  <si>
    <t xml:space="preserve">Zimpapers Summit - Trout Beck  </t>
  </si>
  <si>
    <t>Zimpapers Summit - Harare</t>
  </si>
  <si>
    <t xml:space="preserve">AFC CBS </t>
  </si>
  <si>
    <t xml:space="preserve">AFC Implementation </t>
  </si>
  <si>
    <t xml:space="preserve">ZB </t>
  </si>
  <si>
    <t>Attie</t>
  </si>
  <si>
    <t xml:space="preserve">Hotel </t>
  </si>
  <si>
    <t xml:space="preserve">Cattle </t>
  </si>
  <si>
    <t xml:space="preserve">Total </t>
  </si>
  <si>
    <t xml:space="preserve">Starlink Commision </t>
  </si>
  <si>
    <t xml:space="preserve">Microfinance </t>
  </si>
  <si>
    <t xml:space="preserve">NRZPF Digitalisation </t>
  </si>
  <si>
    <t xml:space="preserve">SECZIM Digitalisation </t>
  </si>
  <si>
    <t xml:space="preserve">SECZIM - website </t>
  </si>
  <si>
    <t>Zim Media Commision Digital Transformation</t>
  </si>
  <si>
    <t xml:space="preserve">Diploma Training </t>
  </si>
  <si>
    <t xml:space="preserve">Certficate Training </t>
  </si>
  <si>
    <t xml:space="preserve">IoBZ Training </t>
  </si>
  <si>
    <t xml:space="preserve">AFC Training </t>
  </si>
  <si>
    <t>Short-Courses</t>
  </si>
  <si>
    <t xml:space="preserve">Technical Certification </t>
  </si>
  <si>
    <t xml:space="preserve">POTRAZ / Funded AI Solutions </t>
  </si>
  <si>
    <t xml:space="preserve">Balance </t>
  </si>
  <si>
    <t>RA 1</t>
  </si>
  <si>
    <t xml:space="preserve">January Target </t>
  </si>
  <si>
    <t xml:space="preserve">Write RFP </t>
  </si>
  <si>
    <t>Win contract</t>
  </si>
  <si>
    <t xml:space="preserve">Submit proposal </t>
  </si>
  <si>
    <t xml:space="preserve">Win Tender </t>
  </si>
  <si>
    <t xml:space="preserve">Other </t>
  </si>
  <si>
    <t xml:space="preserve">Target </t>
  </si>
  <si>
    <t xml:space="preserve">Realised </t>
  </si>
  <si>
    <t xml:space="preserve">Net </t>
  </si>
  <si>
    <t xml:space="preserve">Publish adverts </t>
  </si>
  <si>
    <t xml:space="preserve">Create content </t>
  </si>
  <si>
    <t xml:space="preserve">Course Acredited </t>
  </si>
  <si>
    <t>Start Project</t>
  </si>
  <si>
    <t>Hexco Registration</t>
  </si>
  <si>
    <t xml:space="preserve">Get Speakers </t>
  </si>
  <si>
    <t xml:space="preserve">Complete Concept </t>
  </si>
  <si>
    <t>Complete Concept</t>
  </si>
  <si>
    <t xml:space="preserve">Win 1 Client </t>
  </si>
  <si>
    <t>Exchange propsoal</t>
  </si>
  <si>
    <t>Get Deposit</t>
  </si>
  <si>
    <t xml:space="preserve">Sign Contract </t>
  </si>
  <si>
    <t xml:space="preserve">Start project </t>
  </si>
  <si>
    <t xml:space="preserve">Secure Partner </t>
  </si>
  <si>
    <t>Become Current</t>
  </si>
  <si>
    <t>Get Paid balance</t>
  </si>
  <si>
    <t xml:space="preserve">RFP Issued </t>
  </si>
  <si>
    <t xml:space="preserve">Sign contract </t>
  </si>
  <si>
    <t xml:space="preserve">Get Award </t>
  </si>
  <si>
    <t xml:space="preserve">Complete platform </t>
  </si>
  <si>
    <t>eLearning Platform</t>
  </si>
  <si>
    <t xml:space="preserve">Strategic Plan </t>
  </si>
  <si>
    <t xml:space="preserve">Sign contrcat </t>
  </si>
  <si>
    <t>Secure key Vendors</t>
  </si>
  <si>
    <t xml:space="preserve">Apply for License </t>
  </si>
  <si>
    <t>Buy Door frames</t>
  </si>
  <si>
    <t>Start Construction</t>
  </si>
  <si>
    <t xml:space="preserve">Buy Cement </t>
  </si>
  <si>
    <t>Grow grass - 2 ha</t>
  </si>
  <si>
    <t>Push 8 to heat</t>
  </si>
  <si>
    <t xml:space="preserve">Look for bull </t>
  </si>
  <si>
    <t xml:space="preserve">Grow maize - 5ha </t>
  </si>
  <si>
    <t xml:space="preserve">Secure stakeholder 1 </t>
  </si>
  <si>
    <t>Secure stakeholder 2</t>
  </si>
  <si>
    <t xml:space="preserve">Secure stakeholder 3 </t>
  </si>
  <si>
    <t xml:space="preserve">engage </t>
  </si>
  <si>
    <t xml:space="preserve">Fintech / Pricing system </t>
  </si>
  <si>
    <t xml:space="preserve">develop brochure </t>
  </si>
  <si>
    <t xml:space="preserve">develop roadmap </t>
  </si>
  <si>
    <t xml:space="preserve">complere phase 1 </t>
  </si>
  <si>
    <t xml:space="preserve">secure compute </t>
  </si>
  <si>
    <t>Submit 2  proposals</t>
  </si>
  <si>
    <t xml:space="preserve">Aiia </t>
  </si>
  <si>
    <t xml:space="preserve">DM </t>
  </si>
  <si>
    <t xml:space="preserve">1. Governance </t>
  </si>
  <si>
    <t xml:space="preserve">3. Brand </t>
  </si>
  <si>
    <t xml:space="preserve">1. Innovations </t>
  </si>
  <si>
    <t xml:space="preserve">2.  Build New rubiem </t>
  </si>
  <si>
    <t xml:space="preserve">3. NewCo </t>
  </si>
  <si>
    <t xml:space="preserve">2. HR Capacity </t>
  </si>
  <si>
    <t>1. PhD</t>
  </si>
  <si>
    <t xml:space="preserve">2. Book </t>
  </si>
  <si>
    <t xml:space="preserve">3. SS Closure </t>
  </si>
  <si>
    <t xml:space="preserve">Board meeting </t>
  </si>
  <si>
    <t xml:space="preserve">Board Fees </t>
  </si>
  <si>
    <t>Revise Constitution</t>
  </si>
  <si>
    <t xml:space="preserve">Recruit 3 top Notch </t>
  </si>
  <si>
    <t>Office Branding</t>
  </si>
  <si>
    <t xml:space="preserve">Daily Adverts </t>
  </si>
  <si>
    <t xml:space="preserve">4. Digital 100% Growth </t>
  </si>
  <si>
    <t>WhatsApp to 1000</t>
  </si>
  <si>
    <t xml:space="preserve">Register new </t>
  </si>
  <si>
    <t xml:space="preserve">NSSA for Financials </t>
  </si>
  <si>
    <t xml:space="preserve">UZ Registration </t>
  </si>
  <si>
    <t xml:space="preserve">Proposal Approved </t>
  </si>
  <si>
    <t xml:space="preserve">Paper 1 draft </t>
  </si>
  <si>
    <t xml:space="preserve">Draft concept </t>
  </si>
  <si>
    <t xml:space="preserve">Draft Contents Table </t>
  </si>
  <si>
    <t xml:space="preserve">Conclude Theme </t>
  </si>
  <si>
    <t xml:space="preserve">Fund Laboratory </t>
  </si>
  <si>
    <t>Enquire Status</t>
  </si>
  <si>
    <t xml:space="preserve">Initiate Book </t>
  </si>
  <si>
    <t>Kill the entity -legally</t>
  </si>
  <si>
    <t xml:space="preserve">Newspaper articles </t>
  </si>
  <si>
    <t xml:space="preserve">January </t>
  </si>
  <si>
    <t xml:space="preserve">Cde Simbi </t>
  </si>
  <si>
    <t>John II</t>
  </si>
  <si>
    <t xml:space="preserve">SS Income </t>
  </si>
  <si>
    <t xml:space="preserve">Buy Window Frames </t>
  </si>
  <si>
    <t xml:space="preserve">Fix Tractor </t>
  </si>
  <si>
    <t>Borehole Piping.</t>
  </si>
  <si>
    <t xml:space="preserve">Approve design </t>
  </si>
  <si>
    <t xml:space="preserve">complete budget </t>
  </si>
  <si>
    <t>Recruit Stable Worker</t>
  </si>
  <si>
    <t xml:space="preserve">1. Farm Capacity </t>
  </si>
  <si>
    <t xml:space="preserve">Fence fields </t>
  </si>
  <si>
    <t xml:space="preserve">Repair Kraal </t>
  </si>
  <si>
    <t xml:space="preserve">VP </t>
  </si>
  <si>
    <t>Stable/Solid Team</t>
  </si>
  <si>
    <t xml:space="preserve">Data to staff  </t>
  </si>
  <si>
    <t>Get License</t>
  </si>
  <si>
    <t>4. Happiness and love</t>
  </si>
  <si>
    <t xml:space="preserve">5. Network </t>
  </si>
  <si>
    <t>AM plan</t>
  </si>
  <si>
    <t xml:space="preserve">2. Farm Mechanisation </t>
  </si>
  <si>
    <t>Share resolutions</t>
  </si>
  <si>
    <t xml:space="preserve">Sign agreement </t>
  </si>
  <si>
    <t xml:space="preserve">Client Meeting </t>
  </si>
  <si>
    <t xml:space="preserve">Clear Governance </t>
  </si>
  <si>
    <t xml:space="preserve">Get Patron </t>
  </si>
  <si>
    <t xml:space="preserve">Arthur adverts </t>
  </si>
  <si>
    <t xml:space="preserve">email lawyer </t>
  </si>
  <si>
    <t xml:space="preserve">drip irrigation </t>
  </si>
  <si>
    <t>RA 2</t>
  </si>
  <si>
    <t xml:space="preserve">AI Use cases </t>
  </si>
  <si>
    <t>Stores / Stock Management</t>
  </si>
  <si>
    <t xml:space="preserve">Digital Service Centre </t>
  </si>
  <si>
    <t>Bizas rp</t>
  </si>
  <si>
    <t xml:space="preserve">March  Target </t>
  </si>
  <si>
    <t>Complete Program</t>
  </si>
  <si>
    <t xml:space="preserve">Complete Program </t>
  </si>
  <si>
    <t>Approach client</t>
  </si>
  <si>
    <t xml:space="preserve">Win tender </t>
  </si>
  <si>
    <t xml:space="preserve">acquire 2 corporates </t>
  </si>
  <si>
    <t>Launch for Aiia</t>
  </si>
  <si>
    <t xml:space="preserve">get 100 Users </t>
  </si>
  <si>
    <t xml:space="preserve">testing </t>
  </si>
  <si>
    <t>compte implementation</t>
  </si>
  <si>
    <t xml:space="preserve">Write RFP &amp; Get Vendor </t>
  </si>
  <si>
    <t xml:space="preserve">Write RFP 7 Get Vendor </t>
  </si>
  <si>
    <t>Get References</t>
  </si>
  <si>
    <t xml:space="preserve">March </t>
  </si>
  <si>
    <t>Office Furniture</t>
  </si>
  <si>
    <t xml:space="preserve">Audiances - 1Mllion </t>
  </si>
  <si>
    <t>Members 300</t>
  </si>
  <si>
    <t xml:space="preserve">PRAZ Registration </t>
  </si>
  <si>
    <t>ZIMRA Tax clearance</t>
  </si>
  <si>
    <t xml:space="preserve">redo website </t>
  </si>
  <si>
    <t xml:space="preserve">register digital sites </t>
  </si>
  <si>
    <t xml:space="preserve">sign agreement </t>
  </si>
  <si>
    <t xml:space="preserve">solar fence security </t>
  </si>
  <si>
    <t xml:space="preserve">camera security </t>
  </si>
  <si>
    <t xml:space="preserve">write 20 chapters </t>
  </si>
  <si>
    <t>Identify publishers</t>
  </si>
  <si>
    <t xml:space="preserve">write 2 chapters </t>
  </si>
  <si>
    <t xml:space="preserve">3. Cattle Feed </t>
  </si>
  <si>
    <t>4. Farm House</t>
  </si>
  <si>
    <t xml:space="preserve">Plant  Juncao </t>
  </si>
  <si>
    <t xml:space="preserve">Secure Water </t>
  </si>
  <si>
    <t xml:space="preserve">Manure/Fertiliser </t>
  </si>
  <si>
    <t xml:space="preserve">Sprouting </t>
  </si>
  <si>
    <t>Ministers x 2</t>
  </si>
  <si>
    <t xml:space="preserve">CEO + Association </t>
  </si>
  <si>
    <t xml:space="preserve">5. Training </t>
  </si>
  <si>
    <t xml:space="preserve">Recruit 3 top Trainers </t>
  </si>
  <si>
    <t>Training Content x 10</t>
  </si>
  <si>
    <t xml:space="preserve">Team Loans </t>
  </si>
  <si>
    <t xml:space="preserve">InDrive </t>
  </si>
  <si>
    <t>Get a loan USD7000</t>
  </si>
  <si>
    <t>Raise USD3000</t>
  </si>
  <si>
    <t xml:space="preserve">Buy 2 Cars </t>
  </si>
  <si>
    <t xml:space="preserve">Register InDrive </t>
  </si>
  <si>
    <t xml:space="preserve">Finish Walls </t>
  </si>
  <si>
    <t xml:space="preserve">Finish Deck </t>
  </si>
  <si>
    <t xml:space="preserve">Finish Roof </t>
  </si>
  <si>
    <t>Security &amp; Manure</t>
  </si>
  <si>
    <t xml:space="preserve">Install Solar System </t>
  </si>
  <si>
    <t xml:space="preserve">Complete budget </t>
  </si>
  <si>
    <t>Complete Temp House</t>
  </si>
  <si>
    <t xml:space="preserve">Target progress </t>
  </si>
  <si>
    <t>Actual Total Progress</t>
  </si>
  <si>
    <t xml:space="preserve">Gap </t>
  </si>
  <si>
    <t xml:space="preserve">UX </t>
  </si>
  <si>
    <t>Pay Deposit for Bull</t>
  </si>
  <si>
    <t>Insermination x 8</t>
  </si>
  <si>
    <t>Implement resolutions</t>
  </si>
  <si>
    <t>G plan implementation</t>
  </si>
  <si>
    <t>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</si>
</sst>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9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43" fontId="0" fillId="0" borderId="10" xfId="1" applyFont="1" applyBorder="1" applyAlignment="1">
      <alignment horizontal="center"/>
    </xf>
    <xf numFmtId="43" fontId="0" fillId="0" borderId="11" xfId="1" applyFont="1" applyBorder="1"/>
    <xf numFmtId="43" fontId="2" fillId="0" borderId="12" xfId="1" applyFont="1" applyBorder="1"/>
    <xf numFmtId="43" fontId="2" fillId="0" borderId="11" xfId="1" applyFont="1" applyBorder="1"/>
    <xf numFmtId="43" fontId="0" fillId="0" borderId="12" xfId="1" applyFont="1" applyBorder="1"/>
    <xf numFmtId="0" fontId="0" fillId="0" borderId="12" xfId="0" applyBorder="1"/>
    <xf numFmtId="43" fontId="2" fillId="0" borderId="11" xfId="0" applyNumberFormat="1" applyFont="1" applyBorder="1"/>
    <xf numFmtId="0" fontId="0" fillId="0" borderId="11" xfId="0" applyBorder="1"/>
    <xf numFmtId="0" fontId="0" fillId="0" borderId="13" xfId="0" applyBorder="1"/>
    <xf numFmtId="0" fontId="0" fillId="0" borderId="10" xfId="0" applyBorder="1" applyAlignment="1">
      <alignment horizontal="center"/>
    </xf>
    <xf numFmtId="9" fontId="0" fillId="0" borderId="11" xfId="0" applyNumberFormat="1" applyBorder="1"/>
    <xf numFmtId="9" fontId="0" fillId="0" borderId="11" xfId="2" applyFont="1" applyBorder="1"/>
    <xf numFmtId="9" fontId="0" fillId="0" borderId="12" xfId="0" applyNumberFormat="1" applyBorder="1"/>
    <xf numFmtId="43" fontId="0" fillId="0" borderId="11" xfId="0" applyNumberFormat="1" applyBorder="1"/>
    <xf numFmtId="43" fontId="0" fillId="2" borderId="11" xfId="0" applyNumberForma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Fill="1" applyBorder="1"/>
    <xf numFmtId="0" fontId="2" fillId="0" borderId="20" xfId="0" applyFont="1" applyBorder="1" applyAlignment="1">
      <alignment horizontal="center"/>
    </xf>
    <xf numFmtId="0" fontId="2" fillId="0" borderId="22" xfId="0" applyFont="1" applyBorder="1"/>
    <xf numFmtId="0" fontId="0" fillId="0" borderId="22" xfId="0" applyFill="1" applyBorder="1"/>
    <xf numFmtId="9" fontId="2" fillId="0" borderId="13" xfId="2" applyFont="1" applyBorder="1" applyAlignment="1">
      <alignment horizontal="center"/>
    </xf>
    <xf numFmtId="0" fontId="0" fillId="2" borderId="22" xfId="0" applyFill="1" applyBorder="1"/>
    <xf numFmtId="0" fontId="0" fillId="2" borderId="0" xfId="0" applyFill="1" applyBorder="1"/>
    <xf numFmtId="0" fontId="2" fillId="0" borderId="5" xfId="0" applyFont="1" applyBorder="1"/>
    <xf numFmtId="0" fontId="0" fillId="3" borderId="11" xfId="0" applyFill="1" applyBorder="1"/>
    <xf numFmtId="0" fontId="0" fillId="0" borderId="11" xfId="0" applyFill="1" applyBorder="1"/>
    <xf numFmtId="0" fontId="0" fillId="3" borderId="22" xfId="0" applyFill="1" applyBorder="1"/>
    <xf numFmtId="0" fontId="0" fillId="3" borderId="0" xfId="0" applyFill="1" applyBorder="1"/>
    <xf numFmtId="0" fontId="0" fillId="3" borderId="13" xfId="0" applyFill="1" applyBorder="1"/>
    <xf numFmtId="0" fontId="0" fillId="0" borderId="13" xfId="0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2" borderId="11" xfId="0" applyFill="1" applyBorder="1"/>
    <xf numFmtId="0" fontId="0" fillId="2" borderId="14" xfId="0" applyFill="1" applyBorder="1"/>
    <xf numFmtId="0" fontId="0" fillId="2" borderId="21" xfId="0" applyFill="1" applyBorder="1"/>
    <xf numFmtId="0" fontId="3" fillId="4" borderId="11" xfId="0" applyFont="1" applyFill="1" applyBorder="1"/>
    <xf numFmtId="0" fontId="0" fillId="0" borderId="14" xfId="0" applyFill="1" applyBorder="1"/>
    <xf numFmtId="0" fontId="0" fillId="0" borderId="21" xfId="0" applyFill="1" applyBorder="1"/>
    <xf numFmtId="0" fontId="0" fillId="0" borderId="17" xfId="0" applyFill="1" applyBorder="1"/>
    <xf numFmtId="0" fontId="0" fillId="3" borderId="12" xfId="0" applyFill="1" applyBorder="1"/>
    <xf numFmtId="0" fontId="0" fillId="0" borderId="19" xfId="0" applyFill="1" applyBorder="1"/>
    <xf numFmtId="0" fontId="0" fillId="0" borderId="15" xfId="0" applyFill="1" applyBorder="1"/>
    <xf numFmtId="43" fontId="0" fillId="3" borderId="11" xfId="0" applyNumberFormat="1" applyFill="1" applyBorder="1"/>
    <xf numFmtId="43" fontId="0" fillId="5" borderId="11" xfId="1" applyFont="1" applyFill="1" applyBorder="1"/>
    <xf numFmtId="9" fontId="0" fillId="0" borderId="0" xfId="2" applyFont="1" applyAlignment="1">
      <alignment horizontal="center"/>
    </xf>
    <xf numFmtId="0" fontId="2" fillId="0" borderId="22" xfId="0" applyFont="1" applyFill="1" applyBorder="1"/>
    <xf numFmtId="0" fontId="2" fillId="0" borderId="0" xfId="0" applyFont="1"/>
    <xf numFmtId="9" fontId="2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FF99"/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287C-DA9E-4FB1-AAA2-4A9203FE23AC}">
  <dimension ref="A2:N55"/>
  <sheetViews>
    <sheetView topLeftCell="E1" zoomScale="110" zoomScaleNormal="110" workbookViewId="0">
      <selection activeCell="L52" sqref="L52"/>
    </sheetView>
  </sheetViews>
  <sheetFormatPr defaultRowHeight="14.4" x14ac:dyDescent="0.3"/>
  <cols>
    <col min="2" max="2" width="3.5546875" customWidth="1"/>
    <col min="3" max="3" width="39.33203125" customWidth="1"/>
    <col min="4" max="4" width="13.109375" bestFit="1" customWidth="1"/>
    <col min="6" max="6" width="13.6640625" customWidth="1"/>
    <col min="7" max="7" width="17.33203125" customWidth="1"/>
    <col min="8" max="8" width="18.44140625" customWidth="1"/>
    <col min="9" max="9" width="18.109375" customWidth="1"/>
    <col min="10" max="10" width="18.44140625" customWidth="1"/>
    <col min="11" max="11" width="22.88671875" customWidth="1"/>
    <col min="12" max="12" width="23.44140625" customWidth="1"/>
    <col min="13" max="13" width="18.109375" customWidth="1"/>
    <col min="14" max="14" width="18.44140625" customWidth="1"/>
  </cols>
  <sheetData>
    <row r="2" spans="2:14" ht="15" thickBot="1" x14ac:dyDescent="0.35"/>
    <row r="3" spans="2:14" ht="15" thickBot="1" x14ac:dyDescent="0.35">
      <c r="B3" s="6"/>
      <c r="C3" s="33" t="s">
        <v>0</v>
      </c>
      <c r="D3" s="9" t="s">
        <v>36</v>
      </c>
      <c r="E3" s="18" t="s">
        <v>37</v>
      </c>
      <c r="F3" s="18" t="s">
        <v>38</v>
      </c>
      <c r="G3" s="46" t="s">
        <v>30</v>
      </c>
      <c r="H3" s="46"/>
      <c r="I3" s="46"/>
      <c r="J3" s="47"/>
      <c r="K3" s="46" t="s">
        <v>147</v>
      </c>
      <c r="L3" s="46"/>
      <c r="M3" s="46"/>
      <c r="N3" s="47"/>
    </row>
    <row r="4" spans="2:14" x14ac:dyDescent="0.3">
      <c r="B4" s="2">
        <v>1</v>
      </c>
      <c r="C4" s="29" t="s">
        <v>5</v>
      </c>
      <c r="D4" s="10">
        <f>159*1200</f>
        <v>190800</v>
      </c>
      <c r="E4" s="19">
        <v>0.45</v>
      </c>
      <c r="F4" s="22">
        <f>+E4*D4</f>
        <v>85860</v>
      </c>
      <c r="G4" s="51" t="s">
        <v>45</v>
      </c>
      <c r="H4" s="52" t="s">
        <v>39</v>
      </c>
      <c r="I4" s="3" t="s">
        <v>44</v>
      </c>
      <c r="J4" s="25"/>
      <c r="K4" s="54" t="s">
        <v>148</v>
      </c>
      <c r="L4" s="55" t="s">
        <v>39</v>
      </c>
      <c r="M4" s="32" t="s">
        <v>44</v>
      </c>
      <c r="N4" s="25"/>
    </row>
    <row r="5" spans="2:14" x14ac:dyDescent="0.3">
      <c r="B5" s="2">
        <v>2</v>
      </c>
      <c r="C5" s="29" t="s">
        <v>6</v>
      </c>
      <c r="D5" s="10">
        <f>40*400</f>
        <v>16000</v>
      </c>
      <c r="E5" s="19">
        <v>0.4</v>
      </c>
      <c r="F5" s="22">
        <f t="shared" ref="F5:F15" si="0">+E5*D5</f>
        <v>6400</v>
      </c>
      <c r="G5" s="50" t="s">
        <v>46</v>
      </c>
      <c r="H5" s="37" t="s">
        <v>39</v>
      </c>
      <c r="I5" s="3" t="s">
        <v>44</v>
      </c>
      <c r="J5" s="26"/>
      <c r="K5" s="41" t="s">
        <v>149</v>
      </c>
      <c r="L5" s="35" t="s">
        <v>39</v>
      </c>
      <c r="M5" s="32" t="s">
        <v>44</v>
      </c>
      <c r="N5" s="26"/>
    </row>
    <row r="6" spans="2:14" x14ac:dyDescent="0.3">
      <c r="B6" s="2">
        <v>3</v>
      </c>
      <c r="C6" s="29" t="s">
        <v>7</v>
      </c>
      <c r="D6" s="10">
        <f>250*150</f>
        <v>37500</v>
      </c>
      <c r="E6" s="19">
        <v>0.4</v>
      </c>
      <c r="F6" s="22">
        <f t="shared" si="0"/>
        <v>15000</v>
      </c>
      <c r="G6" s="40" t="s">
        <v>46</v>
      </c>
      <c r="H6" s="42" t="s">
        <v>39</v>
      </c>
      <c r="I6" s="3" t="s">
        <v>44</v>
      </c>
      <c r="J6" s="26"/>
      <c r="K6" s="41" t="s">
        <v>149</v>
      </c>
      <c r="L6" s="35" t="s">
        <v>39</v>
      </c>
      <c r="M6" s="32" t="s">
        <v>44</v>
      </c>
      <c r="N6" s="26"/>
    </row>
    <row r="7" spans="2:14" x14ac:dyDescent="0.3">
      <c r="B7" s="2">
        <v>4</v>
      </c>
      <c r="C7" s="29" t="s">
        <v>21</v>
      </c>
      <c r="D7" s="10">
        <f>550*2*50</f>
        <v>55000</v>
      </c>
      <c r="E7" s="19">
        <v>0.9</v>
      </c>
      <c r="F7" s="22">
        <f t="shared" si="0"/>
        <v>49500</v>
      </c>
      <c r="G7" s="16" t="s">
        <v>43</v>
      </c>
      <c r="H7" s="42" t="s">
        <v>39</v>
      </c>
      <c r="I7" s="3" t="s">
        <v>40</v>
      </c>
      <c r="J7" s="26" t="s">
        <v>41</v>
      </c>
      <c r="K7" s="41" t="s">
        <v>43</v>
      </c>
      <c r="L7" s="35" t="s">
        <v>39</v>
      </c>
      <c r="M7" s="32" t="s">
        <v>40</v>
      </c>
      <c r="N7" s="56" t="s">
        <v>41</v>
      </c>
    </row>
    <row r="8" spans="2:14" x14ac:dyDescent="0.3">
      <c r="B8" s="2">
        <v>5</v>
      </c>
      <c r="C8" s="29" t="s">
        <v>22</v>
      </c>
      <c r="D8" s="10">
        <f>560*100</f>
        <v>56000</v>
      </c>
      <c r="E8" s="19">
        <v>0.9</v>
      </c>
      <c r="F8" s="22">
        <f t="shared" si="0"/>
        <v>50400</v>
      </c>
      <c r="G8" s="16" t="s">
        <v>43</v>
      </c>
      <c r="H8" s="42" t="s">
        <v>39</v>
      </c>
      <c r="I8" s="3" t="s">
        <v>40</v>
      </c>
      <c r="J8" s="26" t="s">
        <v>41</v>
      </c>
      <c r="K8" s="41" t="s">
        <v>43</v>
      </c>
      <c r="L8" s="35" t="s">
        <v>39</v>
      </c>
      <c r="M8" s="32" t="s">
        <v>40</v>
      </c>
      <c r="N8" s="56" t="s">
        <v>41</v>
      </c>
    </row>
    <row r="9" spans="2:14" x14ac:dyDescent="0.3">
      <c r="B9" s="2">
        <v>6</v>
      </c>
      <c r="C9" s="29" t="s">
        <v>26</v>
      </c>
      <c r="D9" s="10">
        <f>550*2*25</f>
        <v>27500</v>
      </c>
      <c r="E9" s="19">
        <v>0.9</v>
      </c>
      <c r="F9" s="22">
        <f t="shared" si="0"/>
        <v>24750</v>
      </c>
      <c r="G9" s="16" t="s">
        <v>43</v>
      </c>
      <c r="H9" s="42" t="s">
        <v>39</v>
      </c>
      <c r="I9" s="3" t="s">
        <v>40</v>
      </c>
      <c r="J9" s="26" t="s">
        <v>41</v>
      </c>
      <c r="K9" s="41" t="s">
        <v>43</v>
      </c>
      <c r="L9" s="35" t="s">
        <v>39</v>
      </c>
      <c r="M9" s="32" t="s">
        <v>40</v>
      </c>
      <c r="N9" s="56" t="s">
        <v>41</v>
      </c>
    </row>
    <row r="10" spans="2:14" x14ac:dyDescent="0.3">
      <c r="B10" s="2">
        <v>6</v>
      </c>
      <c r="C10" s="29" t="s">
        <v>23</v>
      </c>
      <c r="D10" s="10">
        <f>180*1000*0.5</f>
        <v>90000</v>
      </c>
      <c r="E10" s="19">
        <v>0.5</v>
      </c>
      <c r="F10" s="22">
        <f t="shared" si="0"/>
        <v>45000</v>
      </c>
      <c r="G10" s="40" t="s">
        <v>136</v>
      </c>
      <c r="H10" s="53" t="s">
        <v>135</v>
      </c>
      <c r="I10" s="43" t="s">
        <v>40</v>
      </c>
      <c r="J10" s="26"/>
      <c r="K10" s="40" t="s">
        <v>150</v>
      </c>
      <c r="L10" s="53" t="s">
        <v>135</v>
      </c>
      <c r="M10" s="43"/>
      <c r="N10" s="26"/>
    </row>
    <row r="11" spans="2:14" x14ac:dyDescent="0.3">
      <c r="B11" s="2">
        <v>7</v>
      </c>
      <c r="C11" s="29" t="s">
        <v>24</v>
      </c>
      <c r="D11" s="10">
        <f>200*250</f>
        <v>50000</v>
      </c>
      <c r="E11" s="19">
        <v>0.9</v>
      </c>
      <c r="F11" s="22">
        <f t="shared" si="0"/>
        <v>45000</v>
      </c>
      <c r="G11" s="16" t="s">
        <v>34</v>
      </c>
      <c r="H11" s="29" t="s">
        <v>71</v>
      </c>
      <c r="I11" s="3" t="s">
        <v>72</v>
      </c>
      <c r="J11" s="26"/>
      <c r="K11" s="16" t="s">
        <v>31</v>
      </c>
      <c r="L11" s="37" t="s">
        <v>71</v>
      </c>
      <c r="M11" s="3" t="s">
        <v>72</v>
      </c>
      <c r="N11" s="26" t="s">
        <v>151</v>
      </c>
    </row>
    <row r="12" spans="2:14" x14ac:dyDescent="0.3">
      <c r="B12" s="2">
        <v>8</v>
      </c>
      <c r="C12" s="29" t="s">
        <v>25</v>
      </c>
      <c r="D12" s="61">
        <f>250*80</f>
        <v>20000</v>
      </c>
      <c r="E12" s="19">
        <v>0.7</v>
      </c>
      <c r="F12" s="22">
        <f t="shared" si="0"/>
        <v>14000</v>
      </c>
      <c r="G12" s="16" t="s">
        <v>47</v>
      </c>
      <c r="H12" s="29" t="s">
        <v>39</v>
      </c>
      <c r="I12" s="32" t="s">
        <v>80</v>
      </c>
      <c r="J12" s="26"/>
      <c r="K12" s="16" t="s">
        <v>47</v>
      </c>
      <c r="L12" s="29" t="s">
        <v>39</v>
      </c>
      <c r="M12" s="32" t="s">
        <v>80</v>
      </c>
      <c r="N12" s="26"/>
    </row>
    <row r="13" spans="2:14" x14ac:dyDescent="0.3">
      <c r="B13" s="2">
        <v>9</v>
      </c>
      <c r="C13" s="29" t="s">
        <v>27</v>
      </c>
      <c r="D13" s="10">
        <v>35000</v>
      </c>
      <c r="E13" s="19">
        <v>0.65</v>
      </c>
      <c r="F13" s="22">
        <f t="shared" si="0"/>
        <v>22750</v>
      </c>
      <c r="G13" s="16" t="s">
        <v>48</v>
      </c>
      <c r="H13" s="29"/>
      <c r="I13" s="3"/>
      <c r="J13" s="26"/>
      <c r="K13" s="16" t="s">
        <v>48</v>
      </c>
      <c r="L13" s="29"/>
      <c r="M13" s="3"/>
      <c r="N13" s="26"/>
    </row>
    <row r="14" spans="2:14" x14ac:dyDescent="0.3">
      <c r="B14" s="2">
        <v>10</v>
      </c>
      <c r="C14" s="29" t="s">
        <v>75</v>
      </c>
      <c r="D14" s="10">
        <f>2000*12</f>
        <v>24000</v>
      </c>
      <c r="E14" s="19">
        <v>1</v>
      </c>
      <c r="F14" s="22">
        <f t="shared" si="0"/>
        <v>24000</v>
      </c>
      <c r="G14" s="40" t="s">
        <v>58</v>
      </c>
      <c r="H14" s="29"/>
      <c r="I14" s="3"/>
      <c r="J14" s="26"/>
      <c r="K14" s="41" t="s">
        <v>58</v>
      </c>
      <c r="L14" s="29"/>
      <c r="M14" s="3"/>
      <c r="N14" s="26"/>
    </row>
    <row r="15" spans="2:14" x14ac:dyDescent="0.3">
      <c r="B15" s="2">
        <v>11</v>
      </c>
      <c r="C15" s="29" t="s">
        <v>59</v>
      </c>
      <c r="D15" s="10">
        <f>2000*10</f>
        <v>20000</v>
      </c>
      <c r="E15" s="19">
        <v>1</v>
      </c>
      <c r="F15" s="22">
        <f t="shared" si="0"/>
        <v>20000</v>
      </c>
      <c r="G15" s="50" t="s">
        <v>78</v>
      </c>
      <c r="H15" s="37" t="s">
        <v>76</v>
      </c>
      <c r="I15" s="3" t="s">
        <v>77</v>
      </c>
      <c r="J15" s="26" t="s">
        <v>79</v>
      </c>
      <c r="K15" s="41" t="s">
        <v>152</v>
      </c>
      <c r="L15" s="35" t="s">
        <v>153</v>
      </c>
      <c r="M15" s="32" t="s">
        <v>154</v>
      </c>
      <c r="N15" s="56" t="s">
        <v>155</v>
      </c>
    </row>
    <row r="16" spans="2:14" x14ac:dyDescent="0.3">
      <c r="B16" s="7"/>
      <c r="C16" s="30"/>
      <c r="D16" s="11">
        <f>SUM(D4:D15)</f>
        <v>621800</v>
      </c>
      <c r="E16" s="14"/>
      <c r="F16" s="11">
        <f>SUM(F4:F15)</f>
        <v>402660</v>
      </c>
      <c r="G16" s="14"/>
      <c r="H16" s="30"/>
      <c r="I16" s="8"/>
      <c r="J16" s="27"/>
      <c r="K16" s="14"/>
      <c r="L16" s="30"/>
      <c r="M16" s="8"/>
      <c r="N16" s="27"/>
    </row>
    <row r="17" spans="2:14" x14ac:dyDescent="0.3">
      <c r="B17" s="2"/>
      <c r="C17" s="34" t="s">
        <v>1</v>
      </c>
      <c r="D17" s="10"/>
      <c r="E17" s="16"/>
      <c r="F17" s="16"/>
      <c r="G17" s="16"/>
      <c r="H17" s="29"/>
      <c r="I17" s="3"/>
      <c r="J17" s="26"/>
      <c r="K17" s="16"/>
      <c r="L17" s="29"/>
      <c r="M17" s="3"/>
      <c r="N17" s="26"/>
    </row>
    <row r="18" spans="2:14" x14ac:dyDescent="0.3">
      <c r="B18" s="2">
        <v>1</v>
      </c>
      <c r="C18" s="29" t="s">
        <v>29</v>
      </c>
      <c r="D18" s="61">
        <f>112000*0.85</f>
        <v>95200</v>
      </c>
      <c r="E18" s="20">
        <v>0.8</v>
      </c>
      <c r="F18" s="23">
        <f t="shared" ref="F18:F34" si="1">+E18*D18</f>
        <v>76160</v>
      </c>
      <c r="G18" s="40" t="s">
        <v>50</v>
      </c>
      <c r="H18" s="29" t="s">
        <v>49</v>
      </c>
      <c r="I18" s="3" t="s">
        <v>42</v>
      </c>
      <c r="J18" s="26"/>
      <c r="K18" s="40" t="s">
        <v>156</v>
      </c>
      <c r="L18" s="29"/>
      <c r="M18" s="3"/>
      <c r="N18" s="26"/>
    </row>
    <row r="19" spans="2:14" x14ac:dyDescent="0.3">
      <c r="B19" s="2">
        <v>2</v>
      </c>
      <c r="C19" s="29" t="s">
        <v>142</v>
      </c>
      <c r="D19" s="10">
        <v>170000</v>
      </c>
      <c r="E19" s="19">
        <v>0.7</v>
      </c>
      <c r="F19" s="22">
        <f t="shared" si="1"/>
        <v>118999.99999999999</v>
      </c>
      <c r="G19" s="16" t="s">
        <v>31</v>
      </c>
      <c r="H19" s="29" t="s">
        <v>71</v>
      </c>
      <c r="I19" s="3" t="s">
        <v>72</v>
      </c>
      <c r="J19" s="26" t="s">
        <v>73</v>
      </c>
      <c r="K19" s="16" t="s">
        <v>158</v>
      </c>
      <c r="L19" s="29" t="s">
        <v>71</v>
      </c>
      <c r="M19" s="3" t="s">
        <v>72</v>
      </c>
      <c r="N19" s="26" t="s">
        <v>151</v>
      </c>
    </row>
    <row r="20" spans="2:14" x14ac:dyDescent="0.3">
      <c r="B20" s="2">
        <v>3</v>
      </c>
      <c r="C20" s="29" t="s">
        <v>4</v>
      </c>
      <c r="D20" s="10">
        <v>200000</v>
      </c>
      <c r="E20" s="19">
        <v>0.35</v>
      </c>
      <c r="F20" s="22">
        <f t="shared" si="1"/>
        <v>70000</v>
      </c>
      <c r="G20" s="16" t="s">
        <v>31</v>
      </c>
      <c r="H20" s="29" t="s">
        <v>71</v>
      </c>
      <c r="I20" s="3" t="s">
        <v>72</v>
      </c>
      <c r="J20" s="26" t="s">
        <v>73</v>
      </c>
      <c r="K20" s="16" t="s">
        <v>157</v>
      </c>
      <c r="L20" s="29" t="s">
        <v>71</v>
      </c>
      <c r="M20" s="3" t="s">
        <v>72</v>
      </c>
      <c r="N20" s="26" t="s">
        <v>151</v>
      </c>
    </row>
    <row r="21" spans="2:14" x14ac:dyDescent="0.3">
      <c r="B21" s="2">
        <v>4</v>
      </c>
      <c r="C21" s="29" t="s">
        <v>143</v>
      </c>
      <c r="D21" s="10">
        <v>250000</v>
      </c>
      <c r="E21" s="19">
        <v>0.5</v>
      </c>
      <c r="F21" s="22">
        <f t="shared" si="1"/>
        <v>125000</v>
      </c>
      <c r="G21" s="16" t="s">
        <v>31</v>
      </c>
      <c r="H21" s="29"/>
      <c r="I21" s="3"/>
      <c r="J21" s="26"/>
      <c r="K21" s="16" t="s">
        <v>157</v>
      </c>
      <c r="L21" s="29" t="s">
        <v>71</v>
      </c>
      <c r="M21" s="3" t="s">
        <v>72</v>
      </c>
      <c r="N21" s="26" t="s">
        <v>151</v>
      </c>
    </row>
    <row r="22" spans="2:14" x14ac:dyDescent="0.3">
      <c r="B22" s="2">
        <v>5</v>
      </c>
      <c r="C22" s="29" t="s">
        <v>144</v>
      </c>
      <c r="D22" s="10">
        <v>60000</v>
      </c>
      <c r="E22" s="19">
        <v>0.3</v>
      </c>
      <c r="F22" s="22">
        <f t="shared" si="1"/>
        <v>18000</v>
      </c>
      <c r="G22" s="16" t="s">
        <v>31</v>
      </c>
      <c r="H22" s="29"/>
      <c r="I22" s="3"/>
      <c r="J22" s="26"/>
      <c r="K22" s="16" t="s">
        <v>157</v>
      </c>
      <c r="L22" s="29" t="s">
        <v>71</v>
      </c>
      <c r="M22" s="3" t="s">
        <v>72</v>
      </c>
      <c r="N22" s="26" t="s">
        <v>151</v>
      </c>
    </row>
    <row r="23" spans="2:14" x14ac:dyDescent="0.3">
      <c r="B23" s="2">
        <v>6</v>
      </c>
      <c r="C23" s="29" t="s">
        <v>145</v>
      </c>
      <c r="D23" s="10">
        <v>120000</v>
      </c>
      <c r="E23" s="19">
        <v>0.4</v>
      </c>
      <c r="F23" s="22">
        <f t="shared" si="1"/>
        <v>48000</v>
      </c>
      <c r="G23" s="16" t="s">
        <v>31</v>
      </c>
      <c r="H23" s="29"/>
      <c r="I23" s="3"/>
      <c r="J23" s="26"/>
      <c r="K23" s="16" t="s">
        <v>157</v>
      </c>
      <c r="L23" s="29" t="s">
        <v>71</v>
      </c>
      <c r="M23" s="3" t="s">
        <v>72</v>
      </c>
      <c r="N23" s="26" t="s">
        <v>151</v>
      </c>
    </row>
    <row r="24" spans="2:14" x14ac:dyDescent="0.3">
      <c r="B24" s="2">
        <v>7</v>
      </c>
      <c r="C24" s="29" t="s">
        <v>8</v>
      </c>
      <c r="D24" s="10">
        <v>19500</v>
      </c>
      <c r="E24" s="19">
        <v>0.65</v>
      </c>
      <c r="F24" s="22">
        <f t="shared" si="1"/>
        <v>12675</v>
      </c>
      <c r="G24" s="16" t="s">
        <v>32</v>
      </c>
      <c r="H24" s="37" t="s">
        <v>71</v>
      </c>
      <c r="I24" s="3" t="s">
        <v>72</v>
      </c>
      <c r="J24" s="26" t="s">
        <v>73</v>
      </c>
      <c r="K24" s="16" t="s">
        <v>32</v>
      </c>
      <c r="L24" s="35" t="s">
        <v>71</v>
      </c>
      <c r="M24" s="32" t="s">
        <v>72</v>
      </c>
      <c r="N24" s="56" t="s">
        <v>151</v>
      </c>
    </row>
    <row r="25" spans="2:14" x14ac:dyDescent="0.3">
      <c r="B25" s="2">
        <v>8</v>
      </c>
      <c r="C25" s="29" t="s">
        <v>9</v>
      </c>
      <c r="D25" s="61">
        <v>39000</v>
      </c>
      <c r="E25" s="19">
        <v>0.85</v>
      </c>
      <c r="F25" s="23">
        <f t="shared" si="1"/>
        <v>33150</v>
      </c>
      <c r="G25" s="50" t="s">
        <v>56</v>
      </c>
      <c r="H25" s="29" t="s">
        <v>51</v>
      </c>
      <c r="I25" s="43" t="s">
        <v>137</v>
      </c>
      <c r="J25" s="26"/>
      <c r="K25" s="50" t="s">
        <v>56</v>
      </c>
      <c r="L25" s="35" t="s">
        <v>51</v>
      </c>
      <c r="M25" s="32" t="s">
        <v>159</v>
      </c>
      <c r="N25" s="56"/>
    </row>
    <row r="26" spans="2:14" x14ac:dyDescent="0.3">
      <c r="B26" s="2">
        <v>9</v>
      </c>
      <c r="C26" s="29" t="s">
        <v>10</v>
      </c>
      <c r="D26" s="10">
        <v>140000</v>
      </c>
      <c r="E26" s="19">
        <v>0.7</v>
      </c>
      <c r="F26" s="22">
        <f t="shared" si="1"/>
        <v>98000</v>
      </c>
      <c r="G26" s="16" t="s">
        <v>55</v>
      </c>
      <c r="H26" s="29" t="s">
        <v>52</v>
      </c>
      <c r="I26" s="38" t="s">
        <v>71</v>
      </c>
      <c r="J26" s="26" t="s">
        <v>72</v>
      </c>
      <c r="K26" s="16" t="s">
        <v>55</v>
      </c>
      <c r="L26" s="29" t="s">
        <v>52</v>
      </c>
      <c r="M26" s="38" t="s">
        <v>71</v>
      </c>
      <c r="N26" s="26" t="s">
        <v>72</v>
      </c>
    </row>
    <row r="27" spans="2:14" x14ac:dyDescent="0.3">
      <c r="B27" s="2">
        <v>10</v>
      </c>
      <c r="C27" s="29" t="s">
        <v>11</v>
      </c>
      <c r="D27" s="10">
        <f>160000-10000-5000</f>
        <v>145000</v>
      </c>
      <c r="E27" s="19">
        <v>1</v>
      </c>
      <c r="F27" s="60">
        <f t="shared" si="1"/>
        <v>145000</v>
      </c>
      <c r="G27" s="50" t="s">
        <v>54</v>
      </c>
      <c r="H27" s="29" t="s">
        <v>53</v>
      </c>
      <c r="I27" s="3"/>
      <c r="J27" s="26"/>
      <c r="K27" s="41" t="s">
        <v>54</v>
      </c>
      <c r="L27" s="35" t="s">
        <v>53</v>
      </c>
      <c r="M27" s="3"/>
      <c r="N27" s="26"/>
    </row>
    <row r="28" spans="2:14" x14ac:dyDescent="0.3">
      <c r="B28" s="2">
        <v>11</v>
      </c>
      <c r="C28" s="29" t="s">
        <v>19</v>
      </c>
      <c r="D28" s="10">
        <v>2600</v>
      </c>
      <c r="E28" s="19">
        <v>1</v>
      </c>
      <c r="F28" s="22">
        <f t="shared" si="1"/>
        <v>2600</v>
      </c>
      <c r="G28" s="40" t="s">
        <v>57</v>
      </c>
      <c r="H28" s="29" t="s">
        <v>50</v>
      </c>
      <c r="I28" s="3"/>
      <c r="J28" s="26"/>
      <c r="K28" s="41" t="s">
        <v>57</v>
      </c>
      <c r="L28" s="29" t="s">
        <v>50</v>
      </c>
      <c r="M28" s="3"/>
      <c r="N28" s="26"/>
    </row>
    <row r="29" spans="2:14" x14ac:dyDescent="0.3">
      <c r="B29" s="2">
        <v>12</v>
      </c>
      <c r="C29" s="29" t="s">
        <v>20</v>
      </c>
      <c r="D29" s="10">
        <v>15000</v>
      </c>
      <c r="E29" s="19">
        <v>1</v>
      </c>
      <c r="F29" s="22">
        <f t="shared" si="1"/>
        <v>15000</v>
      </c>
      <c r="G29" s="16" t="s">
        <v>33</v>
      </c>
      <c r="H29" s="29" t="s">
        <v>71</v>
      </c>
      <c r="I29" s="3" t="s">
        <v>72</v>
      </c>
      <c r="J29" s="26" t="s">
        <v>73</v>
      </c>
      <c r="K29" s="16" t="s">
        <v>33</v>
      </c>
      <c r="L29" s="29" t="s">
        <v>71</v>
      </c>
      <c r="M29" s="3" t="s">
        <v>72</v>
      </c>
      <c r="N29" s="26" t="s">
        <v>73</v>
      </c>
    </row>
    <row r="30" spans="2:14" x14ac:dyDescent="0.3">
      <c r="B30" s="2">
        <v>13</v>
      </c>
      <c r="C30" s="29" t="s">
        <v>17</v>
      </c>
      <c r="D30" s="10">
        <v>15000</v>
      </c>
      <c r="E30" s="19">
        <v>1</v>
      </c>
      <c r="F30" s="22">
        <f t="shared" si="1"/>
        <v>15000</v>
      </c>
      <c r="G30" s="16" t="s">
        <v>33</v>
      </c>
      <c r="H30" s="29" t="s">
        <v>71</v>
      </c>
      <c r="I30" s="3" t="s">
        <v>72</v>
      </c>
      <c r="J30" s="26" t="s">
        <v>73</v>
      </c>
      <c r="K30" s="16" t="s">
        <v>33</v>
      </c>
      <c r="L30" s="29" t="s">
        <v>71</v>
      </c>
      <c r="M30" s="3" t="s">
        <v>72</v>
      </c>
      <c r="N30" s="26" t="s">
        <v>73</v>
      </c>
    </row>
    <row r="31" spans="2:14" x14ac:dyDescent="0.3">
      <c r="B31" s="2">
        <v>14</v>
      </c>
      <c r="C31" s="29" t="s">
        <v>18</v>
      </c>
      <c r="D31" s="10">
        <v>20000</v>
      </c>
      <c r="E31" s="19">
        <v>1</v>
      </c>
      <c r="F31" s="22">
        <f t="shared" si="1"/>
        <v>20000</v>
      </c>
      <c r="G31" s="16" t="s">
        <v>33</v>
      </c>
      <c r="H31" s="29" t="s">
        <v>71</v>
      </c>
      <c r="I31" s="3" t="s">
        <v>72</v>
      </c>
      <c r="J31" s="26" t="s">
        <v>73</v>
      </c>
      <c r="K31" s="16" t="s">
        <v>33</v>
      </c>
      <c r="L31" s="29" t="s">
        <v>71</v>
      </c>
      <c r="M31" s="3" t="s">
        <v>72</v>
      </c>
      <c r="N31" s="26" t="s">
        <v>73</v>
      </c>
    </row>
    <row r="32" spans="2:14" x14ac:dyDescent="0.3">
      <c r="B32" s="2">
        <v>15</v>
      </c>
      <c r="C32" s="35" t="s">
        <v>146</v>
      </c>
      <c r="D32" s="61">
        <v>15000</v>
      </c>
      <c r="E32" s="19">
        <v>0.5</v>
      </c>
      <c r="F32" s="22">
        <f t="shared" si="1"/>
        <v>7500</v>
      </c>
      <c r="G32" s="16" t="s">
        <v>74</v>
      </c>
      <c r="H32" s="29"/>
      <c r="I32" s="3"/>
      <c r="J32" s="26"/>
      <c r="K32" s="16" t="s">
        <v>74</v>
      </c>
      <c r="L32" s="29"/>
      <c r="M32" s="3"/>
      <c r="N32" s="26"/>
    </row>
    <row r="33" spans="1:14" x14ac:dyDescent="0.3">
      <c r="B33" s="2">
        <v>16</v>
      </c>
      <c r="C33" s="35" t="s">
        <v>201</v>
      </c>
      <c r="D33" s="61">
        <v>20000</v>
      </c>
      <c r="E33" s="19">
        <v>0.3</v>
      </c>
      <c r="F33" s="22">
        <f t="shared" si="1"/>
        <v>6000</v>
      </c>
      <c r="G33" s="16"/>
      <c r="H33" s="29"/>
      <c r="I33" s="3"/>
      <c r="J33" s="26"/>
      <c r="K33" s="16"/>
      <c r="L33" s="29"/>
      <c r="M33" s="3"/>
      <c r="N33" s="26"/>
    </row>
    <row r="34" spans="1:14" x14ac:dyDescent="0.3">
      <c r="B34" s="2">
        <v>17</v>
      </c>
      <c r="C34" s="29" t="s">
        <v>35</v>
      </c>
      <c r="D34" s="10">
        <v>170000</v>
      </c>
      <c r="E34" s="19">
        <v>0.7</v>
      </c>
      <c r="F34" s="22">
        <f t="shared" si="1"/>
        <v>118999.99999999999</v>
      </c>
      <c r="G34" s="16"/>
      <c r="H34" s="29" t="s">
        <v>71</v>
      </c>
      <c r="I34" s="3" t="s">
        <v>72</v>
      </c>
      <c r="J34" s="26" t="s">
        <v>73</v>
      </c>
      <c r="K34" s="16"/>
      <c r="L34" s="29" t="s">
        <v>71</v>
      </c>
      <c r="M34" s="3" t="s">
        <v>72</v>
      </c>
      <c r="N34" s="26" t="s">
        <v>73</v>
      </c>
    </row>
    <row r="35" spans="1:14" x14ac:dyDescent="0.3">
      <c r="B35" s="7"/>
      <c r="C35" s="30"/>
      <c r="D35" s="11">
        <f>SUM(D18:D34)</f>
        <v>1496300</v>
      </c>
      <c r="E35" s="21"/>
      <c r="F35" s="11">
        <f>SUM(F18:F34)</f>
        <v>930085</v>
      </c>
      <c r="G35" s="14"/>
      <c r="H35" s="30"/>
      <c r="I35" s="8"/>
      <c r="J35" s="27"/>
      <c r="K35" s="14"/>
      <c r="L35" s="30"/>
      <c r="M35" s="8"/>
      <c r="N35" s="27"/>
    </row>
    <row r="36" spans="1:14" x14ac:dyDescent="0.3">
      <c r="B36" s="2"/>
      <c r="C36" s="29"/>
      <c r="D36" s="10"/>
      <c r="E36" s="16"/>
      <c r="F36" s="16"/>
      <c r="G36" s="16"/>
      <c r="H36" s="29"/>
      <c r="I36" s="3"/>
      <c r="J36" s="26"/>
      <c r="K36" s="16"/>
      <c r="L36" s="29"/>
      <c r="M36" s="3"/>
      <c r="N36" s="26"/>
    </row>
    <row r="37" spans="1:14" x14ac:dyDescent="0.3">
      <c r="B37" s="2"/>
      <c r="C37" s="34" t="s">
        <v>2</v>
      </c>
      <c r="D37" s="10"/>
      <c r="E37" s="16"/>
      <c r="F37" s="16"/>
      <c r="G37" s="16"/>
      <c r="H37" s="29"/>
      <c r="I37" s="3"/>
      <c r="J37" s="26"/>
      <c r="K37" s="16"/>
      <c r="L37" s="29"/>
      <c r="M37" s="3"/>
      <c r="N37" s="26"/>
    </row>
    <row r="38" spans="1:14" x14ac:dyDescent="0.3">
      <c r="B38" s="2"/>
      <c r="C38" s="29" t="s">
        <v>15</v>
      </c>
      <c r="D38" s="10">
        <f>500*550*0.05</f>
        <v>13750</v>
      </c>
      <c r="E38" s="19">
        <v>1</v>
      </c>
      <c r="F38" s="22">
        <f t="shared" ref="F38:F39" si="2">+E38*D38</f>
        <v>13750</v>
      </c>
      <c r="G38" s="16" t="s">
        <v>129</v>
      </c>
      <c r="H38" s="29" t="s">
        <v>62</v>
      </c>
      <c r="I38" s="43" t="s">
        <v>61</v>
      </c>
      <c r="J38" s="26" t="s">
        <v>60</v>
      </c>
      <c r="K38" s="16" t="s">
        <v>129</v>
      </c>
      <c r="L38" s="29" t="s">
        <v>62</v>
      </c>
      <c r="M38" s="43" t="s">
        <v>61</v>
      </c>
      <c r="N38" s="26" t="s">
        <v>60</v>
      </c>
    </row>
    <row r="39" spans="1:14" x14ac:dyDescent="0.3">
      <c r="B39" s="2"/>
      <c r="C39" s="29" t="s">
        <v>16</v>
      </c>
      <c r="D39" s="10">
        <f>50000*0.05</f>
        <v>2500</v>
      </c>
      <c r="E39" s="19">
        <v>1</v>
      </c>
      <c r="F39" s="22">
        <f t="shared" si="2"/>
        <v>2500</v>
      </c>
      <c r="G39" s="16" t="s">
        <v>63</v>
      </c>
      <c r="H39" s="29"/>
      <c r="I39" s="3"/>
      <c r="J39" s="26"/>
      <c r="K39" s="16" t="s">
        <v>63</v>
      </c>
      <c r="L39" s="29"/>
      <c r="M39" s="3"/>
      <c r="N39" s="26"/>
    </row>
    <row r="40" spans="1:14" x14ac:dyDescent="0.3">
      <c r="B40" s="2"/>
      <c r="C40" s="29"/>
      <c r="D40" s="12">
        <f>SUM(D38:D39)</f>
        <v>16250</v>
      </c>
      <c r="E40" s="16"/>
      <c r="F40" s="12">
        <f>SUM(F38:F39)</f>
        <v>16250</v>
      </c>
      <c r="G40" s="16"/>
      <c r="H40" s="29"/>
      <c r="I40" s="3"/>
      <c r="J40" s="26"/>
      <c r="K40" s="16"/>
      <c r="L40" s="29"/>
      <c r="M40" s="3"/>
      <c r="N40" s="26"/>
    </row>
    <row r="41" spans="1:14" x14ac:dyDescent="0.3">
      <c r="A41" s="8"/>
      <c r="B41" s="7"/>
      <c r="C41" s="30"/>
      <c r="D41" s="13"/>
      <c r="E41" s="14"/>
      <c r="F41" s="14"/>
      <c r="G41" s="14"/>
      <c r="H41" s="30"/>
      <c r="I41" s="8"/>
      <c r="J41" s="27"/>
      <c r="K41" s="14"/>
      <c r="L41" s="30"/>
      <c r="M41" s="8"/>
      <c r="N41" s="27"/>
    </row>
    <row r="42" spans="1:14" x14ac:dyDescent="0.3">
      <c r="B42" s="2"/>
      <c r="C42" s="34" t="s">
        <v>3</v>
      </c>
      <c r="D42" s="10"/>
      <c r="E42" s="16"/>
      <c r="F42" s="16"/>
      <c r="G42" s="24"/>
      <c r="H42" s="29"/>
      <c r="I42" s="3"/>
      <c r="J42" s="26"/>
      <c r="K42" s="59"/>
      <c r="L42" s="35"/>
      <c r="M42" s="32"/>
      <c r="N42" s="56"/>
    </row>
    <row r="43" spans="1:14" x14ac:dyDescent="0.3">
      <c r="B43" s="2"/>
      <c r="C43" s="29" t="s">
        <v>12</v>
      </c>
      <c r="D43" s="10">
        <f>10*80*30*8</f>
        <v>192000</v>
      </c>
      <c r="E43" s="19">
        <v>1</v>
      </c>
      <c r="F43" s="22">
        <f>+E43*D43</f>
        <v>192000</v>
      </c>
      <c r="G43" s="40" t="s">
        <v>65</v>
      </c>
      <c r="H43" s="37" t="s">
        <v>66</v>
      </c>
      <c r="I43" s="3" t="s">
        <v>117</v>
      </c>
      <c r="J43" s="26" t="s">
        <v>64</v>
      </c>
      <c r="K43" s="41" t="s">
        <v>65</v>
      </c>
      <c r="L43" s="35" t="s">
        <v>193</v>
      </c>
      <c r="M43" s="32" t="s">
        <v>191</v>
      </c>
      <c r="N43" s="56" t="s">
        <v>192</v>
      </c>
    </row>
    <row r="44" spans="1:14" x14ac:dyDescent="0.3">
      <c r="B44" s="2"/>
      <c r="C44" s="29" t="s">
        <v>13</v>
      </c>
      <c r="D44" s="10">
        <f>12*750</f>
        <v>9000</v>
      </c>
      <c r="E44" s="19">
        <v>1</v>
      </c>
      <c r="F44" s="22">
        <f>+E44*D44</f>
        <v>9000</v>
      </c>
      <c r="G44" s="50" t="s">
        <v>67</v>
      </c>
      <c r="H44" s="37" t="s">
        <v>70</v>
      </c>
      <c r="I44" s="3" t="s">
        <v>68</v>
      </c>
      <c r="J44" s="26" t="s">
        <v>69</v>
      </c>
      <c r="K44" s="41" t="s">
        <v>67</v>
      </c>
      <c r="L44" s="35" t="s">
        <v>194</v>
      </c>
      <c r="M44" s="32" t="s">
        <v>203</v>
      </c>
      <c r="N44" s="56" t="s">
        <v>202</v>
      </c>
    </row>
    <row r="45" spans="1:14" x14ac:dyDescent="0.3">
      <c r="B45" s="2"/>
      <c r="C45" s="29" t="s">
        <v>186</v>
      </c>
      <c r="D45" s="10">
        <f>260*4*12</f>
        <v>12480</v>
      </c>
      <c r="E45" s="19">
        <v>1</v>
      </c>
      <c r="F45" s="22">
        <f>+E45*D45</f>
        <v>12480</v>
      </c>
      <c r="G45" s="50"/>
      <c r="H45" s="37"/>
      <c r="I45" s="3"/>
      <c r="J45" s="26"/>
      <c r="K45" s="41" t="s">
        <v>187</v>
      </c>
      <c r="L45" s="35" t="s">
        <v>188</v>
      </c>
      <c r="M45" s="32" t="s">
        <v>189</v>
      </c>
      <c r="N45" s="56" t="s">
        <v>190</v>
      </c>
    </row>
    <row r="46" spans="1:14" x14ac:dyDescent="0.3">
      <c r="B46" s="2"/>
      <c r="C46" s="29"/>
      <c r="D46" s="12">
        <f>SUM(D43:D44)</f>
        <v>201000</v>
      </c>
      <c r="E46" s="16"/>
      <c r="F46" s="12">
        <f>SUM(F43:F45)</f>
        <v>213480</v>
      </c>
      <c r="G46" s="16"/>
      <c r="H46" s="29"/>
      <c r="I46" s="3"/>
      <c r="J46" s="26"/>
      <c r="K46" s="16"/>
      <c r="L46" s="29"/>
      <c r="M46" s="3"/>
      <c r="N46" s="26"/>
    </row>
    <row r="47" spans="1:14" x14ac:dyDescent="0.3">
      <c r="B47" s="7"/>
      <c r="C47" s="30"/>
      <c r="D47" s="14"/>
      <c r="E47" s="14"/>
      <c r="F47" s="14"/>
      <c r="G47" s="14"/>
      <c r="H47" s="30"/>
      <c r="I47" s="8"/>
      <c r="J47" s="27"/>
      <c r="K47" s="14"/>
      <c r="L47" s="30"/>
      <c r="M47" s="8"/>
      <c r="N47" s="27"/>
    </row>
    <row r="48" spans="1:14" x14ac:dyDescent="0.3">
      <c r="B48" s="2"/>
      <c r="C48" s="34" t="s">
        <v>14</v>
      </c>
      <c r="D48" s="15">
        <f>+D46+D35+D16+D40</f>
        <v>2335350</v>
      </c>
      <c r="E48" s="16"/>
      <c r="F48" s="15">
        <f>+F46+F35+F16+F40</f>
        <v>1562475</v>
      </c>
      <c r="G48" s="16"/>
      <c r="H48" s="29"/>
      <c r="I48" s="3"/>
      <c r="J48" s="26"/>
      <c r="K48" s="16"/>
      <c r="L48" s="29"/>
      <c r="M48" s="3"/>
      <c r="N48" s="26"/>
    </row>
    <row r="49" spans="2:14" x14ac:dyDescent="0.3">
      <c r="B49" s="2"/>
      <c r="C49" s="29" t="s">
        <v>28</v>
      </c>
      <c r="D49" s="16"/>
      <c r="E49" s="16"/>
      <c r="F49" s="22">
        <f>+F48</f>
        <v>1562475</v>
      </c>
      <c r="G49" s="16"/>
      <c r="H49" s="29"/>
      <c r="I49" s="3"/>
      <c r="J49" s="26"/>
      <c r="K49" s="16"/>
      <c r="L49" s="29"/>
      <c r="M49" s="3"/>
      <c r="N49" s="26"/>
    </row>
    <row r="50" spans="2:14" ht="15" thickBot="1" x14ac:dyDescent="0.35">
      <c r="B50" s="4"/>
      <c r="C50" s="31" t="s">
        <v>199</v>
      </c>
      <c r="D50" s="36">
        <f>+D18/D48</f>
        <v>4.0764767593722571E-2</v>
      </c>
      <c r="E50" s="17"/>
      <c r="F50" s="36">
        <f>+(F18+F25+25000)/F48</f>
        <v>8.5959775356405699E-2</v>
      </c>
      <c r="G50" s="17"/>
      <c r="H50" s="31"/>
      <c r="I50" s="5"/>
      <c r="J50" s="28"/>
      <c r="K50" s="17"/>
      <c r="L50" s="31"/>
      <c r="M50" s="5"/>
      <c r="N50" s="28"/>
    </row>
    <row r="51" spans="2:14" x14ac:dyDescent="0.3">
      <c r="C51" s="63" t="s">
        <v>198</v>
      </c>
      <c r="D51" s="64"/>
      <c r="E51" s="64"/>
      <c r="F51" s="65">
        <f>2/12</f>
        <v>0.16666666666666666</v>
      </c>
    </row>
    <row r="52" spans="2:14" x14ac:dyDescent="0.3">
      <c r="C52" s="35" t="s">
        <v>200</v>
      </c>
      <c r="F52" s="66">
        <f>+F50-F51</f>
        <v>-8.0706891310260959E-2</v>
      </c>
    </row>
    <row r="53" spans="2:14" x14ac:dyDescent="0.3">
      <c r="F53" s="62">
        <f>+F52/F51</f>
        <v>-0.48424134786156575</v>
      </c>
    </row>
    <row r="55" spans="2:14" x14ac:dyDescent="0.3">
      <c r="F55" s="67"/>
    </row>
  </sheetData>
  <mergeCells count="2">
    <mergeCell ref="G3:J3"/>
    <mergeCell ref="K3:N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A94F-0066-44B0-858B-211CFA3B07FA}">
  <dimension ref="B1:J26"/>
  <sheetViews>
    <sheetView tabSelected="1" topLeftCell="C13" zoomScale="160" zoomScaleNormal="160" workbookViewId="0">
      <selection activeCell="G28" sqref="G28"/>
    </sheetView>
  </sheetViews>
  <sheetFormatPr defaultRowHeight="14.4" x14ac:dyDescent="0.3"/>
  <cols>
    <col min="2" max="2" width="20.5546875" customWidth="1"/>
    <col min="3" max="3" width="19.21875" customWidth="1"/>
    <col min="4" max="4" width="18.77734375" customWidth="1"/>
    <col min="5" max="5" width="14.21875" customWidth="1"/>
    <col min="6" max="6" width="18.5546875" customWidth="1"/>
    <col min="7" max="7" width="19.21875" customWidth="1"/>
    <col min="8" max="8" width="18.77734375" customWidth="1"/>
    <col min="9" max="9" width="19.44140625" customWidth="1"/>
    <col min="10" max="10" width="21.109375" customWidth="1"/>
  </cols>
  <sheetData>
    <row r="1" spans="2:10" ht="15" thickBot="1" x14ac:dyDescent="0.35"/>
    <row r="2" spans="2:10" x14ac:dyDescent="0.3">
      <c r="B2" s="1"/>
      <c r="C2" s="48" t="s">
        <v>113</v>
      </c>
      <c r="D2" s="48"/>
      <c r="E2" s="48"/>
      <c r="F2" s="49"/>
      <c r="G2" s="48" t="s">
        <v>160</v>
      </c>
      <c r="H2" s="48"/>
      <c r="I2" s="48"/>
      <c r="J2" s="49"/>
    </row>
    <row r="3" spans="2:10" x14ac:dyDescent="0.3">
      <c r="B3" s="39" t="s">
        <v>81</v>
      </c>
      <c r="C3" s="16"/>
      <c r="D3" s="16"/>
      <c r="E3" s="16"/>
      <c r="F3" s="26"/>
      <c r="G3" s="16"/>
      <c r="H3" s="16"/>
      <c r="I3" s="16"/>
      <c r="J3" s="26"/>
    </row>
    <row r="4" spans="2:10" x14ac:dyDescent="0.3">
      <c r="B4" s="2" t="s">
        <v>83</v>
      </c>
      <c r="C4" s="50" t="s">
        <v>92</v>
      </c>
      <c r="D4" s="16" t="s">
        <v>93</v>
      </c>
      <c r="E4" s="16" t="s">
        <v>138</v>
      </c>
      <c r="F4" s="26" t="s">
        <v>94</v>
      </c>
      <c r="G4" s="41" t="s">
        <v>92</v>
      </c>
      <c r="H4" s="16" t="s">
        <v>93</v>
      </c>
      <c r="I4" s="16" t="s">
        <v>138</v>
      </c>
      <c r="J4" s="26" t="s">
        <v>94</v>
      </c>
    </row>
    <row r="5" spans="2:10" x14ac:dyDescent="0.3">
      <c r="B5" s="2" t="s">
        <v>88</v>
      </c>
      <c r="C5" s="40" t="s">
        <v>95</v>
      </c>
      <c r="D5" s="16" t="s">
        <v>127</v>
      </c>
      <c r="E5" s="16"/>
      <c r="F5" s="26" t="s">
        <v>128</v>
      </c>
      <c r="G5" s="41" t="s">
        <v>95</v>
      </c>
      <c r="H5" s="16" t="s">
        <v>127</v>
      </c>
      <c r="I5" s="16" t="s">
        <v>185</v>
      </c>
      <c r="J5" s="26" t="s">
        <v>128</v>
      </c>
    </row>
    <row r="6" spans="2:10" x14ac:dyDescent="0.3">
      <c r="B6" s="2" t="s">
        <v>84</v>
      </c>
      <c r="C6" s="50" t="s">
        <v>96</v>
      </c>
      <c r="D6" s="16" t="s">
        <v>112</v>
      </c>
      <c r="E6" s="16"/>
      <c r="F6" s="26"/>
      <c r="G6" s="41" t="s">
        <v>161</v>
      </c>
      <c r="H6" s="16" t="s">
        <v>112</v>
      </c>
      <c r="I6" s="16"/>
      <c r="J6" s="26"/>
    </row>
    <row r="7" spans="2:10" x14ac:dyDescent="0.3">
      <c r="B7" s="2" t="s">
        <v>98</v>
      </c>
      <c r="C7" s="40" t="s">
        <v>97</v>
      </c>
      <c r="D7" s="16" t="s">
        <v>99</v>
      </c>
      <c r="E7" s="16" t="s">
        <v>139</v>
      </c>
      <c r="F7" s="26"/>
      <c r="G7" s="41" t="s">
        <v>97</v>
      </c>
      <c r="H7" s="16" t="s">
        <v>99</v>
      </c>
      <c r="I7" s="16" t="s">
        <v>162</v>
      </c>
      <c r="J7" s="26" t="s">
        <v>163</v>
      </c>
    </row>
    <row r="8" spans="2:10" x14ac:dyDescent="0.3">
      <c r="B8" s="7" t="s">
        <v>182</v>
      </c>
      <c r="C8" s="14" t="s">
        <v>183</v>
      </c>
      <c r="D8" s="14"/>
      <c r="E8" s="14"/>
      <c r="F8" s="27"/>
      <c r="G8" s="14" t="s">
        <v>183</v>
      </c>
      <c r="H8" s="14" t="s">
        <v>184</v>
      </c>
      <c r="I8" s="14"/>
      <c r="J8" s="27"/>
    </row>
    <row r="9" spans="2:10" x14ac:dyDescent="0.3">
      <c r="B9" s="2"/>
      <c r="C9" s="16"/>
      <c r="D9" s="16"/>
      <c r="E9" s="16"/>
      <c r="F9" s="26"/>
      <c r="G9" s="16"/>
      <c r="H9" s="16"/>
      <c r="I9" s="16"/>
      <c r="J9" s="26"/>
    </row>
    <row r="10" spans="2:10" x14ac:dyDescent="0.3">
      <c r="B10" s="39" t="s">
        <v>1</v>
      </c>
      <c r="C10" s="16"/>
      <c r="D10" s="16"/>
      <c r="E10" s="16"/>
      <c r="F10" s="26"/>
      <c r="G10" s="16"/>
      <c r="H10" s="16"/>
      <c r="I10" s="16"/>
      <c r="J10" s="26"/>
    </row>
    <row r="11" spans="2:10" x14ac:dyDescent="0.3">
      <c r="B11" s="2" t="s">
        <v>85</v>
      </c>
      <c r="C11" s="16" t="s">
        <v>111</v>
      </c>
      <c r="D11" s="40" t="s">
        <v>140</v>
      </c>
      <c r="E11" s="16"/>
      <c r="F11" s="26"/>
      <c r="G11" s="16" t="s">
        <v>111</v>
      </c>
      <c r="H11" s="16" t="s">
        <v>166</v>
      </c>
      <c r="I11" s="16" t="s">
        <v>167</v>
      </c>
      <c r="J11" s="26"/>
    </row>
    <row r="12" spans="2:10" x14ac:dyDescent="0.3">
      <c r="B12" s="2" t="s">
        <v>86</v>
      </c>
      <c r="C12" s="50" t="s">
        <v>100</v>
      </c>
      <c r="D12" s="16" t="s">
        <v>101</v>
      </c>
      <c r="E12" s="16"/>
      <c r="F12" s="26"/>
      <c r="G12" s="41" t="s">
        <v>164</v>
      </c>
      <c r="H12" s="16" t="s">
        <v>101</v>
      </c>
      <c r="I12" s="16" t="s">
        <v>165</v>
      </c>
      <c r="J12" s="26"/>
    </row>
    <row r="13" spans="2:10" x14ac:dyDescent="0.3">
      <c r="B13" s="7" t="s">
        <v>87</v>
      </c>
      <c r="C13" s="57" t="s">
        <v>100</v>
      </c>
      <c r="D13" s="14"/>
      <c r="E13" s="14"/>
      <c r="F13" s="27"/>
      <c r="G13" s="14" t="s">
        <v>100</v>
      </c>
      <c r="H13" s="14" t="s">
        <v>168</v>
      </c>
      <c r="I13" s="14"/>
      <c r="J13" s="27"/>
    </row>
    <row r="14" spans="2:10" x14ac:dyDescent="0.3">
      <c r="B14" s="2"/>
      <c r="C14" s="16"/>
      <c r="D14" s="16"/>
      <c r="E14" s="16"/>
      <c r="F14" s="26"/>
      <c r="G14" s="16"/>
      <c r="H14" s="16"/>
      <c r="I14" s="16"/>
      <c r="J14" s="26"/>
    </row>
    <row r="15" spans="2:10" x14ac:dyDescent="0.3">
      <c r="B15" s="39" t="s">
        <v>116</v>
      </c>
      <c r="C15" s="16"/>
      <c r="D15" s="16"/>
      <c r="E15" s="16"/>
      <c r="F15" s="26"/>
      <c r="G15" s="16"/>
      <c r="H15" s="16"/>
      <c r="I15" s="16"/>
      <c r="J15" s="26"/>
    </row>
    <row r="16" spans="2:10" x14ac:dyDescent="0.3">
      <c r="B16" s="2" t="s">
        <v>123</v>
      </c>
      <c r="C16" s="16" t="s">
        <v>122</v>
      </c>
      <c r="D16" s="16" t="s">
        <v>124</v>
      </c>
      <c r="E16" s="16"/>
      <c r="F16" s="26" t="s">
        <v>125</v>
      </c>
      <c r="G16" s="16" t="s">
        <v>122</v>
      </c>
      <c r="H16" s="16" t="s">
        <v>170</v>
      </c>
      <c r="I16" s="16" t="s">
        <v>169</v>
      </c>
      <c r="J16" s="26" t="s">
        <v>125</v>
      </c>
    </row>
    <row r="17" spans="2:10" x14ac:dyDescent="0.3">
      <c r="B17" s="2" t="s">
        <v>133</v>
      </c>
      <c r="C17" s="16" t="s">
        <v>118</v>
      </c>
      <c r="D17" s="16" t="s">
        <v>119</v>
      </c>
      <c r="E17" s="16" t="s">
        <v>141</v>
      </c>
      <c r="F17" s="26"/>
      <c r="G17" s="16" t="s">
        <v>118</v>
      </c>
      <c r="H17" s="16"/>
      <c r="I17" s="16" t="s">
        <v>141</v>
      </c>
      <c r="J17" s="26"/>
    </row>
    <row r="18" spans="2:10" x14ac:dyDescent="0.3">
      <c r="B18" s="2" t="s">
        <v>174</v>
      </c>
      <c r="C18" s="16"/>
      <c r="D18" s="16"/>
      <c r="E18" s="16"/>
      <c r="F18" s="26"/>
      <c r="G18" s="16" t="s">
        <v>176</v>
      </c>
      <c r="H18" s="16" t="s">
        <v>177</v>
      </c>
      <c r="I18" s="16" t="s">
        <v>178</v>
      </c>
      <c r="J18" s="26" t="s">
        <v>179</v>
      </c>
    </row>
    <row r="19" spans="2:10" x14ac:dyDescent="0.3">
      <c r="B19" s="7" t="s">
        <v>175</v>
      </c>
      <c r="C19" s="14" t="s">
        <v>120</v>
      </c>
      <c r="D19" s="14" t="s">
        <v>121</v>
      </c>
      <c r="E19" s="14"/>
      <c r="F19" s="27"/>
      <c r="G19" s="14" t="s">
        <v>120</v>
      </c>
      <c r="H19" s="14" t="s">
        <v>196</v>
      </c>
      <c r="I19" s="14" t="s">
        <v>195</v>
      </c>
      <c r="J19" s="27" t="s">
        <v>197</v>
      </c>
    </row>
    <row r="20" spans="2:10" x14ac:dyDescent="0.3">
      <c r="B20" s="2"/>
      <c r="C20" s="16"/>
      <c r="D20" s="16"/>
      <c r="E20" s="16"/>
      <c r="F20" s="26"/>
      <c r="G20" s="16"/>
      <c r="H20" s="16"/>
      <c r="I20" s="16"/>
      <c r="J20" s="26"/>
    </row>
    <row r="21" spans="2:10" x14ac:dyDescent="0.3">
      <c r="B21" s="39" t="s">
        <v>82</v>
      </c>
      <c r="C21" s="16"/>
      <c r="D21" s="16"/>
      <c r="E21" s="16"/>
      <c r="F21" s="26"/>
      <c r="G21" s="16"/>
      <c r="H21" s="16"/>
      <c r="I21" s="16"/>
      <c r="J21" s="26"/>
    </row>
    <row r="22" spans="2:10" x14ac:dyDescent="0.3">
      <c r="B22" s="2" t="s">
        <v>89</v>
      </c>
      <c r="C22" s="16" t="s">
        <v>102</v>
      </c>
      <c r="D22" s="40" t="s">
        <v>103</v>
      </c>
      <c r="E22" s="41"/>
      <c r="F22" s="56" t="s">
        <v>104</v>
      </c>
      <c r="G22" s="41" t="s">
        <v>102</v>
      </c>
      <c r="H22" s="41" t="s">
        <v>103</v>
      </c>
      <c r="I22" s="41" t="s">
        <v>173</v>
      </c>
      <c r="J22" s="26"/>
    </row>
    <row r="23" spans="2:10" x14ac:dyDescent="0.3">
      <c r="B23" s="2" t="s">
        <v>90</v>
      </c>
      <c r="C23" s="50" t="s">
        <v>107</v>
      </c>
      <c r="D23" s="40" t="s">
        <v>105</v>
      </c>
      <c r="E23" s="41"/>
      <c r="F23" s="56" t="s">
        <v>106</v>
      </c>
      <c r="G23" s="41" t="s">
        <v>171</v>
      </c>
      <c r="H23" s="41" t="s">
        <v>172</v>
      </c>
      <c r="I23" s="41"/>
      <c r="J23" s="26" t="s">
        <v>106</v>
      </c>
    </row>
    <row r="24" spans="2:10" x14ac:dyDescent="0.3">
      <c r="B24" s="2" t="s">
        <v>91</v>
      </c>
      <c r="C24" s="16" t="s">
        <v>108</v>
      </c>
      <c r="D24" s="16" t="s">
        <v>109</v>
      </c>
      <c r="E24" s="41"/>
      <c r="F24" s="56" t="s">
        <v>110</v>
      </c>
      <c r="G24" s="41" t="s">
        <v>108</v>
      </c>
      <c r="H24" s="41" t="s">
        <v>109</v>
      </c>
      <c r="I24" s="41"/>
      <c r="J24" s="26" t="s">
        <v>110</v>
      </c>
    </row>
    <row r="25" spans="2:10" x14ac:dyDescent="0.3">
      <c r="B25" s="2" t="s">
        <v>130</v>
      </c>
      <c r="C25" s="50" t="s">
        <v>134</v>
      </c>
      <c r="D25" s="16" t="s">
        <v>132</v>
      </c>
      <c r="E25" s="41"/>
      <c r="F25" s="56" t="s">
        <v>206</v>
      </c>
      <c r="G25" s="41" t="s">
        <v>204</v>
      </c>
      <c r="H25" s="41" t="s">
        <v>132</v>
      </c>
      <c r="I25" s="41"/>
      <c r="J25" s="26" t="s">
        <v>205</v>
      </c>
    </row>
    <row r="26" spans="2:10" ht="15" thickBot="1" x14ac:dyDescent="0.35">
      <c r="B26" s="4" t="s">
        <v>131</v>
      </c>
      <c r="C26" s="44" t="s">
        <v>114</v>
      </c>
      <c r="D26" s="44" t="s">
        <v>115</v>
      </c>
      <c r="E26" s="45"/>
      <c r="F26" s="58" t="s">
        <v>126</v>
      </c>
      <c r="G26" s="45" t="s">
        <v>181</v>
      </c>
      <c r="H26" s="45" t="s">
        <v>115</v>
      </c>
      <c r="I26" s="45" t="s">
        <v>180</v>
      </c>
      <c r="J26" s="28" t="s">
        <v>126</v>
      </c>
    </row>
  </sheetData>
  <mergeCells count="2"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Foundational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magaya</dc:creator>
  <cp:lastModifiedBy>dr magaya</cp:lastModifiedBy>
  <dcterms:created xsi:type="dcterms:W3CDTF">2026-01-05T11:10:15Z</dcterms:created>
  <dcterms:modified xsi:type="dcterms:W3CDTF">2026-02-26T03:39:08Z</dcterms:modified>
</cp:coreProperties>
</file>