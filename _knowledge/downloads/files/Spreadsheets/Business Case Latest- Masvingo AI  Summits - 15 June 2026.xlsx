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165060d6b98135/Desktop/Working Folder/Zimpapers AI Conference Proposal/2026 Summits/Letters  - Nyanga Summit/"/>
    </mc:Choice>
  </mc:AlternateContent>
  <xr:revisionPtr revIDLastSave="2" documentId="8_{937C2935-7507-4E1B-9CB4-3C13B7A821F5}" xr6:coauthVersionLast="36" xr6:coauthVersionMax="36" xr10:uidLastSave="{69C27DEA-99C6-49DD-BF33-1C15A7788BC4}"/>
  <bookViews>
    <workbookView xWindow="0" yWindow="0" windowWidth="23040" windowHeight="9588" activeTab="1" xr2:uid="{E637D956-0D65-4F97-9442-8E31C7C82B67}"/>
  </bookViews>
  <sheets>
    <sheet name="Model " sheetId="1" r:id="rId1"/>
    <sheet name="Real " sheetId="2" r:id="rId2"/>
    <sheet name="Sheet1" sheetId="3" r:id="rId3"/>
  </sheets>
  <definedNames>
    <definedName name="_xlnm._FilterDatabase" localSheetId="1" hidden="1">'Real '!$A$3:$Y$112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2" i="2" l="1"/>
  <c r="H10" i="2"/>
  <c r="G112" i="2"/>
  <c r="H23" i="2"/>
  <c r="H43" i="2"/>
  <c r="H41" i="2"/>
  <c r="H39" i="2"/>
  <c r="H36" i="2"/>
  <c r="H35" i="2"/>
  <c r="H34" i="2"/>
  <c r="H31" i="2"/>
  <c r="H30" i="2"/>
  <c r="V23" i="2" l="1"/>
  <c r="K22" i="2"/>
  <c r="K23" i="2" l="1"/>
  <c r="N23" i="2" l="1"/>
  <c r="U23" i="2" s="1"/>
  <c r="Q23" i="2"/>
  <c r="K11" i="2"/>
  <c r="W6" i="2" l="1"/>
  <c r="W7" i="2"/>
  <c r="W8" i="2"/>
  <c r="W66" i="2"/>
  <c r="W67" i="2"/>
  <c r="W68" i="2"/>
  <c r="W69" i="2"/>
  <c r="W70" i="2"/>
  <c r="W71" i="2"/>
  <c r="W72" i="2"/>
  <c r="W99" i="2"/>
  <c r="T29" i="2"/>
  <c r="S29" i="2"/>
  <c r="P29" i="2"/>
  <c r="O29" i="2"/>
  <c r="O30" i="2"/>
  <c r="O36" i="2"/>
  <c r="O28" i="2"/>
  <c r="O27" i="2"/>
  <c r="V76" i="2"/>
  <c r="W76" i="2" s="1"/>
  <c r="V74" i="2"/>
  <c r="W74" i="2" s="1"/>
  <c r="V52" i="2" l="1"/>
  <c r="V51" i="2"/>
  <c r="V50" i="2"/>
  <c r="V57" i="2"/>
  <c r="V56" i="2"/>
  <c r="V55" i="2"/>
  <c r="V54" i="2"/>
  <c r="V53" i="2"/>
  <c r="V88" i="2"/>
  <c r="W88" i="2" s="1"/>
  <c r="V87" i="2"/>
  <c r="W87" i="2" s="1"/>
  <c r="V82" i="2"/>
  <c r="V11" i="2"/>
  <c r="W57" i="2" l="1"/>
  <c r="Y57" i="2" s="1"/>
  <c r="W51" i="2"/>
  <c r="Y51" i="2" s="1"/>
  <c r="W82" i="2"/>
  <c r="Y82" i="2" s="1"/>
  <c r="W50" i="2"/>
  <c r="Y50" i="2" s="1"/>
  <c r="W52" i="2"/>
  <c r="Y52" i="2" s="1"/>
  <c r="W53" i="2"/>
  <c r="Y53" i="2" s="1"/>
  <c r="W54" i="2"/>
  <c r="Y54" i="2" s="1"/>
  <c r="W55" i="2"/>
  <c r="Y55" i="2" s="1"/>
  <c r="W56" i="2"/>
  <c r="Y56" i="2" s="1"/>
  <c r="V45" i="2"/>
  <c r="V44" i="2"/>
  <c r="V38" i="2"/>
  <c r="V35" i="2"/>
  <c r="V33" i="2"/>
  <c r="V42" i="2"/>
  <c r="V31" i="2"/>
  <c r="V37" i="2"/>
  <c r="V34" i="2"/>
  <c r="V29" i="2"/>
  <c r="V41" i="2"/>
  <c r="V40" i="2"/>
  <c r="V30" i="2"/>
  <c r="V39" i="2"/>
  <c r="V36" i="2"/>
  <c r="V28" i="2"/>
  <c r="V27" i="2"/>
  <c r="V43" i="2"/>
  <c r="V46" i="2"/>
  <c r="V26" i="2"/>
  <c r="V10" i="2"/>
  <c r="V4" i="2"/>
  <c r="V12" i="2"/>
  <c r="V5" i="2"/>
  <c r="W5" i="2" s="1"/>
  <c r="V9" i="2"/>
  <c r="W9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48" i="2"/>
  <c r="V49" i="2"/>
  <c r="V58" i="2"/>
  <c r="V60" i="2"/>
  <c r="W60" i="2" s="1"/>
  <c r="V61" i="2"/>
  <c r="V62" i="2"/>
  <c r="V63" i="2"/>
  <c r="V64" i="2"/>
  <c r="W64" i="2" s="1"/>
  <c r="Y66" i="2"/>
  <c r="Y67" i="2"/>
  <c r="V73" i="2"/>
  <c r="Y74" i="2"/>
  <c r="V75" i="2"/>
  <c r="Y76" i="2"/>
  <c r="V77" i="2"/>
  <c r="V78" i="2"/>
  <c r="V79" i="2"/>
  <c r="V80" i="2"/>
  <c r="V81" i="2"/>
  <c r="V83" i="2"/>
  <c r="V84" i="2"/>
  <c r="V85" i="2"/>
  <c r="V86" i="2"/>
  <c r="Y87" i="2"/>
  <c r="Y88" i="2"/>
  <c r="V89" i="2"/>
  <c r="W89" i="2" s="1"/>
  <c r="V90" i="2"/>
  <c r="V91" i="2"/>
  <c r="V92" i="2"/>
  <c r="V93" i="2"/>
  <c r="V94" i="2"/>
  <c r="V95" i="2"/>
  <c r="W95" i="2" s="1"/>
  <c r="V96" i="2"/>
  <c r="W96" i="2" s="1"/>
  <c r="V97" i="2"/>
  <c r="W97" i="2" s="1"/>
  <c r="V98" i="2"/>
  <c r="W98" i="2" s="1"/>
  <c r="V100" i="2"/>
  <c r="V101" i="2"/>
  <c r="W101" i="2" s="1"/>
  <c r="Y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W108" i="2" s="1"/>
  <c r="V109" i="2"/>
  <c r="W109" i="2" s="1"/>
  <c r="V110" i="2"/>
  <c r="W110" i="2" s="1"/>
  <c r="V111" i="2"/>
  <c r="W111" i="2" s="1"/>
  <c r="V22" i="2"/>
  <c r="X5" i="2"/>
  <c r="X9" i="2"/>
  <c r="X13" i="2"/>
  <c r="X14" i="2"/>
  <c r="X15" i="2"/>
  <c r="X16" i="2"/>
  <c r="X17" i="2"/>
  <c r="X18" i="2"/>
  <c r="X19" i="2"/>
  <c r="X60" i="2"/>
  <c r="X64" i="2"/>
  <c r="X68" i="2"/>
  <c r="X69" i="2"/>
  <c r="X70" i="2"/>
  <c r="X71" i="2"/>
  <c r="X72" i="2"/>
  <c r="X89" i="2"/>
  <c r="X102" i="2"/>
  <c r="X103" i="2"/>
  <c r="X104" i="2"/>
  <c r="X105" i="2"/>
  <c r="X106" i="2"/>
  <c r="X107" i="2"/>
  <c r="X108" i="2"/>
  <c r="X109" i="2"/>
  <c r="X110" i="2"/>
  <c r="X111" i="2"/>
  <c r="X22" i="2"/>
  <c r="L22" i="2"/>
  <c r="L23" i="2" s="1"/>
  <c r="J22" i="2"/>
  <c r="J23" i="2" s="1"/>
  <c r="R112" i="2"/>
  <c r="I112" i="2"/>
  <c r="F112" i="2"/>
  <c r="D117" i="1"/>
  <c r="D126" i="1" s="1"/>
  <c r="D127" i="1" s="1"/>
  <c r="G49" i="1"/>
  <c r="D49" i="1"/>
  <c r="T23" i="2" l="1"/>
  <c r="M23" i="2"/>
  <c r="P23" i="2"/>
  <c r="S23" i="2"/>
  <c r="O23" i="2"/>
  <c r="W93" i="2"/>
  <c r="Y93" i="2" s="1"/>
  <c r="W26" i="2"/>
  <c r="Y26" i="2" s="1"/>
  <c r="W30" i="2"/>
  <c r="Y30" i="2" s="1"/>
  <c r="W42" i="2"/>
  <c r="Y42" i="2" s="1"/>
  <c r="W100" i="2"/>
  <c r="Y100" i="2" s="1"/>
  <c r="W92" i="2"/>
  <c r="Y92" i="2" s="1"/>
  <c r="W78" i="2"/>
  <c r="Y78" i="2" s="1"/>
  <c r="W49" i="2"/>
  <c r="Y49" i="2" s="1"/>
  <c r="W46" i="2"/>
  <c r="Y46" i="2" s="1"/>
  <c r="W40" i="2"/>
  <c r="Y40" i="2" s="1"/>
  <c r="W33" i="2"/>
  <c r="Y33" i="2" s="1"/>
  <c r="W85" i="2"/>
  <c r="Y85" i="2" s="1"/>
  <c r="W58" i="2"/>
  <c r="Y58" i="2" s="1"/>
  <c r="W91" i="2"/>
  <c r="Y91" i="2" s="1"/>
  <c r="W84" i="2"/>
  <c r="Y84" i="2" s="1"/>
  <c r="W77" i="2"/>
  <c r="Y77" i="2" s="1"/>
  <c r="W48" i="2"/>
  <c r="Y48" i="2" s="1"/>
  <c r="W43" i="2"/>
  <c r="Y43" i="2" s="1"/>
  <c r="W41" i="2"/>
  <c r="Y41" i="2" s="1"/>
  <c r="W35" i="2"/>
  <c r="Y35" i="2" s="1"/>
  <c r="W83" i="2"/>
  <c r="Y83" i="2" s="1"/>
  <c r="W47" i="2"/>
  <c r="Y47" i="2" s="1"/>
  <c r="W81" i="2"/>
  <c r="Y81" i="2" s="1"/>
  <c r="W75" i="2"/>
  <c r="Y75" i="2" s="1"/>
  <c r="W62" i="2"/>
  <c r="Y62" i="2" s="1"/>
  <c r="W28" i="2"/>
  <c r="Y28" i="2" s="1"/>
  <c r="W34" i="2"/>
  <c r="Y34" i="2" s="1"/>
  <c r="W44" i="2"/>
  <c r="Y44" i="2" s="1"/>
  <c r="W80" i="2"/>
  <c r="Y80" i="2" s="1"/>
  <c r="W61" i="2"/>
  <c r="Y61" i="2" s="1"/>
  <c r="W12" i="2"/>
  <c r="Y12" i="2" s="1"/>
  <c r="W45" i="2"/>
  <c r="Y45" i="2" s="1"/>
  <c r="W90" i="2"/>
  <c r="Y90" i="2" s="1"/>
  <c r="W63" i="2"/>
  <c r="Y63" i="2" s="1"/>
  <c r="W38" i="2"/>
  <c r="Y38" i="2" s="1"/>
  <c r="W73" i="2"/>
  <c r="Y73" i="2" s="1"/>
  <c r="W4" i="2"/>
  <c r="Y4" i="2" s="1"/>
  <c r="W36" i="2"/>
  <c r="Y36" i="2" s="1"/>
  <c r="W37" i="2"/>
  <c r="Y37" i="2" s="1"/>
  <c r="W79" i="2"/>
  <c r="Y79" i="2" s="1"/>
  <c r="W27" i="2"/>
  <c r="Y27" i="2" s="1"/>
  <c r="W29" i="2"/>
  <c r="Y29" i="2" s="1"/>
  <c r="X112" i="2"/>
  <c r="W94" i="2"/>
  <c r="Y94" i="2" s="1"/>
  <c r="W86" i="2"/>
  <c r="Y86" i="2" s="1"/>
  <c r="W10" i="2"/>
  <c r="Y10" i="2" s="1"/>
  <c r="W39" i="2"/>
  <c r="Y39" i="2" s="1"/>
  <c r="W31" i="2"/>
  <c r="Y31" i="2" s="1"/>
  <c r="O22" i="2"/>
  <c r="X115" i="2"/>
  <c r="Y109" i="2"/>
  <c r="V112" i="2"/>
  <c r="S22" i="2"/>
  <c r="M22" i="2"/>
  <c r="N22" i="2"/>
  <c r="P22" i="2"/>
  <c r="Q22" i="2"/>
  <c r="T22" i="2"/>
  <c r="G50" i="1"/>
  <c r="D50" i="1"/>
  <c r="W23" i="2" l="1"/>
  <c r="Y23" i="2" s="1"/>
  <c r="J11" i="2"/>
  <c r="L11" i="2"/>
  <c r="U22" i="2"/>
  <c r="W22" i="2" s="1"/>
  <c r="Y22" i="2" s="1"/>
  <c r="G40" i="1"/>
  <c r="G39" i="1"/>
  <c r="D52" i="1"/>
  <c r="D51" i="1"/>
  <c r="G25" i="1"/>
  <c r="D25" i="1"/>
  <c r="G140" i="1"/>
  <c r="G141" i="1" s="1"/>
  <c r="E135" i="1"/>
  <c r="F131" i="1"/>
  <c r="F130" i="1"/>
  <c r="F129" i="1"/>
  <c r="G129" i="1" s="1"/>
  <c r="K112" i="2" l="1"/>
  <c r="T11" i="2"/>
  <c r="T112" i="2" s="1"/>
  <c r="P11" i="2"/>
  <c r="P112" i="2" s="1"/>
  <c r="M11" i="2"/>
  <c r="M112" i="2" s="1"/>
  <c r="J112" i="2"/>
  <c r="O11" i="2"/>
  <c r="O112" i="2" s="1"/>
  <c r="S11" i="2"/>
  <c r="S112" i="2" s="1"/>
  <c r="N11" i="2"/>
  <c r="U11" i="2" s="1"/>
  <c r="U112" i="2" s="1"/>
  <c r="Q11" i="2"/>
  <c r="Q112" i="2" s="1"/>
  <c r="L112" i="2"/>
  <c r="D76" i="1"/>
  <c r="G78" i="1"/>
  <c r="G77" i="1"/>
  <c r="G76" i="1"/>
  <c r="D77" i="1"/>
  <c r="D78" i="1"/>
  <c r="G34" i="1"/>
  <c r="D34" i="1"/>
  <c r="W11" i="2" l="1"/>
  <c r="Y11" i="2" s="1"/>
  <c r="Y112" i="2" s="1"/>
  <c r="N112" i="2"/>
  <c r="G28" i="1"/>
  <c r="D28" i="1"/>
  <c r="D31" i="1" s="1"/>
  <c r="D38" i="1"/>
  <c r="G38" i="1"/>
  <c r="G52" i="1"/>
  <c r="G46" i="1"/>
  <c r="G45" i="1"/>
  <c r="D46" i="1"/>
  <c r="Y115" i="2" l="1"/>
  <c r="Y118" i="2" s="1"/>
  <c r="W112" i="2"/>
  <c r="W115" i="2"/>
  <c r="D40" i="1"/>
  <c r="D39" i="1"/>
  <c r="G56" i="1"/>
  <c r="G54" i="1" s="1"/>
  <c r="G35" i="1"/>
  <c r="G33" i="1" s="1"/>
  <c r="G31" i="1"/>
  <c r="D85" i="1" s="1"/>
  <c r="D56" i="1"/>
  <c r="D45" i="1"/>
  <c r="D35" i="1"/>
  <c r="D84" i="1"/>
  <c r="D86" i="1" l="1"/>
  <c r="G42" i="1"/>
  <c r="G41" i="1"/>
  <c r="G48" i="1"/>
  <c r="G44" i="1" s="1"/>
  <c r="D33" i="1"/>
  <c r="D48" i="1" s="1"/>
  <c r="D54" i="1"/>
  <c r="D41" i="1" l="1"/>
  <c r="D42" i="1"/>
  <c r="G37" i="1"/>
  <c r="D90" i="1" s="1"/>
  <c r="D44" i="1"/>
  <c r="G57" i="1" l="1"/>
  <c r="G58" i="1" s="1"/>
  <c r="G68" i="1"/>
  <c r="G70" i="1" s="1"/>
  <c r="D37" i="1"/>
  <c r="D89" i="1" s="1"/>
  <c r="D91" i="1" s="1"/>
  <c r="D93" i="1" s="1"/>
  <c r="D96" i="1" l="1"/>
  <c r="D95" i="1"/>
  <c r="D57" i="1"/>
  <c r="D58" i="1" s="1"/>
  <c r="D64" i="1" s="1"/>
  <c r="D68" i="1"/>
  <c r="G71" i="1"/>
  <c r="H70" i="1"/>
  <c r="G64" i="1"/>
  <c r="G66" i="1" s="1"/>
  <c r="G60" i="1"/>
  <c r="G62" i="1" s="1"/>
  <c r="D60" i="1" l="1"/>
  <c r="H62" i="1"/>
  <c r="G63" i="1"/>
  <c r="G67" i="1"/>
  <c r="H66" i="1"/>
  <c r="D66" i="1"/>
  <c r="D67" i="1" s="1"/>
  <c r="D70" i="1"/>
  <c r="D62" i="1" l="1"/>
  <c r="E66" i="1"/>
  <c r="D71" i="1"/>
  <c r="E70" i="1"/>
  <c r="E62" i="1" l="1"/>
  <c r="D63" i="1"/>
  <c r="D97" i="1"/>
</calcChain>
</file>

<file path=xl/sharedStrings.xml><?xml version="1.0" encoding="utf-8"?>
<sst xmlns="http://schemas.openxmlformats.org/spreadsheetml/2006/main" count="391" uniqueCount="227">
  <si>
    <t xml:space="preserve">Paying Delegates </t>
  </si>
  <si>
    <t xml:space="preserve">Aiia Management </t>
  </si>
  <si>
    <t xml:space="preserve">Zimpapers Management </t>
  </si>
  <si>
    <t>Price per Room</t>
  </si>
  <si>
    <t xml:space="preserve">Venue Costs </t>
  </si>
  <si>
    <t xml:space="preserve">PA System </t>
  </si>
  <si>
    <t xml:space="preserve">Venue Branding </t>
  </si>
  <si>
    <t xml:space="preserve">Total Delegates Income </t>
  </si>
  <si>
    <t xml:space="preserve">Sponsorship Income </t>
  </si>
  <si>
    <t xml:space="preserve">Total Income </t>
  </si>
  <si>
    <t xml:space="preserve">Speakers Fees </t>
  </si>
  <si>
    <t xml:space="preserve">Delegates Gifts </t>
  </si>
  <si>
    <t>Delegates Gifts - Unit Price</t>
  </si>
  <si>
    <t xml:space="preserve">Officials Presents Unit Prices </t>
  </si>
  <si>
    <t xml:space="preserve">Number of Officials </t>
  </si>
  <si>
    <t xml:space="preserve">Venue </t>
  </si>
  <si>
    <t xml:space="preserve">Number of Local Speakers </t>
  </si>
  <si>
    <t xml:space="preserve">Key Speakers </t>
  </si>
  <si>
    <t xml:space="preserve">Key Speaker Fees </t>
  </si>
  <si>
    <t xml:space="preserve">Conference  Days </t>
  </si>
  <si>
    <t xml:space="preserve">Number of Nights </t>
  </si>
  <si>
    <t xml:space="preserve">Non-paying </t>
  </si>
  <si>
    <t xml:space="preserve">Paying </t>
  </si>
  <si>
    <t>Staff</t>
  </si>
  <si>
    <t>Local Flight Costs</t>
  </si>
  <si>
    <t>International Flight Costs</t>
  </si>
  <si>
    <t>Total Delegates</t>
  </si>
  <si>
    <t xml:space="preserve">Paying Delegates Rooms </t>
  </si>
  <si>
    <t>Speakers</t>
  </si>
  <si>
    <t xml:space="preserve">Boat / Activities </t>
  </si>
  <si>
    <t xml:space="preserve">Speaker Fees </t>
  </si>
  <si>
    <t xml:space="preserve">Officials presents </t>
  </si>
  <si>
    <t xml:space="preserve">local flights </t>
  </si>
  <si>
    <t xml:space="preserve">International Flights </t>
  </si>
  <si>
    <t>Inputs</t>
  </si>
  <si>
    <t>MC</t>
  </si>
  <si>
    <t xml:space="preserve">Dinner </t>
  </si>
  <si>
    <t>Dinner</t>
  </si>
  <si>
    <t xml:space="preserve">Number of International Speakers </t>
  </si>
  <si>
    <t xml:space="preserve">USD </t>
  </si>
  <si>
    <t>Other costs (USD)</t>
  </si>
  <si>
    <t xml:space="preserve">Flight Costs  - USD </t>
  </si>
  <si>
    <t>Hotel Costs (USD)</t>
  </si>
  <si>
    <t>AI Tech Forum - Nyanga - Montclair  - May 2026</t>
  </si>
  <si>
    <t xml:space="preserve">National AI Policy Summit  - Nyanga  - Montclair - May </t>
  </si>
  <si>
    <t xml:space="preserve">3 Days </t>
  </si>
  <si>
    <t xml:space="preserve">Tech AI Forum Summit </t>
  </si>
  <si>
    <t xml:space="preserve">1.5Days </t>
  </si>
  <si>
    <t>National AI Policy Summit</t>
  </si>
  <si>
    <t xml:space="preserve">1.5 Days </t>
  </si>
  <si>
    <t>Total Summit Duration*</t>
  </si>
  <si>
    <t>* The 2 Summits will be held in 3 Consecutive Days to Maximisze Delegates numbers</t>
  </si>
  <si>
    <t xml:space="preserve">Total Costs </t>
  </si>
  <si>
    <t xml:space="preserve">Transport </t>
  </si>
  <si>
    <t>Cost/Paying Delegate (Excl Transport)</t>
  </si>
  <si>
    <t>Total Costs / Delegate (Inclusive)</t>
  </si>
  <si>
    <t>Profit/Delegate (Inclusive)</t>
  </si>
  <si>
    <t>Price / Delegate (Inclusive)</t>
  </si>
  <si>
    <t xml:space="preserve">Total Profit </t>
  </si>
  <si>
    <t xml:space="preserve">TechForum </t>
  </si>
  <si>
    <t xml:space="preserve">AI Summit </t>
  </si>
  <si>
    <t>Summit + Dinner</t>
  </si>
  <si>
    <t xml:space="preserve">Summit + Dinner </t>
  </si>
  <si>
    <t>Total Profit  (Summit + Dinner)</t>
  </si>
  <si>
    <t>Profit/Delegate (Summit + Dinner)</t>
  </si>
  <si>
    <t>Price / Delegate (Summit + Dinner)</t>
  </si>
  <si>
    <t>Total Cost/Delegate (Summit + Dinner)</t>
  </si>
  <si>
    <t>Total Cost/Delegate (Summit + Dinner + Hotel)</t>
  </si>
  <si>
    <t>Price / Delegate (Summit + Dinner + Hotel)</t>
  </si>
  <si>
    <t>Profit/Delegate (Summit + Dinner + Hotel)</t>
  </si>
  <si>
    <t>Total Profit  (Summit + Dinner + Hotel )</t>
  </si>
  <si>
    <t>Price/Delegate (USD)</t>
  </si>
  <si>
    <t xml:space="preserve">Price/Delegate (USD) </t>
  </si>
  <si>
    <t>Summit + Hotel + Dinner + Transport (Harare-Nyanga)</t>
  </si>
  <si>
    <t xml:space="preserve">Summit + Hotel + Dinner </t>
  </si>
  <si>
    <t>AI Tech Forum  :  26 - 28 May 2026</t>
  </si>
  <si>
    <t>Check In - 26 May and Check Out - 28 May 2026</t>
  </si>
  <si>
    <t>Check In - 28 May and Check Out - 30 May 2026</t>
  </si>
  <si>
    <t>National AI Policy Summit  :  28 - 30 May 2026</t>
  </si>
  <si>
    <t>Airtime ($2/day/20days)</t>
  </si>
  <si>
    <t>Fuel</t>
  </si>
  <si>
    <t xml:space="preserve">InDrive </t>
  </si>
  <si>
    <t>Fixed payment (Weekly)</t>
  </si>
  <si>
    <t xml:space="preserve">Costs </t>
  </si>
  <si>
    <t xml:space="preserve">Profit </t>
  </si>
  <si>
    <t xml:space="preserve">Total Delegates </t>
  </si>
  <si>
    <t xml:space="preserve">Total </t>
  </si>
  <si>
    <t>Proportion of Delegates (Summit+Hotel+Dinner+Trans)</t>
  </si>
  <si>
    <t>Proportion of Delegates (Summit+Hotel+Dinner)</t>
  </si>
  <si>
    <t xml:space="preserve">Income </t>
  </si>
  <si>
    <t>Boat / Activities  (Great Zimnbabwe Tour)</t>
  </si>
  <si>
    <t>Boat / Activities  (Great Zimbabwe Tour)</t>
  </si>
  <si>
    <t>Proportion of Delegates (Summit+Dinner)</t>
  </si>
  <si>
    <t>PRAZ</t>
  </si>
  <si>
    <t>POTEAZ</t>
  </si>
  <si>
    <t>AFC</t>
  </si>
  <si>
    <t>ZRP</t>
  </si>
  <si>
    <t>ZEC</t>
  </si>
  <si>
    <t>ZERA</t>
  </si>
  <si>
    <t>ZESA</t>
  </si>
  <si>
    <t>AU</t>
  </si>
  <si>
    <t>UZ</t>
  </si>
  <si>
    <t>Total</t>
  </si>
  <si>
    <t>MICT</t>
  </si>
  <si>
    <t xml:space="preserve">Students </t>
  </si>
  <si>
    <t>Aiia</t>
  </si>
  <si>
    <t>Linos</t>
  </si>
  <si>
    <t xml:space="preserve">Econet </t>
  </si>
  <si>
    <t xml:space="preserve">NetOne </t>
  </si>
  <si>
    <t xml:space="preserve">Media </t>
  </si>
  <si>
    <t xml:space="preserve">NSSA </t>
  </si>
  <si>
    <t>POTRAZ</t>
  </si>
  <si>
    <t>Name</t>
  </si>
  <si>
    <t>Mobile</t>
  </si>
  <si>
    <t>org</t>
  </si>
  <si>
    <t>size</t>
  </si>
  <si>
    <t>Hotel</t>
  </si>
  <si>
    <t>Lunch</t>
  </si>
  <si>
    <t xml:space="preserve">gift </t>
  </si>
  <si>
    <t xml:space="preserve">Fee </t>
  </si>
  <si>
    <t>Total Cost</t>
  </si>
  <si>
    <t xml:space="preserve">Paid </t>
  </si>
  <si>
    <t>Dr Dennis Magaya</t>
  </si>
  <si>
    <t>071777 0666</t>
  </si>
  <si>
    <t>2XL</t>
  </si>
  <si>
    <t xml:space="preserve">A. Magaya </t>
  </si>
  <si>
    <t xml:space="preserve">Ms Patiennce Makupeni </t>
  </si>
  <si>
    <t xml:space="preserve">Mr Anesu Gorerokufa </t>
  </si>
  <si>
    <t xml:space="preserve">Mr Godswill Ndlovu </t>
  </si>
  <si>
    <t>Zimpapers</t>
  </si>
  <si>
    <t xml:space="preserve">MICT </t>
  </si>
  <si>
    <t xml:space="preserve">Nyaradzo </t>
  </si>
  <si>
    <t xml:space="preserve">POTRAZ </t>
  </si>
  <si>
    <t xml:space="preserve">ZIMRA </t>
  </si>
  <si>
    <t>CBZ</t>
  </si>
  <si>
    <t xml:space="preserve">Speaker </t>
  </si>
  <si>
    <t>DPC</t>
  </si>
  <si>
    <t>Powertel</t>
  </si>
  <si>
    <t>NBSZ</t>
  </si>
  <si>
    <t xml:space="preserve">MCA </t>
  </si>
  <si>
    <t>CUT</t>
  </si>
  <si>
    <t xml:space="preserve">TelOne </t>
  </si>
  <si>
    <t xml:space="preserve">Mutapa </t>
  </si>
  <si>
    <t>MOSAD</t>
  </si>
  <si>
    <t>ZIMSWITCH</t>
  </si>
  <si>
    <t xml:space="preserve">L. Madziwa </t>
  </si>
  <si>
    <t xml:space="preserve">Individual </t>
  </si>
  <si>
    <t xml:space="preserve">POSB </t>
  </si>
  <si>
    <t xml:space="preserve">ZOU </t>
  </si>
  <si>
    <t xml:space="preserve">ZRP </t>
  </si>
  <si>
    <t xml:space="preserve">President Office </t>
  </si>
  <si>
    <t xml:space="preserve">City Parking </t>
  </si>
  <si>
    <t xml:space="preserve">Fidelity </t>
  </si>
  <si>
    <t>ZBC</t>
  </si>
  <si>
    <t xml:space="preserve">Mr Robert Rusike </t>
  </si>
  <si>
    <t xml:space="preserve">Aiia </t>
  </si>
  <si>
    <t xml:space="preserve">AFC </t>
  </si>
  <si>
    <t>BancABC</t>
  </si>
  <si>
    <t xml:space="preserve">Law Society </t>
  </si>
  <si>
    <t xml:space="preserve">UZ </t>
  </si>
  <si>
    <t>M</t>
  </si>
  <si>
    <t>Dr P Chiurunge</t>
  </si>
  <si>
    <t>Prof Garikai</t>
  </si>
  <si>
    <t>Mr Haparari</t>
  </si>
  <si>
    <t>Mr Muchemwa</t>
  </si>
  <si>
    <t>Dr T Zengeni</t>
  </si>
  <si>
    <t>Dr Rukanda</t>
  </si>
  <si>
    <t>Dr Sagomba</t>
  </si>
  <si>
    <t>Hon Machingura</t>
  </si>
  <si>
    <t>Commander E T Phillips</t>
  </si>
  <si>
    <t>Mr S Moyo</t>
  </si>
  <si>
    <t>Dr N Dhemba</t>
  </si>
  <si>
    <t>Mr S Muzviyo</t>
  </si>
  <si>
    <t>Dr E ng Manhuwa</t>
  </si>
  <si>
    <t>Prof T Mushiri</t>
  </si>
  <si>
    <t>Mr R Gorerekufa</t>
  </si>
  <si>
    <t>Mr R Chihota</t>
  </si>
  <si>
    <t>Dr C Mugaga</t>
  </si>
  <si>
    <t>Shingai Badze</t>
  </si>
  <si>
    <t>Speaker /panelist</t>
  </si>
  <si>
    <t>Mr E Chanakira</t>
  </si>
  <si>
    <t xml:space="preserve">Mr Muduva </t>
  </si>
  <si>
    <t>NetOne</t>
  </si>
  <si>
    <t>Mr Takudzwa</t>
  </si>
  <si>
    <t>Ms Rejoice</t>
  </si>
  <si>
    <t>Ms Chelsey</t>
  </si>
  <si>
    <t>Ms Tanatswa</t>
  </si>
  <si>
    <t>Mr Antony</t>
  </si>
  <si>
    <t xml:space="preserve">Mr Ndlovu </t>
  </si>
  <si>
    <t>Cosmas Marevanyika</t>
  </si>
  <si>
    <t>George ZIMUNHU</t>
  </si>
  <si>
    <t>Wellington Chaitezvi</t>
  </si>
  <si>
    <t>Mr W Nyagwande</t>
  </si>
  <si>
    <t>Mr Ncube</t>
  </si>
  <si>
    <t>Mr Euclas Hedegwe</t>
  </si>
  <si>
    <t>Mr Nhemachena</t>
  </si>
  <si>
    <t>Dr T Mapako</t>
  </si>
  <si>
    <t>DRr Msipah</t>
  </si>
  <si>
    <t>Dr Zvirikuzhe</t>
  </si>
  <si>
    <t>Tanyaradzwa  Masara</t>
  </si>
  <si>
    <t>Joram Murumbei</t>
  </si>
  <si>
    <t>Chimoto</t>
  </si>
  <si>
    <t>Maverengo</t>
  </si>
  <si>
    <t>hillary Marufu</t>
  </si>
  <si>
    <t>Mathew T MVENGE</t>
  </si>
  <si>
    <t>Aldrin Muramba</t>
  </si>
  <si>
    <t>Sarah Maguya</t>
  </si>
  <si>
    <t>Juliet Machiwa</t>
  </si>
  <si>
    <t>Initial Sibanda</t>
  </si>
  <si>
    <t>Charles Guvava</t>
  </si>
  <si>
    <t>Nicole Matshiya</t>
  </si>
  <si>
    <t>Forbes Kanogwere</t>
  </si>
  <si>
    <t>Lizzy Kwangwadzai</t>
  </si>
  <si>
    <t>Fortune Sirimoyi</t>
  </si>
  <si>
    <t>Mr W Mupazviribwo</t>
  </si>
  <si>
    <t>Mr Gemu</t>
  </si>
  <si>
    <t>Lloyd Sondai</t>
  </si>
  <si>
    <t>David Humure</t>
  </si>
  <si>
    <t>Shalom Mande</t>
  </si>
  <si>
    <t>Masarurwa</t>
  </si>
  <si>
    <t>Mr Grant</t>
  </si>
  <si>
    <t>z</t>
  </si>
  <si>
    <t xml:space="preserve">Dr G. Machengete </t>
  </si>
  <si>
    <t xml:space="preserve">Dr Ruswa </t>
  </si>
  <si>
    <t>Mr Monti Kgengwenyani</t>
  </si>
  <si>
    <t xml:space="preserve">Nigel Chanakira </t>
  </si>
  <si>
    <t>Chris Mugaga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</si>
</sst>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US$-3009]* #,##0.00_-;\-[$US$-3009]* #,##0.00_-;_-[$US$-3009]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/>
    <xf numFmtId="43" fontId="0" fillId="0" borderId="2" xfId="1" applyFont="1" applyBorder="1"/>
    <xf numFmtId="0" fontId="0" fillId="0" borderId="3" xfId="0" applyBorder="1"/>
    <xf numFmtId="43" fontId="0" fillId="0" borderId="4" xfId="1" applyFont="1" applyBorder="1"/>
    <xf numFmtId="0" fontId="0" fillId="0" borderId="0" xfId="0" applyAlignment="1">
      <alignment horizontal="right"/>
    </xf>
    <xf numFmtId="0" fontId="0" fillId="0" borderId="5" xfId="0" applyBorder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5" xfId="0" applyFont="1" applyBorder="1"/>
    <xf numFmtId="43" fontId="2" fillId="0" borderId="6" xfId="0" applyNumberFormat="1" applyFont="1" applyBorder="1"/>
    <xf numFmtId="43" fontId="0" fillId="0" borderId="6" xfId="1" applyFont="1" applyBorder="1"/>
    <xf numFmtId="43" fontId="2" fillId="0" borderId="6" xfId="1" applyFont="1" applyBorder="1"/>
    <xf numFmtId="43" fontId="2" fillId="0" borderId="4" xfId="1" applyFont="1" applyBorder="1"/>
    <xf numFmtId="0" fontId="0" fillId="0" borderId="2" xfId="0" applyBorder="1"/>
    <xf numFmtId="0" fontId="0" fillId="0" borderId="6" xfId="0" applyBorder="1"/>
    <xf numFmtId="43" fontId="0" fillId="0" borderId="0" xfId="1" applyFont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2" fillId="0" borderId="9" xfId="0" applyFont="1" applyBorder="1"/>
    <xf numFmtId="0" fontId="0" fillId="0" borderId="14" xfId="0" applyBorder="1"/>
    <xf numFmtId="43" fontId="0" fillId="0" borderId="4" xfId="1" applyFont="1" applyFill="1" applyBorder="1"/>
    <xf numFmtId="0" fontId="2" fillId="0" borderId="0" xfId="0" applyFont="1"/>
    <xf numFmtId="43" fontId="2" fillId="0" borderId="0" xfId="0" applyNumberFormat="1" applyFont="1"/>
    <xf numFmtId="164" fontId="0" fillId="0" borderId="0" xfId="0" applyNumberFormat="1"/>
    <xf numFmtId="0" fontId="0" fillId="0" borderId="15" xfId="0" applyBorder="1"/>
    <xf numFmtId="43" fontId="0" fillId="0" borderId="10" xfId="1" applyFont="1" applyBorder="1"/>
    <xf numFmtId="0" fontId="2" fillId="0" borderId="11" xfId="0" applyFont="1" applyBorder="1"/>
    <xf numFmtId="9" fontId="0" fillId="0" borderId="0" xfId="2" applyFont="1"/>
    <xf numFmtId="164" fontId="0" fillId="0" borderId="10" xfId="0" applyNumberFormat="1" applyBorder="1"/>
    <xf numFmtId="43" fontId="2" fillId="0" borderId="7" xfId="1" applyFont="1" applyBorder="1"/>
    <xf numFmtId="0" fontId="2" fillId="0" borderId="18" xfId="0" applyFont="1" applyBorder="1"/>
    <xf numFmtId="0" fontId="4" fillId="0" borderId="8" xfId="0" applyFont="1" applyBorder="1"/>
    <xf numFmtId="0" fontId="3" fillId="0" borderId="24" xfId="0" applyFont="1" applyBorder="1"/>
    <xf numFmtId="0" fontId="3" fillId="0" borderId="23" xfId="0" applyFont="1" applyBorder="1" applyAlignment="1">
      <alignment horizontal="center"/>
    </xf>
    <xf numFmtId="0" fontId="4" fillId="0" borderId="0" xfId="0" applyFont="1"/>
    <xf numFmtId="0" fontId="4" fillId="0" borderId="9" xfId="0" applyFont="1" applyBorder="1"/>
    <xf numFmtId="43" fontId="4" fillId="0" borderId="21" xfId="1" applyFont="1" applyBorder="1" applyAlignment="1">
      <alignment horizontal="right"/>
    </xf>
    <xf numFmtId="43" fontId="4" fillId="0" borderId="21" xfId="1" applyFont="1" applyBorder="1"/>
    <xf numFmtId="0" fontId="4" fillId="0" borderId="11" xfId="0" applyFont="1" applyBorder="1"/>
    <xf numFmtId="43" fontId="4" fillId="0" borderId="22" xfId="1" applyFont="1" applyBorder="1" applyAlignment="1">
      <alignment horizontal="right"/>
    </xf>
    <xf numFmtId="43" fontId="4" fillId="0" borderId="22" xfId="1" applyFont="1" applyBorder="1"/>
    <xf numFmtId="0" fontId="3" fillId="0" borderId="23" xfId="0" applyFont="1" applyBorder="1"/>
    <xf numFmtId="0" fontId="4" fillId="0" borderId="21" xfId="0" applyFont="1" applyBorder="1"/>
    <xf numFmtId="0" fontId="4" fillId="0" borderId="22" xfId="0" applyFont="1" applyBorder="1"/>
    <xf numFmtId="9" fontId="0" fillId="0" borderId="0" xfId="0" applyNumberFormat="1"/>
    <xf numFmtId="43" fontId="0" fillId="0" borderId="0" xfId="0" applyNumberFormat="1"/>
    <xf numFmtId="43" fontId="4" fillId="0" borderId="0" xfId="1" applyFont="1" applyBorder="1" applyAlignment="1">
      <alignment horizontal="right"/>
    </xf>
    <xf numFmtId="43" fontId="4" fillId="0" borderId="10" xfId="1" applyFont="1" applyBorder="1"/>
    <xf numFmtId="9" fontId="4" fillId="0" borderId="0" xfId="1" applyNumberFormat="1" applyFont="1" applyBorder="1" applyAlignment="1">
      <alignment horizontal="right"/>
    </xf>
    <xf numFmtId="0" fontId="4" fillId="0" borderId="25" xfId="0" applyFont="1" applyBorder="1"/>
    <xf numFmtId="0" fontId="3" fillId="0" borderId="9" xfId="0" applyFont="1" applyBorder="1"/>
    <xf numFmtId="43" fontId="3" fillId="0" borderId="0" xfId="1" applyFont="1" applyBorder="1" applyAlignment="1">
      <alignment horizontal="right"/>
    </xf>
    <xf numFmtId="0" fontId="0" fillId="2" borderId="5" xfId="0" applyFill="1" applyBorder="1"/>
    <xf numFmtId="165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65" fontId="0" fillId="0" borderId="0" xfId="0" applyNumberFormat="1"/>
    <xf numFmtId="1" fontId="2" fillId="0" borderId="0" xfId="0" applyNumberFormat="1" applyFont="1"/>
    <xf numFmtId="0" fontId="0" fillId="0" borderId="17" xfId="0" applyBorder="1"/>
    <xf numFmtId="0" fontId="0" fillId="0" borderId="4" xfId="0" applyBorder="1"/>
    <xf numFmtId="0" fontId="0" fillId="0" borderId="27" xfId="0" applyBorder="1"/>
    <xf numFmtId="0" fontId="0" fillId="0" borderId="28" xfId="0" applyBorder="1"/>
    <xf numFmtId="0" fontId="2" fillId="0" borderId="26" xfId="0" applyFont="1" applyBorder="1"/>
    <xf numFmtId="0" fontId="2" fillId="0" borderId="27" xfId="0" applyFont="1" applyBorder="1"/>
    <xf numFmtId="0" fontId="2" fillId="0" borderId="6" xfId="0" applyFont="1" applyBorder="1"/>
    <xf numFmtId="0" fontId="0" fillId="0" borderId="0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0" borderId="0" xfId="0" applyFill="1"/>
    <xf numFmtId="0" fontId="0" fillId="7" borderId="0" xfId="0" applyFill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C839-462D-481A-9166-0F165815FED3}">
  <dimension ref="C1:H141"/>
  <sheetViews>
    <sheetView zoomScale="110" zoomScaleNormal="110" workbookViewId="0">
      <selection activeCell="D19" sqref="D19"/>
    </sheetView>
  </sheetViews>
  <sheetFormatPr defaultRowHeight="14.4" x14ac:dyDescent="0.3"/>
  <cols>
    <col min="3" max="3" width="51.33203125" customWidth="1"/>
    <col min="4" max="4" width="14.33203125" customWidth="1"/>
    <col min="5" max="5" width="11.44140625" customWidth="1"/>
    <col min="6" max="6" width="51.33203125" customWidth="1"/>
    <col min="7" max="7" width="20.6640625" customWidth="1"/>
  </cols>
  <sheetData>
    <row r="1" spans="3:7" x14ac:dyDescent="0.3">
      <c r="C1" t="s">
        <v>43</v>
      </c>
      <c r="F1" t="s">
        <v>44</v>
      </c>
    </row>
    <row r="2" spans="3:7" x14ac:dyDescent="0.3">
      <c r="C2" s="9" t="s">
        <v>34</v>
      </c>
      <c r="D2" s="17"/>
      <c r="F2" s="9" t="s">
        <v>34</v>
      </c>
      <c r="G2" s="17"/>
    </row>
    <row r="3" spans="3:7" x14ac:dyDescent="0.3">
      <c r="C3" s="8" t="s">
        <v>19</v>
      </c>
      <c r="D3" s="18">
        <v>2</v>
      </c>
      <c r="F3" s="8" t="s">
        <v>19</v>
      </c>
      <c r="G3" s="18">
        <v>2</v>
      </c>
    </row>
    <row r="4" spans="3:7" x14ac:dyDescent="0.3">
      <c r="C4" s="8" t="s">
        <v>20</v>
      </c>
      <c r="D4" s="18">
        <v>2</v>
      </c>
      <c r="F4" s="8" t="s">
        <v>20</v>
      </c>
      <c r="G4" s="18">
        <v>2</v>
      </c>
    </row>
    <row r="5" spans="3:7" x14ac:dyDescent="0.3">
      <c r="C5" s="8" t="s">
        <v>0</v>
      </c>
      <c r="D5" s="18">
        <v>40</v>
      </c>
      <c r="F5" s="8" t="s">
        <v>0</v>
      </c>
      <c r="G5" s="18">
        <v>40</v>
      </c>
    </row>
    <row r="6" spans="3:7" x14ac:dyDescent="0.3">
      <c r="C6" s="8" t="s">
        <v>1</v>
      </c>
      <c r="D6" s="18">
        <v>3</v>
      </c>
      <c r="F6" s="8" t="s">
        <v>1</v>
      </c>
      <c r="G6" s="18">
        <v>3</v>
      </c>
    </row>
    <row r="7" spans="3:7" x14ac:dyDescent="0.3">
      <c r="C7" s="8" t="s">
        <v>2</v>
      </c>
      <c r="D7" s="18">
        <v>3</v>
      </c>
      <c r="F7" s="8" t="s">
        <v>2</v>
      </c>
      <c r="G7" s="18">
        <v>3</v>
      </c>
    </row>
    <row r="8" spans="3:7" x14ac:dyDescent="0.3">
      <c r="C8" s="58" t="s">
        <v>3</v>
      </c>
      <c r="D8" s="18">
        <v>83</v>
      </c>
      <c r="F8" s="8" t="s">
        <v>3</v>
      </c>
      <c r="G8" s="18">
        <v>80</v>
      </c>
    </row>
    <row r="9" spans="3:7" x14ac:dyDescent="0.3">
      <c r="C9" s="58" t="s">
        <v>37</v>
      </c>
      <c r="D9" s="18">
        <v>25</v>
      </c>
      <c r="F9" s="8" t="s">
        <v>36</v>
      </c>
      <c r="G9" s="18">
        <v>25</v>
      </c>
    </row>
    <row r="10" spans="3:7" x14ac:dyDescent="0.3">
      <c r="C10" s="8" t="s">
        <v>24</v>
      </c>
      <c r="D10" s="18">
        <v>300</v>
      </c>
      <c r="F10" s="8" t="s">
        <v>24</v>
      </c>
      <c r="G10" s="18">
        <v>300</v>
      </c>
    </row>
    <row r="11" spans="3:7" x14ac:dyDescent="0.3">
      <c r="C11" s="8" t="s">
        <v>25</v>
      </c>
      <c r="D11" s="18">
        <v>450</v>
      </c>
      <c r="F11" s="8" t="s">
        <v>25</v>
      </c>
      <c r="G11" s="18">
        <v>450</v>
      </c>
    </row>
    <row r="12" spans="3:7" x14ac:dyDescent="0.3">
      <c r="C12" s="58" t="s">
        <v>4</v>
      </c>
      <c r="D12" s="18">
        <v>30</v>
      </c>
      <c r="F12" s="8" t="s">
        <v>4</v>
      </c>
      <c r="G12" s="18">
        <v>30</v>
      </c>
    </row>
    <row r="13" spans="3:7" x14ac:dyDescent="0.3">
      <c r="C13" s="8" t="s">
        <v>5</v>
      </c>
      <c r="D13" s="18">
        <v>200</v>
      </c>
      <c r="F13" s="8" t="s">
        <v>5</v>
      </c>
      <c r="G13" s="18">
        <v>200</v>
      </c>
    </row>
    <row r="14" spans="3:7" x14ac:dyDescent="0.3">
      <c r="C14" s="8" t="s">
        <v>6</v>
      </c>
      <c r="D14" s="18">
        <v>500</v>
      </c>
      <c r="F14" s="8" t="s">
        <v>6</v>
      </c>
      <c r="G14" s="18">
        <v>500</v>
      </c>
    </row>
    <row r="15" spans="3:7" x14ac:dyDescent="0.3">
      <c r="C15" s="8" t="s">
        <v>90</v>
      </c>
      <c r="D15" s="18">
        <v>0</v>
      </c>
      <c r="F15" s="8" t="s">
        <v>91</v>
      </c>
      <c r="G15" s="18">
        <v>0</v>
      </c>
    </row>
    <row r="16" spans="3:7" x14ac:dyDescent="0.3">
      <c r="C16" s="8" t="s">
        <v>10</v>
      </c>
      <c r="D16" s="18">
        <v>250</v>
      </c>
      <c r="F16" s="8" t="s">
        <v>10</v>
      </c>
      <c r="G16" s="18">
        <v>250</v>
      </c>
    </row>
    <row r="17" spans="3:7" x14ac:dyDescent="0.3">
      <c r="C17" s="8" t="s">
        <v>17</v>
      </c>
      <c r="D17" s="18">
        <v>1</v>
      </c>
      <c r="F17" s="8" t="s">
        <v>17</v>
      </c>
      <c r="G17" s="18">
        <v>1</v>
      </c>
    </row>
    <row r="18" spans="3:7" x14ac:dyDescent="0.3">
      <c r="C18" s="58" t="s">
        <v>18</v>
      </c>
      <c r="D18" s="18">
        <v>300</v>
      </c>
      <c r="F18" s="8" t="s">
        <v>18</v>
      </c>
      <c r="G18" s="18">
        <v>300</v>
      </c>
    </row>
    <row r="19" spans="3:7" x14ac:dyDescent="0.3">
      <c r="C19" s="8" t="s">
        <v>16</v>
      </c>
      <c r="D19" s="18">
        <v>12</v>
      </c>
      <c r="F19" s="8" t="s">
        <v>16</v>
      </c>
      <c r="G19" s="18">
        <v>12</v>
      </c>
    </row>
    <row r="20" spans="3:7" x14ac:dyDescent="0.3">
      <c r="C20" s="8" t="s">
        <v>38</v>
      </c>
      <c r="D20" s="18">
        <v>0</v>
      </c>
      <c r="F20" s="8" t="s">
        <v>38</v>
      </c>
      <c r="G20" s="18">
        <v>0</v>
      </c>
    </row>
    <row r="21" spans="3:7" x14ac:dyDescent="0.3">
      <c r="C21" s="8" t="s">
        <v>14</v>
      </c>
      <c r="D21" s="18">
        <v>1</v>
      </c>
      <c r="F21" s="8" t="s">
        <v>14</v>
      </c>
      <c r="G21" s="18">
        <v>1</v>
      </c>
    </row>
    <row r="22" spans="3:7" x14ac:dyDescent="0.3">
      <c r="C22" s="58" t="s">
        <v>13</v>
      </c>
      <c r="D22" s="18">
        <v>200</v>
      </c>
      <c r="F22" s="8" t="s">
        <v>13</v>
      </c>
      <c r="G22" s="18">
        <v>200</v>
      </c>
    </row>
    <row r="23" spans="3:7" x14ac:dyDescent="0.3">
      <c r="C23" s="58" t="s">
        <v>12</v>
      </c>
      <c r="D23" s="18">
        <v>30</v>
      </c>
      <c r="F23" s="8" t="s">
        <v>12</v>
      </c>
      <c r="G23" s="18">
        <v>30</v>
      </c>
    </row>
    <row r="24" spans="3:7" x14ac:dyDescent="0.3">
      <c r="C24" s="8" t="s">
        <v>35</v>
      </c>
      <c r="D24" s="18">
        <v>500</v>
      </c>
      <c r="F24" s="8" t="s">
        <v>35</v>
      </c>
      <c r="G24" s="18">
        <v>500</v>
      </c>
    </row>
    <row r="25" spans="3:7" x14ac:dyDescent="0.3">
      <c r="C25" s="5" t="s">
        <v>26</v>
      </c>
      <c r="D25" s="26">
        <f>+D5+D6+D7+D17+D19+D20</f>
        <v>59</v>
      </c>
      <c r="F25" s="5" t="s">
        <v>85</v>
      </c>
      <c r="G25" s="26">
        <f>+G5+G6+G7+G17+G19+G20</f>
        <v>59</v>
      </c>
    </row>
    <row r="27" spans="3:7" x14ac:dyDescent="0.3">
      <c r="D27" s="7" t="s">
        <v>39</v>
      </c>
      <c r="G27" s="7" t="s">
        <v>39</v>
      </c>
    </row>
    <row r="28" spans="3:7" x14ac:dyDescent="0.3">
      <c r="C28" s="3" t="s">
        <v>7</v>
      </c>
      <c r="D28" s="4">
        <f>+D34*D76*D80+D77*D34*D81+D34*D82*D78</f>
        <v>26778</v>
      </c>
      <c r="F28" s="3" t="s">
        <v>7</v>
      </c>
      <c r="G28" s="4">
        <f>+G34*G76*G80+G77*G34*G81+G34*G82*G78</f>
        <v>26778</v>
      </c>
    </row>
    <row r="29" spans="3:7" x14ac:dyDescent="0.3">
      <c r="C29" s="8" t="s">
        <v>8</v>
      </c>
      <c r="D29" s="14">
        <v>7500</v>
      </c>
      <c r="F29" s="8" t="s">
        <v>8</v>
      </c>
      <c r="G29" s="14">
        <v>0</v>
      </c>
    </row>
    <row r="30" spans="3:7" x14ac:dyDescent="0.3">
      <c r="C30" s="8" t="s">
        <v>111</v>
      </c>
      <c r="D30" s="14">
        <v>3000</v>
      </c>
      <c r="F30" s="8"/>
      <c r="G30" s="14"/>
    </row>
    <row r="31" spans="3:7" x14ac:dyDescent="0.3">
      <c r="C31" s="5" t="s">
        <v>9</v>
      </c>
      <c r="D31" s="16">
        <f>SUM(D28:D30)</f>
        <v>37278</v>
      </c>
      <c r="F31" s="5" t="s">
        <v>9</v>
      </c>
      <c r="G31" s="16">
        <f>SUM(G28:G29)</f>
        <v>26778</v>
      </c>
    </row>
    <row r="33" spans="3:7" x14ac:dyDescent="0.3">
      <c r="C33" s="9" t="s">
        <v>26</v>
      </c>
      <c r="D33" s="10">
        <f>SUM(D34:D35)</f>
        <v>59</v>
      </c>
      <c r="E33" s="1"/>
      <c r="F33" s="9" t="s">
        <v>26</v>
      </c>
      <c r="G33" s="10">
        <f>SUM(G34:G35)</f>
        <v>59</v>
      </c>
    </row>
    <row r="34" spans="3:7" x14ac:dyDescent="0.3">
      <c r="C34" s="8" t="s">
        <v>22</v>
      </c>
      <c r="D34" s="11">
        <f>+D5</f>
        <v>40</v>
      </c>
      <c r="E34" s="2"/>
      <c r="F34" s="8" t="s">
        <v>22</v>
      </c>
      <c r="G34" s="11">
        <f>+G5</f>
        <v>40</v>
      </c>
    </row>
    <row r="35" spans="3:7" x14ac:dyDescent="0.3">
      <c r="C35" s="8" t="s">
        <v>21</v>
      </c>
      <c r="D35" s="11">
        <f>+D6+D7+D19+D20+D21</f>
        <v>19</v>
      </c>
      <c r="F35" s="8" t="s">
        <v>21</v>
      </c>
      <c r="G35" s="11">
        <f>+G6+G7+G19+G20+G21</f>
        <v>19</v>
      </c>
    </row>
    <row r="36" spans="3:7" x14ac:dyDescent="0.3">
      <c r="C36" s="8"/>
      <c r="D36" s="11"/>
      <c r="F36" s="8"/>
      <c r="G36" s="11"/>
    </row>
    <row r="37" spans="3:7" x14ac:dyDescent="0.3">
      <c r="C37" s="12" t="s">
        <v>42</v>
      </c>
      <c r="D37" s="13">
        <f>SUM(D38:D42)</f>
        <v>11913</v>
      </c>
      <c r="F37" s="12" t="s">
        <v>42</v>
      </c>
      <c r="G37" s="13">
        <f>SUM(G38:G42)</f>
        <v>11685</v>
      </c>
    </row>
    <row r="38" spans="3:7" x14ac:dyDescent="0.3">
      <c r="C38" s="8" t="s">
        <v>27</v>
      </c>
      <c r="D38" s="14">
        <f>+D34*D8</f>
        <v>3320</v>
      </c>
      <c r="F38" s="8" t="s">
        <v>27</v>
      </c>
      <c r="G38" s="14">
        <f>+G34*G8</f>
        <v>3200</v>
      </c>
    </row>
    <row r="39" spans="3:7" x14ac:dyDescent="0.3">
      <c r="C39" s="8" t="s">
        <v>28</v>
      </c>
      <c r="D39" s="14">
        <f>+(D20+D19)*D8*D4</f>
        <v>1992</v>
      </c>
      <c r="F39" s="8" t="s">
        <v>28</v>
      </c>
      <c r="G39" s="14">
        <f>+(G20+G19)*G8*G4</f>
        <v>1920</v>
      </c>
    </row>
    <row r="40" spans="3:7" x14ac:dyDescent="0.3">
      <c r="C40" s="8" t="s">
        <v>23</v>
      </c>
      <c r="D40" s="14">
        <f>+(D7+D6)*D8*D4</f>
        <v>996</v>
      </c>
      <c r="F40" s="8" t="s">
        <v>23</v>
      </c>
      <c r="G40" s="14">
        <f>+(G7+G6)*G8*G4</f>
        <v>960</v>
      </c>
    </row>
    <row r="41" spans="3:7" x14ac:dyDescent="0.3">
      <c r="C41" s="8" t="s">
        <v>36</v>
      </c>
      <c r="D41" s="14">
        <f>+D9*D33*D4</f>
        <v>2950</v>
      </c>
      <c r="F41" s="8" t="s">
        <v>36</v>
      </c>
      <c r="G41" s="14">
        <f>+G9*G33*G4</f>
        <v>2950</v>
      </c>
    </row>
    <row r="42" spans="3:7" x14ac:dyDescent="0.3">
      <c r="C42" s="8" t="s">
        <v>15</v>
      </c>
      <c r="D42" s="14">
        <f>+D12*D33*1.5</f>
        <v>2655</v>
      </c>
      <c r="F42" s="8" t="s">
        <v>15</v>
      </c>
      <c r="G42" s="14">
        <f>+G12*G33*1.5</f>
        <v>2655</v>
      </c>
    </row>
    <row r="43" spans="3:7" x14ac:dyDescent="0.3">
      <c r="C43" s="8"/>
      <c r="D43" s="14"/>
      <c r="F43" s="8"/>
      <c r="G43" s="14"/>
    </row>
    <row r="44" spans="3:7" x14ac:dyDescent="0.3">
      <c r="C44" s="12" t="s">
        <v>40</v>
      </c>
      <c r="D44" s="15">
        <f>SUM(D45:D52)</f>
        <v>6970</v>
      </c>
      <c r="F44" s="12" t="s">
        <v>40</v>
      </c>
      <c r="G44" s="15">
        <f>SUM(G45:G52)</f>
        <v>6970</v>
      </c>
    </row>
    <row r="45" spans="3:7" x14ac:dyDescent="0.3">
      <c r="C45" s="8" t="s">
        <v>6</v>
      </c>
      <c r="D45" s="14">
        <f>+D14</f>
        <v>500</v>
      </c>
      <c r="F45" s="8" t="s">
        <v>6</v>
      </c>
      <c r="G45" s="14">
        <f>+G14</f>
        <v>500</v>
      </c>
    </row>
    <row r="46" spans="3:7" x14ac:dyDescent="0.3">
      <c r="C46" s="8" t="s">
        <v>5</v>
      </c>
      <c r="D46" s="14">
        <f>+D13*D3</f>
        <v>400</v>
      </c>
      <c r="F46" s="8" t="s">
        <v>5</v>
      </c>
      <c r="G46" s="14">
        <f>+G13*G3</f>
        <v>400</v>
      </c>
    </row>
    <row r="47" spans="3:7" x14ac:dyDescent="0.3">
      <c r="C47" s="8" t="s">
        <v>29</v>
      </c>
      <c r="D47" s="14">
        <v>0</v>
      </c>
      <c r="F47" s="8" t="s">
        <v>29</v>
      </c>
      <c r="G47" s="14">
        <v>0</v>
      </c>
    </row>
    <row r="48" spans="3:7" x14ac:dyDescent="0.3">
      <c r="C48" s="8" t="s">
        <v>11</v>
      </c>
      <c r="D48" s="14">
        <f>+D33*D23</f>
        <v>1770</v>
      </c>
      <c r="F48" s="8" t="s">
        <v>11</v>
      </c>
      <c r="G48" s="14">
        <f>+G33*G23</f>
        <v>1770</v>
      </c>
    </row>
    <row r="49" spans="3:8" x14ac:dyDescent="0.3">
      <c r="C49" s="8" t="s">
        <v>30</v>
      </c>
      <c r="D49" s="14">
        <f>+(D19*D16)+D17*D18</f>
        <v>3300</v>
      </c>
      <c r="F49" s="8" t="s">
        <v>30</v>
      </c>
      <c r="G49" s="14">
        <f>+(G19*G16)+G17*G18</f>
        <v>3300</v>
      </c>
    </row>
    <row r="50" spans="3:8" x14ac:dyDescent="0.3">
      <c r="C50" s="8" t="s">
        <v>35</v>
      </c>
      <c r="D50" s="14">
        <f>+D24</f>
        <v>500</v>
      </c>
      <c r="F50" s="8" t="s">
        <v>35</v>
      </c>
      <c r="G50" s="14">
        <f>+G24</f>
        <v>500</v>
      </c>
    </row>
    <row r="51" spans="3:8" x14ac:dyDescent="0.3">
      <c r="C51" s="8" t="s">
        <v>18</v>
      </c>
      <c r="D51" s="14">
        <f>+D18</f>
        <v>300</v>
      </c>
      <c r="F51" s="8" t="s">
        <v>18</v>
      </c>
      <c r="G51" s="14">
        <v>300</v>
      </c>
    </row>
    <row r="52" spans="3:8" x14ac:dyDescent="0.3">
      <c r="C52" s="8" t="s">
        <v>31</v>
      </c>
      <c r="D52" s="14">
        <f>+D22*D21</f>
        <v>200</v>
      </c>
      <c r="F52" s="8" t="s">
        <v>31</v>
      </c>
      <c r="G52" s="14">
        <f>+G22*G21</f>
        <v>200</v>
      </c>
    </row>
    <row r="53" spans="3:8" x14ac:dyDescent="0.3">
      <c r="C53" s="8"/>
      <c r="D53" s="14"/>
      <c r="F53" s="8"/>
      <c r="G53" s="14"/>
    </row>
    <row r="54" spans="3:8" x14ac:dyDescent="0.3">
      <c r="C54" s="12" t="s">
        <v>41</v>
      </c>
      <c r="D54" s="15">
        <f>SUM(D55:D56)</f>
        <v>0</v>
      </c>
      <c r="F54" s="12" t="s">
        <v>41</v>
      </c>
      <c r="G54" s="15">
        <f>SUM(G55:G56)</f>
        <v>0</v>
      </c>
    </row>
    <row r="55" spans="3:8" x14ac:dyDescent="0.3">
      <c r="C55" s="8" t="s">
        <v>32</v>
      </c>
      <c r="D55" s="14">
        <v>0</v>
      </c>
      <c r="F55" s="8" t="s">
        <v>32</v>
      </c>
      <c r="G55" s="14">
        <v>0</v>
      </c>
    </row>
    <row r="56" spans="3:8" x14ac:dyDescent="0.3">
      <c r="C56" s="5" t="s">
        <v>33</v>
      </c>
      <c r="D56" s="6">
        <f>+D20*D11</f>
        <v>0</v>
      </c>
      <c r="F56" s="5" t="s">
        <v>33</v>
      </c>
      <c r="G56" s="6">
        <f>+G20*G11</f>
        <v>0</v>
      </c>
    </row>
    <row r="57" spans="3:8" x14ac:dyDescent="0.3">
      <c r="C57" s="8" t="s">
        <v>52</v>
      </c>
      <c r="D57" s="19">
        <f>+D54+D44+D37</f>
        <v>18883</v>
      </c>
      <c r="F57" s="8" t="s">
        <v>52</v>
      </c>
      <c r="G57" s="19">
        <f>+G54+G44+G37</f>
        <v>18655</v>
      </c>
    </row>
    <row r="58" spans="3:8" x14ac:dyDescent="0.3">
      <c r="C58" s="8" t="s">
        <v>54</v>
      </c>
      <c r="D58" s="19">
        <f>+D57/D34</f>
        <v>472.07499999999999</v>
      </c>
      <c r="F58" s="8" t="s">
        <v>54</v>
      </c>
      <c r="G58" s="19">
        <f>+G57/G34</f>
        <v>466.375</v>
      </c>
    </row>
    <row r="59" spans="3:8" x14ac:dyDescent="0.3">
      <c r="C59" s="8" t="s">
        <v>53</v>
      </c>
      <c r="D59" s="19">
        <v>40</v>
      </c>
      <c r="F59" s="8" t="s">
        <v>53</v>
      </c>
      <c r="G59" s="19">
        <v>40</v>
      </c>
    </row>
    <row r="60" spans="3:8" x14ac:dyDescent="0.3">
      <c r="C60" s="3" t="s">
        <v>55</v>
      </c>
      <c r="D60" s="4">
        <f>+D59+D58</f>
        <v>512.07500000000005</v>
      </c>
      <c r="F60" s="3" t="s">
        <v>55</v>
      </c>
      <c r="G60" s="4">
        <f>+G59+G58</f>
        <v>506.375</v>
      </c>
    </row>
    <row r="61" spans="3:8" x14ac:dyDescent="0.3">
      <c r="C61" s="8" t="s">
        <v>57</v>
      </c>
      <c r="D61" s="14">
        <v>765</v>
      </c>
      <c r="F61" s="8" t="s">
        <v>57</v>
      </c>
      <c r="G61" s="14">
        <v>765</v>
      </c>
    </row>
    <row r="62" spans="3:8" x14ac:dyDescent="0.3">
      <c r="C62" s="8" t="s">
        <v>56</v>
      </c>
      <c r="D62" s="14">
        <f>+D61-D60</f>
        <v>252.92499999999995</v>
      </c>
      <c r="E62" s="33">
        <f>+D62/D60</f>
        <v>0.49392178880046855</v>
      </c>
      <c r="F62" s="8" t="s">
        <v>56</v>
      </c>
      <c r="G62" s="14">
        <f>+G61-G60</f>
        <v>258.625</v>
      </c>
      <c r="H62" s="33">
        <f>+G62/G60</f>
        <v>0.51073808936065168</v>
      </c>
    </row>
    <row r="63" spans="3:8" x14ac:dyDescent="0.3">
      <c r="C63" s="5" t="s">
        <v>58</v>
      </c>
      <c r="D63" s="6">
        <f>+D62*D5</f>
        <v>10116.999999999998</v>
      </c>
      <c r="F63" s="5" t="s">
        <v>58</v>
      </c>
      <c r="G63" s="6">
        <f>+G62*G5</f>
        <v>10345</v>
      </c>
    </row>
    <row r="64" spans="3:8" x14ac:dyDescent="0.3">
      <c r="C64" s="3" t="s">
        <v>67</v>
      </c>
      <c r="D64" s="4">
        <f>+D58</f>
        <v>472.07499999999999</v>
      </c>
      <c r="F64" s="3" t="s">
        <v>67</v>
      </c>
      <c r="G64" s="4">
        <f>+G58</f>
        <v>466.375</v>
      </c>
    </row>
    <row r="65" spans="3:8" x14ac:dyDescent="0.3">
      <c r="C65" s="8" t="s">
        <v>68</v>
      </c>
      <c r="D65" s="14">
        <v>720</v>
      </c>
      <c r="F65" s="8" t="s">
        <v>68</v>
      </c>
      <c r="G65" s="14">
        <v>720</v>
      </c>
    </row>
    <row r="66" spans="3:8" x14ac:dyDescent="0.3">
      <c r="C66" s="8" t="s">
        <v>69</v>
      </c>
      <c r="D66" s="14">
        <f>+D65-D64</f>
        <v>247.92500000000001</v>
      </c>
      <c r="E66" s="33">
        <f>+D66/D64</f>
        <v>0.52518138007731829</v>
      </c>
      <c r="F66" s="8" t="s">
        <v>69</v>
      </c>
      <c r="G66" s="14">
        <f>+G65-G64</f>
        <v>253.625</v>
      </c>
      <c r="H66" s="33">
        <f>+G66/G64</f>
        <v>0.54382203162690967</v>
      </c>
    </row>
    <row r="67" spans="3:8" x14ac:dyDescent="0.3">
      <c r="C67" s="5" t="s">
        <v>70</v>
      </c>
      <c r="D67" s="6">
        <f>+D66*D5</f>
        <v>9917</v>
      </c>
      <c r="F67" s="5" t="s">
        <v>70</v>
      </c>
      <c r="G67" s="6">
        <f>+G66*G5</f>
        <v>10145</v>
      </c>
    </row>
    <row r="68" spans="3:8" x14ac:dyDescent="0.3">
      <c r="C68" s="3" t="s">
        <v>66</v>
      </c>
      <c r="D68" s="4">
        <f>+(D54+D44+D37-D38)/D34</f>
        <v>389.07499999999999</v>
      </c>
      <c r="F68" s="3" t="s">
        <v>66</v>
      </c>
      <c r="G68" s="4">
        <f>+(G54+G44+G37-G38)/G34</f>
        <v>386.375</v>
      </c>
    </row>
    <row r="69" spans="3:8" x14ac:dyDescent="0.3">
      <c r="C69" s="8" t="s">
        <v>65</v>
      </c>
      <c r="D69" s="14">
        <v>570</v>
      </c>
      <c r="F69" s="8" t="s">
        <v>65</v>
      </c>
      <c r="G69" s="14">
        <v>570</v>
      </c>
    </row>
    <row r="70" spans="3:8" x14ac:dyDescent="0.3">
      <c r="C70" s="8" t="s">
        <v>64</v>
      </c>
      <c r="D70" s="14">
        <f>+D69-D68</f>
        <v>180.92500000000001</v>
      </c>
      <c r="E70" s="33">
        <f>+D70/D68</f>
        <v>0.46501317226755773</v>
      </c>
      <c r="F70" s="8" t="s">
        <v>64</v>
      </c>
      <c r="G70" s="14">
        <f>+G69-G68</f>
        <v>183.625</v>
      </c>
      <c r="H70" s="33">
        <f>+G70/G68</f>
        <v>0.47525072791976708</v>
      </c>
    </row>
    <row r="71" spans="3:8" x14ac:dyDescent="0.3">
      <c r="C71" s="5" t="s">
        <v>63</v>
      </c>
      <c r="D71" s="6">
        <f>+D70*D9</f>
        <v>4523.125</v>
      </c>
      <c r="F71" s="5" t="s">
        <v>63</v>
      </c>
      <c r="G71" s="6">
        <f>+G70*G9</f>
        <v>4590.625</v>
      </c>
    </row>
    <row r="73" spans="3:8" ht="15" thickBot="1" x14ac:dyDescent="0.35">
      <c r="C73" s="27"/>
      <c r="D73" s="28"/>
      <c r="F73" s="27"/>
      <c r="G73" s="28"/>
    </row>
    <row r="74" spans="3:8" ht="16.2" thickBot="1" x14ac:dyDescent="0.35">
      <c r="C74" s="82" t="s">
        <v>75</v>
      </c>
      <c r="D74" s="83"/>
      <c r="E74" s="37"/>
      <c r="F74" s="82" t="s">
        <v>78</v>
      </c>
      <c r="G74" s="83"/>
    </row>
    <row r="75" spans="3:8" ht="15.6" x14ac:dyDescent="0.3">
      <c r="C75" s="47" t="s">
        <v>76</v>
      </c>
      <c r="D75" s="39" t="s">
        <v>71</v>
      </c>
      <c r="E75" s="40"/>
      <c r="F75" s="38" t="s">
        <v>77</v>
      </c>
      <c r="G75" s="39" t="s">
        <v>72</v>
      </c>
    </row>
    <row r="76" spans="3:8" ht="15.6" x14ac:dyDescent="0.3">
      <c r="C76" s="48" t="s">
        <v>73</v>
      </c>
      <c r="D76" s="42">
        <f>+D61</f>
        <v>765</v>
      </c>
      <c r="E76" s="40"/>
      <c r="F76" s="41" t="s">
        <v>73</v>
      </c>
      <c r="G76" s="43">
        <f>+G61</f>
        <v>765</v>
      </c>
    </row>
    <row r="77" spans="3:8" ht="15.6" x14ac:dyDescent="0.3">
      <c r="C77" s="48" t="s">
        <v>74</v>
      </c>
      <c r="D77" s="42">
        <f>+D65</f>
        <v>720</v>
      </c>
      <c r="E77" s="40"/>
      <c r="F77" s="41" t="s">
        <v>74</v>
      </c>
      <c r="G77" s="43">
        <f>+G65</f>
        <v>720</v>
      </c>
    </row>
    <row r="78" spans="3:8" ht="16.2" thickBot="1" x14ac:dyDescent="0.35">
      <c r="C78" s="49" t="s">
        <v>61</v>
      </c>
      <c r="D78" s="45">
        <f>+D69</f>
        <v>570</v>
      </c>
      <c r="E78" s="40"/>
      <c r="F78" s="44" t="s">
        <v>62</v>
      </c>
      <c r="G78" s="46">
        <f>+G69</f>
        <v>570</v>
      </c>
    </row>
    <row r="79" spans="3:8" ht="15.6" x14ac:dyDescent="0.3">
      <c r="C79" s="55"/>
      <c r="D79" s="52"/>
      <c r="E79" s="40"/>
      <c r="F79" s="40"/>
      <c r="G79" s="53"/>
    </row>
    <row r="80" spans="3:8" ht="15.6" x14ac:dyDescent="0.3">
      <c r="C80" s="41" t="s">
        <v>87</v>
      </c>
      <c r="D80" s="54">
        <v>0.01</v>
      </c>
      <c r="E80" s="40"/>
      <c r="F80" s="41" t="s">
        <v>87</v>
      </c>
      <c r="G80" s="54">
        <v>0.01</v>
      </c>
    </row>
    <row r="81" spans="3:7" ht="15.6" x14ac:dyDescent="0.3">
      <c r="C81" s="41" t="s">
        <v>88</v>
      </c>
      <c r="D81" s="54">
        <v>0.65</v>
      </c>
      <c r="E81" s="40"/>
      <c r="F81" s="41" t="s">
        <v>88</v>
      </c>
      <c r="G81" s="54">
        <v>0.65</v>
      </c>
    </row>
    <row r="82" spans="3:7" ht="15.6" x14ac:dyDescent="0.3">
      <c r="C82" s="41" t="s">
        <v>92</v>
      </c>
      <c r="D82" s="54">
        <v>0.34</v>
      </c>
      <c r="E82" s="40"/>
      <c r="F82" s="41" t="s">
        <v>92</v>
      </c>
      <c r="G82" s="54">
        <v>0.34</v>
      </c>
    </row>
    <row r="83" spans="3:7" ht="15.6" x14ac:dyDescent="0.3">
      <c r="C83" s="56" t="s">
        <v>89</v>
      </c>
      <c r="D83" s="52"/>
      <c r="E83" s="40"/>
      <c r="F83" s="40"/>
      <c r="G83" s="53"/>
    </row>
    <row r="84" spans="3:7" ht="15.6" x14ac:dyDescent="0.3">
      <c r="C84" s="25" t="s">
        <v>59</v>
      </c>
      <c r="D84" s="52">
        <f>+D31</f>
        <v>37278</v>
      </c>
      <c r="E84" s="40"/>
      <c r="F84" s="40"/>
      <c r="G84" s="53"/>
    </row>
    <row r="85" spans="3:7" ht="15.6" x14ac:dyDescent="0.3">
      <c r="C85" s="20" t="s">
        <v>60</v>
      </c>
      <c r="D85" s="52">
        <f>+G31</f>
        <v>26778</v>
      </c>
      <c r="E85" s="40"/>
      <c r="F85" s="40"/>
      <c r="G85" s="53"/>
    </row>
    <row r="86" spans="3:7" ht="15.6" x14ac:dyDescent="0.3">
      <c r="C86" s="56" t="s">
        <v>86</v>
      </c>
      <c r="D86" s="57">
        <f>SUM(D84:D85)</f>
        <v>64056</v>
      </c>
      <c r="E86" s="40"/>
      <c r="F86" s="40"/>
      <c r="G86" s="53"/>
    </row>
    <row r="87" spans="3:7" ht="15.6" x14ac:dyDescent="0.3">
      <c r="C87" s="41"/>
      <c r="D87" s="52"/>
      <c r="E87" s="40"/>
      <c r="F87" s="40"/>
      <c r="G87" s="53"/>
    </row>
    <row r="88" spans="3:7" ht="15.6" x14ac:dyDescent="0.3">
      <c r="C88" s="56" t="s">
        <v>83</v>
      </c>
      <c r="D88" s="52"/>
      <c r="E88" s="40"/>
      <c r="F88" s="40"/>
      <c r="G88" s="53"/>
    </row>
    <row r="89" spans="3:7" ht="15.6" x14ac:dyDescent="0.3">
      <c r="C89" s="25" t="s">
        <v>59</v>
      </c>
      <c r="D89" s="52">
        <f>+D37+D44+D54</f>
        <v>18883</v>
      </c>
      <c r="E89" s="40"/>
      <c r="F89" s="40"/>
      <c r="G89" s="53"/>
    </row>
    <row r="90" spans="3:7" ht="15.6" x14ac:dyDescent="0.3">
      <c r="C90" s="20" t="s">
        <v>60</v>
      </c>
      <c r="D90" s="52">
        <f>+G37+G44+G54</f>
        <v>18655</v>
      </c>
      <c r="E90" s="40"/>
      <c r="F90" s="40"/>
      <c r="G90" s="53"/>
    </row>
    <row r="91" spans="3:7" ht="15.6" x14ac:dyDescent="0.3">
      <c r="C91" s="56" t="s">
        <v>86</v>
      </c>
      <c r="D91" s="57">
        <f>SUM(D89:D90)</f>
        <v>37538</v>
      </c>
      <c r="E91" s="40"/>
      <c r="F91" s="40"/>
      <c r="G91" s="53"/>
    </row>
    <row r="92" spans="3:7" ht="15.6" x14ac:dyDescent="0.3">
      <c r="C92" s="41"/>
      <c r="D92" s="52"/>
      <c r="E92" s="40"/>
      <c r="F92" s="40"/>
      <c r="G92" s="53"/>
    </row>
    <row r="93" spans="3:7" ht="15.6" x14ac:dyDescent="0.3">
      <c r="C93" s="41" t="s">
        <v>84</v>
      </c>
      <c r="D93" s="52">
        <f>+D86-D91</f>
        <v>26518</v>
      </c>
      <c r="E93" s="40"/>
      <c r="F93" s="40"/>
      <c r="G93" s="53"/>
    </row>
    <row r="94" spans="3:7" x14ac:dyDescent="0.3">
      <c r="C94" s="20"/>
      <c r="E94" s="29"/>
      <c r="G94" s="34"/>
    </row>
    <row r="95" spans="3:7" x14ac:dyDescent="0.3">
      <c r="C95" s="25" t="s">
        <v>59</v>
      </c>
      <c r="D95" s="4">
        <f>+D93/2</f>
        <v>13259</v>
      </c>
      <c r="G95" s="31"/>
    </row>
    <row r="96" spans="3:7" x14ac:dyDescent="0.3">
      <c r="C96" s="30" t="s">
        <v>60</v>
      </c>
      <c r="D96" s="6">
        <f>+D93/2</f>
        <v>13259</v>
      </c>
      <c r="G96" s="31"/>
    </row>
    <row r="97" spans="3:7" x14ac:dyDescent="0.3">
      <c r="C97" s="36" t="s">
        <v>58</v>
      </c>
      <c r="D97" s="35">
        <f>SUM(D95:D96)</f>
        <v>26518</v>
      </c>
      <c r="G97" s="31"/>
    </row>
    <row r="98" spans="3:7" x14ac:dyDescent="0.3">
      <c r="C98" s="20"/>
      <c r="D98" s="19"/>
      <c r="G98" s="31"/>
    </row>
    <row r="99" spans="3:7" x14ac:dyDescent="0.3">
      <c r="C99" s="20"/>
      <c r="G99" s="21"/>
    </row>
    <row r="100" spans="3:7" x14ac:dyDescent="0.3">
      <c r="C100" s="24" t="s">
        <v>50</v>
      </c>
      <c r="D100" s="27" t="s">
        <v>45</v>
      </c>
      <c r="G100" s="21"/>
    </row>
    <row r="101" spans="3:7" x14ac:dyDescent="0.3">
      <c r="C101" s="20" t="s">
        <v>46</v>
      </c>
      <c r="D101" t="s">
        <v>47</v>
      </c>
      <c r="E101" s="51"/>
      <c r="G101" s="21"/>
    </row>
    <row r="102" spans="3:7" x14ac:dyDescent="0.3">
      <c r="C102" s="20" t="s">
        <v>48</v>
      </c>
      <c r="D102" t="s">
        <v>49</v>
      </c>
      <c r="E102" s="51"/>
      <c r="G102" s="21"/>
    </row>
    <row r="103" spans="3:7" x14ac:dyDescent="0.3">
      <c r="C103" s="20"/>
      <c r="G103" s="21"/>
    </row>
    <row r="104" spans="3:7" ht="15" thickBot="1" x14ac:dyDescent="0.35">
      <c r="C104" s="32" t="s">
        <v>51</v>
      </c>
      <c r="D104" s="22"/>
      <c r="E104" s="22"/>
      <c r="F104" s="22"/>
      <c r="G104" s="23"/>
    </row>
    <row r="107" spans="3:7" x14ac:dyDescent="0.3">
      <c r="C107" t="s">
        <v>93</v>
      </c>
      <c r="D107" s="60">
        <v>1</v>
      </c>
    </row>
    <row r="108" spans="3:7" x14ac:dyDescent="0.3">
      <c r="C108" t="s">
        <v>94</v>
      </c>
      <c r="D108" s="61">
        <v>3</v>
      </c>
    </row>
    <row r="109" spans="3:7" x14ac:dyDescent="0.3">
      <c r="C109" t="s">
        <v>95</v>
      </c>
      <c r="D109" s="61">
        <v>6</v>
      </c>
    </row>
    <row r="110" spans="3:7" x14ac:dyDescent="0.3">
      <c r="C110" t="s">
        <v>96</v>
      </c>
      <c r="D110" s="61">
        <v>3</v>
      </c>
    </row>
    <row r="111" spans="3:7" x14ac:dyDescent="0.3">
      <c r="C111" t="s">
        <v>97</v>
      </c>
      <c r="D111" s="61">
        <v>1</v>
      </c>
    </row>
    <row r="112" spans="3:7" x14ac:dyDescent="0.3">
      <c r="C112" t="s">
        <v>110</v>
      </c>
      <c r="D112" s="61">
        <v>0</v>
      </c>
    </row>
    <row r="113" spans="3:4" x14ac:dyDescent="0.3">
      <c r="C113" t="s">
        <v>98</v>
      </c>
      <c r="D113" s="59">
        <v>1</v>
      </c>
    </row>
    <row r="114" spans="3:4" x14ac:dyDescent="0.3">
      <c r="C114" t="s">
        <v>99</v>
      </c>
      <c r="D114" s="62">
        <v>2</v>
      </c>
    </row>
    <row r="115" spans="3:4" x14ac:dyDescent="0.3">
      <c r="C115" t="s">
        <v>100</v>
      </c>
      <c r="D115" s="62">
        <v>2</v>
      </c>
    </row>
    <row r="116" spans="3:4" x14ac:dyDescent="0.3">
      <c r="C116" t="s">
        <v>101</v>
      </c>
      <c r="D116" s="62">
        <v>2</v>
      </c>
    </row>
    <row r="117" spans="3:4" x14ac:dyDescent="0.3">
      <c r="C117" s="27" t="s">
        <v>102</v>
      </c>
      <c r="D117" s="63">
        <f>SUM(D107:D116)</f>
        <v>21</v>
      </c>
    </row>
    <row r="118" spans="3:4" x14ac:dyDescent="0.3">
      <c r="C118" t="s">
        <v>103</v>
      </c>
      <c r="D118" s="62">
        <v>10</v>
      </c>
    </row>
    <row r="119" spans="3:4" x14ac:dyDescent="0.3">
      <c r="C119" t="s">
        <v>104</v>
      </c>
      <c r="D119" s="62">
        <v>10</v>
      </c>
    </row>
    <row r="120" spans="3:4" x14ac:dyDescent="0.3">
      <c r="C120" t="s">
        <v>28</v>
      </c>
      <c r="D120" s="62">
        <v>10</v>
      </c>
    </row>
    <row r="121" spans="3:4" x14ac:dyDescent="0.3">
      <c r="C121" t="s">
        <v>105</v>
      </c>
      <c r="D121" s="62">
        <v>6</v>
      </c>
    </row>
    <row r="122" spans="3:4" x14ac:dyDescent="0.3">
      <c r="C122" t="s">
        <v>106</v>
      </c>
      <c r="D122" s="62">
        <v>1</v>
      </c>
    </row>
    <row r="123" spans="3:4" x14ac:dyDescent="0.3">
      <c r="C123" t="s">
        <v>107</v>
      </c>
      <c r="D123" s="62">
        <v>0</v>
      </c>
    </row>
    <row r="124" spans="3:4" x14ac:dyDescent="0.3">
      <c r="C124" t="s">
        <v>108</v>
      </c>
      <c r="D124" s="62">
        <v>0</v>
      </c>
    </row>
    <row r="125" spans="3:4" x14ac:dyDescent="0.3">
      <c r="C125" t="s">
        <v>109</v>
      </c>
      <c r="D125" s="62">
        <v>5</v>
      </c>
    </row>
    <row r="126" spans="3:4" x14ac:dyDescent="0.3">
      <c r="D126" s="62">
        <f>SUM(D117:D125)</f>
        <v>63</v>
      </c>
    </row>
    <row r="127" spans="3:4" x14ac:dyDescent="0.3">
      <c r="D127" s="62">
        <f>+D126+D5</f>
        <v>103</v>
      </c>
    </row>
    <row r="129" spans="4:7" x14ac:dyDescent="0.3">
      <c r="D129">
        <v>765</v>
      </c>
      <c r="E129" s="33">
        <v>0.03</v>
      </c>
      <c r="F129">
        <f>+E129*D129</f>
        <v>22.95</v>
      </c>
      <c r="G129">
        <f>+F129*70</f>
        <v>1606.5</v>
      </c>
    </row>
    <row r="130" spans="4:7" x14ac:dyDescent="0.3">
      <c r="D130">
        <v>720</v>
      </c>
      <c r="E130" s="50">
        <v>0.03</v>
      </c>
      <c r="F130">
        <f>+E130*D130</f>
        <v>21.599999999999998</v>
      </c>
    </row>
    <row r="131" spans="4:7" x14ac:dyDescent="0.3">
      <c r="D131">
        <v>570</v>
      </c>
      <c r="E131" s="50">
        <v>0.03</v>
      </c>
      <c r="F131">
        <f>+E131*D131</f>
        <v>17.099999999999998</v>
      </c>
    </row>
    <row r="133" spans="4:7" x14ac:dyDescent="0.3">
      <c r="D133" t="s">
        <v>82</v>
      </c>
      <c r="E133">
        <v>50</v>
      </c>
    </row>
    <row r="134" spans="4:7" x14ac:dyDescent="0.3">
      <c r="D134" t="s">
        <v>80</v>
      </c>
      <c r="E134" s="7" t="s">
        <v>81</v>
      </c>
    </row>
    <row r="135" spans="4:7" x14ac:dyDescent="0.3">
      <c r="D135" t="s">
        <v>79</v>
      </c>
      <c r="E135">
        <f>2*2*5</f>
        <v>20</v>
      </c>
    </row>
    <row r="140" spans="4:7" x14ac:dyDescent="0.3">
      <c r="G140">
        <f>47.5/2.5</f>
        <v>19</v>
      </c>
    </row>
    <row r="141" spans="4:7" x14ac:dyDescent="0.3">
      <c r="G141">
        <f>+G140*0.9</f>
        <v>17.100000000000001</v>
      </c>
    </row>
  </sheetData>
  <mergeCells count="2">
    <mergeCell ref="C74:D74"/>
    <mergeCell ref="F74:G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B2D7-C2E0-46FD-8AC9-12E615E0FA30}">
  <dimension ref="A2:Y118"/>
  <sheetViews>
    <sheetView tabSelected="1" topLeftCell="A88" zoomScale="90" zoomScaleNormal="90" workbookViewId="0">
      <selection activeCell="H21" sqref="H21"/>
    </sheetView>
  </sheetViews>
  <sheetFormatPr defaultRowHeight="14.4" x14ac:dyDescent="0.3"/>
  <cols>
    <col min="2" max="2" width="24.109375" customWidth="1"/>
    <col min="3" max="3" width="14.5546875" customWidth="1"/>
    <col min="4" max="4" width="16.44140625" customWidth="1"/>
    <col min="5" max="5" width="14.88671875" customWidth="1"/>
    <col min="6" max="6" width="12.33203125" customWidth="1"/>
    <col min="7" max="8" width="12.6640625" customWidth="1"/>
    <col min="9" max="9" width="10.33203125" customWidth="1"/>
    <col min="18" max="18" width="9.33203125" customWidth="1"/>
    <col min="19" max="19" width="12.33203125" customWidth="1"/>
    <col min="20" max="20" width="11.6640625" customWidth="1"/>
    <col min="21" max="21" width="12.5546875" customWidth="1"/>
    <col min="22" max="22" width="11.5546875" customWidth="1"/>
    <col min="23" max="23" width="15.33203125" customWidth="1"/>
  </cols>
  <sheetData>
    <row r="2" spans="1:25" x14ac:dyDescent="0.3">
      <c r="B2" s="27"/>
      <c r="C2" s="27"/>
      <c r="D2" s="27"/>
      <c r="E2" s="27"/>
      <c r="F2" s="68"/>
      <c r="G2" s="68"/>
      <c r="H2" s="9"/>
      <c r="I2" s="84">
        <v>15</v>
      </c>
      <c r="J2" s="85"/>
      <c r="K2" s="86"/>
      <c r="L2" s="84">
        <v>16</v>
      </c>
      <c r="M2" s="85"/>
      <c r="N2" s="86"/>
      <c r="O2" s="84">
        <v>17</v>
      </c>
      <c r="P2" s="85"/>
      <c r="Q2" s="85"/>
      <c r="R2" s="86"/>
      <c r="S2" s="84">
        <v>18</v>
      </c>
      <c r="T2" s="85"/>
      <c r="U2" s="86"/>
      <c r="V2" s="68">
        <v>19</v>
      </c>
      <c r="W2" s="68"/>
      <c r="X2" s="68"/>
      <c r="Y2" s="68"/>
    </row>
    <row r="3" spans="1:25" x14ac:dyDescent="0.3">
      <c r="B3" s="27" t="s">
        <v>112</v>
      </c>
      <c r="C3" s="27" t="s">
        <v>113</v>
      </c>
      <c r="D3" s="27" t="s">
        <v>114</v>
      </c>
      <c r="E3" s="27" t="s">
        <v>115</v>
      </c>
      <c r="F3" s="69" t="s">
        <v>118</v>
      </c>
      <c r="G3" s="69" t="s">
        <v>119</v>
      </c>
      <c r="H3" s="12"/>
      <c r="I3" s="12" t="s">
        <v>53</v>
      </c>
      <c r="J3" s="27" t="s">
        <v>36</v>
      </c>
      <c r="K3" s="70" t="s">
        <v>116</v>
      </c>
      <c r="L3" s="12" t="s">
        <v>117</v>
      </c>
      <c r="M3" s="27" t="s">
        <v>36</v>
      </c>
      <c r="N3" s="70" t="s">
        <v>116</v>
      </c>
      <c r="O3" s="12" t="s">
        <v>117</v>
      </c>
      <c r="P3" s="27" t="s">
        <v>36</v>
      </c>
      <c r="Q3" s="27" t="s">
        <v>116</v>
      </c>
      <c r="R3" s="70" t="s">
        <v>53</v>
      </c>
      <c r="S3" s="12" t="s">
        <v>117</v>
      </c>
      <c r="T3" s="27" t="s">
        <v>36</v>
      </c>
      <c r="U3" s="70" t="s">
        <v>116</v>
      </c>
      <c r="V3" s="69" t="s">
        <v>53</v>
      </c>
      <c r="W3" s="69" t="s">
        <v>120</v>
      </c>
      <c r="X3" s="69" t="s">
        <v>121</v>
      </c>
      <c r="Y3" s="69" t="s">
        <v>84</v>
      </c>
    </row>
    <row r="4" spans="1:25" x14ac:dyDescent="0.3">
      <c r="A4">
        <v>1</v>
      </c>
      <c r="B4" t="s">
        <v>128</v>
      </c>
      <c r="D4" t="s">
        <v>105</v>
      </c>
      <c r="E4" s="66"/>
      <c r="F4" s="66"/>
      <c r="G4" s="66"/>
      <c r="H4" s="8"/>
      <c r="I4" s="8"/>
      <c r="J4" s="71"/>
      <c r="K4" s="18"/>
      <c r="L4" s="8"/>
      <c r="M4" s="71"/>
      <c r="N4" s="18"/>
      <c r="O4" s="8"/>
      <c r="P4" s="71"/>
      <c r="Q4" s="71"/>
      <c r="R4" s="18">
        <v>0</v>
      </c>
      <c r="S4" s="8"/>
      <c r="T4" s="71"/>
      <c r="U4" s="18"/>
      <c r="V4" s="66">
        <f t="shared" ref="V4:V5" si="0">R4+I4</f>
        <v>0</v>
      </c>
      <c r="W4" s="66">
        <f>SUM(F4:V4)</f>
        <v>0</v>
      </c>
      <c r="X4" s="66">
        <v>0</v>
      </c>
      <c r="Y4" s="66">
        <f>+X4-W4</f>
        <v>0</v>
      </c>
    </row>
    <row r="5" spans="1:25" x14ac:dyDescent="0.3">
      <c r="A5">
        <v>2</v>
      </c>
      <c r="B5" t="s">
        <v>183</v>
      </c>
      <c r="F5" s="66"/>
      <c r="G5" s="66"/>
      <c r="H5" s="8"/>
      <c r="I5" s="8"/>
      <c r="K5" s="18"/>
      <c r="L5" s="8"/>
      <c r="N5" s="18"/>
      <c r="O5" s="8"/>
      <c r="R5" s="18"/>
      <c r="S5" s="8"/>
      <c r="U5" s="18"/>
      <c r="V5" s="66">
        <f t="shared" si="0"/>
        <v>0</v>
      </c>
      <c r="W5" s="66">
        <f>SUM(F5:V5)</f>
        <v>0</v>
      </c>
      <c r="X5" s="66">
        <f>G5</f>
        <v>0</v>
      </c>
      <c r="Y5" s="66"/>
    </row>
    <row r="6" spans="1:25" x14ac:dyDescent="0.3">
      <c r="A6">
        <v>3</v>
      </c>
      <c r="B6" t="s">
        <v>185</v>
      </c>
      <c r="F6" s="66"/>
      <c r="G6" s="66"/>
      <c r="H6" s="8"/>
      <c r="I6" s="8"/>
      <c r="K6" s="18"/>
      <c r="L6" s="8"/>
      <c r="N6" s="18"/>
      <c r="O6" s="8"/>
      <c r="R6" s="18"/>
      <c r="S6" s="8"/>
      <c r="U6" s="18"/>
      <c r="V6" s="66"/>
      <c r="W6" s="66">
        <f>SUM(F6:V6)</f>
        <v>0</v>
      </c>
      <c r="X6" s="66"/>
      <c r="Y6" s="66"/>
    </row>
    <row r="7" spans="1:25" x14ac:dyDescent="0.3">
      <c r="A7">
        <v>4</v>
      </c>
      <c r="B7" t="s">
        <v>186</v>
      </c>
      <c r="F7" s="66"/>
      <c r="G7" s="66"/>
      <c r="H7" s="8"/>
      <c r="I7" s="8"/>
      <c r="K7" s="18"/>
      <c r="L7" s="8"/>
      <c r="N7" s="18"/>
      <c r="O7" s="8"/>
      <c r="R7" s="18"/>
      <c r="S7" s="8"/>
      <c r="U7" s="18"/>
      <c r="V7" s="66"/>
      <c r="W7" s="66">
        <f>SUM(F7:V7)</f>
        <v>0</v>
      </c>
      <c r="X7" s="66"/>
      <c r="Y7" s="66"/>
    </row>
    <row r="8" spans="1:25" x14ac:dyDescent="0.3">
      <c r="A8">
        <v>5</v>
      </c>
      <c r="B8" t="s">
        <v>187</v>
      </c>
      <c r="F8" s="66"/>
      <c r="G8" s="66"/>
      <c r="H8" s="8"/>
      <c r="I8" s="8"/>
      <c r="K8" s="18"/>
      <c r="L8" s="8"/>
      <c r="N8" s="18"/>
      <c r="O8" s="8"/>
      <c r="R8" s="18"/>
      <c r="S8" s="8"/>
      <c r="U8" s="18"/>
      <c r="V8" s="66"/>
      <c r="W8" s="66">
        <f>SUM(F8:V8)</f>
        <v>0</v>
      </c>
      <c r="X8" s="66"/>
      <c r="Y8" s="66"/>
    </row>
    <row r="9" spans="1:25" x14ac:dyDescent="0.3">
      <c r="A9">
        <v>6</v>
      </c>
      <c r="B9" t="s">
        <v>184</v>
      </c>
      <c r="F9" s="66"/>
      <c r="G9" s="66"/>
      <c r="H9" s="8"/>
      <c r="I9" s="8"/>
      <c r="K9" s="18"/>
      <c r="L9" s="8"/>
      <c r="N9" s="18"/>
      <c r="O9" s="8"/>
      <c r="R9" s="18"/>
      <c r="S9" s="8"/>
      <c r="U9" s="18"/>
      <c r="V9" s="66">
        <f t="shared" ref="V9:V19" si="1">R9+I9</f>
        <v>0</v>
      </c>
      <c r="W9" s="66">
        <f>SUM(F9:V9)</f>
        <v>0</v>
      </c>
      <c r="X9" s="66">
        <f>G9</f>
        <v>0</v>
      </c>
      <c r="Y9" s="66"/>
    </row>
    <row r="10" spans="1:25" x14ac:dyDescent="0.3">
      <c r="A10" s="76">
        <v>7</v>
      </c>
      <c r="B10" t="s">
        <v>154</v>
      </c>
      <c r="D10" t="s">
        <v>155</v>
      </c>
      <c r="F10" s="66">
        <v>35</v>
      </c>
      <c r="G10" s="66">
        <v>0</v>
      </c>
      <c r="H10" s="8">
        <f>2*60</f>
        <v>120</v>
      </c>
      <c r="I10" s="8">
        <v>0</v>
      </c>
      <c r="J10" s="71">
        <v>25</v>
      </c>
      <c r="K10" s="18">
        <v>80</v>
      </c>
      <c r="L10" s="8">
        <v>30</v>
      </c>
      <c r="M10" s="71">
        <v>25</v>
      </c>
      <c r="N10" s="18">
        <v>80</v>
      </c>
      <c r="O10" s="8">
        <v>30</v>
      </c>
      <c r="P10" s="71">
        <v>25</v>
      </c>
      <c r="Q10" s="71">
        <v>80</v>
      </c>
      <c r="R10" s="18">
        <v>0</v>
      </c>
      <c r="S10" s="8">
        <v>30</v>
      </c>
      <c r="T10" s="71">
        <v>25</v>
      </c>
      <c r="U10" s="18">
        <v>25</v>
      </c>
      <c r="V10" s="66">
        <f t="shared" si="1"/>
        <v>0</v>
      </c>
      <c r="W10" s="66">
        <f>SUM(F10:V10)</f>
        <v>610</v>
      </c>
      <c r="X10" s="66">
        <v>0</v>
      </c>
      <c r="Y10" s="66">
        <f>+X10-W10</f>
        <v>-610</v>
      </c>
    </row>
    <row r="11" spans="1:25" x14ac:dyDescent="0.3">
      <c r="A11" s="76">
        <v>8</v>
      </c>
      <c r="B11" t="s">
        <v>126</v>
      </c>
      <c r="D11" t="s">
        <v>105</v>
      </c>
      <c r="F11" s="66">
        <v>0</v>
      </c>
      <c r="G11" s="66">
        <v>0</v>
      </c>
      <c r="H11" s="8"/>
      <c r="I11" s="8"/>
      <c r="J11" s="71">
        <f>+J23</f>
        <v>25</v>
      </c>
      <c r="K11" s="18">
        <f>+K23</f>
        <v>83</v>
      </c>
      <c r="L11" s="8">
        <f>+L23</f>
        <v>30</v>
      </c>
      <c r="M11">
        <f t="shared" ref="M11:O11" si="2">+J11</f>
        <v>25</v>
      </c>
      <c r="N11" s="18">
        <f t="shared" si="2"/>
        <v>83</v>
      </c>
      <c r="O11" s="8">
        <f t="shared" si="2"/>
        <v>30</v>
      </c>
      <c r="P11">
        <f t="shared" ref="P11:Q11" si="3">+J11</f>
        <v>25</v>
      </c>
      <c r="Q11">
        <f t="shared" si="3"/>
        <v>83</v>
      </c>
      <c r="R11" s="18"/>
      <c r="S11" s="8">
        <f>+L11</f>
        <v>30</v>
      </c>
      <c r="T11">
        <f>+J11</f>
        <v>25</v>
      </c>
      <c r="U11" s="18">
        <f>+N11</f>
        <v>83</v>
      </c>
      <c r="V11" s="66">
        <f>R11+I11</f>
        <v>0</v>
      </c>
      <c r="W11" s="66">
        <f>SUM(F11:V11)</f>
        <v>522</v>
      </c>
      <c r="X11" s="66">
        <v>0</v>
      </c>
      <c r="Y11" s="66">
        <f>+X11-W11</f>
        <v>-522</v>
      </c>
    </row>
    <row r="12" spans="1:25" x14ac:dyDescent="0.3">
      <c r="A12" s="76">
        <v>9</v>
      </c>
      <c r="B12" t="s">
        <v>127</v>
      </c>
      <c r="D12" t="s">
        <v>105</v>
      </c>
      <c r="F12" s="66"/>
      <c r="G12" s="66"/>
      <c r="H12" s="8"/>
      <c r="I12" s="8"/>
      <c r="J12" s="71"/>
      <c r="K12" s="18"/>
      <c r="L12" s="8"/>
      <c r="M12" s="71"/>
      <c r="N12" s="18"/>
      <c r="O12" s="8"/>
      <c r="P12" s="71"/>
      <c r="Q12" s="71"/>
      <c r="R12" s="18">
        <v>0</v>
      </c>
      <c r="S12" s="8"/>
      <c r="T12" s="71"/>
      <c r="U12" s="18"/>
      <c r="V12" s="66">
        <f>R12+I12</f>
        <v>0</v>
      </c>
      <c r="W12" s="66">
        <f>SUM(F12:V12)</f>
        <v>0</v>
      </c>
      <c r="X12" s="66">
        <v>0</v>
      </c>
      <c r="Y12" s="66">
        <f>+X12-W12</f>
        <v>0</v>
      </c>
    </row>
    <row r="13" spans="1:25" x14ac:dyDescent="0.3">
      <c r="A13" s="76">
        <v>10</v>
      </c>
      <c r="D13" t="s">
        <v>129</v>
      </c>
      <c r="F13" s="66"/>
      <c r="G13" s="66"/>
      <c r="H13" s="8"/>
      <c r="I13" s="8"/>
      <c r="K13" s="18"/>
      <c r="L13" s="8"/>
      <c r="N13" s="18"/>
      <c r="O13" s="8"/>
      <c r="R13" s="18"/>
      <c r="S13" s="8"/>
      <c r="U13" s="18"/>
      <c r="V13" s="66">
        <f t="shared" si="1"/>
        <v>0</v>
      </c>
      <c r="W13" s="66">
        <f>SUM(F13:V13)</f>
        <v>0</v>
      </c>
      <c r="X13" s="66">
        <f>G13</f>
        <v>0</v>
      </c>
      <c r="Y13" s="66"/>
    </row>
    <row r="14" spans="1:25" x14ac:dyDescent="0.3">
      <c r="A14" s="76">
        <v>11</v>
      </c>
      <c r="D14" t="s">
        <v>129</v>
      </c>
      <c r="F14" s="66"/>
      <c r="G14" s="66"/>
      <c r="H14" s="8"/>
      <c r="I14" s="8"/>
      <c r="K14" s="18"/>
      <c r="L14" s="8"/>
      <c r="N14" s="18"/>
      <c r="O14" s="8"/>
      <c r="R14" s="18"/>
      <c r="S14" s="8"/>
      <c r="U14" s="18"/>
      <c r="V14" s="66">
        <f t="shared" si="1"/>
        <v>0</v>
      </c>
      <c r="W14" s="66">
        <f>SUM(F14:V14)</f>
        <v>0</v>
      </c>
      <c r="X14" s="66">
        <f>G14</f>
        <v>0</v>
      </c>
      <c r="Y14" s="66"/>
    </row>
    <row r="15" spans="1:25" x14ac:dyDescent="0.3">
      <c r="A15" s="76">
        <v>12</v>
      </c>
      <c r="D15" t="s">
        <v>129</v>
      </c>
      <c r="F15" s="66"/>
      <c r="G15" s="66"/>
      <c r="H15" s="8"/>
      <c r="I15" s="8"/>
      <c r="K15" s="18"/>
      <c r="L15" s="8"/>
      <c r="N15" s="18"/>
      <c r="O15" s="8"/>
      <c r="R15" s="18"/>
      <c r="S15" s="8"/>
      <c r="U15" s="18"/>
      <c r="V15" s="66">
        <f t="shared" si="1"/>
        <v>0</v>
      </c>
      <c r="W15" s="66">
        <f>SUM(F15:V15)</f>
        <v>0</v>
      </c>
      <c r="X15" s="66">
        <f>G15</f>
        <v>0</v>
      </c>
      <c r="Y15" s="66"/>
    </row>
    <row r="16" spans="1:25" x14ac:dyDescent="0.3">
      <c r="A16" s="76">
        <v>13</v>
      </c>
      <c r="D16" t="s">
        <v>130</v>
      </c>
      <c r="F16" s="66"/>
      <c r="G16" s="66"/>
      <c r="H16" s="8"/>
      <c r="I16" s="8"/>
      <c r="K16" s="18"/>
      <c r="L16" s="8"/>
      <c r="N16" s="18"/>
      <c r="O16" s="8"/>
      <c r="R16" s="18"/>
      <c r="S16" s="8"/>
      <c r="U16" s="18"/>
      <c r="V16" s="66">
        <f t="shared" si="1"/>
        <v>0</v>
      </c>
      <c r="W16" s="66">
        <f>SUM(F16:V16)</f>
        <v>0</v>
      </c>
      <c r="X16" s="66">
        <f>G16</f>
        <v>0</v>
      </c>
      <c r="Y16" s="66"/>
    </row>
    <row r="17" spans="1:25" x14ac:dyDescent="0.3">
      <c r="A17" s="76">
        <v>14</v>
      </c>
      <c r="D17" t="s">
        <v>130</v>
      </c>
      <c r="F17" s="66"/>
      <c r="G17" s="66"/>
      <c r="H17" s="8"/>
      <c r="I17" s="8"/>
      <c r="K17" s="18"/>
      <c r="L17" s="8"/>
      <c r="N17" s="18"/>
      <c r="O17" s="8"/>
      <c r="R17" s="18"/>
      <c r="S17" s="8"/>
      <c r="U17" s="18"/>
      <c r="V17" s="66">
        <f t="shared" si="1"/>
        <v>0</v>
      </c>
      <c r="W17" s="66">
        <f>SUM(F17:V17)</f>
        <v>0</v>
      </c>
      <c r="X17" s="66">
        <f>G17</f>
        <v>0</v>
      </c>
      <c r="Y17" s="66"/>
    </row>
    <row r="18" spans="1:25" x14ac:dyDescent="0.3">
      <c r="A18" s="76">
        <v>15</v>
      </c>
      <c r="D18" t="s">
        <v>130</v>
      </c>
      <c r="F18" s="66"/>
      <c r="G18" s="66"/>
      <c r="H18" s="8"/>
      <c r="I18" s="8"/>
      <c r="K18" s="18"/>
      <c r="L18" s="8"/>
      <c r="N18" s="18"/>
      <c r="O18" s="8"/>
      <c r="R18" s="18"/>
      <c r="S18" s="8"/>
      <c r="U18" s="18"/>
      <c r="V18" s="66">
        <f t="shared" si="1"/>
        <v>0</v>
      </c>
      <c r="W18" s="66">
        <f>SUM(F18:V18)</f>
        <v>0</v>
      </c>
      <c r="X18" s="66">
        <f>G18</f>
        <v>0</v>
      </c>
      <c r="Y18" s="66"/>
    </row>
    <row r="19" spans="1:25" x14ac:dyDescent="0.3">
      <c r="A19" s="76">
        <v>16</v>
      </c>
      <c r="D19" t="s">
        <v>35</v>
      </c>
      <c r="F19" s="66"/>
      <c r="G19" s="66">
        <v>500</v>
      </c>
      <c r="H19" s="8"/>
      <c r="I19" s="8"/>
      <c r="K19" s="18"/>
      <c r="L19" s="8"/>
      <c r="N19" s="18"/>
      <c r="O19" s="8"/>
      <c r="R19" s="18"/>
      <c r="S19" s="8"/>
      <c r="U19" s="18"/>
      <c r="V19" s="66">
        <f t="shared" si="1"/>
        <v>0</v>
      </c>
      <c r="W19" s="66">
        <f>SUM(F19:V19)</f>
        <v>500</v>
      </c>
      <c r="X19" s="66">
        <f>G19</f>
        <v>500</v>
      </c>
      <c r="Y19" s="66"/>
    </row>
    <row r="20" spans="1:25" x14ac:dyDescent="0.3">
      <c r="A20" s="76"/>
      <c r="B20" t="s">
        <v>225</v>
      </c>
      <c r="F20" s="66"/>
      <c r="G20" s="66">
        <v>1000</v>
      </c>
      <c r="H20" s="8"/>
      <c r="I20" s="8"/>
      <c r="K20" s="18"/>
      <c r="L20" s="8"/>
      <c r="N20" s="18"/>
      <c r="O20" s="8"/>
      <c r="R20" s="18"/>
      <c r="S20" s="8"/>
      <c r="U20" s="18"/>
      <c r="V20" s="66"/>
      <c r="W20" s="66"/>
      <c r="X20" s="66"/>
      <c r="Y20" s="66"/>
    </row>
    <row r="21" spans="1:25" x14ac:dyDescent="0.3">
      <c r="A21" s="76"/>
      <c r="B21" t="s">
        <v>226</v>
      </c>
      <c r="F21" s="66"/>
      <c r="G21" s="66"/>
      <c r="H21" s="8"/>
      <c r="I21" s="8"/>
      <c r="K21" s="18"/>
      <c r="L21" s="8"/>
      <c r="N21" s="18"/>
      <c r="O21" s="8"/>
      <c r="R21" s="18"/>
      <c r="S21" s="8"/>
      <c r="U21" s="18"/>
      <c r="V21" s="66"/>
      <c r="W21" s="66"/>
      <c r="X21" s="66"/>
      <c r="Y21" s="66"/>
    </row>
    <row r="22" spans="1:25" x14ac:dyDescent="0.3">
      <c r="A22" s="76">
        <v>17</v>
      </c>
      <c r="B22" t="s">
        <v>122</v>
      </c>
      <c r="C22" t="s">
        <v>123</v>
      </c>
      <c r="D22" t="s">
        <v>135</v>
      </c>
      <c r="E22" t="s">
        <v>124</v>
      </c>
      <c r="F22" s="66">
        <v>40</v>
      </c>
      <c r="G22" s="66"/>
      <c r="H22" s="8"/>
      <c r="I22" s="8">
        <v>0</v>
      </c>
      <c r="J22">
        <f>+'Model '!D9</f>
        <v>25</v>
      </c>
      <c r="K22" s="18">
        <f>+'Model '!D8</f>
        <v>83</v>
      </c>
      <c r="L22" s="8">
        <f>+'Model '!D12</f>
        <v>30</v>
      </c>
      <c r="M22">
        <f t="shared" ref="M22:O23" si="4">+J22</f>
        <v>25</v>
      </c>
      <c r="N22" s="18">
        <f t="shared" si="4"/>
        <v>83</v>
      </c>
      <c r="O22" s="8">
        <f t="shared" si="4"/>
        <v>30</v>
      </c>
      <c r="P22">
        <f>+J22</f>
        <v>25</v>
      </c>
      <c r="Q22">
        <f>+K22</f>
        <v>83</v>
      </c>
      <c r="R22" s="18"/>
      <c r="S22" s="8">
        <f>+L22</f>
        <v>30</v>
      </c>
      <c r="T22">
        <f>+J22</f>
        <v>25</v>
      </c>
      <c r="U22" s="18">
        <f>+N22</f>
        <v>83</v>
      </c>
      <c r="V22" s="66">
        <f>R22+I22</f>
        <v>0</v>
      </c>
      <c r="W22" s="66">
        <f>SUM(F22:V22)</f>
        <v>562</v>
      </c>
      <c r="X22" s="66">
        <f>G22</f>
        <v>0</v>
      </c>
      <c r="Y22" s="66">
        <f>+X22-W22</f>
        <v>-562</v>
      </c>
    </row>
    <row r="23" spans="1:25" x14ac:dyDescent="0.3">
      <c r="A23" s="76">
        <v>18</v>
      </c>
      <c r="B23" t="s">
        <v>125</v>
      </c>
      <c r="D23" t="s">
        <v>135</v>
      </c>
      <c r="E23" t="s">
        <v>160</v>
      </c>
      <c r="F23" s="66">
        <v>40</v>
      </c>
      <c r="G23" s="66">
        <v>100</v>
      </c>
      <c r="H23" s="8">
        <f>2*60</f>
        <v>120</v>
      </c>
      <c r="I23" s="8"/>
      <c r="J23">
        <f>+J22</f>
        <v>25</v>
      </c>
      <c r="K23" s="18">
        <f>+K22</f>
        <v>83</v>
      </c>
      <c r="L23" s="8">
        <f>+L22</f>
        <v>30</v>
      </c>
      <c r="M23">
        <f t="shared" si="4"/>
        <v>25</v>
      </c>
      <c r="N23" s="18">
        <f t="shared" si="4"/>
        <v>83</v>
      </c>
      <c r="O23" s="8">
        <f t="shared" si="4"/>
        <v>30</v>
      </c>
      <c r="P23">
        <f>+J23</f>
        <v>25</v>
      </c>
      <c r="Q23">
        <f>+K23</f>
        <v>83</v>
      </c>
      <c r="R23" s="18"/>
      <c r="S23" s="8">
        <f>+L23</f>
        <v>30</v>
      </c>
      <c r="T23">
        <f>+J23</f>
        <v>25</v>
      </c>
      <c r="U23" s="18">
        <f>+N23</f>
        <v>83</v>
      </c>
      <c r="V23" s="66">
        <f>R23+I23</f>
        <v>0</v>
      </c>
      <c r="W23" s="66">
        <f>SUM(F23:V23)</f>
        <v>782</v>
      </c>
      <c r="X23" s="66">
        <v>0</v>
      </c>
      <c r="Y23" s="66">
        <f>+X23-W23</f>
        <v>-782</v>
      </c>
    </row>
    <row r="24" spans="1:25" x14ac:dyDescent="0.3">
      <c r="A24" s="76">
        <v>19</v>
      </c>
      <c r="B24" s="80" t="s">
        <v>223</v>
      </c>
      <c r="D24" t="s">
        <v>135</v>
      </c>
      <c r="F24" s="66"/>
      <c r="G24" s="66"/>
      <c r="H24" s="8"/>
      <c r="I24" s="8"/>
      <c r="J24" s="71"/>
      <c r="K24" s="18"/>
      <c r="L24" s="8"/>
      <c r="M24" s="71"/>
      <c r="N24" s="18"/>
      <c r="O24" s="8"/>
      <c r="P24" s="71"/>
      <c r="Q24" s="18"/>
      <c r="R24" s="18"/>
      <c r="S24" s="8"/>
      <c r="T24" s="71"/>
      <c r="U24" s="18"/>
      <c r="V24" s="66"/>
      <c r="W24" s="66"/>
      <c r="X24" s="66"/>
      <c r="Y24" s="66"/>
    </row>
    <row r="25" spans="1:25" x14ac:dyDescent="0.3">
      <c r="A25" s="76">
        <v>20</v>
      </c>
      <c r="B25" s="80" t="s">
        <v>222</v>
      </c>
      <c r="D25" t="s">
        <v>135</v>
      </c>
      <c r="F25" s="66"/>
      <c r="G25" s="66"/>
      <c r="H25" s="8"/>
      <c r="I25" s="8"/>
      <c r="J25" s="71"/>
      <c r="K25" s="18"/>
      <c r="L25" s="8"/>
      <c r="M25" s="71"/>
      <c r="N25" s="18"/>
      <c r="O25" s="8"/>
      <c r="P25" s="71"/>
      <c r="Q25" s="18"/>
      <c r="R25" s="18"/>
      <c r="S25" s="8"/>
      <c r="T25" s="71"/>
      <c r="U25" s="18"/>
      <c r="V25" s="66"/>
      <c r="W25" s="66"/>
      <c r="X25" s="66"/>
      <c r="Y25" s="66"/>
    </row>
    <row r="26" spans="1:25" x14ac:dyDescent="0.3">
      <c r="A26" s="76">
        <v>21</v>
      </c>
      <c r="B26" t="s">
        <v>169</v>
      </c>
      <c r="D26" t="s">
        <v>135</v>
      </c>
      <c r="F26" s="66">
        <v>40</v>
      </c>
      <c r="G26" s="66"/>
      <c r="H26" s="8"/>
      <c r="I26" s="8">
        <v>0</v>
      </c>
      <c r="J26" s="71">
        <v>25</v>
      </c>
      <c r="K26" s="18">
        <v>83</v>
      </c>
      <c r="L26" s="8">
        <v>30</v>
      </c>
      <c r="M26" s="71">
        <v>25</v>
      </c>
      <c r="N26" s="18">
        <v>83</v>
      </c>
      <c r="O26" s="8">
        <v>30</v>
      </c>
      <c r="P26" s="71">
        <v>0</v>
      </c>
      <c r="Q26" s="18">
        <v>83</v>
      </c>
      <c r="R26" s="18">
        <v>0</v>
      </c>
      <c r="S26" s="8">
        <v>30</v>
      </c>
      <c r="T26" s="71">
        <v>25</v>
      </c>
      <c r="U26" s="18">
        <v>83</v>
      </c>
      <c r="V26" s="66">
        <f t="shared" ref="V26:V31" si="5">R26+I26</f>
        <v>0</v>
      </c>
      <c r="W26" s="66">
        <f>SUM(F26:V26)</f>
        <v>537</v>
      </c>
      <c r="X26" s="66">
        <v>0</v>
      </c>
      <c r="Y26" s="66">
        <f t="shared" ref="Y26:Y31" si="6">+X26-W26</f>
        <v>-537</v>
      </c>
    </row>
    <row r="27" spans="1:25" x14ac:dyDescent="0.3">
      <c r="A27" s="76">
        <v>22</v>
      </c>
      <c r="B27" t="s">
        <v>162</v>
      </c>
      <c r="D27" t="s">
        <v>135</v>
      </c>
      <c r="F27" s="66">
        <v>40</v>
      </c>
      <c r="G27" s="66"/>
      <c r="H27" s="8"/>
      <c r="I27" s="8">
        <v>0</v>
      </c>
      <c r="J27" s="71">
        <v>25</v>
      </c>
      <c r="K27" s="18">
        <v>83</v>
      </c>
      <c r="L27" s="8">
        <v>30</v>
      </c>
      <c r="M27" s="71">
        <v>25</v>
      </c>
      <c r="N27" s="18">
        <v>83</v>
      </c>
      <c r="O27" s="8">
        <f>+L27</f>
        <v>30</v>
      </c>
      <c r="P27" s="71">
        <v>25</v>
      </c>
      <c r="Q27" s="18">
        <v>83</v>
      </c>
      <c r="R27" s="18">
        <v>0</v>
      </c>
      <c r="S27" s="8">
        <v>30</v>
      </c>
      <c r="T27" s="71">
        <v>25</v>
      </c>
      <c r="U27" s="18">
        <v>83</v>
      </c>
      <c r="V27" s="66">
        <f t="shared" si="5"/>
        <v>0</v>
      </c>
      <c r="W27" s="66">
        <f>SUM(F27:V27)</f>
        <v>562</v>
      </c>
      <c r="X27" s="66">
        <v>0</v>
      </c>
      <c r="Y27" s="66">
        <f t="shared" si="6"/>
        <v>-562</v>
      </c>
    </row>
    <row r="28" spans="1:25" x14ac:dyDescent="0.3">
      <c r="A28" s="76">
        <v>23</v>
      </c>
      <c r="B28" t="s">
        <v>163</v>
      </c>
      <c r="D28" t="s">
        <v>135</v>
      </c>
      <c r="F28" s="66">
        <v>40</v>
      </c>
      <c r="G28" s="66">
        <v>200</v>
      </c>
      <c r="H28" s="8"/>
      <c r="I28" s="8">
        <v>0</v>
      </c>
      <c r="J28" s="71">
        <v>25</v>
      </c>
      <c r="K28" s="18">
        <v>83</v>
      </c>
      <c r="L28" s="8">
        <v>30</v>
      </c>
      <c r="M28" s="71">
        <v>25</v>
      </c>
      <c r="N28" s="18">
        <v>83</v>
      </c>
      <c r="O28" s="8">
        <f>+L28</f>
        <v>30</v>
      </c>
      <c r="P28" s="71">
        <v>25</v>
      </c>
      <c r="Q28" s="18">
        <v>83</v>
      </c>
      <c r="R28" s="18">
        <v>0</v>
      </c>
      <c r="S28" s="8">
        <v>30</v>
      </c>
      <c r="T28" s="71">
        <v>25</v>
      </c>
      <c r="U28" s="18">
        <v>83</v>
      </c>
      <c r="V28" s="66">
        <f t="shared" si="5"/>
        <v>0</v>
      </c>
      <c r="W28" s="66">
        <f>SUM(F28:V28)</f>
        <v>762</v>
      </c>
      <c r="X28" s="66">
        <v>0</v>
      </c>
      <c r="Y28" s="66">
        <f t="shared" si="6"/>
        <v>-762</v>
      </c>
    </row>
    <row r="29" spans="1:25" x14ac:dyDescent="0.3">
      <c r="A29" s="76">
        <v>24</v>
      </c>
      <c r="B29" t="s">
        <v>170</v>
      </c>
      <c r="D29" t="s">
        <v>135</v>
      </c>
      <c r="F29" s="66">
        <v>40</v>
      </c>
      <c r="G29" s="66">
        <v>200</v>
      </c>
      <c r="H29" s="8"/>
      <c r="I29" s="8">
        <v>0</v>
      </c>
      <c r="J29" s="71">
        <v>25</v>
      </c>
      <c r="K29" s="18">
        <v>83</v>
      </c>
      <c r="L29" s="8">
        <v>30</v>
      </c>
      <c r="M29" s="71">
        <v>25</v>
      </c>
      <c r="N29" s="18">
        <v>83</v>
      </c>
      <c r="O29" s="8">
        <f>+L29</f>
        <v>30</v>
      </c>
      <c r="P29">
        <f>+J29</f>
        <v>25</v>
      </c>
      <c r="Q29" s="18">
        <v>83</v>
      </c>
      <c r="R29" s="18">
        <v>0</v>
      </c>
      <c r="S29" s="8">
        <f>+L29</f>
        <v>30</v>
      </c>
      <c r="T29">
        <f>+J29</f>
        <v>25</v>
      </c>
      <c r="U29" s="18">
        <v>83</v>
      </c>
      <c r="V29" s="66">
        <f t="shared" si="5"/>
        <v>0</v>
      </c>
      <c r="W29" s="66">
        <f>SUM(F29:V29)</f>
        <v>762</v>
      </c>
      <c r="X29" s="66">
        <v>0</v>
      </c>
      <c r="Y29" s="66">
        <f t="shared" si="6"/>
        <v>-762</v>
      </c>
    </row>
    <row r="30" spans="1:25" x14ac:dyDescent="0.3">
      <c r="A30" s="76">
        <v>25</v>
      </c>
      <c r="B30" t="s">
        <v>165</v>
      </c>
      <c r="D30" t="s">
        <v>135</v>
      </c>
      <c r="F30" s="66">
        <v>40</v>
      </c>
      <c r="G30" s="66">
        <v>200</v>
      </c>
      <c r="H30" s="8">
        <f>2*60</f>
        <v>120</v>
      </c>
      <c r="I30" s="8">
        <v>0</v>
      </c>
      <c r="J30" s="71">
        <v>25</v>
      </c>
      <c r="K30" s="18">
        <v>83</v>
      </c>
      <c r="L30" s="8">
        <v>30</v>
      </c>
      <c r="M30" s="71">
        <v>25</v>
      </c>
      <c r="N30" s="18">
        <v>83</v>
      </c>
      <c r="O30" s="8">
        <f>+L30</f>
        <v>30</v>
      </c>
      <c r="P30">
        <v>25</v>
      </c>
      <c r="Q30" s="18">
        <v>83</v>
      </c>
      <c r="R30" s="18">
        <v>0</v>
      </c>
      <c r="S30" s="8">
        <v>30</v>
      </c>
      <c r="T30">
        <v>25</v>
      </c>
      <c r="U30" s="18">
        <v>83</v>
      </c>
      <c r="V30" s="66">
        <f t="shared" si="5"/>
        <v>0</v>
      </c>
      <c r="W30" s="66">
        <f>SUM(F30:V30)</f>
        <v>882</v>
      </c>
      <c r="X30" s="66">
        <v>0</v>
      </c>
      <c r="Y30" s="66">
        <f t="shared" si="6"/>
        <v>-882</v>
      </c>
    </row>
    <row r="31" spans="1:25" x14ac:dyDescent="0.3">
      <c r="A31" s="76">
        <v>26</v>
      </c>
      <c r="B31" t="s">
        <v>173</v>
      </c>
      <c r="D31" t="s">
        <v>135</v>
      </c>
      <c r="F31" s="66">
        <v>40</v>
      </c>
      <c r="G31" s="66">
        <v>200</v>
      </c>
      <c r="H31" s="8">
        <f>2*60</f>
        <v>120</v>
      </c>
      <c r="I31" s="8">
        <v>0</v>
      </c>
      <c r="J31" s="71">
        <v>25</v>
      </c>
      <c r="K31" s="18">
        <v>83</v>
      </c>
      <c r="L31" s="8">
        <v>30</v>
      </c>
      <c r="M31" s="71">
        <v>25</v>
      </c>
      <c r="N31" s="18">
        <v>83</v>
      </c>
      <c r="O31" s="8">
        <v>30</v>
      </c>
      <c r="P31" s="71">
        <v>25</v>
      </c>
      <c r="Q31" s="18">
        <v>83</v>
      </c>
      <c r="R31" s="18">
        <v>0</v>
      </c>
      <c r="S31" s="8">
        <v>30</v>
      </c>
      <c r="T31" s="71">
        <v>25</v>
      </c>
      <c r="U31" s="18">
        <v>83</v>
      </c>
      <c r="V31" s="66">
        <f t="shared" si="5"/>
        <v>0</v>
      </c>
      <c r="W31" s="66">
        <f>SUM(F31:V31)</f>
        <v>882</v>
      </c>
      <c r="X31" s="66">
        <v>0</v>
      </c>
      <c r="Y31" s="66">
        <f t="shared" si="6"/>
        <v>-882</v>
      </c>
    </row>
    <row r="32" spans="1:25" x14ac:dyDescent="0.3">
      <c r="A32" s="76">
        <v>27</v>
      </c>
      <c r="B32" t="s">
        <v>224</v>
      </c>
      <c r="F32" s="66"/>
      <c r="G32" s="66"/>
      <c r="H32" s="8"/>
      <c r="I32" s="8"/>
      <c r="J32" s="71"/>
      <c r="K32" s="18"/>
      <c r="L32" s="8"/>
      <c r="M32" s="71"/>
      <c r="N32" s="18"/>
      <c r="O32" s="8"/>
      <c r="P32" s="71"/>
      <c r="Q32" s="18"/>
      <c r="R32" s="18"/>
      <c r="S32" s="8"/>
      <c r="T32" s="71"/>
      <c r="U32" s="18"/>
      <c r="V32" s="66"/>
      <c r="W32" s="66"/>
      <c r="X32" s="66"/>
      <c r="Y32" s="66"/>
    </row>
    <row r="33" spans="1:25" x14ac:dyDescent="0.3">
      <c r="A33" s="76">
        <v>28</v>
      </c>
      <c r="B33" s="81" t="s">
        <v>188</v>
      </c>
      <c r="D33" t="s">
        <v>135</v>
      </c>
      <c r="F33" s="66">
        <v>40</v>
      </c>
      <c r="G33" s="66">
        <v>200</v>
      </c>
      <c r="H33" s="8"/>
      <c r="I33" s="8">
        <v>0</v>
      </c>
      <c r="J33" s="71">
        <v>25</v>
      </c>
      <c r="K33" s="18">
        <v>83</v>
      </c>
      <c r="L33" s="8">
        <v>30</v>
      </c>
      <c r="M33" s="71">
        <v>25</v>
      </c>
      <c r="N33" s="18">
        <v>83</v>
      </c>
      <c r="O33" s="8">
        <v>30</v>
      </c>
      <c r="P33" s="71">
        <v>25</v>
      </c>
      <c r="Q33" s="18">
        <v>83</v>
      </c>
      <c r="R33" s="18">
        <v>0</v>
      </c>
      <c r="S33" s="8">
        <v>30</v>
      </c>
      <c r="T33" s="71">
        <v>25</v>
      </c>
      <c r="U33" s="18">
        <v>83</v>
      </c>
      <c r="V33" s="66">
        <f>R33+I33</f>
        <v>0</v>
      </c>
      <c r="W33" s="66">
        <f>SUM(F33:V33)</f>
        <v>762</v>
      </c>
      <c r="X33" s="66">
        <v>0</v>
      </c>
      <c r="Y33" s="66">
        <f>+X33-W33</f>
        <v>-762</v>
      </c>
    </row>
    <row r="34" spans="1:25" x14ac:dyDescent="0.3">
      <c r="A34" s="76">
        <v>29</v>
      </c>
      <c r="B34" s="72" t="s">
        <v>171</v>
      </c>
      <c r="D34" t="s">
        <v>135</v>
      </c>
      <c r="F34" s="66">
        <v>40</v>
      </c>
      <c r="G34" s="66">
        <v>200</v>
      </c>
      <c r="H34" s="8">
        <f>2*60</f>
        <v>120</v>
      </c>
      <c r="I34" s="8">
        <v>0</v>
      </c>
      <c r="J34" s="71">
        <v>0</v>
      </c>
      <c r="K34" s="18">
        <v>0</v>
      </c>
      <c r="L34" s="8">
        <v>0</v>
      </c>
      <c r="M34" s="71">
        <v>0</v>
      </c>
      <c r="N34" s="18">
        <v>0</v>
      </c>
      <c r="O34" s="8">
        <v>30</v>
      </c>
      <c r="P34" s="71">
        <v>25</v>
      </c>
      <c r="Q34" s="18">
        <v>83</v>
      </c>
      <c r="R34" s="18">
        <v>0</v>
      </c>
      <c r="S34" s="8">
        <v>30</v>
      </c>
      <c r="T34" s="71">
        <v>25</v>
      </c>
      <c r="U34" s="18">
        <v>83</v>
      </c>
      <c r="V34" s="66">
        <f>R34+I34</f>
        <v>0</v>
      </c>
      <c r="W34" s="66">
        <f>SUM(F34:V34)</f>
        <v>636</v>
      </c>
      <c r="X34" s="66">
        <v>0</v>
      </c>
      <c r="Y34" s="66">
        <f>+X34-W34</f>
        <v>-636</v>
      </c>
    </row>
    <row r="35" spans="1:25" x14ac:dyDescent="0.3">
      <c r="A35" s="80">
        <v>30</v>
      </c>
      <c r="B35" s="72" t="s">
        <v>175</v>
      </c>
      <c r="D35" t="s">
        <v>135</v>
      </c>
      <c r="F35" s="66">
        <v>40</v>
      </c>
      <c r="G35" s="66">
        <v>200</v>
      </c>
      <c r="H35" s="8">
        <f>2*60</f>
        <v>120</v>
      </c>
      <c r="I35" s="77">
        <v>0</v>
      </c>
      <c r="J35" s="78">
        <v>25</v>
      </c>
      <c r="K35" s="79">
        <v>83</v>
      </c>
      <c r="L35" s="77">
        <v>30</v>
      </c>
      <c r="M35" s="71">
        <v>0</v>
      </c>
      <c r="N35" s="18">
        <v>0</v>
      </c>
      <c r="O35" s="8">
        <v>0</v>
      </c>
      <c r="P35" s="71">
        <v>0</v>
      </c>
      <c r="Q35" s="18">
        <v>0</v>
      </c>
      <c r="R35" s="18">
        <v>0</v>
      </c>
      <c r="S35" s="8">
        <v>0</v>
      </c>
      <c r="T35" s="71">
        <v>0</v>
      </c>
      <c r="U35" s="18">
        <v>0</v>
      </c>
      <c r="V35" s="66">
        <f>R35+I35</f>
        <v>0</v>
      </c>
      <c r="W35" s="66">
        <f>SUM(F35:V35)</f>
        <v>498</v>
      </c>
      <c r="X35" s="66">
        <v>0</v>
      </c>
      <c r="Y35" s="66">
        <f>+X35-W35</f>
        <v>-498</v>
      </c>
    </row>
    <row r="36" spans="1:25" x14ac:dyDescent="0.3">
      <c r="A36" s="76">
        <v>31</v>
      </c>
      <c r="B36" t="s">
        <v>181</v>
      </c>
      <c r="D36" t="s">
        <v>135</v>
      </c>
      <c r="F36" s="66">
        <v>40</v>
      </c>
      <c r="G36" s="66">
        <v>200</v>
      </c>
      <c r="H36" s="8">
        <f>2*60</f>
        <v>120</v>
      </c>
      <c r="I36" s="8">
        <v>0</v>
      </c>
      <c r="J36" s="71">
        <v>25</v>
      </c>
      <c r="K36" s="18">
        <v>83</v>
      </c>
      <c r="L36" s="8">
        <v>30</v>
      </c>
      <c r="M36" s="71">
        <v>25</v>
      </c>
      <c r="N36" s="18">
        <v>83</v>
      </c>
      <c r="O36" s="8">
        <f>+L36</f>
        <v>30</v>
      </c>
      <c r="P36" s="71">
        <v>25</v>
      </c>
      <c r="Q36" s="18">
        <v>83</v>
      </c>
      <c r="R36" s="18">
        <v>0</v>
      </c>
      <c r="S36" s="8">
        <v>30</v>
      </c>
      <c r="U36" s="18"/>
      <c r="V36" s="66">
        <f t="shared" ref="V36:V45" si="7">R36+I36</f>
        <v>0</v>
      </c>
      <c r="W36" s="66">
        <f>SUM(F36:V36)</f>
        <v>774</v>
      </c>
      <c r="X36" s="66">
        <v>0</v>
      </c>
      <c r="Y36" s="66">
        <f t="shared" ref="Y36:Y52" si="8">+X36-W36</f>
        <v>-774</v>
      </c>
    </row>
    <row r="37" spans="1:25" x14ac:dyDescent="0.3">
      <c r="A37" s="75">
        <v>32</v>
      </c>
      <c r="B37" s="80" t="s">
        <v>172</v>
      </c>
      <c r="D37" t="s">
        <v>135</v>
      </c>
      <c r="F37" s="66">
        <v>40</v>
      </c>
      <c r="G37" s="66">
        <v>0</v>
      </c>
      <c r="H37" s="8"/>
      <c r="I37" s="8">
        <v>0</v>
      </c>
      <c r="J37" s="71">
        <v>25</v>
      </c>
      <c r="K37" s="18">
        <v>83</v>
      </c>
      <c r="L37" s="8">
        <v>30</v>
      </c>
      <c r="M37" s="71">
        <v>25</v>
      </c>
      <c r="N37" s="18">
        <v>83</v>
      </c>
      <c r="O37" s="8">
        <v>30</v>
      </c>
      <c r="P37" s="71">
        <v>0</v>
      </c>
      <c r="Q37" s="18">
        <v>0</v>
      </c>
      <c r="R37" s="18">
        <v>0</v>
      </c>
      <c r="S37" s="8">
        <v>0</v>
      </c>
      <c r="T37" s="71">
        <v>0</v>
      </c>
      <c r="U37" s="18">
        <v>0</v>
      </c>
      <c r="V37" s="66">
        <f>R37+I37</f>
        <v>0</v>
      </c>
      <c r="W37" s="66">
        <f>SUM(F37:V37)</f>
        <v>316</v>
      </c>
      <c r="X37" s="66">
        <v>0</v>
      </c>
      <c r="Y37" s="66">
        <f>+X37-W37</f>
        <v>-316</v>
      </c>
    </row>
    <row r="38" spans="1:25" x14ac:dyDescent="0.3">
      <c r="A38" s="73">
        <v>33</v>
      </c>
      <c r="B38" s="80" t="s">
        <v>176</v>
      </c>
      <c r="D38" t="s">
        <v>135</v>
      </c>
      <c r="F38" s="66">
        <v>40</v>
      </c>
      <c r="G38" s="66">
        <v>0</v>
      </c>
      <c r="H38" s="8"/>
      <c r="I38" s="8">
        <v>0</v>
      </c>
      <c r="J38" s="71">
        <v>0</v>
      </c>
      <c r="K38" s="18">
        <v>0</v>
      </c>
      <c r="L38" s="8">
        <v>0</v>
      </c>
      <c r="M38" s="71">
        <v>0</v>
      </c>
      <c r="N38" s="18">
        <v>0</v>
      </c>
      <c r="O38" s="8">
        <v>0</v>
      </c>
      <c r="P38" s="71">
        <v>25</v>
      </c>
      <c r="Q38" s="18">
        <v>83</v>
      </c>
      <c r="R38" s="18">
        <v>0</v>
      </c>
      <c r="S38" s="8">
        <v>30</v>
      </c>
      <c r="T38" s="71">
        <v>25</v>
      </c>
      <c r="U38" s="18">
        <v>83</v>
      </c>
      <c r="V38" s="66">
        <f>R38+I38</f>
        <v>0</v>
      </c>
      <c r="W38" s="66">
        <f>SUM(F38:V38)</f>
        <v>286</v>
      </c>
      <c r="X38" s="66">
        <v>0</v>
      </c>
      <c r="Y38" s="66">
        <f>+X38-W38</f>
        <v>-286</v>
      </c>
    </row>
    <row r="39" spans="1:25" x14ac:dyDescent="0.3">
      <c r="A39" s="74">
        <v>34</v>
      </c>
      <c r="B39" s="80" t="s">
        <v>164</v>
      </c>
      <c r="D39" t="s">
        <v>135</v>
      </c>
      <c r="F39" s="66">
        <v>40</v>
      </c>
      <c r="G39" s="66">
        <v>100</v>
      </c>
      <c r="H39" s="8">
        <f>2*60</f>
        <v>120</v>
      </c>
      <c r="I39" s="8">
        <v>0</v>
      </c>
      <c r="J39" s="71">
        <v>0</v>
      </c>
      <c r="K39" s="18">
        <v>0</v>
      </c>
      <c r="L39" s="8">
        <v>0</v>
      </c>
      <c r="M39" s="71">
        <v>0</v>
      </c>
      <c r="N39" s="18">
        <v>0</v>
      </c>
      <c r="O39" s="8">
        <v>30</v>
      </c>
      <c r="P39" s="71">
        <v>25</v>
      </c>
      <c r="Q39" s="18">
        <v>63</v>
      </c>
      <c r="R39" s="18">
        <v>0</v>
      </c>
      <c r="S39" s="8">
        <v>30</v>
      </c>
      <c r="T39" s="71">
        <v>25</v>
      </c>
      <c r="U39" s="18">
        <v>63</v>
      </c>
      <c r="V39" s="66">
        <f t="shared" si="7"/>
        <v>0</v>
      </c>
      <c r="W39" s="66">
        <f>SUM(F39:V39)</f>
        <v>496</v>
      </c>
      <c r="X39" s="66">
        <v>0</v>
      </c>
      <c r="Y39" s="66">
        <f t="shared" si="8"/>
        <v>-496</v>
      </c>
    </row>
    <row r="40" spans="1:25" x14ac:dyDescent="0.3">
      <c r="A40" s="74">
        <v>35</v>
      </c>
      <c r="B40" s="80" t="s">
        <v>166</v>
      </c>
      <c r="D40" t="s">
        <v>135</v>
      </c>
      <c r="F40" s="66">
        <v>40</v>
      </c>
      <c r="G40" s="66">
        <v>0</v>
      </c>
      <c r="H40" s="8"/>
      <c r="I40" s="8">
        <v>0</v>
      </c>
      <c r="J40" s="71">
        <v>0</v>
      </c>
      <c r="K40" s="18">
        <v>0</v>
      </c>
      <c r="L40" s="8">
        <v>0</v>
      </c>
      <c r="M40" s="71">
        <v>0</v>
      </c>
      <c r="N40" s="18">
        <v>0</v>
      </c>
      <c r="O40" s="8">
        <v>30</v>
      </c>
      <c r="P40" s="71">
        <v>25</v>
      </c>
      <c r="Q40" s="18">
        <v>63</v>
      </c>
      <c r="R40" s="18">
        <v>0</v>
      </c>
      <c r="S40" s="8">
        <v>30</v>
      </c>
      <c r="T40" s="71">
        <v>25</v>
      </c>
      <c r="U40" s="18">
        <v>63</v>
      </c>
      <c r="V40" s="66">
        <f t="shared" si="7"/>
        <v>0</v>
      </c>
      <c r="W40" s="66">
        <f>SUM(F40:V40)</f>
        <v>276</v>
      </c>
      <c r="X40" s="66">
        <v>0</v>
      </c>
      <c r="Y40" s="66">
        <f t="shared" si="8"/>
        <v>-276</v>
      </c>
    </row>
    <row r="41" spans="1:25" x14ac:dyDescent="0.3">
      <c r="A41" s="74">
        <v>36</v>
      </c>
      <c r="B41" s="80" t="s">
        <v>167</v>
      </c>
      <c r="D41" t="s">
        <v>135</v>
      </c>
      <c r="F41" s="66">
        <v>40</v>
      </c>
      <c r="G41" s="66">
        <v>100</v>
      </c>
      <c r="H41" s="8">
        <f>2*60</f>
        <v>120</v>
      </c>
      <c r="I41" s="8">
        <v>0</v>
      </c>
      <c r="J41" s="71">
        <v>25</v>
      </c>
      <c r="K41" s="18">
        <v>63</v>
      </c>
      <c r="L41" s="8">
        <v>30</v>
      </c>
      <c r="M41" s="71">
        <v>25</v>
      </c>
      <c r="N41" s="18">
        <v>63</v>
      </c>
      <c r="O41" s="8">
        <v>30</v>
      </c>
      <c r="P41" s="71">
        <v>0</v>
      </c>
      <c r="Q41" s="18">
        <v>0</v>
      </c>
      <c r="R41" s="18">
        <v>0</v>
      </c>
      <c r="S41" s="8">
        <v>0</v>
      </c>
      <c r="T41" s="71">
        <v>0</v>
      </c>
      <c r="U41" s="18">
        <v>0</v>
      </c>
      <c r="V41" s="66">
        <f t="shared" si="7"/>
        <v>0</v>
      </c>
      <c r="W41" s="66">
        <f>SUM(F41:V41)</f>
        <v>496</v>
      </c>
      <c r="X41" s="66">
        <v>0</v>
      </c>
      <c r="Y41" s="66">
        <f t="shared" si="8"/>
        <v>-496</v>
      </c>
    </row>
    <row r="42" spans="1:25" ht="13.2" customHeight="1" x14ac:dyDescent="0.3">
      <c r="A42" s="74">
        <v>37</v>
      </c>
      <c r="B42" s="80" t="s">
        <v>174</v>
      </c>
      <c r="D42" t="s">
        <v>135</v>
      </c>
      <c r="F42" s="66">
        <v>40</v>
      </c>
      <c r="G42" s="66"/>
      <c r="H42" s="8"/>
      <c r="I42" s="8">
        <v>0</v>
      </c>
      <c r="J42" s="71">
        <v>0</v>
      </c>
      <c r="K42" s="18">
        <v>0</v>
      </c>
      <c r="L42" s="8">
        <v>0</v>
      </c>
      <c r="M42" s="71">
        <v>0</v>
      </c>
      <c r="N42" s="18">
        <v>0</v>
      </c>
      <c r="O42" s="8">
        <v>0</v>
      </c>
      <c r="P42" s="71">
        <v>25</v>
      </c>
      <c r="Q42" s="18">
        <v>63</v>
      </c>
      <c r="R42" s="18">
        <v>0</v>
      </c>
      <c r="S42" s="8">
        <v>30</v>
      </c>
      <c r="T42" s="71">
        <v>25</v>
      </c>
      <c r="U42" s="18">
        <v>63</v>
      </c>
      <c r="V42" s="66">
        <f>R42+I42</f>
        <v>0</v>
      </c>
      <c r="W42" s="66">
        <f>SUM(F42:V42)</f>
        <v>246</v>
      </c>
      <c r="X42" s="66">
        <v>0</v>
      </c>
      <c r="Y42" s="66">
        <f>+X42-W42</f>
        <v>-246</v>
      </c>
    </row>
    <row r="43" spans="1:25" x14ac:dyDescent="0.3">
      <c r="A43" s="74">
        <v>38</v>
      </c>
      <c r="B43" s="80" t="s">
        <v>161</v>
      </c>
      <c r="D43" t="s">
        <v>135</v>
      </c>
      <c r="F43" s="66">
        <v>40</v>
      </c>
      <c r="G43" s="66">
        <v>100</v>
      </c>
      <c r="H43" s="8">
        <f>2*60</f>
        <v>120</v>
      </c>
      <c r="I43" s="8">
        <v>0</v>
      </c>
      <c r="J43" s="71">
        <v>0</v>
      </c>
      <c r="K43" s="18">
        <v>0</v>
      </c>
      <c r="L43" s="77">
        <v>0</v>
      </c>
      <c r="M43" s="78">
        <v>25</v>
      </c>
      <c r="N43" s="79">
        <v>63</v>
      </c>
      <c r="O43" s="77">
        <v>30</v>
      </c>
      <c r="P43" s="78">
        <v>25</v>
      </c>
      <c r="Q43" s="79">
        <v>63</v>
      </c>
      <c r="R43" s="79">
        <v>0</v>
      </c>
      <c r="S43" s="77">
        <v>30</v>
      </c>
      <c r="T43" s="78">
        <v>25</v>
      </c>
      <c r="U43" s="79">
        <v>63</v>
      </c>
      <c r="V43" s="66">
        <f>R43+I43</f>
        <v>0</v>
      </c>
      <c r="W43" s="66">
        <f>SUM(F43:V43)</f>
        <v>584</v>
      </c>
      <c r="X43" s="66">
        <v>0</v>
      </c>
      <c r="Y43" s="66">
        <f>+X43-W43</f>
        <v>-584</v>
      </c>
    </row>
    <row r="44" spans="1:25" x14ac:dyDescent="0.3">
      <c r="A44" s="74">
        <v>39</v>
      </c>
      <c r="B44" s="80" t="s">
        <v>180</v>
      </c>
      <c r="D44" t="s">
        <v>179</v>
      </c>
      <c r="F44" s="66">
        <v>40</v>
      </c>
      <c r="G44" s="66">
        <v>0</v>
      </c>
      <c r="H44" s="8"/>
      <c r="I44" s="8">
        <v>0</v>
      </c>
      <c r="J44" s="71">
        <v>0</v>
      </c>
      <c r="K44" s="18">
        <v>0</v>
      </c>
      <c r="L44" s="8">
        <v>0</v>
      </c>
      <c r="M44" s="71">
        <v>25</v>
      </c>
      <c r="N44" s="18">
        <v>83</v>
      </c>
      <c r="O44" s="8">
        <v>30</v>
      </c>
      <c r="P44" s="71">
        <v>25</v>
      </c>
      <c r="Q44" s="18">
        <v>83</v>
      </c>
      <c r="R44" s="18">
        <v>0</v>
      </c>
      <c r="S44" s="8">
        <v>0</v>
      </c>
      <c r="T44" s="71">
        <v>0</v>
      </c>
      <c r="U44" s="18">
        <v>0</v>
      </c>
      <c r="V44" s="66">
        <f t="shared" si="7"/>
        <v>0</v>
      </c>
      <c r="W44" s="66">
        <f>SUM(F44:V44)</f>
        <v>286</v>
      </c>
      <c r="X44" s="66">
        <v>0</v>
      </c>
      <c r="Y44" s="66">
        <f t="shared" si="8"/>
        <v>-286</v>
      </c>
    </row>
    <row r="45" spans="1:25" x14ac:dyDescent="0.3">
      <c r="A45" s="74">
        <v>40</v>
      </c>
      <c r="B45" s="80" t="s">
        <v>177</v>
      </c>
      <c r="D45" t="s">
        <v>135</v>
      </c>
      <c r="F45" s="66">
        <v>40</v>
      </c>
      <c r="G45" s="66">
        <v>0</v>
      </c>
      <c r="H45" s="8"/>
      <c r="I45" s="8">
        <v>0</v>
      </c>
      <c r="J45" s="71">
        <v>0</v>
      </c>
      <c r="K45" s="18">
        <v>0</v>
      </c>
      <c r="L45" s="8">
        <v>0</v>
      </c>
      <c r="M45" s="71">
        <v>25</v>
      </c>
      <c r="N45" s="18">
        <v>62</v>
      </c>
      <c r="O45" s="8">
        <v>30</v>
      </c>
      <c r="P45" s="71">
        <v>25</v>
      </c>
      <c r="Q45" s="18">
        <v>62</v>
      </c>
      <c r="R45" s="18">
        <v>0</v>
      </c>
      <c r="S45" s="8">
        <v>0</v>
      </c>
      <c r="T45" s="71">
        <v>0</v>
      </c>
      <c r="U45" s="18">
        <v>0</v>
      </c>
      <c r="V45" s="66">
        <f t="shared" si="7"/>
        <v>0</v>
      </c>
      <c r="W45" s="66">
        <f>SUM(F45:V45)</f>
        <v>244</v>
      </c>
      <c r="X45" s="66">
        <v>0</v>
      </c>
      <c r="Y45" s="66">
        <f t="shared" si="8"/>
        <v>-244</v>
      </c>
    </row>
    <row r="46" spans="1:25" x14ac:dyDescent="0.3">
      <c r="A46" s="74">
        <v>41</v>
      </c>
      <c r="B46" s="80" t="s">
        <v>168</v>
      </c>
      <c r="D46" t="s">
        <v>135</v>
      </c>
      <c r="F46" s="66">
        <v>40</v>
      </c>
      <c r="G46" s="66"/>
      <c r="H46" s="8"/>
      <c r="I46" s="8">
        <v>0</v>
      </c>
      <c r="J46" s="71">
        <v>25</v>
      </c>
      <c r="K46" s="18">
        <v>0</v>
      </c>
      <c r="L46" s="8">
        <v>30</v>
      </c>
      <c r="M46" s="71">
        <v>25</v>
      </c>
      <c r="N46" s="18">
        <v>83</v>
      </c>
      <c r="O46" s="8">
        <v>30</v>
      </c>
      <c r="P46" s="71">
        <v>0</v>
      </c>
      <c r="Q46" s="18">
        <v>83</v>
      </c>
      <c r="R46" s="18">
        <v>0</v>
      </c>
      <c r="S46" s="8">
        <v>0</v>
      </c>
      <c r="T46" s="71">
        <v>0</v>
      </c>
      <c r="U46" s="18">
        <v>83</v>
      </c>
      <c r="V46" s="66">
        <f>R46+I46</f>
        <v>0</v>
      </c>
      <c r="W46" s="66">
        <f>SUM(F46:V46)</f>
        <v>399</v>
      </c>
      <c r="X46" s="66">
        <v>0</v>
      </c>
      <c r="Y46" s="66">
        <f>+X46-W46</f>
        <v>-399</v>
      </c>
    </row>
    <row r="47" spans="1:25" x14ac:dyDescent="0.3">
      <c r="A47" s="76">
        <v>42</v>
      </c>
      <c r="B47" t="s">
        <v>178</v>
      </c>
      <c r="D47" t="s">
        <v>131</v>
      </c>
      <c r="F47" s="66">
        <v>30</v>
      </c>
      <c r="G47" s="66">
        <v>0</v>
      </c>
      <c r="H47" s="8"/>
      <c r="I47" s="8"/>
      <c r="J47" s="71">
        <v>25</v>
      </c>
      <c r="K47" s="18">
        <v>83</v>
      </c>
      <c r="L47" s="8">
        <v>30</v>
      </c>
      <c r="M47" s="71">
        <v>25</v>
      </c>
      <c r="N47" s="18">
        <v>83</v>
      </c>
      <c r="O47" s="8">
        <v>30</v>
      </c>
      <c r="P47" s="71">
        <v>25</v>
      </c>
      <c r="Q47" s="18">
        <v>83</v>
      </c>
      <c r="R47" s="18">
        <v>0</v>
      </c>
      <c r="S47" s="8">
        <v>30</v>
      </c>
      <c r="T47" s="71">
        <v>25</v>
      </c>
      <c r="U47" s="18">
        <v>83</v>
      </c>
      <c r="V47" s="66"/>
      <c r="W47" s="66">
        <f>SUM(F47:V47)</f>
        <v>552</v>
      </c>
      <c r="X47" s="66">
        <v>1296</v>
      </c>
      <c r="Y47" s="66">
        <f t="shared" si="8"/>
        <v>744</v>
      </c>
    </row>
    <row r="48" spans="1:25" x14ac:dyDescent="0.3">
      <c r="A48" s="76">
        <v>43</v>
      </c>
      <c r="B48" t="s">
        <v>189</v>
      </c>
      <c r="D48" t="s">
        <v>131</v>
      </c>
      <c r="F48" s="66">
        <v>30</v>
      </c>
      <c r="G48" s="66">
        <v>0</v>
      </c>
      <c r="H48" s="8"/>
      <c r="I48" s="8"/>
      <c r="J48" s="71">
        <v>25</v>
      </c>
      <c r="K48" s="18">
        <v>83</v>
      </c>
      <c r="L48" s="8">
        <v>30</v>
      </c>
      <c r="M48" s="71">
        <v>25</v>
      </c>
      <c r="N48" s="18">
        <v>83</v>
      </c>
      <c r="O48" s="8">
        <v>30</v>
      </c>
      <c r="P48" s="71">
        <v>25</v>
      </c>
      <c r="Q48" s="18">
        <v>83</v>
      </c>
      <c r="R48" s="18">
        <v>0</v>
      </c>
      <c r="S48" s="8">
        <v>30</v>
      </c>
      <c r="T48" s="71">
        <v>25</v>
      </c>
      <c r="U48" s="18">
        <v>83</v>
      </c>
      <c r="V48" s="66">
        <f t="shared" ref="V48:V58" si="9">R48+I48</f>
        <v>0</v>
      </c>
      <c r="W48" s="66">
        <f>SUM(F48:V48)</f>
        <v>552</v>
      </c>
      <c r="X48" s="66">
        <v>1296</v>
      </c>
      <c r="Y48" s="66">
        <f t="shared" si="8"/>
        <v>744</v>
      </c>
    </row>
    <row r="49" spans="1:25" x14ac:dyDescent="0.3">
      <c r="A49" s="76">
        <v>44</v>
      </c>
      <c r="B49" t="s">
        <v>190</v>
      </c>
      <c r="D49" t="s">
        <v>131</v>
      </c>
      <c r="F49" s="66">
        <v>30</v>
      </c>
      <c r="G49" s="66">
        <v>0</v>
      </c>
      <c r="H49" s="8"/>
      <c r="I49" s="8"/>
      <c r="J49" s="71">
        <v>25</v>
      </c>
      <c r="K49" s="18">
        <v>83</v>
      </c>
      <c r="L49" s="8">
        <v>30</v>
      </c>
      <c r="M49" s="71">
        <v>25</v>
      </c>
      <c r="N49" s="18">
        <v>83</v>
      </c>
      <c r="O49" s="8">
        <v>30</v>
      </c>
      <c r="P49" s="71">
        <v>25</v>
      </c>
      <c r="Q49" s="18">
        <v>83</v>
      </c>
      <c r="R49" s="18">
        <v>0</v>
      </c>
      <c r="S49" s="8">
        <v>30</v>
      </c>
      <c r="T49" s="71">
        <v>25</v>
      </c>
      <c r="U49" s="18">
        <v>83</v>
      </c>
      <c r="V49" s="66">
        <f t="shared" si="9"/>
        <v>0</v>
      </c>
      <c r="W49" s="66">
        <f>SUM(F49:V49)</f>
        <v>552</v>
      </c>
      <c r="X49" s="66">
        <v>1296</v>
      </c>
      <c r="Y49" s="66">
        <f t="shared" si="8"/>
        <v>744</v>
      </c>
    </row>
    <row r="50" spans="1:25" x14ac:dyDescent="0.3">
      <c r="A50">
        <v>45</v>
      </c>
      <c r="D50" t="s">
        <v>132</v>
      </c>
      <c r="F50" s="66">
        <v>30</v>
      </c>
      <c r="G50" s="66">
        <v>0</v>
      </c>
      <c r="H50" s="8"/>
      <c r="I50" s="8">
        <v>0</v>
      </c>
      <c r="J50">
        <v>0</v>
      </c>
      <c r="K50" s="18">
        <v>0</v>
      </c>
      <c r="L50" s="8">
        <v>0</v>
      </c>
      <c r="M50" s="71">
        <v>25</v>
      </c>
      <c r="N50" s="18">
        <v>0</v>
      </c>
      <c r="O50" s="8">
        <v>30</v>
      </c>
      <c r="P50">
        <v>25</v>
      </c>
      <c r="Q50" s="18">
        <v>0</v>
      </c>
      <c r="R50" s="18">
        <v>30</v>
      </c>
      <c r="S50" s="8">
        <v>30</v>
      </c>
      <c r="T50" s="71">
        <v>25</v>
      </c>
      <c r="U50" s="18">
        <v>0</v>
      </c>
      <c r="V50" s="66">
        <f t="shared" si="9"/>
        <v>30</v>
      </c>
      <c r="W50" s="66">
        <f>SUM(F50:V50)</f>
        <v>225</v>
      </c>
      <c r="X50" s="66">
        <v>570</v>
      </c>
      <c r="Y50" s="66">
        <f t="shared" si="8"/>
        <v>345</v>
      </c>
    </row>
    <row r="51" spans="1:25" x14ac:dyDescent="0.3">
      <c r="A51">
        <v>46</v>
      </c>
      <c r="D51" t="s">
        <v>132</v>
      </c>
      <c r="F51" s="66">
        <v>30</v>
      </c>
      <c r="G51" s="66">
        <v>0</v>
      </c>
      <c r="H51" s="8"/>
      <c r="I51" s="8">
        <v>0</v>
      </c>
      <c r="J51">
        <v>0</v>
      </c>
      <c r="K51" s="18">
        <v>0</v>
      </c>
      <c r="L51" s="8">
        <v>0</v>
      </c>
      <c r="M51" s="71">
        <v>25</v>
      </c>
      <c r="N51" s="18">
        <v>0</v>
      </c>
      <c r="O51" s="8">
        <v>30</v>
      </c>
      <c r="P51">
        <v>25</v>
      </c>
      <c r="Q51" s="18">
        <v>0</v>
      </c>
      <c r="R51" s="18">
        <v>30</v>
      </c>
      <c r="S51" s="8">
        <v>30</v>
      </c>
      <c r="T51" s="71">
        <v>25</v>
      </c>
      <c r="U51" s="18">
        <v>0</v>
      </c>
      <c r="V51" s="66">
        <f t="shared" si="9"/>
        <v>30</v>
      </c>
      <c r="W51" s="66">
        <f>SUM(F51:V51)</f>
        <v>225</v>
      </c>
      <c r="X51" s="66">
        <v>570</v>
      </c>
      <c r="Y51" s="66">
        <f t="shared" si="8"/>
        <v>345</v>
      </c>
    </row>
    <row r="52" spans="1:25" x14ac:dyDescent="0.3">
      <c r="A52">
        <v>47</v>
      </c>
      <c r="D52" t="s">
        <v>132</v>
      </c>
      <c r="F52" s="66">
        <v>30</v>
      </c>
      <c r="G52" s="66">
        <v>0</v>
      </c>
      <c r="H52" s="8"/>
      <c r="I52" s="8">
        <v>0</v>
      </c>
      <c r="J52">
        <v>0</v>
      </c>
      <c r="K52" s="18">
        <v>0</v>
      </c>
      <c r="L52" s="8">
        <v>0</v>
      </c>
      <c r="M52" s="71">
        <v>25</v>
      </c>
      <c r="N52" s="18">
        <v>0</v>
      </c>
      <c r="O52" s="8">
        <v>30</v>
      </c>
      <c r="P52">
        <v>25</v>
      </c>
      <c r="Q52">
        <v>0</v>
      </c>
      <c r="R52" s="18">
        <v>30</v>
      </c>
      <c r="S52" s="8">
        <v>30</v>
      </c>
      <c r="T52" s="71">
        <v>25</v>
      </c>
      <c r="U52" s="18">
        <v>0</v>
      </c>
      <c r="V52" s="66">
        <f t="shared" si="9"/>
        <v>30</v>
      </c>
      <c r="W52" s="66">
        <f>SUM(F52:V52)</f>
        <v>225</v>
      </c>
      <c r="X52" s="66">
        <v>570</v>
      </c>
      <c r="Y52" s="66">
        <f t="shared" si="8"/>
        <v>345</v>
      </c>
    </row>
    <row r="53" spans="1:25" x14ac:dyDescent="0.3">
      <c r="A53">
        <v>48</v>
      </c>
      <c r="D53" t="s">
        <v>133</v>
      </c>
      <c r="F53" s="66">
        <v>30</v>
      </c>
      <c r="G53" s="66">
        <v>0</v>
      </c>
      <c r="H53" s="8"/>
      <c r="I53" s="8">
        <v>0</v>
      </c>
      <c r="J53">
        <v>25</v>
      </c>
      <c r="K53" s="18">
        <v>83</v>
      </c>
      <c r="L53" s="8">
        <v>30</v>
      </c>
      <c r="M53" s="71">
        <v>25</v>
      </c>
      <c r="N53" s="18">
        <v>83</v>
      </c>
      <c r="O53" s="8">
        <v>30</v>
      </c>
      <c r="P53" s="71">
        <v>25</v>
      </c>
      <c r="Q53" s="18">
        <v>83</v>
      </c>
      <c r="R53" s="18">
        <v>0</v>
      </c>
      <c r="S53" s="8">
        <v>30</v>
      </c>
      <c r="T53" s="71">
        <v>25</v>
      </c>
      <c r="U53" s="18">
        <v>83</v>
      </c>
      <c r="V53" s="66">
        <f t="shared" si="9"/>
        <v>0</v>
      </c>
      <c r="W53" s="66">
        <f>SUM(F53:V53)</f>
        <v>552</v>
      </c>
      <c r="X53" s="66">
        <v>1296</v>
      </c>
      <c r="Y53" s="66">
        <f t="shared" ref="Y53:Y58" si="10">+X53-W53</f>
        <v>744</v>
      </c>
    </row>
    <row r="54" spans="1:25" x14ac:dyDescent="0.3">
      <c r="A54">
        <v>49</v>
      </c>
      <c r="D54" t="s">
        <v>133</v>
      </c>
      <c r="F54" s="66">
        <v>30</v>
      </c>
      <c r="G54" s="66">
        <v>0</v>
      </c>
      <c r="H54" s="8"/>
      <c r="I54" s="8">
        <v>0</v>
      </c>
      <c r="J54">
        <v>25</v>
      </c>
      <c r="K54" s="18">
        <v>83</v>
      </c>
      <c r="L54" s="8">
        <v>30</v>
      </c>
      <c r="M54" s="71">
        <v>25</v>
      </c>
      <c r="N54" s="18">
        <v>83</v>
      </c>
      <c r="O54" s="8">
        <v>30</v>
      </c>
      <c r="P54" s="71">
        <v>25</v>
      </c>
      <c r="Q54" s="18">
        <v>83</v>
      </c>
      <c r="R54" s="18">
        <v>0</v>
      </c>
      <c r="S54" s="8">
        <v>30</v>
      </c>
      <c r="T54" s="71">
        <v>25</v>
      </c>
      <c r="U54" s="18">
        <v>83</v>
      </c>
      <c r="V54" s="66">
        <f t="shared" si="9"/>
        <v>0</v>
      </c>
      <c r="W54" s="66">
        <f>SUM(F54:V54)</f>
        <v>552</v>
      </c>
      <c r="X54" s="66">
        <v>1296</v>
      </c>
      <c r="Y54" s="66">
        <f t="shared" si="10"/>
        <v>744</v>
      </c>
    </row>
    <row r="55" spans="1:25" x14ac:dyDescent="0.3">
      <c r="A55">
        <v>50</v>
      </c>
      <c r="D55" t="s">
        <v>133</v>
      </c>
      <c r="F55" s="66">
        <v>30</v>
      </c>
      <c r="G55" s="66">
        <v>0</v>
      </c>
      <c r="H55" s="8"/>
      <c r="I55" s="8">
        <v>0</v>
      </c>
      <c r="J55">
        <v>25</v>
      </c>
      <c r="K55" s="18">
        <v>83</v>
      </c>
      <c r="L55" s="8">
        <v>30</v>
      </c>
      <c r="M55" s="71">
        <v>25</v>
      </c>
      <c r="N55" s="18">
        <v>83</v>
      </c>
      <c r="O55" s="8">
        <v>30</v>
      </c>
      <c r="P55" s="71">
        <v>25</v>
      </c>
      <c r="Q55" s="18">
        <v>83</v>
      </c>
      <c r="R55" s="18">
        <v>0</v>
      </c>
      <c r="S55" s="8">
        <v>30</v>
      </c>
      <c r="T55" s="71">
        <v>25</v>
      </c>
      <c r="U55" s="18">
        <v>83</v>
      </c>
      <c r="V55" s="66">
        <f t="shared" si="9"/>
        <v>0</v>
      </c>
      <c r="W55" s="66">
        <f>SUM(F55:V55)</f>
        <v>552</v>
      </c>
      <c r="X55" s="66">
        <v>1296</v>
      </c>
      <c r="Y55" s="66">
        <f t="shared" si="10"/>
        <v>744</v>
      </c>
    </row>
    <row r="56" spans="1:25" x14ac:dyDescent="0.3">
      <c r="A56">
        <v>51</v>
      </c>
      <c r="D56" t="s">
        <v>133</v>
      </c>
      <c r="F56" s="66">
        <v>30</v>
      </c>
      <c r="G56" s="66">
        <v>0</v>
      </c>
      <c r="H56" s="8"/>
      <c r="I56" s="8">
        <v>0</v>
      </c>
      <c r="J56">
        <v>25</v>
      </c>
      <c r="K56" s="18">
        <v>83</v>
      </c>
      <c r="L56" s="8">
        <v>30</v>
      </c>
      <c r="M56" s="71">
        <v>25</v>
      </c>
      <c r="N56" s="18">
        <v>83</v>
      </c>
      <c r="O56" s="8">
        <v>30</v>
      </c>
      <c r="P56" s="71">
        <v>25</v>
      </c>
      <c r="Q56" s="18">
        <v>83</v>
      </c>
      <c r="R56" s="18">
        <v>0</v>
      </c>
      <c r="S56" s="8">
        <v>30</v>
      </c>
      <c r="T56" s="71">
        <v>25</v>
      </c>
      <c r="U56" s="18">
        <v>83</v>
      </c>
      <c r="V56" s="66">
        <f t="shared" si="9"/>
        <v>0</v>
      </c>
      <c r="W56" s="66">
        <f>SUM(F56:V56)</f>
        <v>552</v>
      </c>
      <c r="X56" s="66">
        <v>1296</v>
      </c>
      <c r="Y56" s="66">
        <f t="shared" si="10"/>
        <v>744</v>
      </c>
    </row>
    <row r="57" spans="1:25" x14ac:dyDescent="0.3">
      <c r="A57">
        <v>52</v>
      </c>
      <c r="D57" t="s">
        <v>133</v>
      </c>
      <c r="F57" s="66">
        <v>30</v>
      </c>
      <c r="G57" s="66">
        <v>0</v>
      </c>
      <c r="H57" s="8"/>
      <c r="I57" s="8">
        <v>0</v>
      </c>
      <c r="J57">
        <v>25</v>
      </c>
      <c r="K57" s="18">
        <v>83</v>
      </c>
      <c r="L57" s="8">
        <v>30</v>
      </c>
      <c r="M57" s="71">
        <v>25</v>
      </c>
      <c r="N57" s="18">
        <v>83</v>
      </c>
      <c r="O57" s="8">
        <v>30</v>
      </c>
      <c r="P57" s="71">
        <v>25</v>
      </c>
      <c r="Q57" s="18">
        <v>83</v>
      </c>
      <c r="R57" s="18">
        <v>0</v>
      </c>
      <c r="S57" s="8">
        <v>30</v>
      </c>
      <c r="T57" s="71">
        <v>25</v>
      </c>
      <c r="U57" s="18">
        <v>83</v>
      </c>
      <c r="V57" s="66">
        <f t="shared" si="9"/>
        <v>0</v>
      </c>
      <c r="W57" s="66">
        <f>SUM(F57:V57)</f>
        <v>552</v>
      </c>
      <c r="X57" s="66">
        <v>1296</v>
      </c>
      <c r="Y57" s="66">
        <f t="shared" si="10"/>
        <v>744</v>
      </c>
    </row>
    <row r="58" spans="1:25" x14ac:dyDescent="0.3">
      <c r="A58">
        <v>53</v>
      </c>
      <c r="B58" t="s">
        <v>191</v>
      </c>
      <c r="D58" t="s">
        <v>134</v>
      </c>
      <c r="F58" s="66">
        <v>30</v>
      </c>
      <c r="G58" s="66">
        <v>0</v>
      </c>
      <c r="H58" s="8"/>
      <c r="I58" s="8">
        <v>0</v>
      </c>
      <c r="J58" s="71">
        <v>0</v>
      </c>
      <c r="K58" s="18"/>
      <c r="L58" s="8">
        <v>0</v>
      </c>
      <c r="M58" s="71">
        <v>0</v>
      </c>
      <c r="N58" s="18">
        <v>0</v>
      </c>
      <c r="O58" s="8">
        <v>0</v>
      </c>
      <c r="P58">
        <v>25</v>
      </c>
      <c r="Q58" s="18">
        <v>83</v>
      </c>
      <c r="R58" s="18">
        <v>33</v>
      </c>
      <c r="S58" s="8">
        <v>30</v>
      </c>
      <c r="T58" s="71">
        <v>25</v>
      </c>
      <c r="U58" s="18">
        <v>83</v>
      </c>
      <c r="V58" s="66">
        <f t="shared" si="9"/>
        <v>33</v>
      </c>
      <c r="W58" s="66">
        <f>SUM(F58:V58)</f>
        <v>342</v>
      </c>
      <c r="X58" s="66">
        <v>765</v>
      </c>
      <c r="Y58" s="66">
        <f t="shared" si="10"/>
        <v>423</v>
      </c>
    </row>
    <row r="59" spans="1:25" x14ac:dyDescent="0.3">
      <c r="B59" t="s">
        <v>192</v>
      </c>
      <c r="D59" t="s">
        <v>137</v>
      </c>
      <c r="F59" s="66">
        <v>30</v>
      </c>
      <c r="G59" s="66">
        <v>0</v>
      </c>
      <c r="H59" s="8"/>
      <c r="I59" s="8">
        <v>0</v>
      </c>
      <c r="J59" s="71">
        <v>25</v>
      </c>
      <c r="K59" s="18">
        <v>0</v>
      </c>
      <c r="L59" s="8">
        <v>30</v>
      </c>
      <c r="M59" s="71">
        <v>25</v>
      </c>
      <c r="N59" s="18">
        <v>0</v>
      </c>
      <c r="O59" s="8">
        <v>30</v>
      </c>
      <c r="P59" s="71">
        <v>25</v>
      </c>
      <c r="Q59" s="18">
        <v>0</v>
      </c>
      <c r="R59" s="18">
        <v>0</v>
      </c>
      <c r="S59" s="8"/>
      <c r="U59" s="18">
        <v>0</v>
      </c>
      <c r="V59" s="66"/>
      <c r="W59" s="66"/>
      <c r="X59" s="66"/>
      <c r="Y59" s="66"/>
    </row>
    <row r="60" spans="1:25" x14ac:dyDescent="0.3">
      <c r="A60">
        <v>55</v>
      </c>
      <c r="B60" t="s">
        <v>193</v>
      </c>
      <c r="D60" t="s">
        <v>137</v>
      </c>
      <c r="F60" s="66"/>
      <c r="G60" s="66"/>
      <c r="H60" s="8"/>
      <c r="I60" s="8">
        <v>0</v>
      </c>
      <c r="J60" s="71">
        <v>25</v>
      </c>
      <c r="K60" s="18">
        <v>0</v>
      </c>
      <c r="L60" s="8">
        <v>30</v>
      </c>
      <c r="M60" s="71">
        <v>25</v>
      </c>
      <c r="N60" s="18">
        <v>0</v>
      </c>
      <c r="O60" s="8">
        <v>30</v>
      </c>
      <c r="P60" s="71">
        <v>25</v>
      </c>
      <c r="Q60" s="18">
        <v>0</v>
      </c>
      <c r="R60" s="18">
        <v>0</v>
      </c>
      <c r="S60" s="8"/>
      <c r="U60" s="18">
        <v>0</v>
      </c>
      <c r="V60" s="66">
        <f>R60+I60</f>
        <v>0</v>
      </c>
      <c r="W60" s="66">
        <f>SUM(F60:V60)</f>
        <v>135</v>
      </c>
      <c r="X60" s="66">
        <f>G60</f>
        <v>0</v>
      </c>
      <c r="Y60" s="66"/>
    </row>
    <row r="61" spans="1:25" x14ac:dyDescent="0.3">
      <c r="A61">
        <v>56</v>
      </c>
      <c r="B61" t="s">
        <v>194</v>
      </c>
      <c r="D61" t="s">
        <v>136</v>
      </c>
      <c r="F61" s="66">
        <v>30</v>
      </c>
      <c r="G61" s="66">
        <v>0</v>
      </c>
      <c r="H61" s="8"/>
      <c r="I61" s="8">
        <v>0</v>
      </c>
      <c r="J61">
        <v>0</v>
      </c>
      <c r="K61" s="18">
        <v>0</v>
      </c>
      <c r="L61" s="8">
        <v>0</v>
      </c>
      <c r="M61" s="71">
        <v>0</v>
      </c>
      <c r="N61" s="18">
        <v>0</v>
      </c>
      <c r="O61" s="8">
        <v>0</v>
      </c>
      <c r="P61" s="71">
        <v>25</v>
      </c>
      <c r="Q61" s="18">
        <v>0</v>
      </c>
      <c r="R61" s="18">
        <v>0</v>
      </c>
      <c r="S61" s="8">
        <v>30</v>
      </c>
      <c r="T61" s="71">
        <v>25</v>
      </c>
      <c r="U61" s="18">
        <v>0</v>
      </c>
      <c r="V61" s="66">
        <f>R61+I61</f>
        <v>0</v>
      </c>
      <c r="W61" s="66">
        <f>SUM(F61:V61)</f>
        <v>110</v>
      </c>
      <c r="X61" s="66">
        <v>570</v>
      </c>
      <c r="Y61" s="66">
        <f>+X61-W61</f>
        <v>460</v>
      </c>
    </row>
    <row r="62" spans="1:25" x14ac:dyDescent="0.3">
      <c r="A62">
        <v>57</v>
      </c>
      <c r="B62" t="s">
        <v>195</v>
      </c>
      <c r="D62" t="s">
        <v>138</v>
      </c>
      <c r="F62" s="66">
        <v>30</v>
      </c>
      <c r="G62" s="66">
        <v>0</v>
      </c>
      <c r="H62" s="8"/>
      <c r="I62" s="8">
        <v>0</v>
      </c>
      <c r="J62">
        <v>25</v>
      </c>
      <c r="K62" s="18">
        <v>83</v>
      </c>
      <c r="L62" s="8">
        <v>30</v>
      </c>
      <c r="M62" s="71">
        <v>25</v>
      </c>
      <c r="N62" s="18">
        <v>83</v>
      </c>
      <c r="O62" s="8">
        <v>30</v>
      </c>
      <c r="P62" s="71">
        <v>25</v>
      </c>
      <c r="Q62" s="18">
        <v>83</v>
      </c>
      <c r="R62" s="18">
        <v>0</v>
      </c>
      <c r="S62" s="8">
        <v>30</v>
      </c>
      <c r="T62" s="71">
        <v>25</v>
      </c>
      <c r="U62" s="18">
        <v>83</v>
      </c>
      <c r="V62" s="66">
        <f>R62+I62</f>
        <v>0</v>
      </c>
      <c r="W62" s="66">
        <f>SUM(F62:V62)</f>
        <v>552</v>
      </c>
      <c r="X62" s="66">
        <v>1296</v>
      </c>
      <c r="Y62" s="66">
        <f>+X62-W62</f>
        <v>744</v>
      </c>
    </row>
    <row r="63" spans="1:25" x14ac:dyDescent="0.3">
      <c r="A63">
        <v>58</v>
      </c>
      <c r="B63" t="s">
        <v>196</v>
      </c>
      <c r="D63" t="s">
        <v>138</v>
      </c>
      <c r="F63" s="66">
        <v>30</v>
      </c>
      <c r="G63" s="66">
        <v>0</v>
      </c>
      <c r="H63" s="8"/>
      <c r="I63" s="8">
        <v>0</v>
      </c>
      <c r="J63">
        <v>25</v>
      </c>
      <c r="K63" s="18">
        <v>83</v>
      </c>
      <c r="L63" s="8">
        <v>30</v>
      </c>
      <c r="M63" s="71">
        <v>25</v>
      </c>
      <c r="N63" s="18">
        <v>83</v>
      </c>
      <c r="O63" s="8">
        <v>30</v>
      </c>
      <c r="P63" s="71">
        <v>25</v>
      </c>
      <c r="Q63" s="18">
        <v>83</v>
      </c>
      <c r="R63" s="18">
        <v>0</v>
      </c>
      <c r="S63" s="8">
        <v>30</v>
      </c>
      <c r="T63" s="71">
        <v>25</v>
      </c>
      <c r="U63" s="18">
        <v>83</v>
      </c>
      <c r="V63" s="66">
        <f>R63+I63</f>
        <v>0</v>
      </c>
      <c r="W63" s="66">
        <f>SUM(F63:V63)</f>
        <v>552</v>
      </c>
      <c r="X63" s="66">
        <v>1296</v>
      </c>
      <c r="Y63" s="66">
        <f>+X63-W63</f>
        <v>744</v>
      </c>
    </row>
    <row r="64" spans="1:25" x14ac:dyDescent="0.3">
      <c r="A64">
        <v>60</v>
      </c>
      <c r="D64" t="s">
        <v>139</v>
      </c>
      <c r="F64" s="66">
        <v>30</v>
      </c>
      <c r="G64" s="66"/>
      <c r="H64" s="8"/>
      <c r="I64" s="8">
        <v>0</v>
      </c>
      <c r="J64">
        <v>25</v>
      </c>
      <c r="K64" s="18">
        <v>0</v>
      </c>
      <c r="L64" s="8">
        <v>30</v>
      </c>
      <c r="M64" s="71">
        <v>25</v>
      </c>
      <c r="N64" s="18">
        <v>0</v>
      </c>
      <c r="O64" s="8">
        <v>30</v>
      </c>
      <c r="Q64" s="18">
        <v>0</v>
      </c>
      <c r="R64" s="18"/>
      <c r="S64" s="8"/>
      <c r="U64" s="18">
        <v>83</v>
      </c>
      <c r="V64" s="66">
        <f>R64+I64</f>
        <v>0</v>
      </c>
      <c r="W64" s="66">
        <f>SUM(F64:V64)</f>
        <v>223</v>
      </c>
      <c r="X64" s="66">
        <f>G64</f>
        <v>0</v>
      </c>
      <c r="Y64" s="66"/>
    </row>
    <row r="65" spans="1:25" x14ac:dyDescent="0.3">
      <c r="D65" t="s">
        <v>139</v>
      </c>
      <c r="F65" s="66">
        <v>30</v>
      </c>
      <c r="G65" s="66"/>
      <c r="H65" s="8"/>
      <c r="I65" s="8"/>
      <c r="J65">
        <v>25</v>
      </c>
      <c r="K65" s="18"/>
      <c r="L65" s="8">
        <v>30</v>
      </c>
      <c r="M65" s="71">
        <v>25</v>
      </c>
      <c r="N65" s="18">
        <v>0</v>
      </c>
      <c r="O65" s="8">
        <v>30</v>
      </c>
      <c r="Q65" s="18"/>
      <c r="R65" s="18"/>
      <c r="S65" s="8"/>
      <c r="U65" s="18"/>
      <c r="V65" s="66"/>
      <c r="W65" s="66"/>
      <c r="X65" s="66"/>
      <c r="Y65" s="66"/>
    </row>
    <row r="66" spans="1:25" x14ac:dyDescent="0.3">
      <c r="A66">
        <v>61</v>
      </c>
      <c r="B66" t="s">
        <v>197</v>
      </c>
      <c r="D66" t="s">
        <v>140</v>
      </c>
      <c r="F66" s="66">
        <v>30</v>
      </c>
      <c r="G66" s="66">
        <v>0</v>
      </c>
      <c r="H66" s="8"/>
      <c r="I66" s="8">
        <v>33</v>
      </c>
      <c r="J66">
        <v>25</v>
      </c>
      <c r="K66" s="18">
        <v>83</v>
      </c>
      <c r="L66" s="8">
        <v>30</v>
      </c>
      <c r="M66" s="71">
        <v>25</v>
      </c>
      <c r="N66" s="18">
        <v>83</v>
      </c>
      <c r="O66" s="8">
        <v>30</v>
      </c>
      <c r="P66" s="71">
        <v>25</v>
      </c>
      <c r="Q66" s="18">
        <v>83</v>
      </c>
      <c r="R66" s="18">
        <v>0</v>
      </c>
      <c r="S66" s="8">
        <v>30</v>
      </c>
      <c r="T66" s="71">
        <v>25</v>
      </c>
      <c r="U66" s="18">
        <v>83</v>
      </c>
      <c r="V66" s="66">
        <v>33</v>
      </c>
      <c r="W66" s="66">
        <f>SUM(F66:V66)</f>
        <v>618</v>
      </c>
      <c r="X66" s="66">
        <v>1377</v>
      </c>
      <c r="Y66" s="66">
        <f>+X66-W66</f>
        <v>759</v>
      </c>
    </row>
    <row r="67" spans="1:25" x14ac:dyDescent="0.3">
      <c r="A67">
        <v>62</v>
      </c>
      <c r="B67" t="s">
        <v>198</v>
      </c>
      <c r="D67" t="s">
        <v>140</v>
      </c>
      <c r="F67" s="66">
        <v>30</v>
      </c>
      <c r="G67" s="66">
        <v>0</v>
      </c>
      <c r="H67" s="8"/>
      <c r="I67" s="8">
        <v>33</v>
      </c>
      <c r="J67">
        <v>25</v>
      </c>
      <c r="K67" s="18">
        <v>83</v>
      </c>
      <c r="L67" s="8">
        <v>30</v>
      </c>
      <c r="M67" s="71">
        <v>25</v>
      </c>
      <c r="N67" s="18">
        <v>83</v>
      </c>
      <c r="O67" s="8">
        <v>30</v>
      </c>
      <c r="P67" s="71">
        <v>25</v>
      </c>
      <c r="Q67" s="18">
        <v>83</v>
      </c>
      <c r="R67" s="18">
        <v>0</v>
      </c>
      <c r="S67" s="8">
        <v>30</v>
      </c>
      <c r="T67" s="71">
        <v>25</v>
      </c>
      <c r="U67" s="18">
        <v>83</v>
      </c>
      <c r="V67" s="66">
        <v>33</v>
      </c>
      <c r="W67" s="66">
        <f>SUM(F67:V67)</f>
        <v>618</v>
      </c>
      <c r="X67" s="66">
        <v>1377</v>
      </c>
      <c r="Y67" s="66">
        <f>+X67-W67</f>
        <v>759</v>
      </c>
    </row>
    <row r="68" spans="1:25" x14ac:dyDescent="0.3">
      <c r="A68">
        <v>63</v>
      </c>
      <c r="D68" t="s">
        <v>140</v>
      </c>
      <c r="F68" s="66">
        <v>5</v>
      </c>
      <c r="G68" s="66">
        <v>0</v>
      </c>
      <c r="H68" s="8"/>
      <c r="I68" s="8">
        <v>33</v>
      </c>
      <c r="J68">
        <v>25</v>
      </c>
      <c r="K68" s="18">
        <v>83</v>
      </c>
      <c r="L68" s="8">
        <v>30</v>
      </c>
      <c r="M68">
        <v>25</v>
      </c>
      <c r="N68" s="18">
        <v>83</v>
      </c>
      <c r="O68" s="8">
        <v>30</v>
      </c>
      <c r="P68" s="71">
        <v>25</v>
      </c>
      <c r="Q68" s="18">
        <v>83</v>
      </c>
      <c r="R68" s="18">
        <v>33</v>
      </c>
      <c r="S68" s="8"/>
      <c r="U68" s="18">
        <v>83</v>
      </c>
      <c r="V68" s="66"/>
      <c r="W68" s="66">
        <f>SUM(F68:V68)</f>
        <v>538</v>
      </c>
      <c r="X68" s="66">
        <f>G68</f>
        <v>0</v>
      </c>
      <c r="Y68" s="66"/>
    </row>
    <row r="69" spans="1:25" x14ac:dyDescent="0.3">
      <c r="A69">
        <v>64</v>
      </c>
      <c r="D69" t="s">
        <v>140</v>
      </c>
      <c r="F69" s="66">
        <v>5</v>
      </c>
      <c r="G69" s="66">
        <v>0</v>
      </c>
      <c r="H69" s="8"/>
      <c r="I69" s="8">
        <v>33</v>
      </c>
      <c r="J69">
        <v>25</v>
      </c>
      <c r="K69" s="18">
        <v>83</v>
      </c>
      <c r="L69" s="8">
        <v>30</v>
      </c>
      <c r="M69" s="71">
        <v>25</v>
      </c>
      <c r="N69" s="18">
        <v>83</v>
      </c>
      <c r="O69" s="8">
        <v>30</v>
      </c>
      <c r="P69" s="71">
        <v>25</v>
      </c>
      <c r="Q69" s="18">
        <v>83</v>
      </c>
      <c r="R69" s="18">
        <v>33</v>
      </c>
      <c r="S69" s="8"/>
      <c r="U69" s="18">
        <v>83</v>
      </c>
      <c r="V69" s="66"/>
      <c r="W69" s="66">
        <f>SUM(F69:V69)</f>
        <v>538</v>
      </c>
      <c r="X69" s="66">
        <f>G69</f>
        <v>0</v>
      </c>
      <c r="Y69" s="66"/>
    </row>
    <row r="70" spans="1:25" x14ac:dyDescent="0.3">
      <c r="A70">
        <v>65</v>
      </c>
      <c r="D70" t="s">
        <v>140</v>
      </c>
      <c r="F70" s="66">
        <v>5</v>
      </c>
      <c r="G70" s="66">
        <v>0</v>
      </c>
      <c r="H70" s="8"/>
      <c r="I70" s="8">
        <v>33</v>
      </c>
      <c r="J70">
        <v>25</v>
      </c>
      <c r="K70" s="18">
        <v>83</v>
      </c>
      <c r="L70" s="8">
        <v>30</v>
      </c>
      <c r="M70" s="71">
        <v>25</v>
      </c>
      <c r="N70" s="18">
        <v>83</v>
      </c>
      <c r="O70" s="8">
        <v>30</v>
      </c>
      <c r="P70" s="71">
        <v>25</v>
      </c>
      <c r="Q70" s="18">
        <v>83</v>
      </c>
      <c r="R70" s="18">
        <v>33</v>
      </c>
      <c r="S70" s="8"/>
      <c r="U70" s="18">
        <v>83</v>
      </c>
      <c r="V70" s="66"/>
      <c r="W70" s="66">
        <f>SUM(F70:V70)</f>
        <v>538</v>
      </c>
      <c r="X70" s="66">
        <f>G70</f>
        <v>0</v>
      </c>
      <c r="Y70" s="66"/>
    </row>
    <row r="71" spans="1:25" x14ac:dyDescent="0.3">
      <c r="A71">
        <v>66</v>
      </c>
      <c r="D71" t="s">
        <v>140</v>
      </c>
      <c r="F71" s="66">
        <v>5</v>
      </c>
      <c r="G71" s="66">
        <v>0</v>
      </c>
      <c r="H71" s="8"/>
      <c r="I71" s="8">
        <v>33</v>
      </c>
      <c r="J71">
        <v>25</v>
      </c>
      <c r="K71" s="18">
        <v>83</v>
      </c>
      <c r="L71" s="8">
        <v>30</v>
      </c>
      <c r="M71" s="71">
        <v>25</v>
      </c>
      <c r="N71" s="18">
        <v>83</v>
      </c>
      <c r="O71" s="8">
        <v>30</v>
      </c>
      <c r="P71" s="71">
        <v>25</v>
      </c>
      <c r="Q71" s="18">
        <v>83</v>
      </c>
      <c r="R71" s="18">
        <v>33</v>
      </c>
      <c r="S71" s="8"/>
      <c r="U71" s="18">
        <v>83</v>
      </c>
      <c r="V71" s="66"/>
      <c r="W71" s="66">
        <f>SUM(F71:V71)</f>
        <v>538</v>
      </c>
      <c r="X71" s="66">
        <f>G71</f>
        <v>0</v>
      </c>
      <c r="Y71" s="66"/>
    </row>
    <row r="72" spans="1:25" x14ac:dyDescent="0.3">
      <c r="A72">
        <v>67</v>
      </c>
      <c r="D72" t="s">
        <v>140</v>
      </c>
      <c r="F72" s="66">
        <v>5</v>
      </c>
      <c r="G72" s="66">
        <v>0</v>
      </c>
      <c r="H72" s="8"/>
      <c r="I72" s="8">
        <v>33</v>
      </c>
      <c r="J72">
        <v>25</v>
      </c>
      <c r="K72" s="18">
        <v>83</v>
      </c>
      <c r="L72" s="8">
        <v>30</v>
      </c>
      <c r="M72" s="71">
        <v>25</v>
      </c>
      <c r="N72" s="18">
        <v>83</v>
      </c>
      <c r="O72" s="8">
        <v>30</v>
      </c>
      <c r="P72" s="71">
        <v>25</v>
      </c>
      <c r="Q72" s="18">
        <v>83</v>
      </c>
      <c r="R72" s="18">
        <v>33</v>
      </c>
      <c r="S72" s="8"/>
      <c r="U72" s="18">
        <v>83</v>
      </c>
      <c r="V72" s="66"/>
      <c r="W72" s="66">
        <f>SUM(F72:V72)</f>
        <v>538</v>
      </c>
      <c r="X72" s="66">
        <f>G72</f>
        <v>0</v>
      </c>
      <c r="Y72" s="66"/>
    </row>
    <row r="73" spans="1:25" x14ac:dyDescent="0.3">
      <c r="A73">
        <v>68</v>
      </c>
      <c r="B73" t="s">
        <v>199</v>
      </c>
      <c r="D73" t="s">
        <v>101</v>
      </c>
      <c r="F73" s="66"/>
      <c r="G73" s="66">
        <v>0</v>
      </c>
      <c r="H73" s="8"/>
      <c r="I73" s="8">
        <v>0</v>
      </c>
      <c r="J73">
        <v>25</v>
      </c>
      <c r="K73" s="18">
        <v>83</v>
      </c>
      <c r="L73" s="8">
        <v>30</v>
      </c>
      <c r="M73" s="71">
        <v>25</v>
      </c>
      <c r="N73" s="18">
        <v>83</v>
      </c>
      <c r="O73" s="8">
        <v>30</v>
      </c>
      <c r="P73" s="71"/>
      <c r="Q73" s="18"/>
      <c r="R73" s="18">
        <v>0</v>
      </c>
      <c r="S73" s="8">
        <v>0</v>
      </c>
      <c r="T73" s="71">
        <v>0</v>
      </c>
      <c r="U73" s="18">
        <v>83</v>
      </c>
      <c r="V73" s="66">
        <f t="shared" ref="V73:V111" si="11">R73+I73</f>
        <v>0</v>
      </c>
      <c r="W73" s="66">
        <f>SUM(F73:V73)</f>
        <v>359</v>
      </c>
      <c r="X73" s="66">
        <v>300</v>
      </c>
      <c r="Y73" s="66">
        <f t="shared" ref="Y73:Y79" si="12">+X73-W73</f>
        <v>-59</v>
      </c>
    </row>
    <row r="74" spans="1:25" x14ac:dyDescent="0.3">
      <c r="A74">
        <v>69</v>
      </c>
      <c r="B74" t="s">
        <v>200</v>
      </c>
      <c r="D74" t="s">
        <v>101</v>
      </c>
      <c r="F74" s="66"/>
      <c r="G74" s="66">
        <v>0</v>
      </c>
      <c r="H74" s="8"/>
      <c r="I74" s="8">
        <v>0</v>
      </c>
      <c r="J74">
        <v>25</v>
      </c>
      <c r="K74" s="18">
        <v>83</v>
      </c>
      <c r="L74" s="8">
        <v>30</v>
      </c>
      <c r="M74" s="71">
        <v>25</v>
      </c>
      <c r="N74" s="18">
        <v>83</v>
      </c>
      <c r="O74" s="8">
        <v>30</v>
      </c>
      <c r="P74" s="71"/>
      <c r="Q74" s="18"/>
      <c r="R74" s="18">
        <v>0</v>
      </c>
      <c r="S74" s="8">
        <v>0</v>
      </c>
      <c r="T74" s="71">
        <v>0</v>
      </c>
      <c r="U74" s="18">
        <v>83</v>
      </c>
      <c r="V74" s="66">
        <f>R74+I74</f>
        <v>0</v>
      </c>
      <c r="W74" s="66">
        <f>SUM(F74:V74)</f>
        <v>359</v>
      </c>
      <c r="X74" s="66">
        <v>300</v>
      </c>
      <c r="Y74" s="66">
        <f t="shared" si="12"/>
        <v>-59</v>
      </c>
    </row>
    <row r="75" spans="1:25" x14ac:dyDescent="0.3">
      <c r="A75">
        <v>70</v>
      </c>
      <c r="B75" t="s">
        <v>201</v>
      </c>
      <c r="D75" t="s">
        <v>101</v>
      </c>
      <c r="F75" s="66"/>
      <c r="G75" s="66">
        <v>0</v>
      </c>
      <c r="H75" s="8"/>
      <c r="I75" s="8"/>
      <c r="J75">
        <v>25</v>
      </c>
      <c r="K75" s="18">
        <v>83</v>
      </c>
      <c r="L75" s="8">
        <v>30</v>
      </c>
      <c r="M75" s="71">
        <v>25</v>
      </c>
      <c r="N75" s="18">
        <v>83</v>
      </c>
      <c r="O75" s="8">
        <v>30</v>
      </c>
      <c r="Q75" s="18"/>
      <c r="R75" s="18"/>
      <c r="S75" s="8"/>
      <c r="U75" s="18">
        <v>83</v>
      </c>
      <c r="V75" s="66">
        <f t="shared" si="11"/>
        <v>0</v>
      </c>
      <c r="W75" s="66">
        <f>SUM(F75:V75)</f>
        <v>359</v>
      </c>
      <c r="X75" s="66">
        <v>0</v>
      </c>
      <c r="Y75" s="66">
        <f t="shared" si="12"/>
        <v>-359</v>
      </c>
    </row>
    <row r="76" spans="1:25" x14ac:dyDescent="0.3">
      <c r="A76">
        <v>71</v>
      </c>
      <c r="B76" t="s">
        <v>202</v>
      </c>
      <c r="D76" t="s">
        <v>101</v>
      </c>
      <c r="F76" s="66">
        <v>30</v>
      </c>
      <c r="G76" s="66">
        <v>0</v>
      </c>
      <c r="H76" s="8"/>
      <c r="I76" s="8">
        <v>0</v>
      </c>
      <c r="J76">
        <v>25</v>
      </c>
      <c r="K76" s="18">
        <v>83</v>
      </c>
      <c r="L76" s="8">
        <v>30</v>
      </c>
      <c r="M76" s="71">
        <v>25</v>
      </c>
      <c r="N76" s="18">
        <v>83</v>
      </c>
      <c r="O76" s="8">
        <v>30</v>
      </c>
      <c r="P76" s="71"/>
      <c r="Q76" s="18"/>
      <c r="R76" s="18">
        <v>0</v>
      </c>
      <c r="S76" s="8">
        <v>0</v>
      </c>
      <c r="T76" s="71">
        <v>0</v>
      </c>
      <c r="U76" s="18">
        <v>83</v>
      </c>
      <c r="V76" s="66">
        <f>R76+I76</f>
        <v>0</v>
      </c>
      <c r="W76" s="66">
        <f>SUM(F76:V76)</f>
        <v>389</v>
      </c>
      <c r="X76" s="66">
        <v>300</v>
      </c>
      <c r="Y76" s="66">
        <f t="shared" si="12"/>
        <v>-89</v>
      </c>
    </row>
    <row r="77" spans="1:25" x14ac:dyDescent="0.3">
      <c r="A77">
        <v>72</v>
      </c>
      <c r="B77" t="s">
        <v>203</v>
      </c>
      <c r="D77" t="s">
        <v>148</v>
      </c>
      <c r="F77" s="66">
        <v>30</v>
      </c>
      <c r="G77" s="66">
        <v>0</v>
      </c>
      <c r="H77" s="8"/>
      <c r="I77" s="8">
        <v>0</v>
      </c>
      <c r="J77">
        <v>25</v>
      </c>
      <c r="K77" s="18">
        <v>83</v>
      </c>
      <c r="L77" s="8">
        <v>30</v>
      </c>
      <c r="M77" s="71">
        <v>25</v>
      </c>
      <c r="N77" s="18">
        <v>83</v>
      </c>
      <c r="O77" s="8">
        <v>30</v>
      </c>
      <c r="P77" s="71">
        <v>25</v>
      </c>
      <c r="Q77" s="18">
        <v>83</v>
      </c>
      <c r="R77" s="18">
        <v>0</v>
      </c>
      <c r="S77" s="8"/>
      <c r="U77" s="18">
        <v>83</v>
      </c>
      <c r="V77" s="66">
        <f t="shared" si="11"/>
        <v>0</v>
      </c>
      <c r="W77" s="66">
        <f>SUM(F77:V77)</f>
        <v>497</v>
      </c>
      <c r="X77" s="66">
        <v>720</v>
      </c>
      <c r="Y77" s="66">
        <f t="shared" si="12"/>
        <v>223</v>
      </c>
    </row>
    <row r="78" spans="1:25" x14ac:dyDescent="0.3">
      <c r="A78">
        <v>73</v>
      </c>
      <c r="B78" t="s">
        <v>204</v>
      </c>
      <c r="D78" t="s">
        <v>148</v>
      </c>
      <c r="F78" s="66">
        <v>30</v>
      </c>
      <c r="G78" s="66">
        <v>0</v>
      </c>
      <c r="H78" s="8"/>
      <c r="I78" s="8">
        <v>0</v>
      </c>
      <c r="J78">
        <v>25</v>
      </c>
      <c r="K78" s="18">
        <v>83</v>
      </c>
      <c r="L78" s="8">
        <v>30</v>
      </c>
      <c r="M78" s="71">
        <v>25</v>
      </c>
      <c r="N78" s="18">
        <v>83</v>
      </c>
      <c r="O78" s="8">
        <v>30</v>
      </c>
      <c r="P78" s="71">
        <v>25</v>
      </c>
      <c r="Q78" s="18">
        <v>83</v>
      </c>
      <c r="R78" s="18">
        <v>0</v>
      </c>
      <c r="S78" s="8"/>
      <c r="U78" s="18">
        <v>83</v>
      </c>
      <c r="V78" s="66">
        <f t="shared" si="11"/>
        <v>0</v>
      </c>
      <c r="W78" s="66">
        <f>SUM(F78:V78)</f>
        <v>497</v>
      </c>
      <c r="X78" s="66">
        <v>720</v>
      </c>
      <c r="Y78" s="66">
        <f t="shared" si="12"/>
        <v>223</v>
      </c>
    </row>
    <row r="79" spans="1:25" x14ac:dyDescent="0.3">
      <c r="A79">
        <v>74</v>
      </c>
      <c r="B79" t="s">
        <v>205</v>
      </c>
      <c r="D79" t="s">
        <v>148</v>
      </c>
      <c r="F79" s="66">
        <v>30</v>
      </c>
      <c r="G79" s="66">
        <v>0</v>
      </c>
      <c r="H79" s="8"/>
      <c r="I79" s="8">
        <v>0</v>
      </c>
      <c r="J79">
        <v>25</v>
      </c>
      <c r="K79" s="18">
        <v>83</v>
      </c>
      <c r="L79" s="8">
        <v>30</v>
      </c>
      <c r="M79">
        <v>25</v>
      </c>
      <c r="N79" s="18">
        <v>83</v>
      </c>
      <c r="O79" s="8">
        <v>30</v>
      </c>
      <c r="P79">
        <v>25</v>
      </c>
      <c r="Q79" s="18">
        <v>83</v>
      </c>
      <c r="R79" s="18">
        <v>0</v>
      </c>
      <c r="S79" s="8"/>
      <c r="U79" s="18">
        <v>83</v>
      </c>
      <c r="V79" s="66">
        <f t="shared" si="11"/>
        <v>0</v>
      </c>
      <c r="W79" s="66">
        <f>SUM(F79:V79)</f>
        <v>497</v>
      </c>
      <c r="X79" s="66">
        <v>720</v>
      </c>
      <c r="Y79" s="66">
        <f t="shared" si="12"/>
        <v>223</v>
      </c>
    </row>
    <row r="80" spans="1:25" x14ac:dyDescent="0.3">
      <c r="A80">
        <v>77</v>
      </c>
      <c r="B80" t="s">
        <v>206</v>
      </c>
      <c r="D80" t="s">
        <v>141</v>
      </c>
      <c r="F80" s="66">
        <v>30</v>
      </c>
      <c r="G80" s="66">
        <v>0</v>
      </c>
      <c r="H80" s="8"/>
      <c r="I80" s="8">
        <v>0</v>
      </c>
      <c r="J80" s="71">
        <v>25</v>
      </c>
      <c r="K80" s="18">
        <v>83</v>
      </c>
      <c r="L80" s="8">
        <v>30</v>
      </c>
      <c r="M80" s="71">
        <v>25</v>
      </c>
      <c r="N80" s="18">
        <v>83</v>
      </c>
      <c r="O80" s="8">
        <v>30</v>
      </c>
      <c r="P80" s="71">
        <v>25</v>
      </c>
      <c r="Q80" s="18">
        <v>83</v>
      </c>
      <c r="R80" s="18">
        <v>0</v>
      </c>
      <c r="S80" s="8">
        <v>30</v>
      </c>
      <c r="T80" s="71">
        <v>25</v>
      </c>
      <c r="U80" s="18">
        <v>83</v>
      </c>
      <c r="V80" s="66">
        <f t="shared" si="11"/>
        <v>0</v>
      </c>
      <c r="W80" s="66">
        <f>SUM(F80:V80)</f>
        <v>552</v>
      </c>
      <c r="X80" s="66">
        <v>1296</v>
      </c>
      <c r="Y80" s="66">
        <f t="shared" ref="Y80:Y88" si="13">+X80-W80</f>
        <v>744</v>
      </c>
    </row>
    <row r="81" spans="1:25" x14ac:dyDescent="0.3">
      <c r="A81">
        <v>78</v>
      </c>
      <c r="B81" t="s">
        <v>207</v>
      </c>
      <c r="D81" t="s">
        <v>141</v>
      </c>
      <c r="F81" s="66">
        <v>30</v>
      </c>
      <c r="G81" s="66">
        <v>0</v>
      </c>
      <c r="H81" s="8"/>
      <c r="I81" s="8">
        <v>0</v>
      </c>
      <c r="J81" s="71">
        <v>25</v>
      </c>
      <c r="K81" s="18">
        <v>83</v>
      </c>
      <c r="L81" s="8">
        <v>30</v>
      </c>
      <c r="M81" s="71">
        <v>25</v>
      </c>
      <c r="N81" s="18">
        <v>83</v>
      </c>
      <c r="O81" s="8">
        <v>30</v>
      </c>
      <c r="P81" s="71">
        <v>25</v>
      </c>
      <c r="Q81" s="18">
        <v>83</v>
      </c>
      <c r="R81" s="18"/>
      <c r="S81" s="8">
        <v>30</v>
      </c>
      <c r="T81" s="71">
        <v>25</v>
      </c>
      <c r="U81" s="18">
        <v>83</v>
      </c>
      <c r="V81" s="66">
        <f t="shared" si="11"/>
        <v>0</v>
      </c>
      <c r="W81" s="66">
        <f>SUM(F81:V81)</f>
        <v>552</v>
      </c>
      <c r="X81" s="66">
        <v>1296</v>
      </c>
      <c r="Y81" s="66">
        <f t="shared" si="13"/>
        <v>744</v>
      </c>
    </row>
    <row r="82" spans="1:25" x14ac:dyDescent="0.3">
      <c r="A82">
        <v>79</v>
      </c>
      <c r="B82" t="s">
        <v>208</v>
      </c>
      <c r="D82" t="s">
        <v>141</v>
      </c>
      <c r="F82" s="66">
        <v>30</v>
      </c>
      <c r="G82" s="66">
        <v>0</v>
      </c>
      <c r="H82" s="8"/>
      <c r="I82" s="8">
        <v>0</v>
      </c>
      <c r="J82" s="71">
        <v>25</v>
      </c>
      <c r="K82" s="18">
        <v>55</v>
      </c>
      <c r="L82" s="8">
        <v>30</v>
      </c>
      <c r="M82" s="71">
        <v>25</v>
      </c>
      <c r="N82" s="18">
        <v>55</v>
      </c>
      <c r="O82" s="8">
        <v>30</v>
      </c>
      <c r="P82" s="71">
        <v>25</v>
      </c>
      <c r="Q82" s="18">
        <v>55</v>
      </c>
      <c r="R82" s="18"/>
      <c r="S82" s="8">
        <v>30</v>
      </c>
      <c r="T82" s="71">
        <v>25</v>
      </c>
      <c r="U82" s="18">
        <v>55</v>
      </c>
      <c r="V82" s="66">
        <f>R82+I82</f>
        <v>0</v>
      </c>
      <c r="W82" s="66">
        <f>SUM(F82:V82)</f>
        <v>440</v>
      </c>
      <c r="X82" s="66">
        <v>1296</v>
      </c>
      <c r="Y82" s="66">
        <f t="shared" si="13"/>
        <v>856</v>
      </c>
    </row>
    <row r="83" spans="1:25" x14ac:dyDescent="0.3">
      <c r="A83">
        <v>80</v>
      </c>
      <c r="D83" t="s">
        <v>182</v>
      </c>
      <c r="F83" s="66">
        <v>30</v>
      </c>
      <c r="G83" s="66">
        <v>0</v>
      </c>
      <c r="H83" s="8"/>
      <c r="I83" s="8">
        <v>0</v>
      </c>
      <c r="J83" s="71">
        <v>25</v>
      </c>
      <c r="K83" s="18">
        <v>55</v>
      </c>
      <c r="L83" s="8">
        <v>30</v>
      </c>
      <c r="M83" s="71">
        <v>25</v>
      </c>
      <c r="N83" s="18">
        <v>55</v>
      </c>
      <c r="O83" s="8">
        <v>30</v>
      </c>
      <c r="P83" s="71">
        <v>25</v>
      </c>
      <c r="Q83" s="18">
        <v>55</v>
      </c>
      <c r="R83" s="18"/>
      <c r="S83" s="8">
        <v>30</v>
      </c>
      <c r="T83" s="71">
        <v>25</v>
      </c>
      <c r="U83" s="18">
        <v>55</v>
      </c>
      <c r="V83" s="66">
        <f t="shared" si="11"/>
        <v>0</v>
      </c>
      <c r="W83" s="66">
        <f>SUM(F83:V83)</f>
        <v>440</v>
      </c>
      <c r="X83" s="66">
        <v>1140</v>
      </c>
      <c r="Y83" s="66">
        <f t="shared" si="13"/>
        <v>700</v>
      </c>
    </row>
    <row r="84" spans="1:25" x14ac:dyDescent="0.3">
      <c r="A84">
        <v>81</v>
      </c>
      <c r="D84" t="s">
        <v>108</v>
      </c>
      <c r="F84" s="66">
        <v>30</v>
      </c>
      <c r="G84" s="66">
        <v>0</v>
      </c>
      <c r="H84" s="8"/>
      <c r="I84" s="8">
        <v>0</v>
      </c>
      <c r="J84" s="71">
        <v>25</v>
      </c>
      <c r="K84" s="18">
        <v>83</v>
      </c>
      <c r="L84" s="8">
        <v>30</v>
      </c>
      <c r="M84" s="71">
        <v>25</v>
      </c>
      <c r="N84" s="18">
        <v>0</v>
      </c>
      <c r="O84" s="8">
        <v>30</v>
      </c>
      <c r="P84" s="71">
        <v>25</v>
      </c>
      <c r="Q84" s="18">
        <v>83</v>
      </c>
      <c r="R84" s="18"/>
      <c r="S84" s="8">
        <v>30</v>
      </c>
      <c r="T84" s="71">
        <v>25</v>
      </c>
      <c r="U84" s="18">
        <v>83</v>
      </c>
      <c r="V84" s="66">
        <f t="shared" si="11"/>
        <v>0</v>
      </c>
      <c r="W84" s="66">
        <f>SUM(F84:V84)</f>
        <v>469</v>
      </c>
      <c r="X84" s="66">
        <v>1140</v>
      </c>
      <c r="Y84" s="66">
        <f t="shared" si="13"/>
        <v>671</v>
      </c>
    </row>
    <row r="85" spans="1:25" x14ac:dyDescent="0.3">
      <c r="A85">
        <v>83</v>
      </c>
      <c r="B85" t="s">
        <v>209</v>
      </c>
      <c r="D85" t="s">
        <v>142</v>
      </c>
      <c r="F85" s="66">
        <v>30</v>
      </c>
      <c r="G85" s="66">
        <v>0</v>
      </c>
      <c r="H85" s="8"/>
      <c r="I85" s="8">
        <v>0</v>
      </c>
      <c r="J85">
        <v>25</v>
      </c>
      <c r="K85" s="18">
        <v>83</v>
      </c>
      <c r="L85" s="8">
        <v>30</v>
      </c>
      <c r="M85" s="71">
        <v>25</v>
      </c>
      <c r="N85" s="18">
        <v>80</v>
      </c>
      <c r="O85" s="8">
        <v>30</v>
      </c>
      <c r="P85" s="71">
        <v>25</v>
      </c>
      <c r="Q85" s="18">
        <v>83</v>
      </c>
      <c r="R85" s="18">
        <v>0</v>
      </c>
      <c r="S85" s="8">
        <v>30</v>
      </c>
      <c r="T85" s="71">
        <v>25</v>
      </c>
      <c r="U85" s="18">
        <v>83</v>
      </c>
      <c r="V85" s="66">
        <f t="shared" si="11"/>
        <v>0</v>
      </c>
      <c r="W85" s="66">
        <f>SUM(F85:V85)</f>
        <v>549</v>
      </c>
      <c r="X85" s="66">
        <v>1332</v>
      </c>
      <c r="Y85" s="66">
        <f t="shared" si="13"/>
        <v>783</v>
      </c>
    </row>
    <row r="86" spans="1:25" x14ac:dyDescent="0.3">
      <c r="A86">
        <v>84</v>
      </c>
      <c r="B86" t="s">
        <v>210</v>
      </c>
      <c r="D86" t="s">
        <v>142</v>
      </c>
      <c r="F86" s="66">
        <v>30</v>
      </c>
      <c r="G86" s="66">
        <v>0</v>
      </c>
      <c r="H86" s="8"/>
      <c r="I86" s="8">
        <v>0</v>
      </c>
      <c r="J86">
        <v>25</v>
      </c>
      <c r="K86" s="18">
        <v>83</v>
      </c>
      <c r="L86" s="8">
        <v>30</v>
      </c>
      <c r="M86" s="71">
        <v>25</v>
      </c>
      <c r="N86" s="18">
        <v>80</v>
      </c>
      <c r="O86" s="8">
        <v>30</v>
      </c>
      <c r="P86">
        <v>25</v>
      </c>
      <c r="Q86" s="18">
        <v>83</v>
      </c>
      <c r="R86" s="18">
        <v>0</v>
      </c>
      <c r="S86" s="8">
        <v>30</v>
      </c>
      <c r="T86" s="71">
        <v>25</v>
      </c>
      <c r="U86" s="18">
        <v>83</v>
      </c>
      <c r="V86" s="66">
        <f t="shared" si="11"/>
        <v>0</v>
      </c>
      <c r="W86" s="66">
        <f>SUM(F86:V86)</f>
        <v>549</v>
      </c>
      <c r="X86" s="66">
        <v>1332</v>
      </c>
      <c r="Y86" s="66">
        <f t="shared" si="13"/>
        <v>783</v>
      </c>
    </row>
    <row r="87" spans="1:25" x14ac:dyDescent="0.3">
      <c r="A87">
        <v>85</v>
      </c>
      <c r="B87" t="s">
        <v>211</v>
      </c>
      <c r="D87" t="s">
        <v>142</v>
      </c>
      <c r="F87" s="66">
        <v>30</v>
      </c>
      <c r="G87" s="66">
        <v>0</v>
      </c>
      <c r="H87" s="8"/>
      <c r="I87" s="8">
        <v>0</v>
      </c>
      <c r="J87">
        <v>25</v>
      </c>
      <c r="K87" s="18">
        <v>83</v>
      </c>
      <c r="L87" s="8">
        <v>30</v>
      </c>
      <c r="M87" s="71">
        <v>0</v>
      </c>
      <c r="N87" s="18">
        <v>0</v>
      </c>
      <c r="O87" s="8">
        <v>30</v>
      </c>
      <c r="P87">
        <v>0</v>
      </c>
      <c r="Q87" s="18">
        <v>83</v>
      </c>
      <c r="R87" s="18">
        <v>0</v>
      </c>
      <c r="S87" s="8">
        <v>30</v>
      </c>
      <c r="T87" s="71">
        <v>0</v>
      </c>
      <c r="U87" s="18">
        <v>83</v>
      </c>
      <c r="V87" s="66">
        <f>R87+I87</f>
        <v>0</v>
      </c>
      <c r="W87" s="66">
        <f>SUM(F87:V87)</f>
        <v>394</v>
      </c>
      <c r="X87" s="66">
        <v>1040</v>
      </c>
      <c r="Y87" s="66">
        <f t="shared" si="13"/>
        <v>646</v>
      </c>
    </row>
    <row r="88" spans="1:25" x14ac:dyDescent="0.3">
      <c r="A88">
        <v>86</v>
      </c>
      <c r="B88" t="s">
        <v>212</v>
      </c>
      <c r="D88" t="s">
        <v>142</v>
      </c>
      <c r="F88" s="66">
        <v>30</v>
      </c>
      <c r="G88" s="66">
        <v>0</v>
      </c>
      <c r="H88" s="8"/>
      <c r="I88" s="8">
        <v>0</v>
      </c>
      <c r="J88">
        <v>25</v>
      </c>
      <c r="K88" s="18">
        <v>83</v>
      </c>
      <c r="L88" s="8">
        <v>30</v>
      </c>
      <c r="M88" s="71">
        <v>25</v>
      </c>
      <c r="N88" s="18">
        <v>80</v>
      </c>
      <c r="O88" s="8">
        <v>30</v>
      </c>
      <c r="P88" s="71">
        <v>25</v>
      </c>
      <c r="Q88" s="18">
        <v>83</v>
      </c>
      <c r="R88" s="18">
        <v>0</v>
      </c>
      <c r="S88" s="8">
        <v>30</v>
      </c>
      <c r="T88" s="71">
        <v>25</v>
      </c>
      <c r="U88" s="18">
        <v>83</v>
      </c>
      <c r="V88" s="66">
        <f>R88+I88</f>
        <v>0</v>
      </c>
      <c r="W88" s="66">
        <f>SUM(F88:V88)</f>
        <v>549</v>
      </c>
      <c r="X88" s="66">
        <v>1332</v>
      </c>
      <c r="Y88" s="66">
        <f t="shared" si="13"/>
        <v>783</v>
      </c>
    </row>
    <row r="89" spans="1:25" x14ac:dyDescent="0.3">
      <c r="A89">
        <v>87</v>
      </c>
      <c r="B89" t="s">
        <v>213</v>
      </c>
      <c r="D89" s="72" t="s">
        <v>143</v>
      </c>
      <c r="F89" s="66">
        <v>30</v>
      </c>
      <c r="G89" s="66">
        <v>0</v>
      </c>
      <c r="H89" s="8"/>
      <c r="I89" s="8">
        <v>0</v>
      </c>
      <c r="J89" s="71">
        <v>25</v>
      </c>
      <c r="K89" s="18">
        <v>83</v>
      </c>
      <c r="L89" s="8">
        <v>30</v>
      </c>
      <c r="M89" s="71">
        <v>25</v>
      </c>
      <c r="N89" s="18">
        <v>0</v>
      </c>
      <c r="O89" s="8">
        <v>30</v>
      </c>
      <c r="P89" s="71">
        <v>25</v>
      </c>
      <c r="Q89" s="18">
        <v>83</v>
      </c>
      <c r="R89" s="18">
        <v>0</v>
      </c>
      <c r="S89" s="8">
        <v>30</v>
      </c>
      <c r="T89" s="71">
        <v>25</v>
      </c>
      <c r="U89" s="18">
        <v>83</v>
      </c>
      <c r="V89" s="66">
        <f t="shared" si="11"/>
        <v>0</v>
      </c>
      <c r="W89" s="66">
        <f>SUM(F89:V89)</f>
        <v>469</v>
      </c>
      <c r="X89" s="66">
        <f>G89</f>
        <v>0</v>
      </c>
      <c r="Y89" s="66"/>
    </row>
    <row r="90" spans="1:25" x14ac:dyDescent="0.3">
      <c r="A90">
        <v>88</v>
      </c>
      <c r="B90" t="s">
        <v>214</v>
      </c>
      <c r="D90" t="s">
        <v>144</v>
      </c>
      <c r="F90" s="66">
        <v>30</v>
      </c>
      <c r="G90" s="66">
        <v>0</v>
      </c>
      <c r="H90" s="8"/>
      <c r="I90" s="8">
        <v>0</v>
      </c>
      <c r="J90">
        <v>25</v>
      </c>
      <c r="K90" s="18">
        <v>83</v>
      </c>
      <c r="L90" s="8">
        <v>30</v>
      </c>
      <c r="M90" s="71">
        <v>25</v>
      </c>
      <c r="N90" s="18">
        <v>80</v>
      </c>
      <c r="O90" s="8">
        <v>30</v>
      </c>
      <c r="P90" s="71">
        <v>25</v>
      </c>
      <c r="Q90" s="18">
        <v>83</v>
      </c>
      <c r="R90" s="18">
        <v>0</v>
      </c>
      <c r="S90" s="8">
        <v>30</v>
      </c>
      <c r="T90" s="71">
        <v>25</v>
      </c>
      <c r="U90" s="18">
        <v>83</v>
      </c>
      <c r="V90" s="66">
        <f t="shared" si="11"/>
        <v>0</v>
      </c>
      <c r="W90" s="66">
        <f>SUM(F90:V90)</f>
        <v>549</v>
      </c>
      <c r="X90" s="66">
        <v>1296</v>
      </c>
      <c r="Y90" s="66">
        <f>+X90-W90</f>
        <v>747</v>
      </c>
    </row>
    <row r="91" spans="1:25" x14ac:dyDescent="0.3">
      <c r="A91">
        <v>89</v>
      </c>
      <c r="B91" t="s">
        <v>215</v>
      </c>
      <c r="D91" t="s">
        <v>151</v>
      </c>
      <c r="F91" s="66">
        <v>30</v>
      </c>
      <c r="G91" s="66">
        <v>0</v>
      </c>
      <c r="H91" s="8"/>
      <c r="I91" s="8">
        <v>0</v>
      </c>
      <c r="J91">
        <v>25</v>
      </c>
      <c r="K91" s="18">
        <v>83</v>
      </c>
      <c r="L91" s="8">
        <v>30</v>
      </c>
      <c r="M91" s="71">
        <v>25</v>
      </c>
      <c r="N91" s="18">
        <v>0</v>
      </c>
      <c r="O91" s="8">
        <v>30</v>
      </c>
      <c r="P91" s="71">
        <v>25</v>
      </c>
      <c r="Q91" s="18">
        <v>0</v>
      </c>
      <c r="R91" s="18">
        <v>0</v>
      </c>
      <c r="S91" s="8"/>
      <c r="U91" s="18"/>
      <c r="V91" s="66">
        <f t="shared" si="11"/>
        <v>0</v>
      </c>
      <c r="W91" s="66">
        <f>SUM(F91:V91)</f>
        <v>248</v>
      </c>
      <c r="X91" s="66">
        <v>570</v>
      </c>
      <c r="Y91" s="66">
        <f>+X91-W91</f>
        <v>322</v>
      </c>
    </row>
    <row r="92" spans="1:25" x14ac:dyDescent="0.3">
      <c r="A92">
        <v>90</v>
      </c>
      <c r="B92" t="s">
        <v>216</v>
      </c>
      <c r="D92" t="s">
        <v>152</v>
      </c>
      <c r="F92" s="66">
        <v>30</v>
      </c>
      <c r="G92" s="66">
        <v>0</v>
      </c>
      <c r="H92" s="8"/>
      <c r="I92" s="8">
        <v>0</v>
      </c>
      <c r="J92">
        <v>0</v>
      </c>
      <c r="K92" s="18">
        <v>0</v>
      </c>
      <c r="L92" s="8">
        <v>0</v>
      </c>
      <c r="M92" s="71">
        <v>0</v>
      </c>
      <c r="N92" s="18">
        <v>0</v>
      </c>
      <c r="O92" s="8">
        <v>30</v>
      </c>
      <c r="P92" s="71">
        <v>25</v>
      </c>
      <c r="Q92" s="71">
        <v>83</v>
      </c>
      <c r="R92" s="18">
        <v>0</v>
      </c>
      <c r="S92" s="8">
        <v>30</v>
      </c>
      <c r="T92" s="71">
        <v>25</v>
      </c>
      <c r="U92" s="18">
        <v>80</v>
      </c>
      <c r="V92" s="66">
        <f t="shared" si="11"/>
        <v>0</v>
      </c>
      <c r="W92" s="66">
        <f>SUM(F92:V92)</f>
        <v>303</v>
      </c>
      <c r="X92" s="66">
        <v>720</v>
      </c>
      <c r="Y92" s="66">
        <f>+X92-W92</f>
        <v>417</v>
      </c>
    </row>
    <row r="93" spans="1:25" x14ac:dyDescent="0.3">
      <c r="A93">
        <v>91</v>
      </c>
      <c r="B93" t="s">
        <v>217</v>
      </c>
      <c r="D93" t="s">
        <v>152</v>
      </c>
      <c r="F93" s="66">
        <v>30</v>
      </c>
      <c r="G93" s="66">
        <v>0</v>
      </c>
      <c r="H93" s="8"/>
      <c r="I93" s="8">
        <v>0</v>
      </c>
      <c r="J93">
        <v>0</v>
      </c>
      <c r="K93" s="18">
        <v>0</v>
      </c>
      <c r="L93" s="8">
        <v>0</v>
      </c>
      <c r="M93" s="71">
        <v>0</v>
      </c>
      <c r="N93" s="18">
        <v>0</v>
      </c>
      <c r="O93" s="8">
        <v>30</v>
      </c>
      <c r="P93" s="71">
        <v>25</v>
      </c>
      <c r="Q93" s="71">
        <v>83</v>
      </c>
      <c r="R93" s="18">
        <v>0</v>
      </c>
      <c r="S93" s="8">
        <v>30</v>
      </c>
      <c r="T93" s="71">
        <v>25</v>
      </c>
      <c r="U93" s="18">
        <v>80</v>
      </c>
      <c r="V93" s="66">
        <f t="shared" si="11"/>
        <v>0</v>
      </c>
      <c r="W93" s="66">
        <f>SUM(F93:V93)</f>
        <v>303</v>
      </c>
      <c r="X93" s="66">
        <v>720</v>
      </c>
      <c r="Y93" s="66">
        <f>+X93-W93</f>
        <v>417</v>
      </c>
    </row>
    <row r="94" spans="1:25" x14ac:dyDescent="0.3">
      <c r="A94">
        <v>92</v>
      </c>
      <c r="B94" t="s">
        <v>218</v>
      </c>
      <c r="D94" t="s">
        <v>152</v>
      </c>
      <c r="F94" s="66">
        <v>30</v>
      </c>
      <c r="G94" s="66">
        <v>0</v>
      </c>
      <c r="H94" s="8"/>
      <c r="I94" s="8">
        <v>0</v>
      </c>
      <c r="J94">
        <v>0</v>
      </c>
      <c r="K94" s="18">
        <v>0</v>
      </c>
      <c r="L94" s="8">
        <v>0</v>
      </c>
      <c r="M94" s="71">
        <v>0</v>
      </c>
      <c r="N94" s="18">
        <v>0</v>
      </c>
      <c r="O94" s="8">
        <v>30</v>
      </c>
      <c r="P94" s="71">
        <v>25</v>
      </c>
      <c r="Q94" s="71">
        <v>83</v>
      </c>
      <c r="R94" s="18">
        <v>0</v>
      </c>
      <c r="S94" s="8">
        <v>30</v>
      </c>
      <c r="T94" s="71">
        <v>25</v>
      </c>
      <c r="U94" s="18">
        <v>80</v>
      </c>
      <c r="V94" s="66">
        <f t="shared" si="11"/>
        <v>0</v>
      </c>
      <c r="W94" s="66">
        <f>SUM(F94:V94)</f>
        <v>303</v>
      </c>
      <c r="X94" s="66">
        <v>720</v>
      </c>
      <c r="Y94" s="66">
        <f>+X94-W94</f>
        <v>417</v>
      </c>
    </row>
    <row r="95" spans="1:25" x14ac:dyDescent="0.3">
      <c r="A95">
        <v>93</v>
      </c>
      <c r="D95" s="72" t="s">
        <v>147</v>
      </c>
      <c r="F95" s="66">
        <v>30</v>
      </c>
      <c r="G95" s="66">
        <v>0</v>
      </c>
      <c r="H95" s="8"/>
      <c r="I95" s="8">
        <v>0</v>
      </c>
      <c r="J95" s="71">
        <v>0</v>
      </c>
      <c r="K95" s="18">
        <v>0</v>
      </c>
      <c r="L95" s="8">
        <v>0</v>
      </c>
      <c r="M95" s="71">
        <v>0</v>
      </c>
      <c r="N95" s="18">
        <v>0</v>
      </c>
      <c r="O95" s="8">
        <v>30</v>
      </c>
      <c r="P95" s="71">
        <v>25</v>
      </c>
      <c r="Q95" s="71">
        <v>83</v>
      </c>
      <c r="R95" s="18">
        <v>0</v>
      </c>
      <c r="S95" s="8">
        <v>30</v>
      </c>
      <c r="T95" s="71">
        <v>25</v>
      </c>
      <c r="U95" s="18">
        <v>80</v>
      </c>
      <c r="V95" s="66">
        <f t="shared" si="11"/>
        <v>0</v>
      </c>
      <c r="W95" s="66">
        <f>SUM(F95:V95)</f>
        <v>303</v>
      </c>
      <c r="X95" s="66">
        <v>720</v>
      </c>
      <c r="Y95" s="66"/>
    </row>
    <row r="96" spans="1:25" x14ac:dyDescent="0.3">
      <c r="A96">
        <v>94</v>
      </c>
      <c r="D96" s="72" t="s">
        <v>147</v>
      </c>
      <c r="F96" s="66">
        <v>30</v>
      </c>
      <c r="G96" s="66">
        <v>0</v>
      </c>
      <c r="H96" s="8"/>
      <c r="I96" s="8">
        <v>0</v>
      </c>
      <c r="J96" s="71">
        <v>0</v>
      </c>
      <c r="K96" s="18">
        <v>0</v>
      </c>
      <c r="L96" s="8">
        <v>0</v>
      </c>
      <c r="M96" s="71">
        <v>0</v>
      </c>
      <c r="N96" s="18">
        <v>0</v>
      </c>
      <c r="O96" s="8">
        <v>30</v>
      </c>
      <c r="P96" s="71">
        <v>25</v>
      </c>
      <c r="Q96" s="71">
        <v>80</v>
      </c>
      <c r="R96" s="18">
        <v>0</v>
      </c>
      <c r="S96" s="8">
        <v>30</v>
      </c>
      <c r="T96" s="71">
        <v>25</v>
      </c>
      <c r="U96" s="18">
        <v>80</v>
      </c>
      <c r="V96" s="66">
        <f t="shared" si="11"/>
        <v>0</v>
      </c>
      <c r="W96" s="66">
        <f>SUM(F96:V96)</f>
        <v>300</v>
      </c>
      <c r="X96" s="66">
        <v>720</v>
      </c>
      <c r="Y96" s="66"/>
    </row>
    <row r="97" spans="1:25" x14ac:dyDescent="0.3">
      <c r="A97">
        <v>95</v>
      </c>
      <c r="D97" s="72" t="s">
        <v>150</v>
      </c>
      <c r="F97" s="66">
        <v>30</v>
      </c>
      <c r="G97" s="66">
        <v>0</v>
      </c>
      <c r="H97" s="8"/>
      <c r="I97" s="8">
        <v>0</v>
      </c>
      <c r="J97" s="71">
        <v>25</v>
      </c>
      <c r="K97" s="18">
        <v>0</v>
      </c>
      <c r="L97" s="8">
        <v>30</v>
      </c>
      <c r="M97" s="71">
        <v>0</v>
      </c>
      <c r="N97" s="18">
        <v>0</v>
      </c>
      <c r="O97" s="8">
        <v>30</v>
      </c>
      <c r="P97" s="71">
        <v>25</v>
      </c>
      <c r="Q97" s="71">
        <v>0</v>
      </c>
      <c r="R97" s="18">
        <v>0</v>
      </c>
      <c r="S97" s="8">
        <v>30</v>
      </c>
      <c r="T97" s="71">
        <v>25</v>
      </c>
      <c r="U97" s="18">
        <v>0</v>
      </c>
      <c r="V97" s="66">
        <f t="shared" si="11"/>
        <v>0</v>
      </c>
      <c r="W97" s="66">
        <f>SUM(F97:V97)</f>
        <v>195</v>
      </c>
      <c r="X97" s="66">
        <v>320</v>
      </c>
      <c r="Y97" s="66"/>
    </row>
    <row r="98" spans="1:25" x14ac:dyDescent="0.3">
      <c r="A98">
        <v>96</v>
      </c>
      <c r="D98" s="72" t="s">
        <v>150</v>
      </c>
      <c r="F98" s="66">
        <v>30</v>
      </c>
      <c r="G98" s="66">
        <v>0</v>
      </c>
      <c r="H98" s="8"/>
      <c r="I98" s="8">
        <v>0</v>
      </c>
      <c r="J98" s="71">
        <v>25</v>
      </c>
      <c r="K98" s="18">
        <v>0</v>
      </c>
      <c r="L98" s="8">
        <v>30</v>
      </c>
      <c r="M98" s="71">
        <v>0</v>
      </c>
      <c r="N98" s="18">
        <v>0</v>
      </c>
      <c r="O98" s="8">
        <v>30</v>
      </c>
      <c r="P98" s="71">
        <v>25</v>
      </c>
      <c r="Q98" s="71">
        <v>0</v>
      </c>
      <c r="R98" s="18">
        <v>0</v>
      </c>
      <c r="S98" s="8">
        <v>30</v>
      </c>
      <c r="T98" s="71">
        <v>25</v>
      </c>
      <c r="U98" s="18">
        <v>0</v>
      </c>
      <c r="V98" s="66">
        <f t="shared" si="11"/>
        <v>0</v>
      </c>
      <c r="W98" s="66">
        <f>SUM(F98:V98)</f>
        <v>195</v>
      </c>
      <c r="X98" s="66">
        <v>320</v>
      </c>
      <c r="Y98" s="66"/>
    </row>
    <row r="99" spans="1:25" x14ac:dyDescent="0.3">
      <c r="A99">
        <v>98</v>
      </c>
      <c r="B99" t="s">
        <v>219</v>
      </c>
      <c r="D99" s="72" t="s">
        <v>101</v>
      </c>
      <c r="F99" s="66">
        <v>30</v>
      </c>
      <c r="G99" s="66">
        <v>0</v>
      </c>
      <c r="H99" s="8"/>
      <c r="I99" s="8">
        <v>0</v>
      </c>
      <c r="J99" s="71">
        <v>25</v>
      </c>
      <c r="K99" s="18">
        <v>0</v>
      </c>
      <c r="L99" s="8">
        <v>30</v>
      </c>
      <c r="M99" s="71">
        <v>25</v>
      </c>
      <c r="N99" s="18">
        <v>80</v>
      </c>
      <c r="O99" s="8">
        <v>30</v>
      </c>
      <c r="P99" s="71">
        <v>25</v>
      </c>
      <c r="Q99" s="71">
        <v>80</v>
      </c>
      <c r="R99" s="18">
        <v>0</v>
      </c>
      <c r="S99" s="8">
        <v>30</v>
      </c>
      <c r="T99" s="71">
        <v>25</v>
      </c>
      <c r="U99" s="18">
        <v>80</v>
      </c>
      <c r="V99" s="66">
        <v>0</v>
      </c>
      <c r="W99" s="66">
        <f>SUM(F99:V99)</f>
        <v>460</v>
      </c>
      <c r="X99" s="66">
        <v>1408.5</v>
      </c>
      <c r="Y99" s="66"/>
    </row>
    <row r="100" spans="1:25" x14ac:dyDescent="0.3">
      <c r="A100">
        <v>99</v>
      </c>
      <c r="D100" s="72" t="s">
        <v>159</v>
      </c>
      <c r="F100" s="66">
        <v>30</v>
      </c>
      <c r="G100" s="66">
        <v>0</v>
      </c>
      <c r="H100" s="8"/>
      <c r="I100" s="8">
        <v>0</v>
      </c>
      <c r="J100" s="71">
        <v>25</v>
      </c>
      <c r="K100" s="18">
        <v>0</v>
      </c>
      <c r="L100" s="8">
        <v>30</v>
      </c>
      <c r="M100" s="71">
        <v>25</v>
      </c>
      <c r="N100" s="18">
        <v>80</v>
      </c>
      <c r="O100" s="8">
        <v>30</v>
      </c>
      <c r="P100" s="71">
        <v>25</v>
      </c>
      <c r="Q100" s="71">
        <v>80</v>
      </c>
      <c r="R100" s="18">
        <v>0</v>
      </c>
      <c r="S100" s="8">
        <v>30</v>
      </c>
      <c r="T100" s="71">
        <v>25</v>
      </c>
      <c r="U100" s="18">
        <v>80</v>
      </c>
      <c r="V100" s="66">
        <f t="shared" si="11"/>
        <v>0</v>
      </c>
      <c r="W100" s="66">
        <f>SUM(F100:V100)</f>
        <v>460</v>
      </c>
      <c r="X100" s="66">
        <v>1408.5</v>
      </c>
      <c r="Y100" s="66">
        <f>+X100-W100</f>
        <v>948.5</v>
      </c>
    </row>
    <row r="101" spans="1:25" x14ac:dyDescent="0.3">
      <c r="A101">
        <v>100</v>
      </c>
      <c r="B101" t="s">
        <v>220</v>
      </c>
      <c r="D101" s="72" t="s">
        <v>158</v>
      </c>
      <c r="F101" s="66">
        <v>30</v>
      </c>
      <c r="G101" s="66">
        <v>0</v>
      </c>
      <c r="H101" s="8"/>
      <c r="I101" s="8">
        <v>0</v>
      </c>
      <c r="J101" s="71">
        <v>25</v>
      </c>
      <c r="K101" s="18">
        <v>80</v>
      </c>
      <c r="L101" s="8">
        <v>30</v>
      </c>
      <c r="M101" s="71">
        <v>25</v>
      </c>
      <c r="N101" s="18">
        <v>80</v>
      </c>
      <c r="O101" s="8">
        <v>30</v>
      </c>
      <c r="P101" s="71">
        <v>25</v>
      </c>
      <c r="Q101" s="71">
        <v>80</v>
      </c>
      <c r="R101" s="18">
        <v>0</v>
      </c>
      <c r="S101" s="8">
        <v>30</v>
      </c>
      <c r="T101" s="71">
        <v>25</v>
      </c>
      <c r="U101" s="18">
        <v>80</v>
      </c>
      <c r="V101" s="66">
        <f t="shared" si="11"/>
        <v>0</v>
      </c>
      <c r="W101" s="66">
        <f>SUM(F101:V101)</f>
        <v>540</v>
      </c>
      <c r="X101" s="66">
        <v>1296</v>
      </c>
      <c r="Y101" s="66">
        <f>+X101-W101</f>
        <v>756</v>
      </c>
    </row>
    <row r="102" spans="1:25" x14ac:dyDescent="0.3">
      <c r="A102">
        <v>101</v>
      </c>
      <c r="B102" t="s">
        <v>178</v>
      </c>
      <c r="D102" t="s">
        <v>149</v>
      </c>
      <c r="F102" s="66"/>
      <c r="G102" s="66"/>
      <c r="H102" s="8"/>
      <c r="I102" s="8"/>
      <c r="K102" s="18"/>
      <c r="L102" s="8"/>
      <c r="N102" s="18"/>
      <c r="O102" s="8"/>
      <c r="R102" s="18"/>
      <c r="S102" s="8"/>
      <c r="U102" s="18"/>
      <c r="V102" s="66">
        <f t="shared" si="11"/>
        <v>0</v>
      </c>
      <c r="W102" s="66">
        <f>SUM(F102:V102)</f>
        <v>0</v>
      </c>
      <c r="X102" s="66">
        <f t="shared" ref="X102:X111" si="14">G102</f>
        <v>0</v>
      </c>
      <c r="Y102" s="66"/>
    </row>
    <row r="103" spans="1:25" x14ac:dyDescent="0.3">
      <c r="A103">
        <v>102</v>
      </c>
      <c r="B103" t="s">
        <v>178</v>
      </c>
      <c r="D103" t="s">
        <v>149</v>
      </c>
      <c r="F103" s="66"/>
      <c r="G103" s="66"/>
      <c r="H103" s="8"/>
      <c r="I103" s="8"/>
      <c r="K103" s="18"/>
      <c r="L103" s="8"/>
      <c r="N103" s="18"/>
      <c r="O103" s="8"/>
      <c r="R103" s="18"/>
      <c r="S103" s="8"/>
      <c r="U103" s="18"/>
      <c r="V103" s="66">
        <f t="shared" si="11"/>
        <v>0</v>
      </c>
      <c r="W103" s="66">
        <f>SUM(F103:V103)</f>
        <v>0</v>
      </c>
      <c r="X103" s="66">
        <f t="shared" si="14"/>
        <v>0</v>
      </c>
      <c r="Y103" s="66"/>
    </row>
    <row r="104" spans="1:25" x14ac:dyDescent="0.3">
      <c r="A104">
        <v>103</v>
      </c>
      <c r="B104" t="s">
        <v>221</v>
      </c>
      <c r="D104" t="s">
        <v>97</v>
      </c>
      <c r="F104" s="66"/>
      <c r="G104" s="66"/>
      <c r="H104" s="8"/>
      <c r="I104" s="8"/>
      <c r="K104" s="18"/>
      <c r="L104" s="8"/>
      <c r="N104" s="18"/>
      <c r="O104" s="8"/>
      <c r="R104" s="18"/>
      <c r="S104" s="8"/>
      <c r="U104" s="18"/>
      <c r="V104" s="66">
        <f t="shared" si="11"/>
        <v>0</v>
      </c>
      <c r="W104" s="66">
        <f>SUM(F104:V104)</f>
        <v>0</v>
      </c>
      <c r="X104" s="66">
        <f t="shared" si="14"/>
        <v>0</v>
      </c>
      <c r="Y104" s="66"/>
    </row>
    <row r="105" spans="1:25" x14ac:dyDescent="0.3">
      <c r="A105">
        <v>104</v>
      </c>
      <c r="B105" t="s">
        <v>178</v>
      </c>
      <c r="D105" t="s">
        <v>156</v>
      </c>
      <c r="F105" s="66"/>
      <c r="G105" s="66"/>
      <c r="H105" s="8"/>
      <c r="I105" s="8"/>
      <c r="K105" s="18"/>
      <c r="L105" s="8"/>
      <c r="N105" s="18"/>
      <c r="O105" s="8"/>
      <c r="R105" s="18"/>
      <c r="S105" s="8"/>
      <c r="U105" s="18"/>
      <c r="V105" s="66">
        <f t="shared" si="11"/>
        <v>0</v>
      </c>
      <c r="W105" s="66">
        <f>SUM(F105:V105)</f>
        <v>0</v>
      </c>
      <c r="X105" s="66">
        <f t="shared" si="14"/>
        <v>0</v>
      </c>
      <c r="Y105" s="66"/>
    </row>
    <row r="106" spans="1:25" x14ac:dyDescent="0.3">
      <c r="A106">
        <v>105</v>
      </c>
      <c r="D106" t="s">
        <v>156</v>
      </c>
      <c r="F106" s="66"/>
      <c r="G106" s="66"/>
      <c r="H106" s="8"/>
      <c r="I106" s="8"/>
      <c r="K106" s="18"/>
      <c r="L106" s="8"/>
      <c r="N106" s="18"/>
      <c r="O106" s="8"/>
      <c r="R106" s="18"/>
      <c r="S106" s="8"/>
      <c r="U106" s="18"/>
      <c r="V106" s="66">
        <f t="shared" si="11"/>
        <v>0</v>
      </c>
      <c r="W106" s="66">
        <f>SUM(F106:V106)</f>
        <v>0</v>
      </c>
      <c r="X106" s="66">
        <f t="shared" si="14"/>
        <v>0</v>
      </c>
      <c r="Y106" s="66"/>
    </row>
    <row r="107" spans="1:25" x14ac:dyDescent="0.3">
      <c r="A107">
        <v>106</v>
      </c>
      <c r="D107" t="s">
        <v>156</v>
      </c>
      <c r="F107" s="66"/>
      <c r="G107" s="66"/>
      <c r="H107" s="8"/>
      <c r="I107" s="8"/>
      <c r="K107" s="18"/>
      <c r="L107" s="8"/>
      <c r="N107" s="18"/>
      <c r="O107" s="8"/>
      <c r="R107" s="18"/>
      <c r="S107" s="8"/>
      <c r="U107" s="18"/>
      <c r="V107" s="66">
        <f t="shared" si="11"/>
        <v>0</v>
      </c>
      <c r="W107" s="66">
        <f>SUM(F107:V107)</f>
        <v>0</v>
      </c>
      <c r="X107" s="66">
        <f t="shared" si="14"/>
        <v>0</v>
      </c>
      <c r="Y107" s="66"/>
    </row>
    <row r="108" spans="1:25" x14ac:dyDescent="0.3">
      <c r="A108">
        <v>107</v>
      </c>
      <c r="D108" t="s">
        <v>157</v>
      </c>
      <c r="F108" s="66"/>
      <c r="G108" s="66"/>
      <c r="H108" s="8"/>
      <c r="I108" s="8"/>
      <c r="K108" s="18"/>
      <c r="L108" s="8"/>
      <c r="N108" s="18"/>
      <c r="O108" s="8"/>
      <c r="R108" s="18"/>
      <c r="S108" s="8"/>
      <c r="U108" s="18"/>
      <c r="V108" s="66">
        <f t="shared" si="11"/>
        <v>0</v>
      </c>
      <c r="W108" s="66">
        <f>SUM(F108:V108)</f>
        <v>0</v>
      </c>
      <c r="X108" s="66">
        <f t="shared" si="14"/>
        <v>0</v>
      </c>
      <c r="Y108" s="66"/>
    </row>
    <row r="109" spans="1:25" x14ac:dyDescent="0.3">
      <c r="A109">
        <v>108</v>
      </c>
      <c r="B109" t="s">
        <v>145</v>
      </c>
      <c r="D109" t="s">
        <v>146</v>
      </c>
      <c r="F109" s="66"/>
      <c r="G109" s="66">
        <v>0</v>
      </c>
      <c r="H109" s="8"/>
      <c r="I109" s="8"/>
      <c r="K109" s="18"/>
      <c r="L109" s="8"/>
      <c r="N109" s="18"/>
      <c r="O109" s="8"/>
      <c r="R109" s="18"/>
      <c r="S109" s="8"/>
      <c r="U109" s="18"/>
      <c r="V109" s="66">
        <f t="shared" si="11"/>
        <v>0</v>
      </c>
      <c r="W109" s="66">
        <f>SUM(F109:V109)</f>
        <v>0</v>
      </c>
      <c r="X109" s="66">
        <f t="shared" si="14"/>
        <v>0</v>
      </c>
      <c r="Y109" s="66">
        <f>+X109-W109</f>
        <v>0</v>
      </c>
    </row>
    <row r="110" spans="1:25" x14ac:dyDescent="0.3">
      <c r="A110">
        <v>109</v>
      </c>
      <c r="D110" t="s">
        <v>153</v>
      </c>
      <c r="F110" s="66"/>
      <c r="G110" s="66"/>
      <c r="H110" s="8"/>
      <c r="I110" s="8"/>
      <c r="K110" s="18"/>
      <c r="L110" s="8"/>
      <c r="N110" s="18"/>
      <c r="O110" s="8"/>
      <c r="R110" s="18"/>
      <c r="S110" s="8"/>
      <c r="U110" s="18"/>
      <c r="V110" s="66">
        <f t="shared" si="11"/>
        <v>0</v>
      </c>
      <c r="W110" s="66">
        <f>SUM(F110:V110)</f>
        <v>0</v>
      </c>
      <c r="X110" s="66">
        <f t="shared" si="14"/>
        <v>0</v>
      </c>
      <c r="Y110" s="66"/>
    </row>
    <row r="111" spans="1:25" x14ac:dyDescent="0.3">
      <c r="A111">
        <v>110</v>
      </c>
      <c r="D111" t="s">
        <v>153</v>
      </c>
      <c r="F111" s="66"/>
      <c r="G111" s="66"/>
      <c r="H111" s="8"/>
      <c r="I111" s="8"/>
      <c r="K111" s="18"/>
      <c r="L111" s="8"/>
      <c r="N111" s="18"/>
      <c r="O111" s="8"/>
      <c r="R111" s="18"/>
      <c r="S111" s="8"/>
      <c r="U111" s="18"/>
      <c r="V111" s="66">
        <f t="shared" si="11"/>
        <v>0</v>
      </c>
      <c r="W111" s="66">
        <f>SUM(F111:V111)</f>
        <v>0</v>
      </c>
      <c r="X111" s="66">
        <f t="shared" si="14"/>
        <v>0</v>
      </c>
      <c r="Y111" s="66"/>
    </row>
    <row r="112" spans="1:25" x14ac:dyDescent="0.3">
      <c r="F112" s="67">
        <f>SUM(F4:F111)</f>
        <v>2320</v>
      </c>
      <c r="G112" s="67">
        <f>SUM(G10:G111)</f>
        <v>3500</v>
      </c>
      <c r="H112" s="5">
        <f>SUM(H10:H111)</f>
        <v>1200</v>
      </c>
      <c r="I112" s="5">
        <f>SUM(I4:I111)</f>
        <v>231</v>
      </c>
      <c r="J112" s="64">
        <f>SUM(J4:J111)</f>
        <v>1525</v>
      </c>
      <c r="K112" s="65">
        <f>SUM(K4:K111)</f>
        <v>4234</v>
      </c>
      <c r="L112" s="5">
        <f>SUM(L4:L111)</f>
        <v>1830</v>
      </c>
      <c r="M112" s="64">
        <f>SUM(M4:M111)</f>
        <v>1575</v>
      </c>
      <c r="N112" s="65">
        <f>SUM(N4:N111)</f>
        <v>4258</v>
      </c>
      <c r="O112" s="5">
        <f>SUM(O4:O111)</f>
        <v>2220</v>
      </c>
      <c r="P112" s="64">
        <f>SUM(P4:P111)</f>
        <v>1675</v>
      </c>
      <c r="Q112" s="64">
        <f>SUM(Q4:Q111)</f>
        <v>4891</v>
      </c>
      <c r="R112" s="65">
        <f>SUM(R4:R111)</f>
        <v>288</v>
      </c>
      <c r="S112" s="5">
        <f>SUM(S4:S111)</f>
        <v>1680</v>
      </c>
      <c r="T112" s="64">
        <f>SUM(T4:T111)</f>
        <v>1350</v>
      </c>
      <c r="U112" s="65">
        <f>SUM(U4:U111)</f>
        <v>5011</v>
      </c>
      <c r="V112" s="67">
        <f>SUM(V4:V111)</f>
        <v>189</v>
      </c>
      <c r="W112" s="67">
        <f>SUM(W4:W111)</f>
        <v>36672</v>
      </c>
      <c r="X112" s="67">
        <f>SUM(X4:X111)</f>
        <v>43742</v>
      </c>
      <c r="Y112" s="67">
        <f>SUM(Y4:Y111)</f>
        <v>8551.5</v>
      </c>
    </row>
    <row r="115" spans="23:25" x14ac:dyDescent="0.3">
      <c r="W115">
        <f>SUM(W4:W94)</f>
        <v>34219</v>
      </c>
      <c r="X115">
        <f>SUM(X4:X94)</f>
        <v>37549</v>
      </c>
      <c r="Y115">
        <f>SUM(Y4:Y111)</f>
        <v>8551.5</v>
      </c>
    </row>
    <row r="116" spans="23:25" x14ac:dyDescent="0.3">
      <c r="Y116">
        <v>3000</v>
      </c>
    </row>
    <row r="117" spans="23:25" x14ac:dyDescent="0.3">
      <c r="Y117">
        <v>7500</v>
      </c>
    </row>
    <row r="118" spans="23:25" x14ac:dyDescent="0.3">
      <c r="Y118">
        <f>SUM(Y115:Y117)</f>
        <v>19051.5</v>
      </c>
    </row>
  </sheetData>
  <mergeCells count="4">
    <mergeCell ref="I2:K2"/>
    <mergeCell ref="L2:N2"/>
    <mergeCell ref="O2:R2"/>
    <mergeCell ref="S2:U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C27C-9717-4CC6-A923-98B25395D9C5}">
  <dimension ref="A1"/>
  <sheetViews>
    <sheetView topLeftCell="A167" workbookViewId="0">
      <selection activeCell="G15" sqref="G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</vt:lpstr>
      <vt:lpstr>Real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dr magaya</cp:lastModifiedBy>
  <dcterms:created xsi:type="dcterms:W3CDTF">2026-01-08T12:20:32Z</dcterms:created>
  <dcterms:modified xsi:type="dcterms:W3CDTF">2026-06-23T11:00:14Z</dcterms:modified>
</cp:coreProperties>
</file>