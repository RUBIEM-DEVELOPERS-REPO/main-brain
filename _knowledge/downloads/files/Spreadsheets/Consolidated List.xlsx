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afcholdingsonline-my.sharepoint.com/personal/smukoyi_afcholdings_co_zw/Documents/PROJECTS/BUSINESS PROCESSES IMPROVEMENT/PHASE 2 IMPLEMENTATION/GOVERNANACE DOCUMENTS/"/>
    </mc:Choice>
  </mc:AlternateContent>
  <xr:revisionPtr revIDLastSave="0" documentId="14_{D5F66DD0-A8B4-4766-B859-54C00B7F92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1 (2)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2" i="4" l="1"/>
  <c r="J62" i="4"/>
  <c r="I62" i="4"/>
  <c r="G62" i="4"/>
  <c r="E62" i="4"/>
  <c r="K59" i="4"/>
  <c r="I59" i="4"/>
  <c r="G59" i="4"/>
  <c r="E59" i="4"/>
  <c r="K52" i="4"/>
  <c r="K53" i="4" s="1"/>
  <c r="J52" i="4"/>
  <c r="J53" i="4" s="1"/>
  <c r="J54" i="4" s="1"/>
  <c r="I52" i="4"/>
  <c r="I53" i="4" s="1"/>
  <c r="G52" i="4"/>
  <c r="H52" i="4" s="1"/>
  <c r="H53" i="4" s="1"/>
  <c r="I54" i="4" l="1"/>
  <c r="G53" i="4"/>
  <c r="S69" i="1" l="1"/>
  <c r="S70" i="1" s="1"/>
  <c r="M69" i="1"/>
  <c r="R69" i="1"/>
  <c r="R70" i="1" s="1"/>
  <c r="Q69" i="1" l="1"/>
  <c r="Q70" i="1" s="1"/>
  <c r="R71" i="1" s="1"/>
  <c r="M70" i="1"/>
  <c r="T71" i="1" l="1"/>
</calcChain>
</file>

<file path=xl/sharedStrings.xml><?xml version="1.0" encoding="utf-8"?>
<sst xmlns="http://schemas.openxmlformats.org/spreadsheetml/2006/main" count="587" uniqueCount="258">
  <si>
    <t xml:space="preserve">PROCESSES </t>
  </si>
  <si>
    <t xml:space="preserve">Heatmap </t>
  </si>
  <si>
    <t>Digital Maturity</t>
  </si>
  <si>
    <t xml:space="preserve">Implementation Plan </t>
  </si>
  <si>
    <t xml:space="preserve">Process Model </t>
  </si>
  <si>
    <t xml:space="preserve">Process Architecture </t>
  </si>
  <si>
    <t xml:space="preserve">Branch Profit/ Traffic Analyis </t>
  </si>
  <si>
    <t xml:space="preserve">Opex Analysis </t>
  </si>
  <si>
    <t xml:space="preserve">Capex Analysis </t>
  </si>
  <si>
    <t xml:space="preserve">Revenue Analyis </t>
  </si>
  <si>
    <t xml:space="preserve">POS Analyis </t>
  </si>
  <si>
    <t xml:space="preserve">MTA Analysis </t>
  </si>
  <si>
    <t xml:space="preserve">Fleet Management </t>
  </si>
  <si>
    <t xml:space="preserve">Enterprise Architecture </t>
  </si>
  <si>
    <t xml:space="preserve">Procument </t>
  </si>
  <si>
    <t xml:space="preserve">ICT Processes </t>
  </si>
  <si>
    <t>DT Processes</t>
  </si>
  <si>
    <t xml:space="preserve">Pricing Hand Book </t>
  </si>
  <si>
    <t xml:space="preserve">Private Banking </t>
  </si>
  <si>
    <t xml:space="preserve">Budgeting </t>
  </si>
  <si>
    <t xml:space="preserve">Branch Transformation </t>
  </si>
  <si>
    <t xml:space="preserve">Infrastructure Sharing </t>
  </si>
  <si>
    <t xml:space="preserve">Overtime </t>
  </si>
  <si>
    <t xml:space="preserve">Internet Banking </t>
  </si>
  <si>
    <t xml:space="preserve">Insurance </t>
  </si>
  <si>
    <t xml:space="preserve">Revenue Assurance </t>
  </si>
  <si>
    <t xml:space="preserve">Agent Commission </t>
  </si>
  <si>
    <t xml:space="preserve">Agent Banking </t>
  </si>
  <si>
    <t xml:space="preserve">Virtual Service Centre </t>
  </si>
  <si>
    <t xml:space="preserve">ICT Tenders </t>
  </si>
  <si>
    <t xml:space="preserve">Registry </t>
  </si>
  <si>
    <t xml:space="preserve">Internet Bandwidth </t>
  </si>
  <si>
    <t xml:space="preserve">Phones and Laptops </t>
  </si>
  <si>
    <t xml:space="preserve">Flexidoc Upgrade </t>
  </si>
  <si>
    <t xml:space="preserve">ATM Analysis </t>
  </si>
  <si>
    <t xml:space="preserve">VISA  Analysis </t>
  </si>
  <si>
    <t xml:space="preserve">Security Guards </t>
  </si>
  <si>
    <t xml:space="preserve">Stores- Stock Management </t>
  </si>
  <si>
    <t xml:space="preserve">Stationary </t>
  </si>
  <si>
    <t>Contract Management</t>
  </si>
  <si>
    <t xml:space="preserve">Travel, Hotel and Transport </t>
  </si>
  <si>
    <t xml:space="preserve">Suspense Accounts and Reconcilliations </t>
  </si>
  <si>
    <t xml:space="preserve">HR - Recruitment </t>
  </si>
  <si>
    <t xml:space="preserve">HR-Performance Management </t>
  </si>
  <si>
    <t xml:space="preserve">HR - Police Clearance </t>
  </si>
  <si>
    <t xml:space="preserve">eMails </t>
  </si>
  <si>
    <t xml:space="preserve">Utilities Expenses </t>
  </si>
  <si>
    <t xml:space="preserve">Estate Management </t>
  </si>
  <si>
    <t xml:space="preserve">Registry - Fire protection </t>
  </si>
  <si>
    <t xml:space="preserve">Innovation and Product Management </t>
  </si>
  <si>
    <t xml:space="preserve">Stores- HR Files and Tittle Deeds  </t>
  </si>
  <si>
    <t xml:space="preserve">Initiative </t>
  </si>
  <si>
    <t xml:space="preserve">Project Name </t>
  </si>
  <si>
    <t>Project Budget</t>
  </si>
  <si>
    <t>Project Duration</t>
  </si>
  <si>
    <t xml:space="preserve">Restructure </t>
  </si>
  <si>
    <t xml:space="preserve">Organisation Headcount </t>
  </si>
  <si>
    <t xml:space="preserve">New Departments and Roles </t>
  </si>
  <si>
    <t xml:space="preserve">Operating Model </t>
  </si>
  <si>
    <t xml:space="preserve">Business Model </t>
  </si>
  <si>
    <t xml:space="preserve">Digital Transformation Strategy </t>
  </si>
  <si>
    <t xml:space="preserve">AI Strategy and Roadmap </t>
  </si>
  <si>
    <t>#</t>
  </si>
  <si>
    <t xml:space="preserve">Total </t>
  </si>
  <si>
    <t>Opex Savings</t>
  </si>
  <si>
    <t xml:space="preserve">Revenue  Increase </t>
  </si>
  <si>
    <t>Capex Savings</t>
  </si>
  <si>
    <t xml:space="preserve">Efficiency  Gain </t>
  </si>
  <si>
    <t xml:space="preserve">HR Total </t>
  </si>
  <si>
    <t xml:space="preserve">Grand Total </t>
  </si>
  <si>
    <t xml:space="preserve">Assests disposal </t>
  </si>
  <si>
    <t xml:space="preserve">ATM </t>
  </si>
  <si>
    <t xml:space="preserve">Branch </t>
  </si>
  <si>
    <t xml:space="preserve">Internet bandwidth </t>
  </si>
  <si>
    <t xml:space="preserve">Internet connectivity </t>
  </si>
  <si>
    <t>Fuel</t>
  </si>
  <si>
    <t xml:space="preserve">Hardware </t>
  </si>
  <si>
    <t xml:space="preserve">VSC </t>
  </si>
  <si>
    <t xml:space="preserve">Flexiexpress </t>
  </si>
  <si>
    <t xml:space="preserve">AI </t>
  </si>
  <si>
    <t xml:space="preserve">Training - AI and Digital </t>
  </si>
  <si>
    <t xml:space="preserve">Computers </t>
  </si>
  <si>
    <t xml:space="preserve">Microfinance </t>
  </si>
  <si>
    <t xml:space="preserve">#1 Projct - Service Experience Centre </t>
  </si>
  <si>
    <t xml:space="preserve">#5 Projct - CCD Transformation </t>
  </si>
  <si>
    <t xml:space="preserve">#2 Projct - Virtual Experience Centre </t>
  </si>
  <si>
    <t xml:space="preserve">#4 Projct - Omni-Channel </t>
  </si>
  <si>
    <t xml:space="preserve">#12 Projct - Data Protection </t>
  </si>
  <si>
    <t xml:space="preserve">#11 Projct - Estate Operating model </t>
  </si>
  <si>
    <t xml:space="preserve">#13 Projct - Registry Protection </t>
  </si>
  <si>
    <t>#14 Projct - eArchiving / Digitalisation</t>
  </si>
  <si>
    <t>#15 Projct - Digital HR</t>
  </si>
  <si>
    <t>#16 Projct - Digital Training</t>
  </si>
  <si>
    <t xml:space="preserve">#17 Projct - Agents Business </t>
  </si>
  <si>
    <t xml:space="preserve">#18 Projct - Schools business </t>
  </si>
  <si>
    <t xml:space="preserve">#19 Proct - Microfinance business </t>
  </si>
  <si>
    <t xml:space="preserve">#20 Projct - Cards Business </t>
  </si>
  <si>
    <t xml:space="preserve">#22 Projct - MTA Business </t>
  </si>
  <si>
    <t xml:space="preserve">#23 Projct - Intelligent Pricing </t>
  </si>
  <si>
    <t xml:space="preserve">#25 Projct - Private banking </t>
  </si>
  <si>
    <t xml:space="preserve">#27 Projct - Insurance </t>
  </si>
  <si>
    <t xml:space="preserve">#28 Projct - Intelligent Automation </t>
  </si>
  <si>
    <t xml:space="preserve">#29 Projct - Product &amp; Experience Innovation </t>
  </si>
  <si>
    <t xml:space="preserve">#30 Projct - ICT Cost optimisation </t>
  </si>
  <si>
    <t xml:space="preserve">#31 Projct - Technical Operations </t>
  </si>
  <si>
    <t xml:space="preserve">#32 Projct - Supply Chain Digitalisation </t>
  </si>
  <si>
    <t xml:space="preserve">#33 Projct - Gen Z </t>
  </si>
  <si>
    <t xml:space="preserve">#33 Org Design </t>
  </si>
  <si>
    <t xml:space="preserve">Billers </t>
  </si>
  <si>
    <t xml:space="preserve">#34 Biller Integration </t>
  </si>
  <si>
    <t xml:space="preserve">POS SIM CARDS </t>
  </si>
  <si>
    <t>Telecoms HQ + Branch + HQ</t>
  </si>
  <si>
    <t xml:space="preserve">Corporate Strategy </t>
  </si>
  <si>
    <t>project to save 10% of the maintanance costs</t>
  </si>
  <si>
    <t>To get competitive prices from more CIT companies and expect a saving of 1000 per month. Invoice validation and insurance limits adjustements will assist in the saving</t>
  </si>
  <si>
    <t>yes</t>
  </si>
  <si>
    <t>Compliance/Risk</t>
  </si>
  <si>
    <t>Yes</t>
  </si>
  <si>
    <t>See HR Savings</t>
  </si>
  <si>
    <t>Increase loan book by 3.7 M to 12 M</t>
  </si>
  <si>
    <t>Schools  (To increase deposits)</t>
  </si>
  <si>
    <t xml:space="preserve">#3 Projct - Digital Experience Centre </t>
  </si>
  <si>
    <t>Omni-channel  (AFC Group Onboarding)</t>
  </si>
  <si>
    <t xml:space="preserve">Yes </t>
  </si>
  <si>
    <t>Account opening  (50 K Net Increase )</t>
  </si>
  <si>
    <t>Opex  Savings</t>
  </si>
  <si>
    <t>Revenue              100% Certain</t>
  </si>
  <si>
    <t xml:space="preserve"> Revenue       60% Certain</t>
  </si>
  <si>
    <t xml:space="preserve">Project </t>
  </si>
  <si>
    <t xml:space="preserve">Initiatives </t>
  </si>
  <si>
    <t xml:space="preserve">#26 Projct - Revenue Assurance </t>
  </si>
  <si>
    <t>#21 Projct - ATM Revenue Maximisation</t>
  </si>
  <si>
    <t>Capex  Budget</t>
  </si>
  <si>
    <t xml:space="preserve">Returns, Reports and Registers </t>
  </si>
  <si>
    <t xml:space="preserve">CCD/ CIT Optimisation </t>
  </si>
  <si>
    <t>Bulk SMS (Alerts and Marketing)</t>
  </si>
  <si>
    <t>FCT (Branch Mobile Communications)</t>
  </si>
  <si>
    <t xml:space="preserve">Document Collection &amp; Management </t>
  </si>
  <si>
    <t xml:space="preserve">42k/Branch </t>
  </si>
  <si>
    <t xml:space="preserve">#6 Projct - Telecoms &amp; Internet </t>
  </si>
  <si>
    <t xml:space="preserve">#7 Projct - Back-Office Digitalisation </t>
  </si>
  <si>
    <t xml:space="preserve">#7 Projct - Security Guards Project </t>
  </si>
  <si>
    <t xml:space="preserve">#8 Projct - Autoreconciliations </t>
  </si>
  <si>
    <t xml:space="preserve">#9 Projct - POS Operating model </t>
  </si>
  <si>
    <t xml:space="preserve">#10 Projct - Fleet Management </t>
  </si>
  <si>
    <t xml:space="preserve">#11 Projct - Asset Managment System </t>
  </si>
  <si>
    <t xml:space="preserve">#12 Projct - Mobile Phone &amp; laptop Policy </t>
  </si>
  <si>
    <t>#13 Projct - Computers</t>
  </si>
  <si>
    <t xml:space="preserve">#14 Projct - Utilities costs </t>
  </si>
  <si>
    <t xml:space="preserve">#15 Projct - Estate Operating model </t>
  </si>
  <si>
    <t xml:space="preserve">#16 Projct - Data Protection </t>
  </si>
  <si>
    <t xml:space="preserve">#17 Projct - Registry Protection </t>
  </si>
  <si>
    <t>#18 Projct - eArchiving / Digitalisation</t>
  </si>
  <si>
    <t>#19 Projct - Digital HR</t>
  </si>
  <si>
    <t>#20 Projct - Digital Training</t>
  </si>
  <si>
    <t xml:space="preserve">#21 Projct - Agents Business </t>
  </si>
  <si>
    <t xml:space="preserve">#22 Projct - Agents Business </t>
  </si>
  <si>
    <t xml:space="preserve">#23 Projct - Schools business </t>
  </si>
  <si>
    <t xml:space="preserve">#24 Proct - Microfinance business </t>
  </si>
  <si>
    <t xml:space="preserve">#25 Projct - Cards Business </t>
  </si>
  <si>
    <t>#26 Projct - ATM Revenue Maximisation</t>
  </si>
  <si>
    <t xml:space="preserve">#27 Projct - MTA Business </t>
  </si>
  <si>
    <t xml:space="preserve">#28 Projct - Intelligent Pricing </t>
  </si>
  <si>
    <t xml:space="preserve">#29 Projct - Private banking </t>
  </si>
  <si>
    <t xml:space="preserve">#30 Projct - Revenue Assurance </t>
  </si>
  <si>
    <t xml:space="preserve">#31 Projct - Insurance </t>
  </si>
  <si>
    <t xml:space="preserve">#32 Projct - Intelligent Automation </t>
  </si>
  <si>
    <t xml:space="preserve">#33 Projct - Product &amp; Experience Innovation </t>
  </si>
  <si>
    <t xml:space="preserve">#34 Projct - ICT Cost optimisation </t>
  </si>
  <si>
    <t xml:space="preserve">#35 Projct - Technical Operations </t>
  </si>
  <si>
    <t xml:space="preserve">#36 Projct - Technical Operations </t>
  </si>
  <si>
    <t xml:space="preserve">#37 Projct - Gen Z </t>
  </si>
  <si>
    <t xml:space="preserve">#38 Biller Integration </t>
  </si>
  <si>
    <t xml:space="preserve">#39 Projct - Supply Chain Digitalisation </t>
  </si>
  <si>
    <t>Loan Account</t>
  </si>
  <si>
    <t>#40 Projct - Loan Account</t>
  </si>
  <si>
    <t>Safe Custody</t>
  </si>
  <si>
    <t>Service Provider Payments</t>
  </si>
  <si>
    <t>IDC Cleanup and BI</t>
  </si>
  <si>
    <t>#41 Projct - Service Provider Payments</t>
  </si>
  <si>
    <t>#42 Projct - IDC And Data Cleanup</t>
  </si>
  <si>
    <t>Infastructure Sharing</t>
  </si>
  <si>
    <t>#43 Projct - Infrastructure Sharing</t>
  </si>
  <si>
    <t>BRD</t>
  </si>
  <si>
    <t>Due Date</t>
  </si>
  <si>
    <t>RFP OUT</t>
  </si>
  <si>
    <t>Team Members</t>
  </si>
  <si>
    <t>Completion Date</t>
  </si>
  <si>
    <t>Technical Lead</t>
  </si>
  <si>
    <t>16/03/26</t>
  </si>
  <si>
    <t>Tatenda Tsikira</t>
  </si>
  <si>
    <t>15/04/26</t>
  </si>
  <si>
    <t>20/03/26</t>
  </si>
  <si>
    <t>13/03/26</t>
  </si>
  <si>
    <t>13/04/26</t>
  </si>
  <si>
    <t>Implement a Digital Branch  (ZITF)</t>
  </si>
  <si>
    <t>Implement a Digital Branch  (Branches)</t>
  </si>
  <si>
    <t>15/05/26</t>
  </si>
  <si>
    <t>30/03/26</t>
  </si>
  <si>
    <t>18/03/26</t>
  </si>
  <si>
    <t>31/03/26</t>
  </si>
  <si>
    <t>30/06/26</t>
  </si>
  <si>
    <t>27/03/26</t>
  </si>
  <si>
    <t>Mugari</t>
  </si>
  <si>
    <t>Choruwa</t>
  </si>
  <si>
    <t>19/03/26</t>
  </si>
  <si>
    <t xml:space="preserve">Choruwa, Josiah, Lloyd, Donald, </t>
  </si>
  <si>
    <t>30/04/26</t>
  </si>
  <si>
    <t>Fuel  Card</t>
  </si>
  <si>
    <t>15/07/26</t>
  </si>
  <si>
    <t>Nhamburo</t>
  </si>
  <si>
    <t xml:space="preserve">Archie, Eddie, Nyasha, Tanaka, Donald </t>
  </si>
  <si>
    <t>20/4/2026</t>
  </si>
  <si>
    <t>27/04/26</t>
  </si>
  <si>
    <t>15/06/26</t>
  </si>
  <si>
    <t>Branch Initiated Expenses , Requisitions</t>
  </si>
  <si>
    <t>23/03/26</t>
  </si>
  <si>
    <t>25/03/26</t>
  </si>
  <si>
    <t>Tatenda Bandama</t>
  </si>
  <si>
    <t>lloyd,Josiah, Archie, Patie, Arthur</t>
  </si>
  <si>
    <t>30/05/26</t>
  </si>
  <si>
    <t>17/04/26</t>
  </si>
  <si>
    <t>Asset Management  / Asset Tagging</t>
  </si>
  <si>
    <t>16/04/26</t>
  </si>
  <si>
    <t>23/04/26</t>
  </si>
  <si>
    <t>Staff Exit Closure</t>
  </si>
  <si>
    <t>29/05/26</t>
  </si>
  <si>
    <t>28/08/26</t>
  </si>
  <si>
    <t>21/09/26</t>
  </si>
  <si>
    <t>Schools  (To increase deposits) - to be phased</t>
  </si>
  <si>
    <t>#23 Projct - Civil Servants &amp; Pensions</t>
  </si>
  <si>
    <t xml:space="preserve"> Civil Servants &amp; Pensions</t>
  </si>
  <si>
    <t>#23 Projct - Agriculture</t>
  </si>
  <si>
    <t>Agriculture</t>
  </si>
  <si>
    <t>15/08/26</t>
  </si>
  <si>
    <t>Business Lead</t>
  </si>
  <si>
    <t>Detailed Technical Design</t>
  </si>
  <si>
    <t>Hr</t>
  </si>
  <si>
    <t xml:space="preserve">Lloyd </t>
  </si>
  <si>
    <t>18/05/26</t>
  </si>
  <si>
    <t>18/5/2026</t>
  </si>
  <si>
    <t>15/09/26</t>
  </si>
  <si>
    <t>17/08/26</t>
  </si>
  <si>
    <t>13/03/2026</t>
  </si>
  <si>
    <t>18/03/2026</t>
  </si>
  <si>
    <t>17/03/2026</t>
  </si>
  <si>
    <t>19/03/2026</t>
  </si>
  <si>
    <t>23/03/2026</t>
  </si>
  <si>
    <t>13/04/2026</t>
  </si>
  <si>
    <t>25/03/2026</t>
  </si>
  <si>
    <t>15/04/2026</t>
  </si>
  <si>
    <t>28/04/2026</t>
  </si>
  <si>
    <t>20/03/2026</t>
  </si>
  <si>
    <t>22/04/2026</t>
  </si>
  <si>
    <t>27/04/2026</t>
  </si>
  <si>
    <t>15/03/2026</t>
  </si>
  <si>
    <t>Agent Banking  Model</t>
  </si>
  <si>
    <t>Kudzi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</si>
</sst>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61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0" fillId="0" borderId="4" xfId="0" applyBorder="1"/>
    <xf numFmtId="0" fontId="1" fillId="0" borderId="2" xfId="0" applyFont="1" applyBorder="1" applyAlignment="1">
      <alignment horizontal="center" wrapText="1"/>
    </xf>
    <xf numFmtId="0" fontId="0" fillId="0" borderId="5" xfId="0" applyBorder="1"/>
    <xf numFmtId="0" fontId="1" fillId="0" borderId="3" xfId="0" applyFont="1" applyBorder="1"/>
    <xf numFmtId="0" fontId="0" fillId="0" borderId="3" xfId="0" applyBorder="1"/>
    <xf numFmtId="0" fontId="0" fillId="0" borderId="8" xfId="0" applyBorder="1"/>
    <xf numFmtId="0" fontId="1" fillId="0" borderId="9" xfId="0" applyFont="1" applyBorder="1"/>
    <xf numFmtId="0" fontId="0" fillId="0" borderId="9" xfId="0" applyBorder="1"/>
    <xf numFmtId="0" fontId="0" fillId="0" borderId="11" xfId="0" applyBorder="1"/>
    <xf numFmtId="0" fontId="1" fillId="0" borderId="15" xfId="0" applyFont="1" applyBorder="1"/>
    <xf numFmtId="0" fontId="1" fillId="0" borderId="13" xfId="0" applyFont="1" applyBorder="1"/>
    <xf numFmtId="164" fontId="1" fillId="0" borderId="14" xfId="0" applyNumberFormat="1" applyFont="1" applyBorder="1"/>
    <xf numFmtId="0" fontId="1" fillId="0" borderId="19" xfId="0" applyFont="1" applyBorder="1"/>
    <xf numFmtId="164" fontId="1" fillId="0" borderId="20" xfId="0" applyNumberFormat="1" applyFont="1" applyBorder="1"/>
    <xf numFmtId="0" fontId="1" fillId="0" borderId="21" xfId="0" applyFont="1" applyBorder="1"/>
    <xf numFmtId="0" fontId="1" fillId="0" borderId="22" xfId="0" applyFont="1" applyBorder="1"/>
    <xf numFmtId="0" fontId="1" fillId="0" borderId="22" xfId="0" applyFont="1" applyBorder="1" applyAlignment="1">
      <alignment horizontal="center" wrapText="1"/>
    </xf>
    <xf numFmtId="164" fontId="0" fillId="2" borderId="1" xfId="1" applyFont="1" applyFill="1" applyBorder="1"/>
    <xf numFmtId="164" fontId="0" fillId="2" borderId="0" xfId="1" applyFont="1" applyFill="1" applyBorder="1"/>
    <xf numFmtId="0" fontId="0" fillId="3" borderId="0" xfId="0" applyFill="1"/>
    <xf numFmtId="0" fontId="0" fillId="4" borderId="0" xfId="0" applyFill="1"/>
    <xf numFmtId="0" fontId="1" fillId="4" borderId="2" xfId="0" applyFont="1" applyFill="1" applyBorder="1" applyAlignment="1">
      <alignment horizontal="center" wrapText="1"/>
    </xf>
    <xf numFmtId="0" fontId="1" fillId="4" borderId="2" xfId="0" applyFont="1" applyFill="1" applyBorder="1" applyAlignment="1">
      <alignment horizontal="center"/>
    </xf>
    <xf numFmtId="0" fontId="1" fillId="4" borderId="1" xfId="0" applyFont="1" applyFill="1" applyBorder="1"/>
    <xf numFmtId="0" fontId="0" fillId="4" borderId="1" xfId="0" applyFill="1" applyBorder="1"/>
    <xf numFmtId="164" fontId="1" fillId="4" borderId="14" xfId="0" applyNumberFormat="1" applyFont="1" applyFill="1" applyBorder="1"/>
    <xf numFmtId="0" fontId="1" fillId="4" borderId="22" xfId="0" applyFont="1" applyFill="1" applyBorder="1" applyAlignment="1">
      <alignment horizontal="center" wrapText="1"/>
    </xf>
    <xf numFmtId="164" fontId="1" fillId="4" borderId="20" xfId="0" applyNumberFormat="1" applyFont="1" applyFill="1" applyBorder="1"/>
    <xf numFmtId="0" fontId="1" fillId="0" borderId="3" xfId="0" applyFont="1" applyBorder="1" applyAlignment="1">
      <alignment horizontal="center" wrapText="1"/>
    </xf>
    <xf numFmtId="0" fontId="1" fillId="0" borderId="3" xfId="0" applyFont="1" applyBorder="1" applyAlignment="1">
      <alignment horizontal="center"/>
    </xf>
    <xf numFmtId="0" fontId="1" fillId="0" borderId="8" xfId="0" applyFont="1" applyBorder="1"/>
    <xf numFmtId="164" fontId="1" fillId="0" borderId="25" xfId="0" applyNumberFormat="1" applyFont="1" applyBorder="1"/>
    <xf numFmtId="0" fontId="1" fillId="0" borderId="27" xfId="0" applyFont="1" applyBorder="1" applyAlignment="1">
      <alignment horizontal="center" wrapText="1"/>
    </xf>
    <xf numFmtId="164" fontId="1" fillId="0" borderId="28" xfId="0" applyNumberFormat="1" applyFont="1" applyBorder="1"/>
    <xf numFmtId="0" fontId="0" fillId="4" borderId="17" xfId="0" applyFill="1" applyBorder="1"/>
    <xf numFmtId="0" fontId="0" fillId="4" borderId="2" xfId="0" applyFill="1" applyBorder="1"/>
    <xf numFmtId="0" fontId="0" fillId="0" borderId="3" xfId="0" applyBorder="1" applyAlignment="1">
      <alignment horizontal="right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12" xfId="0" applyBorder="1"/>
    <xf numFmtId="0" fontId="0" fillId="0" borderId="10" xfId="0" applyBorder="1"/>
    <xf numFmtId="0" fontId="0" fillId="0" borderId="30" xfId="0" applyBorder="1"/>
    <xf numFmtId="0" fontId="0" fillId="0" borderId="29" xfId="0" applyBorder="1"/>
    <xf numFmtId="0" fontId="1" fillId="0" borderId="32" xfId="0" applyFont="1" applyBorder="1"/>
    <xf numFmtId="0" fontId="0" fillId="0" borderId="16" xfId="0" applyBorder="1"/>
    <xf numFmtId="0" fontId="0" fillId="0" borderId="17" xfId="0" applyBorder="1"/>
    <xf numFmtId="0" fontId="0" fillId="0" borderId="26" xfId="0" applyBorder="1"/>
    <xf numFmtId="164" fontId="1" fillId="0" borderId="15" xfId="0" applyNumberFormat="1" applyFont="1" applyBorder="1"/>
    <xf numFmtId="0" fontId="1" fillId="0" borderId="34" xfId="0" applyFont="1" applyBorder="1" applyAlignment="1">
      <alignment horizontal="center" wrapText="1"/>
    </xf>
    <xf numFmtId="0" fontId="1" fillId="0" borderId="35" xfId="0" applyFont="1" applyBorder="1" applyAlignment="1">
      <alignment horizontal="center" wrapText="1"/>
    </xf>
    <xf numFmtId="164" fontId="1" fillId="0" borderId="32" xfId="0" applyNumberFormat="1" applyFont="1" applyBorder="1"/>
    <xf numFmtId="164" fontId="0" fillId="0" borderId="5" xfId="0" applyNumberFormat="1" applyBorder="1"/>
    <xf numFmtId="164" fontId="1" fillId="0" borderId="6" xfId="0" applyNumberFormat="1" applyFont="1" applyBorder="1"/>
    <xf numFmtId="164" fontId="1" fillId="0" borderId="7" xfId="0" applyNumberFormat="1" applyFont="1" applyBorder="1"/>
    <xf numFmtId="0" fontId="4" fillId="0" borderId="5" xfId="0" applyFont="1" applyBorder="1"/>
    <xf numFmtId="0" fontId="4" fillId="0" borderId="21" xfId="0" applyFont="1" applyBorder="1"/>
    <xf numFmtId="0" fontId="4" fillId="0" borderId="22" xfId="0" applyFont="1" applyBorder="1" applyAlignment="1">
      <alignment horizontal="center" wrapText="1"/>
    </xf>
    <xf numFmtId="0" fontId="4" fillId="0" borderId="23" xfId="0" applyFont="1" applyBorder="1" applyAlignment="1">
      <alignment horizontal="center" wrapText="1"/>
    </xf>
    <xf numFmtId="0" fontId="5" fillId="0" borderId="9" xfId="0" applyFont="1" applyBorder="1"/>
    <xf numFmtId="0" fontId="5" fillId="0" borderId="2" xfId="0" applyFont="1" applyBorder="1"/>
    <xf numFmtId="164" fontId="5" fillId="0" borderId="2" xfId="1" applyFont="1" applyFill="1" applyBorder="1"/>
    <xf numFmtId="164" fontId="5" fillId="0" borderId="10" xfId="1" applyFont="1" applyFill="1" applyBorder="1"/>
    <xf numFmtId="0" fontId="5" fillId="0" borderId="11" xfId="0" applyFont="1" applyBorder="1"/>
    <xf numFmtId="0" fontId="5" fillId="0" borderId="1" xfId="0" applyFont="1" applyBorder="1"/>
    <xf numFmtId="164" fontId="5" fillId="0" borderId="1" xfId="1" applyFont="1" applyFill="1" applyBorder="1"/>
    <xf numFmtId="164" fontId="5" fillId="0" borderId="12" xfId="1" applyFont="1" applyFill="1" applyBorder="1"/>
    <xf numFmtId="0" fontId="5" fillId="0" borderId="39" xfId="0" applyFont="1" applyBorder="1" applyAlignment="1">
      <alignment horizontal="left"/>
    </xf>
    <xf numFmtId="165" fontId="5" fillId="0" borderId="1" xfId="1" applyNumberFormat="1" applyFont="1" applyFill="1" applyBorder="1"/>
    <xf numFmtId="0" fontId="5" fillId="0" borderId="38" xfId="0" applyFont="1" applyBorder="1" applyAlignment="1">
      <alignment horizontal="left"/>
    </xf>
    <xf numFmtId="0" fontId="6" fillId="0" borderId="1" xfId="0" applyFont="1" applyBorder="1"/>
    <xf numFmtId="0" fontId="5" fillId="0" borderId="12" xfId="0" applyFont="1" applyBorder="1"/>
    <xf numFmtId="165" fontId="5" fillId="0" borderId="2" xfId="1" applyNumberFormat="1" applyFont="1" applyFill="1" applyBorder="1"/>
    <xf numFmtId="0" fontId="5" fillId="0" borderId="24" xfId="0" applyFont="1" applyBorder="1"/>
    <xf numFmtId="0" fontId="4" fillId="0" borderId="42" xfId="0" applyFont="1" applyBorder="1"/>
    <xf numFmtId="0" fontId="5" fillId="0" borderId="13" xfId="0" applyFont="1" applyBorder="1"/>
    <xf numFmtId="0" fontId="4" fillId="0" borderId="14" xfId="0" applyFont="1" applyBorder="1"/>
    <xf numFmtId="164" fontId="4" fillId="0" borderId="15" xfId="1" applyFont="1" applyBorder="1"/>
    <xf numFmtId="164" fontId="4" fillId="0" borderId="14" xfId="0" applyNumberFormat="1" applyFont="1" applyBorder="1"/>
    <xf numFmtId="164" fontId="4" fillId="0" borderId="15" xfId="0" applyNumberFormat="1" applyFont="1" applyBorder="1"/>
    <xf numFmtId="0" fontId="1" fillId="0" borderId="5" xfId="0" applyFont="1" applyBorder="1"/>
    <xf numFmtId="0" fontId="0" fillId="0" borderId="2" xfId="0" applyBorder="1" applyAlignment="1">
      <alignment horizontal="center"/>
    </xf>
    <xf numFmtId="164" fontId="0" fillId="0" borderId="2" xfId="1" applyFont="1" applyFill="1" applyBorder="1"/>
    <xf numFmtId="0" fontId="0" fillId="0" borderId="1" xfId="0" applyBorder="1" applyAlignment="1">
      <alignment horizontal="center"/>
    </xf>
    <xf numFmtId="164" fontId="0" fillId="0" borderId="1" xfId="1" applyFont="1" applyFill="1" applyBorder="1"/>
    <xf numFmtId="0" fontId="0" fillId="0" borderId="38" xfId="0" applyBorder="1"/>
    <xf numFmtId="0" fontId="0" fillId="0" borderId="31" xfId="0" applyBorder="1"/>
    <xf numFmtId="0" fontId="0" fillId="0" borderId="18" xfId="0" applyBorder="1"/>
    <xf numFmtId="0" fontId="0" fillId="0" borderId="39" xfId="0" applyBorder="1" applyAlignment="1">
      <alignment horizontal="left"/>
    </xf>
    <xf numFmtId="165" fontId="0" fillId="0" borderId="1" xfId="1" applyNumberFormat="1" applyFont="1" applyFill="1" applyBorder="1"/>
    <xf numFmtId="0" fontId="0" fillId="0" borderId="38" xfId="0" applyBorder="1" applyAlignment="1">
      <alignment horizontal="left"/>
    </xf>
    <xf numFmtId="164" fontId="7" fillId="0" borderId="1" xfId="1" applyFont="1" applyFill="1" applyBorder="1"/>
    <xf numFmtId="0" fontId="7" fillId="0" borderId="1" xfId="0" applyFont="1" applyBorder="1"/>
    <xf numFmtId="164" fontId="0" fillId="0" borderId="17" xfId="1" applyFont="1" applyFill="1" applyBorder="1"/>
    <xf numFmtId="0" fontId="1" fillId="0" borderId="42" xfId="0" applyFont="1" applyBorder="1"/>
    <xf numFmtId="0" fontId="0" fillId="0" borderId="13" xfId="0" applyBorder="1"/>
    <xf numFmtId="0" fontId="1" fillId="0" borderId="14" xfId="0" applyFont="1" applyBorder="1"/>
    <xf numFmtId="0" fontId="1" fillId="0" borderId="22" xfId="0" applyFont="1" applyBorder="1" applyAlignment="1">
      <alignment horizontal="left" wrapText="1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7" xfId="0" applyBorder="1" applyAlignment="1">
      <alignment horizontal="left"/>
    </xf>
    <xf numFmtId="0" fontId="1" fillId="0" borderId="14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24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3" borderId="1" xfId="0" applyFill="1" applyBorder="1"/>
    <xf numFmtId="0" fontId="0" fillId="3" borderId="38" xfId="0" applyFill="1" applyBorder="1" applyAlignment="1">
      <alignment horizontal="left"/>
    </xf>
    <xf numFmtId="0" fontId="0" fillId="3" borderId="16" xfId="0" applyFill="1" applyBorder="1"/>
    <xf numFmtId="0" fontId="0" fillId="3" borderId="17" xfId="0" applyFill="1" applyBorder="1" applyAlignment="1">
      <alignment horizontal="left"/>
    </xf>
    <xf numFmtId="0" fontId="0" fillId="3" borderId="17" xfId="0" applyFill="1" applyBorder="1"/>
    <xf numFmtId="164" fontId="0" fillId="3" borderId="17" xfId="1" applyFont="1" applyFill="1" applyBorder="1"/>
    <xf numFmtId="0" fontId="0" fillId="3" borderId="31" xfId="0" applyFill="1" applyBorder="1"/>
    <xf numFmtId="0" fontId="0" fillId="3" borderId="18" xfId="0" applyFill="1" applyBorder="1"/>
    <xf numFmtId="43" fontId="0" fillId="0" borderId="0" xfId="0" applyNumberFormat="1"/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9" xfId="0" applyBorder="1" applyAlignment="1">
      <alignment horizontal="left" vertic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40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5" fillId="0" borderId="36" xfId="0" applyFont="1" applyBorder="1" applyAlignment="1">
      <alignment horizontal="left" vertical="center"/>
    </xf>
    <xf numFmtId="0" fontId="5" fillId="0" borderId="37" xfId="0" applyFont="1" applyBorder="1" applyAlignment="1">
      <alignment horizontal="left" vertical="center"/>
    </xf>
    <xf numFmtId="0" fontId="5" fillId="0" borderId="39" xfId="0" applyFont="1" applyBorder="1" applyAlignment="1">
      <alignment horizontal="left" vertic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164" fontId="0" fillId="4" borderId="2" xfId="1" applyFont="1" applyFill="1" applyBorder="1"/>
    <xf numFmtId="164" fontId="0" fillId="4" borderId="1" xfId="1" applyFont="1" applyFill="1" applyBorder="1"/>
    <xf numFmtId="165" fontId="0" fillId="4" borderId="1" xfId="1" applyNumberFormat="1" applyFont="1" applyFill="1" applyBorder="1"/>
    <xf numFmtId="14" fontId="0" fillId="0" borderId="17" xfId="0" applyNumberFormat="1" applyBorder="1" applyAlignment="1">
      <alignment horizontal="left"/>
    </xf>
    <xf numFmtId="14" fontId="0" fillId="0" borderId="2" xfId="0" applyNumberFormat="1" applyBorder="1" applyAlignment="1">
      <alignment horizontal="left"/>
    </xf>
    <xf numFmtId="0" fontId="1" fillId="0" borderId="23" xfId="0" applyFont="1" applyBorder="1" applyAlignment="1">
      <alignment horizontal="left" wrapText="1"/>
    </xf>
    <xf numFmtId="164" fontId="0" fillId="0" borderId="10" xfId="1" applyFont="1" applyFill="1" applyBorder="1" applyAlignment="1">
      <alignment horizontal="left"/>
    </xf>
    <xf numFmtId="164" fontId="0" fillId="0" borderId="12" xfId="1" applyFont="1" applyFill="1" applyBorder="1" applyAlignment="1">
      <alignment horizontal="left"/>
    </xf>
    <xf numFmtId="164" fontId="0" fillId="0" borderId="18" xfId="1" applyFont="1" applyFill="1" applyBorder="1" applyAlignment="1">
      <alignment horizontal="left"/>
    </xf>
    <xf numFmtId="0" fontId="0" fillId="0" borderId="12" xfId="0" applyBorder="1" applyAlignment="1">
      <alignment horizontal="left"/>
    </xf>
    <xf numFmtId="164" fontId="0" fillId="3" borderId="18" xfId="1" applyFont="1" applyFill="1" applyBorder="1" applyAlignment="1">
      <alignment horizontal="left"/>
    </xf>
    <xf numFmtId="164" fontId="1" fillId="0" borderId="15" xfId="1" applyFont="1" applyBorder="1" applyAlignment="1">
      <alignment horizontal="left"/>
    </xf>
    <xf numFmtId="164" fontId="1" fillId="0" borderId="15" xfId="0" applyNumberFormat="1" applyFont="1" applyBorder="1" applyAlignment="1">
      <alignment horizontal="left"/>
    </xf>
    <xf numFmtId="164" fontId="1" fillId="0" borderId="7" xfId="0" applyNumberFormat="1" applyFont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4" borderId="2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5" borderId="17" xfId="0" applyFill="1" applyBorder="1" applyAlignment="1">
      <alignment horizontal="left"/>
    </xf>
    <xf numFmtId="0" fontId="0" fillId="6" borderId="1" xfId="0" applyFill="1" applyBorder="1" applyAlignment="1">
      <alignment horizontal="left"/>
    </xf>
    <xf numFmtId="0" fontId="0" fillId="6" borderId="2" xfId="0" applyFill="1" applyBorder="1" applyAlignment="1">
      <alignment horizontal="left"/>
    </xf>
    <xf numFmtId="0" fontId="0" fillId="7" borderId="2" xfId="0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0" fontId="0" fillId="3" borderId="2" xfId="0" applyFill="1" applyBorder="1"/>
    <xf numFmtId="0" fontId="0" fillId="5" borderId="17" xfId="0" applyFill="1" applyBorder="1"/>
    <xf numFmtId="0" fontId="0" fillId="2" borderId="1" xfId="0" applyFill="1" applyBorder="1" applyAlignment="1">
      <alignment horizontal="left"/>
    </xf>
    <xf numFmtId="0" fontId="0" fillId="8" borderId="1" xfId="0" applyFill="1" applyBorder="1" applyAlignment="1">
      <alignment horizontal="left"/>
    </xf>
    <xf numFmtId="0" fontId="0" fillId="9" borderId="1" xfId="0" applyFill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71"/>
  <sheetViews>
    <sheetView tabSelected="1" topLeftCell="C53" zoomScale="136" zoomScaleNormal="136" workbookViewId="0">
      <selection activeCell="H23" sqref="H23"/>
    </sheetView>
  </sheetViews>
  <sheetFormatPr defaultRowHeight="14.4" x14ac:dyDescent="0.3"/>
  <cols>
    <col min="1" max="1" width="5" customWidth="1"/>
    <col min="2" max="2" width="35.44140625" customWidth="1"/>
    <col min="3" max="3" width="56.109375" customWidth="1"/>
    <col min="4" max="4" width="9.44140625" style="108" customWidth="1"/>
    <col min="5" max="5" width="10.5546875" style="108" bestFit="1" customWidth="1"/>
    <col min="6" max="6" width="15" style="108" bestFit="1" customWidth="1"/>
    <col min="7" max="7" width="16" style="108" bestFit="1" customWidth="1"/>
    <col min="8" max="8" width="33.44140625" style="108" bestFit="1" customWidth="1"/>
    <col min="9" max="9" width="13.5546875" bestFit="1" customWidth="1"/>
    <col min="10" max="10" width="33.44140625" bestFit="1" customWidth="1"/>
    <col min="11" max="11" width="9.44140625" customWidth="1"/>
    <col min="12" max="12" width="17.6640625" style="108" bestFit="1" customWidth="1"/>
    <col min="13" max="13" width="15.21875" customWidth="1"/>
    <col min="14" max="16" width="0.109375" customWidth="1"/>
    <col min="17" max="17" width="29.6640625" bestFit="1" customWidth="1"/>
    <col min="18" max="18" width="14.5546875" style="108" customWidth="1"/>
    <col min="19" max="19" width="11.77734375" customWidth="1"/>
    <col min="20" max="20" width="13.21875" bestFit="1" customWidth="1"/>
  </cols>
  <sheetData>
    <row r="1" spans="1:63" ht="30.6" customHeight="1" thickBot="1" x14ac:dyDescent="0.35">
      <c r="A1" s="3"/>
      <c r="B1" s="86" t="s">
        <v>128</v>
      </c>
      <c r="C1" s="21" t="s">
        <v>129</v>
      </c>
      <c r="D1" s="103" t="s">
        <v>183</v>
      </c>
      <c r="E1" s="103" t="s">
        <v>184</v>
      </c>
      <c r="F1" s="103" t="s">
        <v>236</v>
      </c>
      <c r="G1" s="103" t="s">
        <v>235</v>
      </c>
      <c r="H1" s="103" t="s">
        <v>186</v>
      </c>
      <c r="I1" s="23" t="s">
        <v>188</v>
      </c>
      <c r="J1" s="23" t="s">
        <v>186</v>
      </c>
      <c r="K1" s="23" t="s">
        <v>185</v>
      </c>
      <c r="L1" s="103" t="s">
        <v>187</v>
      </c>
      <c r="M1" s="23" t="s">
        <v>66</v>
      </c>
      <c r="N1" s="23"/>
      <c r="O1" s="23"/>
      <c r="P1" s="23"/>
      <c r="Q1" s="23" t="s">
        <v>126</v>
      </c>
      <c r="R1" s="139" t="s">
        <v>125</v>
      </c>
      <c r="S1" s="56" t="s">
        <v>132</v>
      </c>
      <c r="T1" s="55" t="s">
        <v>54</v>
      </c>
    </row>
    <row r="2" spans="1:63" s="26" customFormat="1" x14ac:dyDescent="0.3">
      <c r="A2" s="3"/>
      <c r="B2" s="120" t="s">
        <v>83</v>
      </c>
      <c r="C2" s="14" t="s">
        <v>20</v>
      </c>
      <c r="D2" s="104" t="s">
        <v>117</v>
      </c>
      <c r="E2" s="104"/>
      <c r="F2" s="104"/>
      <c r="G2" s="104"/>
      <c r="H2" s="104"/>
      <c r="I2" s="87"/>
      <c r="J2" s="87"/>
      <c r="K2" s="87"/>
      <c r="L2" s="104"/>
      <c r="M2" s="4"/>
      <c r="N2" s="4"/>
      <c r="O2" s="4"/>
      <c r="P2" s="4"/>
      <c r="Q2" s="134">
        <v>100000</v>
      </c>
      <c r="R2" s="140"/>
      <c r="S2" s="48"/>
      <c r="T2" s="46"/>
      <c r="U2" t="s">
        <v>138</v>
      </c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</row>
    <row r="3" spans="1:63" s="26" customFormat="1" x14ac:dyDescent="0.3">
      <c r="A3" s="3"/>
      <c r="B3" s="120"/>
      <c r="C3" s="15" t="s">
        <v>133</v>
      </c>
      <c r="D3" s="105" t="s">
        <v>117</v>
      </c>
      <c r="E3" s="110">
        <v>46359</v>
      </c>
      <c r="F3" s="105" t="s">
        <v>189</v>
      </c>
      <c r="G3" s="150" t="s">
        <v>190</v>
      </c>
      <c r="H3" s="105"/>
      <c r="I3" s="155" t="s">
        <v>190</v>
      </c>
      <c r="J3" s="105" t="s">
        <v>211</v>
      </c>
      <c r="K3" s="89"/>
      <c r="L3" s="105" t="s">
        <v>191</v>
      </c>
      <c r="M3" s="3"/>
      <c r="N3" s="3"/>
      <c r="O3" s="3"/>
      <c r="P3" s="3"/>
      <c r="Q3" s="135">
        <v>35000</v>
      </c>
      <c r="R3" s="141"/>
      <c r="S3" s="48"/>
      <c r="T3" s="46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</row>
    <row r="4" spans="1:63" s="26" customFormat="1" x14ac:dyDescent="0.3">
      <c r="A4" s="3"/>
      <c r="B4" s="91" t="s">
        <v>85</v>
      </c>
      <c r="C4" s="15" t="s">
        <v>28</v>
      </c>
      <c r="D4" s="105" t="s">
        <v>117</v>
      </c>
      <c r="E4" s="110">
        <v>46359</v>
      </c>
      <c r="F4" s="105" t="s">
        <v>192</v>
      </c>
      <c r="G4" s="150"/>
      <c r="H4" s="105"/>
      <c r="I4" s="155"/>
      <c r="J4" s="89"/>
      <c r="K4" s="89"/>
      <c r="L4" s="105"/>
      <c r="M4" s="3"/>
      <c r="N4" s="3"/>
      <c r="O4" s="3"/>
      <c r="P4" s="3"/>
      <c r="Q4" s="135">
        <v>150000</v>
      </c>
      <c r="R4" s="141"/>
      <c r="S4" s="48"/>
      <c r="T4" s="46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</row>
    <row r="5" spans="1:63" s="26" customFormat="1" x14ac:dyDescent="0.3">
      <c r="A5" s="3"/>
      <c r="B5" s="91"/>
      <c r="C5" s="15" t="s">
        <v>196</v>
      </c>
      <c r="D5" s="105" t="s">
        <v>117</v>
      </c>
      <c r="E5" s="110">
        <v>46298</v>
      </c>
      <c r="F5" s="105" t="s">
        <v>193</v>
      </c>
      <c r="G5" s="150" t="s">
        <v>190</v>
      </c>
      <c r="H5" s="105"/>
      <c r="I5" s="155" t="s">
        <v>190</v>
      </c>
      <c r="J5" s="105" t="s">
        <v>211</v>
      </c>
      <c r="K5" s="89"/>
      <c r="L5" s="105" t="s">
        <v>197</v>
      </c>
      <c r="M5" s="3"/>
      <c r="N5" s="3"/>
      <c r="O5" s="3"/>
      <c r="P5" s="3"/>
      <c r="Q5" s="90"/>
      <c r="R5" s="141"/>
      <c r="S5" s="48"/>
      <c r="T5" s="46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</row>
    <row r="6" spans="1:63" s="26" customFormat="1" x14ac:dyDescent="0.3">
      <c r="A6" s="3"/>
      <c r="B6" s="91" t="s">
        <v>121</v>
      </c>
      <c r="C6" s="15" t="s">
        <v>195</v>
      </c>
      <c r="D6" s="105" t="s">
        <v>123</v>
      </c>
      <c r="E6" s="110">
        <v>46298</v>
      </c>
      <c r="F6" s="105" t="s">
        <v>193</v>
      </c>
      <c r="G6" s="150" t="s">
        <v>190</v>
      </c>
      <c r="H6" s="105"/>
      <c r="I6" s="155" t="s">
        <v>190</v>
      </c>
      <c r="J6" s="105" t="s">
        <v>211</v>
      </c>
      <c r="K6" s="89"/>
      <c r="L6" s="105" t="s">
        <v>194</v>
      </c>
      <c r="M6" s="3"/>
      <c r="N6" s="3"/>
      <c r="O6" s="3"/>
      <c r="P6" s="3"/>
      <c r="Q6" s="90"/>
      <c r="R6" s="141">
        <v>108000</v>
      </c>
      <c r="S6" s="48"/>
      <c r="T6" s="4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</row>
    <row r="7" spans="1:63" s="26" customFormat="1" x14ac:dyDescent="0.3">
      <c r="A7" s="3"/>
      <c r="B7" s="121" t="s">
        <v>86</v>
      </c>
      <c r="C7" s="15" t="s">
        <v>23</v>
      </c>
      <c r="D7" s="105" t="s">
        <v>117</v>
      </c>
      <c r="E7" s="110">
        <v>46359</v>
      </c>
      <c r="F7" s="105" t="s">
        <v>189</v>
      </c>
      <c r="G7" s="150" t="s">
        <v>190</v>
      </c>
      <c r="H7" s="105"/>
      <c r="I7" s="155" t="s">
        <v>190</v>
      </c>
      <c r="J7" s="105" t="s">
        <v>211</v>
      </c>
      <c r="K7" s="89"/>
      <c r="L7" s="105" t="s">
        <v>198</v>
      </c>
      <c r="M7" s="3"/>
      <c r="N7" s="3"/>
      <c r="O7" s="3"/>
      <c r="P7" s="3"/>
      <c r="Q7" s="135">
        <v>50000</v>
      </c>
      <c r="R7" s="141"/>
      <c r="S7" s="48"/>
      <c r="T7" s="46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</row>
    <row r="8" spans="1:63" x14ac:dyDescent="0.3">
      <c r="A8" s="3"/>
      <c r="B8" s="122"/>
      <c r="C8" s="15" t="s">
        <v>122</v>
      </c>
      <c r="D8" s="105" t="s">
        <v>117</v>
      </c>
      <c r="E8" s="105" t="s">
        <v>243</v>
      </c>
      <c r="F8" s="105" t="s">
        <v>199</v>
      </c>
      <c r="G8" s="105"/>
      <c r="H8" s="105"/>
      <c r="I8" s="155" t="s">
        <v>190</v>
      </c>
      <c r="J8" s="105" t="s">
        <v>211</v>
      </c>
      <c r="K8" s="89" t="s">
        <v>200</v>
      </c>
      <c r="L8" s="105" t="s">
        <v>201</v>
      </c>
      <c r="M8" s="3"/>
      <c r="N8" s="3"/>
      <c r="O8" s="3"/>
      <c r="P8" s="3"/>
      <c r="Q8" s="3"/>
      <c r="R8" s="141"/>
      <c r="S8" s="48"/>
      <c r="T8" s="46"/>
      <c r="U8" t="s">
        <v>118</v>
      </c>
    </row>
    <row r="9" spans="1:63" s="26" customFormat="1" x14ac:dyDescent="0.3">
      <c r="A9" s="3"/>
      <c r="B9" s="91" t="s">
        <v>84</v>
      </c>
      <c r="C9" s="15" t="s">
        <v>134</v>
      </c>
      <c r="D9" s="105" t="s">
        <v>117</v>
      </c>
      <c r="E9" s="105" t="s">
        <v>244</v>
      </c>
      <c r="F9" s="105" t="s">
        <v>202</v>
      </c>
      <c r="G9" s="148" t="s">
        <v>203</v>
      </c>
      <c r="H9" s="105" t="s">
        <v>206</v>
      </c>
      <c r="I9" s="31" t="s">
        <v>203</v>
      </c>
      <c r="J9" s="3"/>
      <c r="K9" s="3"/>
      <c r="L9" s="105" t="s">
        <v>227</v>
      </c>
      <c r="M9" s="3"/>
      <c r="N9" s="3"/>
      <c r="O9" s="3"/>
      <c r="P9" s="3"/>
      <c r="Q9" s="3"/>
      <c r="R9" s="141">
        <v>15000</v>
      </c>
      <c r="S9" s="48"/>
      <c r="T9" s="46"/>
      <c r="U9" t="s">
        <v>114</v>
      </c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</row>
    <row r="10" spans="1:63" s="26" customFormat="1" x14ac:dyDescent="0.3">
      <c r="A10" s="3"/>
      <c r="B10" s="121" t="s">
        <v>139</v>
      </c>
      <c r="C10" s="15" t="s">
        <v>111</v>
      </c>
      <c r="D10" s="105" t="s">
        <v>117</v>
      </c>
      <c r="E10" s="105" t="s">
        <v>243</v>
      </c>
      <c r="F10" s="105" t="s">
        <v>192</v>
      </c>
      <c r="G10" s="148" t="s">
        <v>203</v>
      </c>
      <c r="H10" s="105" t="s">
        <v>206</v>
      </c>
      <c r="I10" s="31" t="s">
        <v>203</v>
      </c>
      <c r="J10" s="3"/>
      <c r="K10" s="3" t="s">
        <v>200</v>
      </c>
      <c r="L10" s="105" t="s">
        <v>201</v>
      </c>
      <c r="M10" s="3"/>
      <c r="N10" s="3"/>
      <c r="O10" s="3"/>
      <c r="P10" s="3"/>
      <c r="Q10" s="3"/>
      <c r="R10" s="141">
        <v>150315</v>
      </c>
      <c r="S10" s="48"/>
      <c r="T10" s="46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</row>
    <row r="11" spans="1:63" s="26" customFormat="1" x14ac:dyDescent="0.3">
      <c r="A11" s="3"/>
      <c r="B11" s="120"/>
      <c r="C11" s="51" t="s">
        <v>136</v>
      </c>
      <c r="D11" s="106" t="s">
        <v>117</v>
      </c>
      <c r="E11" s="137">
        <v>46206</v>
      </c>
      <c r="F11" s="137">
        <v>46237</v>
      </c>
      <c r="G11" s="151" t="s">
        <v>204</v>
      </c>
      <c r="H11" s="106" t="s">
        <v>204</v>
      </c>
      <c r="I11" s="157" t="s">
        <v>204</v>
      </c>
      <c r="J11" s="52"/>
      <c r="K11" s="52"/>
      <c r="L11" s="106" t="s">
        <v>193</v>
      </c>
      <c r="M11" s="52"/>
      <c r="N11" s="52"/>
      <c r="O11" s="52"/>
      <c r="P11" s="52"/>
      <c r="Q11" s="52"/>
      <c r="R11" s="142">
        <v>23647</v>
      </c>
      <c r="S11" s="92"/>
      <c r="T11" s="93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</row>
    <row r="12" spans="1:63" s="26" customFormat="1" x14ac:dyDescent="0.3">
      <c r="A12" s="3"/>
      <c r="B12" s="120"/>
      <c r="C12" s="51" t="s">
        <v>31</v>
      </c>
      <c r="D12" s="106" t="s">
        <v>117</v>
      </c>
      <c r="E12" s="137">
        <v>46329</v>
      </c>
      <c r="F12" s="106" t="s">
        <v>193</v>
      </c>
      <c r="G12" s="114" t="s">
        <v>190</v>
      </c>
      <c r="H12" s="106"/>
      <c r="I12" s="115" t="s">
        <v>190</v>
      </c>
      <c r="J12" s="105" t="s">
        <v>211</v>
      </c>
      <c r="K12" s="52"/>
      <c r="L12" s="106" t="s">
        <v>192</v>
      </c>
      <c r="M12" s="52"/>
      <c r="N12" s="52"/>
      <c r="O12" s="52"/>
      <c r="P12" s="52"/>
      <c r="Q12" s="52"/>
      <c r="R12" s="142">
        <v>561370</v>
      </c>
      <c r="S12" s="92"/>
      <c r="T12" s="93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</row>
    <row r="13" spans="1:63" x14ac:dyDescent="0.3">
      <c r="A13" s="3"/>
      <c r="B13" s="120"/>
      <c r="C13" s="15" t="s">
        <v>45</v>
      </c>
      <c r="D13" s="105" t="s">
        <v>117</v>
      </c>
      <c r="E13" s="110">
        <v>46359</v>
      </c>
      <c r="F13" s="105" t="s">
        <v>205</v>
      </c>
      <c r="G13" s="148" t="s">
        <v>203</v>
      </c>
      <c r="H13" s="105" t="s">
        <v>206</v>
      </c>
      <c r="I13" s="3"/>
      <c r="J13" s="3"/>
      <c r="K13" s="3" t="s">
        <v>200</v>
      </c>
      <c r="L13" s="105" t="s">
        <v>197</v>
      </c>
      <c r="M13" s="3"/>
      <c r="N13" s="3"/>
      <c r="O13" s="3"/>
      <c r="P13" s="3"/>
      <c r="Q13" s="3"/>
      <c r="R13" s="141">
        <v>40865</v>
      </c>
      <c r="S13" s="48"/>
      <c r="T13" s="46"/>
    </row>
    <row r="14" spans="1:63" s="26" customFormat="1" x14ac:dyDescent="0.3">
      <c r="A14" s="3"/>
      <c r="B14" s="122"/>
      <c r="C14" s="14" t="s">
        <v>135</v>
      </c>
      <c r="D14" s="104" t="s">
        <v>117</v>
      </c>
      <c r="E14" s="110">
        <v>46359</v>
      </c>
      <c r="F14" s="105" t="s">
        <v>205</v>
      </c>
      <c r="G14" s="149" t="s">
        <v>203</v>
      </c>
      <c r="H14" s="105" t="s">
        <v>206</v>
      </c>
      <c r="I14" s="111" t="s">
        <v>190</v>
      </c>
      <c r="J14" s="105" t="s">
        <v>211</v>
      </c>
      <c r="K14" s="3" t="s">
        <v>200</v>
      </c>
      <c r="L14" s="105" t="s">
        <v>197</v>
      </c>
      <c r="M14" s="4"/>
      <c r="N14" s="4"/>
      <c r="O14" s="4"/>
      <c r="P14" s="4"/>
      <c r="Q14" s="4"/>
      <c r="R14" s="140">
        <v>80000</v>
      </c>
      <c r="S14" s="49"/>
      <c r="T14" s="47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</row>
    <row r="15" spans="1:63" x14ac:dyDescent="0.3">
      <c r="A15" s="3"/>
      <c r="B15" s="121" t="s">
        <v>140</v>
      </c>
      <c r="C15" s="15" t="s">
        <v>208</v>
      </c>
      <c r="D15" s="105" t="s">
        <v>117</v>
      </c>
      <c r="E15" s="105" t="s">
        <v>243</v>
      </c>
      <c r="F15" s="105" t="s">
        <v>205</v>
      </c>
      <c r="G15" s="148" t="s">
        <v>203</v>
      </c>
      <c r="H15" s="105" t="s">
        <v>206</v>
      </c>
      <c r="I15" s="3"/>
      <c r="J15" s="3"/>
      <c r="K15" s="3" t="s">
        <v>198</v>
      </c>
      <c r="L15" s="105" t="s">
        <v>207</v>
      </c>
      <c r="M15" s="3"/>
      <c r="N15" s="3"/>
      <c r="O15" s="3"/>
      <c r="P15" s="3"/>
      <c r="Q15" s="3"/>
      <c r="R15" s="141">
        <v>95261</v>
      </c>
      <c r="S15" s="48"/>
      <c r="T15" s="46"/>
    </row>
    <row r="16" spans="1:63" x14ac:dyDescent="0.3">
      <c r="A16" s="3"/>
      <c r="B16" s="120"/>
      <c r="C16" s="15" t="s">
        <v>38</v>
      </c>
      <c r="D16" s="105" t="s">
        <v>117</v>
      </c>
      <c r="E16" s="105" t="s">
        <v>243</v>
      </c>
      <c r="F16" s="105" t="s">
        <v>205</v>
      </c>
      <c r="G16" s="148" t="s">
        <v>203</v>
      </c>
      <c r="H16" s="105" t="s">
        <v>206</v>
      </c>
      <c r="I16" s="111" t="s">
        <v>190</v>
      </c>
      <c r="J16" s="105" t="s">
        <v>211</v>
      </c>
      <c r="K16" s="3"/>
      <c r="L16" s="105" t="s">
        <v>207</v>
      </c>
      <c r="M16" s="3"/>
      <c r="N16" s="3"/>
      <c r="O16" s="3"/>
      <c r="P16" s="3"/>
      <c r="Q16" s="3"/>
      <c r="R16" s="141">
        <v>39686</v>
      </c>
      <c r="S16" s="48"/>
      <c r="T16" s="46"/>
    </row>
    <row r="17" spans="1:63" x14ac:dyDescent="0.3">
      <c r="A17" s="3"/>
      <c r="B17" s="120"/>
      <c r="C17" s="15" t="s">
        <v>37</v>
      </c>
      <c r="D17" s="105" t="s">
        <v>123</v>
      </c>
      <c r="E17" s="105" t="s">
        <v>245</v>
      </c>
      <c r="F17" s="105" t="s">
        <v>192</v>
      </c>
      <c r="G17" s="158" t="s">
        <v>210</v>
      </c>
      <c r="H17" s="105"/>
      <c r="I17" s="111" t="s">
        <v>190</v>
      </c>
      <c r="J17" s="105" t="s">
        <v>211</v>
      </c>
      <c r="K17" s="3"/>
      <c r="L17" s="105" t="s">
        <v>209</v>
      </c>
      <c r="M17" s="3"/>
      <c r="N17" s="3"/>
      <c r="O17" s="3"/>
      <c r="P17" s="3"/>
      <c r="Q17" s="3"/>
      <c r="R17" s="141"/>
      <c r="S17" s="48"/>
      <c r="T17" s="46"/>
    </row>
    <row r="18" spans="1:63" x14ac:dyDescent="0.3">
      <c r="A18" s="3"/>
      <c r="B18" s="120"/>
      <c r="C18" s="15" t="s">
        <v>137</v>
      </c>
      <c r="D18" s="105" t="s">
        <v>117</v>
      </c>
      <c r="E18" s="105" t="s">
        <v>245</v>
      </c>
      <c r="F18" s="105" t="s">
        <v>192</v>
      </c>
      <c r="G18" s="158" t="s">
        <v>210</v>
      </c>
      <c r="H18" s="105"/>
      <c r="I18" s="111" t="s">
        <v>190</v>
      </c>
      <c r="J18" s="105" t="s">
        <v>211</v>
      </c>
      <c r="K18" s="3"/>
      <c r="L18" s="105" t="s">
        <v>209</v>
      </c>
      <c r="M18" s="3"/>
      <c r="N18" s="3"/>
      <c r="O18" s="3"/>
      <c r="P18" s="3"/>
      <c r="Q18" s="3"/>
      <c r="R18" s="141">
        <v>20000</v>
      </c>
      <c r="S18" s="48"/>
      <c r="T18" s="46"/>
    </row>
    <row r="19" spans="1:63" x14ac:dyDescent="0.3">
      <c r="A19" s="3"/>
      <c r="B19" s="120"/>
      <c r="C19" s="15" t="s">
        <v>22</v>
      </c>
      <c r="D19" s="105" t="s">
        <v>117</v>
      </c>
      <c r="E19" s="110" t="s">
        <v>212</v>
      </c>
      <c r="F19" s="105" t="s">
        <v>213</v>
      </c>
      <c r="G19" s="159" t="s">
        <v>237</v>
      </c>
      <c r="H19" s="105"/>
      <c r="I19" s="111" t="s">
        <v>190</v>
      </c>
      <c r="J19" s="105" t="s">
        <v>211</v>
      </c>
      <c r="K19" s="3"/>
      <c r="L19" s="105" t="s">
        <v>214</v>
      </c>
      <c r="M19" s="3"/>
      <c r="N19" s="3"/>
      <c r="O19" s="3"/>
      <c r="P19" s="3"/>
      <c r="Q19" s="3"/>
      <c r="R19" s="141">
        <v>35000</v>
      </c>
      <c r="S19" s="48"/>
      <c r="T19" s="46"/>
    </row>
    <row r="20" spans="1:63" s="26" customFormat="1" x14ac:dyDescent="0.3">
      <c r="A20" s="3"/>
      <c r="B20" s="120"/>
      <c r="C20" s="15" t="s">
        <v>215</v>
      </c>
      <c r="D20" s="105" t="s">
        <v>123</v>
      </c>
      <c r="E20" s="110">
        <v>46359</v>
      </c>
      <c r="F20" s="105" t="s">
        <v>189</v>
      </c>
      <c r="G20" s="148" t="s">
        <v>203</v>
      </c>
      <c r="H20" s="105"/>
      <c r="I20" s="155" t="s">
        <v>190</v>
      </c>
      <c r="J20" s="105" t="s">
        <v>211</v>
      </c>
      <c r="K20" s="89"/>
      <c r="L20" s="105" t="s">
        <v>191</v>
      </c>
      <c r="M20" s="3"/>
      <c r="N20" s="3"/>
      <c r="O20" s="3"/>
      <c r="P20" s="3"/>
      <c r="Q20" s="3"/>
      <c r="R20" s="141"/>
      <c r="S20" s="48"/>
      <c r="T20" s="46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</row>
    <row r="21" spans="1:63" x14ac:dyDescent="0.3">
      <c r="A21" s="3"/>
      <c r="B21" s="122"/>
      <c r="C21" s="15"/>
      <c r="D21" s="105" t="s">
        <v>123</v>
      </c>
      <c r="E21" s="105"/>
      <c r="F21" s="105"/>
      <c r="G21" s="105"/>
      <c r="H21" s="105"/>
      <c r="I21" s="3"/>
      <c r="J21" s="3"/>
      <c r="K21" s="3"/>
      <c r="L21" s="105"/>
      <c r="M21" s="3"/>
      <c r="N21" s="3"/>
      <c r="O21" s="3"/>
      <c r="P21" s="3"/>
      <c r="Q21" s="3"/>
      <c r="R21" s="141"/>
      <c r="S21" s="48"/>
      <c r="T21" s="46"/>
    </row>
    <row r="22" spans="1:63" s="26" customFormat="1" x14ac:dyDescent="0.3">
      <c r="A22" s="3"/>
      <c r="B22" s="94" t="s">
        <v>141</v>
      </c>
      <c r="C22" s="14" t="s">
        <v>36</v>
      </c>
      <c r="D22" s="104" t="s">
        <v>117</v>
      </c>
      <c r="E22" s="104" t="s">
        <v>243</v>
      </c>
      <c r="F22" s="104" t="s">
        <v>193</v>
      </c>
      <c r="G22" s="149" t="s">
        <v>203</v>
      </c>
      <c r="H22" s="105" t="s">
        <v>206</v>
      </c>
      <c r="I22" s="4"/>
      <c r="J22" s="4"/>
      <c r="K22" s="4" t="s">
        <v>200</v>
      </c>
      <c r="L22" s="104" t="s">
        <v>201</v>
      </c>
      <c r="M22" s="3"/>
      <c r="N22" s="4"/>
      <c r="O22" s="4"/>
      <c r="P22" s="4"/>
      <c r="Q22" s="4"/>
      <c r="R22" s="140">
        <v>158052</v>
      </c>
      <c r="S22" s="49"/>
      <c r="T22" s="47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</row>
    <row r="23" spans="1:63" s="26" customFormat="1" x14ac:dyDescent="0.3">
      <c r="A23" s="3"/>
      <c r="B23" s="125" t="s">
        <v>142</v>
      </c>
      <c r="C23" s="15" t="s">
        <v>41</v>
      </c>
      <c r="D23" s="105" t="s">
        <v>117</v>
      </c>
      <c r="E23" s="110">
        <v>46359</v>
      </c>
      <c r="F23" s="105" t="s">
        <v>189</v>
      </c>
      <c r="G23" s="160" t="s">
        <v>238</v>
      </c>
      <c r="H23" s="105"/>
      <c r="I23" s="155" t="s">
        <v>190</v>
      </c>
      <c r="J23" s="105" t="s">
        <v>211</v>
      </c>
      <c r="K23" s="89"/>
      <c r="L23" s="105" t="s">
        <v>191</v>
      </c>
      <c r="M23" s="3"/>
      <c r="N23" s="3"/>
      <c r="O23" s="3"/>
      <c r="P23" s="3"/>
      <c r="Q23" s="135">
        <v>123546</v>
      </c>
      <c r="R23" s="141"/>
      <c r="S23" s="48"/>
      <c r="T23" s="46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</row>
    <row r="24" spans="1:63" s="26" customFormat="1" x14ac:dyDescent="0.3">
      <c r="A24" s="3"/>
      <c r="B24" s="126"/>
      <c r="C24" s="15"/>
      <c r="D24" s="105" t="s">
        <v>117</v>
      </c>
      <c r="E24" s="105"/>
      <c r="F24" s="105"/>
      <c r="G24" s="105"/>
      <c r="H24" s="105"/>
      <c r="I24" s="111"/>
      <c r="J24" s="3"/>
      <c r="K24" s="3"/>
      <c r="L24" s="105"/>
      <c r="M24" s="3"/>
      <c r="N24" s="3"/>
      <c r="O24" s="3"/>
      <c r="P24" s="3"/>
      <c r="Q24" s="3"/>
      <c r="R24" s="141"/>
      <c r="S24" s="48"/>
      <c r="T24" s="46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</row>
    <row r="25" spans="1:63" s="26" customFormat="1" x14ac:dyDescent="0.3">
      <c r="A25" s="3"/>
      <c r="B25" s="120" t="s">
        <v>143</v>
      </c>
      <c r="C25" s="15" t="s">
        <v>110</v>
      </c>
      <c r="D25" s="105" t="s">
        <v>117</v>
      </c>
      <c r="E25" s="110">
        <v>46329</v>
      </c>
      <c r="F25" s="105" t="s">
        <v>199</v>
      </c>
      <c r="G25" s="150" t="s">
        <v>190</v>
      </c>
      <c r="H25" s="105"/>
      <c r="I25" s="155" t="s">
        <v>190</v>
      </c>
      <c r="J25" s="105" t="s">
        <v>211</v>
      </c>
      <c r="K25" s="89"/>
      <c r="L25" s="105" t="s">
        <v>217</v>
      </c>
      <c r="M25" s="3"/>
      <c r="N25" s="3"/>
      <c r="O25" s="3"/>
      <c r="P25" s="3"/>
      <c r="Q25" s="3"/>
      <c r="R25" s="141">
        <v>185693</v>
      </c>
      <c r="S25" s="48"/>
      <c r="T25" s="46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</row>
    <row r="26" spans="1:63" s="26" customFormat="1" x14ac:dyDescent="0.3">
      <c r="A26" s="3"/>
      <c r="B26" s="122"/>
      <c r="C26" s="15" t="s">
        <v>10</v>
      </c>
      <c r="D26" s="105" t="s">
        <v>117</v>
      </c>
      <c r="E26" s="105" t="s">
        <v>246</v>
      </c>
      <c r="F26" s="105" t="s">
        <v>200</v>
      </c>
      <c r="G26" s="148" t="s">
        <v>203</v>
      </c>
      <c r="H26" s="105" t="s">
        <v>219</v>
      </c>
      <c r="I26" s="111" t="s">
        <v>190</v>
      </c>
      <c r="J26" s="105" t="s">
        <v>211</v>
      </c>
      <c r="K26" s="3"/>
      <c r="L26" s="105" t="s">
        <v>220</v>
      </c>
      <c r="M26" s="3"/>
      <c r="N26" s="3"/>
      <c r="O26" s="3"/>
      <c r="P26" s="3"/>
      <c r="Q26" s="3"/>
      <c r="R26" s="141"/>
      <c r="S26" s="48"/>
      <c r="T26" s="4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</row>
    <row r="27" spans="1:63" s="26" customFormat="1" x14ac:dyDescent="0.3">
      <c r="A27" s="3"/>
      <c r="B27" s="96" t="s">
        <v>144</v>
      </c>
      <c r="C27" s="15" t="s">
        <v>12</v>
      </c>
      <c r="D27" s="105" t="s">
        <v>117</v>
      </c>
      <c r="E27" s="105" t="s">
        <v>247</v>
      </c>
      <c r="F27" s="105" t="s">
        <v>202</v>
      </c>
      <c r="G27" s="150" t="s">
        <v>190</v>
      </c>
      <c r="H27" s="105" t="s">
        <v>211</v>
      </c>
      <c r="I27" s="111" t="s">
        <v>190</v>
      </c>
      <c r="J27" s="105" t="s">
        <v>211</v>
      </c>
      <c r="K27" s="3"/>
      <c r="L27" s="105" t="s">
        <v>220</v>
      </c>
      <c r="M27" s="3"/>
      <c r="N27" s="3"/>
      <c r="O27" s="3"/>
      <c r="P27" s="3"/>
      <c r="Q27" s="3"/>
      <c r="R27" s="141">
        <v>11963</v>
      </c>
      <c r="S27" s="48"/>
      <c r="T27" s="46"/>
      <c r="U27" t="s">
        <v>113</v>
      </c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</row>
    <row r="28" spans="1:63" s="26" customFormat="1" x14ac:dyDescent="0.3">
      <c r="A28" s="3"/>
      <c r="B28" s="121" t="s">
        <v>145</v>
      </c>
      <c r="C28" s="15" t="s">
        <v>222</v>
      </c>
      <c r="D28" s="105" t="s">
        <v>123</v>
      </c>
      <c r="E28" s="105" t="s">
        <v>248</v>
      </c>
      <c r="F28" s="105" t="s">
        <v>221</v>
      </c>
      <c r="G28" s="148" t="s">
        <v>203</v>
      </c>
      <c r="H28" s="105" t="s">
        <v>211</v>
      </c>
      <c r="I28" s="111" t="s">
        <v>190</v>
      </c>
      <c r="J28" s="105" t="s">
        <v>211</v>
      </c>
      <c r="K28" s="3"/>
      <c r="L28" s="105" t="s">
        <v>220</v>
      </c>
      <c r="M28" s="3"/>
      <c r="N28" s="3"/>
      <c r="O28" s="3"/>
      <c r="P28" s="3"/>
      <c r="Q28" s="3"/>
      <c r="R28" s="141"/>
      <c r="S28" s="48"/>
      <c r="T28" s="46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</row>
    <row r="29" spans="1:63" s="26" customFormat="1" x14ac:dyDescent="0.3">
      <c r="A29" s="3"/>
      <c r="B29" s="122"/>
      <c r="C29" s="15" t="s">
        <v>70</v>
      </c>
      <c r="D29" s="105" t="s">
        <v>123</v>
      </c>
      <c r="E29" s="105" t="s">
        <v>243</v>
      </c>
      <c r="F29" s="105" t="s">
        <v>200</v>
      </c>
      <c r="G29" s="148" t="s">
        <v>203</v>
      </c>
      <c r="H29" s="105"/>
      <c r="I29" s="3"/>
      <c r="J29" s="3"/>
      <c r="K29" s="3"/>
      <c r="L29" s="105" t="s">
        <v>191</v>
      </c>
      <c r="M29" s="3"/>
      <c r="N29" s="3"/>
      <c r="O29" s="3"/>
      <c r="P29" s="3"/>
      <c r="Q29" s="3"/>
      <c r="R29" s="141"/>
      <c r="S29" s="48"/>
      <c r="T29" s="46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</row>
    <row r="30" spans="1:63" s="26" customFormat="1" x14ac:dyDescent="0.3">
      <c r="A30" s="3"/>
      <c r="B30" s="96" t="s">
        <v>146</v>
      </c>
      <c r="C30" s="15" t="s">
        <v>32</v>
      </c>
      <c r="D30" s="105" t="s">
        <v>117</v>
      </c>
      <c r="E30" s="105" t="s">
        <v>249</v>
      </c>
      <c r="F30" s="105" t="s">
        <v>217</v>
      </c>
      <c r="G30" s="148" t="s">
        <v>203</v>
      </c>
      <c r="H30" s="105"/>
      <c r="I30" s="3"/>
      <c r="J30" s="3"/>
      <c r="K30" s="3"/>
      <c r="L30" s="105" t="s">
        <v>197</v>
      </c>
      <c r="M30" s="3"/>
      <c r="N30" s="3"/>
      <c r="O30" s="3"/>
      <c r="P30" s="3"/>
      <c r="Q30" s="3"/>
      <c r="R30" s="141"/>
      <c r="S30" s="48"/>
      <c r="T30" s="46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</row>
    <row r="31" spans="1:63" s="26" customFormat="1" x14ac:dyDescent="0.3">
      <c r="A31" s="3"/>
      <c r="B31" s="96" t="s">
        <v>147</v>
      </c>
      <c r="C31" s="15" t="s">
        <v>81</v>
      </c>
      <c r="D31" s="105" t="s">
        <v>117</v>
      </c>
      <c r="E31" s="105" t="s">
        <v>249</v>
      </c>
      <c r="F31" s="105" t="s">
        <v>217</v>
      </c>
      <c r="G31" s="148" t="s">
        <v>203</v>
      </c>
      <c r="H31" s="105"/>
      <c r="I31" s="3"/>
      <c r="J31" s="3"/>
      <c r="K31" s="3"/>
      <c r="L31" s="105" t="s">
        <v>197</v>
      </c>
      <c r="M31" s="97">
        <v>20000</v>
      </c>
      <c r="N31" s="97"/>
      <c r="O31" s="97"/>
      <c r="P31" s="97"/>
      <c r="Q31" s="3"/>
      <c r="R31" s="141"/>
      <c r="S31" s="48"/>
      <c r="T31" s="46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</row>
    <row r="32" spans="1:63" s="26" customFormat="1" x14ac:dyDescent="0.3">
      <c r="A32" s="3"/>
      <c r="B32" s="96" t="s">
        <v>148</v>
      </c>
      <c r="C32" s="15" t="s">
        <v>46</v>
      </c>
      <c r="D32" s="105" t="s">
        <v>117</v>
      </c>
      <c r="E32" s="110">
        <v>46057</v>
      </c>
      <c r="F32" s="105" t="s">
        <v>223</v>
      </c>
      <c r="G32" s="148" t="s">
        <v>203</v>
      </c>
      <c r="H32" s="105"/>
      <c r="I32" s="3"/>
      <c r="J32" s="3"/>
      <c r="K32" s="3" t="s">
        <v>224</v>
      </c>
      <c r="L32" s="110">
        <v>46028</v>
      </c>
      <c r="M32" s="3"/>
      <c r="N32" s="3"/>
      <c r="O32" s="3"/>
      <c r="P32" s="3"/>
      <c r="Q32" s="3"/>
      <c r="R32" s="141"/>
      <c r="S32" s="48"/>
      <c r="T32" s="46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</row>
    <row r="33" spans="1:63" s="26" customFormat="1" x14ac:dyDescent="0.3">
      <c r="A33" s="3"/>
      <c r="B33" s="96" t="s">
        <v>149</v>
      </c>
      <c r="C33" s="15" t="s">
        <v>47</v>
      </c>
      <c r="D33" s="105" t="s">
        <v>117</v>
      </c>
      <c r="E33" s="110">
        <v>46057</v>
      </c>
      <c r="F33" s="105" t="s">
        <v>223</v>
      </c>
      <c r="G33" s="148" t="s">
        <v>203</v>
      </c>
      <c r="H33" s="105"/>
      <c r="I33" s="3"/>
      <c r="J33" s="3"/>
      <c r="K33" s="3" t="s">
        <v>224</v>
      </c>
      <c r="L33" s="110">
        <v>46028</v>
      </c>
      <c r="M33" s="3"/>
      <c r="N33" s="3"/>
      <c r="O33" s="3"/>
      <c r="P33" s="3"/>
      <c r="Q33" s="98"/>
      <c r="R33" s="141"/>
      <c r="S33" s="48"/>
      <c r="T33" s="46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</row>
    <row r="34" spans="1:63" s="26" customFormat="1" x14ac:dyDescent="0.3">
      <c r="A34" s="3"/>
      <c r="B34" s="96" t="s">
        <v>150</v>
      </c>
      <c r="C34" s="15" t="s">
        <v>50</v>
      </c>
      <c r="D34" s="105" t="s">
        <v>117</v>
      </c>
      <c r="E34" s="105" t="s">
        <v>245</v>
      </c>
      <c r="F34" s="105" t="s">
        <v>192</v>
      </c>
      <c r="G34" s="148" t="s">
        <v>203</v>
      </c>
      <c r="H34" s="105" t="s">
        <v>211</v>
      </c>
      <c r="I34" s="111" t="s">
        <v>190</v>
      </c>
      <c r="J34" s="3"/>
      <c r="K34" s="3"/>
      <c r="L34" s="105" t="s">
        <v>209</v>
      </c>
      <c r="M34" s="3"/>
      <c r="N34" s="3"/>
      <c r="O34" s="3"/>
      <c r="P34" s="3"/>
      <c r="Q34" s="3"/>
      <c r="R34" s="143"/>
      <c r="S34" s="48"/>
      <c r="T34" s="46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</row>
    <row r="35" spans="1:63" s="26" customFormat="1" ht="13.2" customHeight="1" x14ac:dyDescent="0.3">
      <c r="A35" s="3"/>
      <c r="B35" s="96" t="s">
        <v>151</v>
      </c>
      <c r="C35" s="15" t="s">
        <v>48</v>
      </c>
      <c r="D35" s="105" t="s">
        <v>117</v>
      </c>
      <c r="E35" s="105" t="s">
        <v>250</v>
      </c>
      <c r="F35" s="105"/>
      <c r="G35" s="148" t="s">
        <v>203</v>
      </c>
      <c r="H35" s="105"/>
      <c r="I35" s="111"/>
      <c r="J35" s="3"/>
      <c r="K35" s="3"/>
      <c r="L35" s="105" t="s">
        <v>220</v>
      </c>
      <c r="M35" s="3"/>
      <c r="N35" s="3"/>
      <c r="O35" s="3"/>
      <c r="P35" s="3"/>
      <c r="Q35" s="3"/>
      <c r="R35" s="141"/>
      <c r="S35" s="48"/>
      <c r="T35" s="46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</row>
    <row r="36" spans="1:63" s="26" customFormat="1" x14ac:dyDescent="0.3">
      <c r="A36" s="3"/>
      <c r="B36" s="96" t="s">
        <v>152</v>
      </c>
      <c r="C36" s="15" t="s">
        <v>30</v>
      </c>
      <c r="D36" s="105" t="s">
        <v>115</v>
      </c>
      <c r="E36" s="105" t="s">
        <v>245</v>
      </c>
      <c r="F36" s="105" t="s">
        <v>192</v>
      </c>
      <c r="G36" s="148" t="s">
        <v>203</v>
      </c>
      <c r="H36" s="105" t="s">
        <v>211</v>
      </c>
      <c r="I36" s="111" t="s">
        <v>190</v>
      </c>
      <c r="J36" s="3"/>
      <c r="K36" s="3"/>
      <c r="L36" s="105" t="s">
        <v>209</v>
      </c>
      <c r="M36" s="3"/>
      <c r="N36" s="3"/>
      <c r="O36" s="3"/>
      <c r="P36" s="3"/>
      <c r="Q36" s="3"/>
      <c r="R36" s="143"/>
      <c r="S36" s="48"/>
      <c r="T36" s="4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</row>
    <row r="37" spans="1:63" s="26" customFormat="1" x14ac:dyDescent="0.3">
      <c r="A37" s="3"/>
      <c r="B37" s="121" t="s">
        <v>153</v>
      </c>
      <c r="C37" s="15" t="s">
        <v>42</v>
      </c>
      <c r="D37" s="105" t="s">
        <v>117</v>
      </c>
      <c r="E37" s="105" t="s">
        <v>251</v>
      </c>
      <c r="F37" s="110">
        <v>46208</v>
      </c>
      <c r="G37" s="111" t="s">
        <v>190</v>
      </c>
      <c r="H37" s="105"/>
      <c r="I37" s="111" t="s">
        <v>190</v>
      </c>
      <c r="J37" s="3"/>
      <c r="K37" s="3"/>
      <c r="L37" s="105" t="s">
        <v>201</v>
      </c>
      <c r="M37" s="3"/>
      <c r="N37" s="3"/>
      <c r="O37" s="3"/>
      <c r="P37" s="3"/>
      <c r="Q37" s="3"/>
      <c r="R37" s="141"/>
      <c r="S37" s="48"/>
      <c r="T37" s="46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</row>
    <row r="38" spans="1:63" s="26" customFormat="1" x14ac:dyDescent="0.3">
      <c r="A38" s="3"/>
      <c r="B38" s="120"/>
      <c r="C38" s="15" t="s">
        <v>43</v>
      </c>
      <c r="D38" s="105" t="s">
        <v>117</v>
      </c>
      <c r="E38" s="110">
        <v>46359</v>
      </c>
      <c r="F38" s="105" t="s">
        <v>205</v>
      </c>
      <c r="G38" s="111" t="s">
        <v>190</v>
      </c>
      <c r="H38" s="105"/>
      <c r="I38" s="111" t="s">
        <v>190</v>
      </c>
      <c r="J38" s="3"/>
      <c r="K38" s="3"/>
      <c r="L38" s="105" t="s">
        <v>191</v>
      </c>
      <c r="M38" s="3"/>
      <c r="N38" s="3"/>
      <c r="O38" s="3"/>
      <c r="P38" s="3"/>
      <c r="Q38" s="3"/>
      <c r="R38" s="141"/>
      <c r="S38" s="48"/>
      <c r="T38" s="46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</row>
    <row r="39" spans="1:63" s="26" customFormat="1" x14ac:dyDescent="0.3">
      <c r="A39" s="3"/>
      <c r="B39" s="122"/>
      <c r="C39" s="15" t="s">
        <v>225</v>
      </c>
      <c r="D39" s="105" t="s">
        <v>117</v>
      </c>
      <c r="E39" s="105" t="s">
        <v>251</v>
      </c>
      <c r="F39" s="110">
        <v>46208</v>
      </c>
      <c r="G39" s="111" t="s">
        <v>190</v>
      </c>
      <c r="H39" s="105"/>
      <c r="I39" s="111" t="s">
        <v>190</v>
      </c>
      <c r="J39" s="3"/>
      <c r="K39" s="3"/>
      <c r="L39" s="105" t="s">
        <v>201</v>
      </c>
      <c r="M39" s="3"/>
      <c r="N39" s="3"/>
      <c r="O39" s="3"/>
      <c r="P39" s="3"/>
      <c r="Q39" s="3"/>
      <c r="R39" s="141"/>
      <c r="S39" s="48"/>
      <c r="T39" s="46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</row>
    <row r="40" spans="1:63" x14ac:dyDescent="0.3">
      <c r="A40" s="3"/>
      <c r="B40" s="96" t="s">
        <v>154</v>
      </c>
      <c r="C40" s="15" t="s">
        <v>80</v>
      </c>
      <c r="D40" s="105" t="s">
        <v>117</v>
      </c>
      <c r="E40" s="105" t="s">
        <v>252</v>
      </c>
      <c r="F40" s="105" t="s">
        <v>192</v>
      </c>
      <c r="G40" s="111" t="s">
        <v>190</v>
      </c>
      <c r="H40" s="105"/>
      <c r="I40" s="111" t="s">
        <v>190</v>
      </c>
      <c r="J40" s="3"/>
      <c r="K40" s="3" t="s">
        <v>200</v>
      </c>
      <c r="L40" s="105" t="s">
        <v>226</v>
      </c>
      <c r="M40" s="3"/>
      <c r="N40" s="3"/>
      <c r="O40" s="3"/>
      <c r="P40" s="3"/>
      <c r="Q40" s="3"/>
      <c r="R40" s="141">
        <v>150000</v>
      </c>
      <c r="S40" s="48"/>
      <c r="T40" s="46"/>
    </row>
    <row r="41" spans="1:63" s="26" customFormat="1" x14ac:dyDescent="0.3">
      <c r="A41" s="3"/>
      <c r="B41" s="94" t="s">
        <v>155</v>
      </c>
      <c r="C41" s="14" t="s">
        <v>256</v>
      </c>
      <c r="D41" s="104" t="s">
        <v>115</v>
      </c>
      <c r="E41" s="104" t="s">
        <v>253</v>
      </c>
      <c r="F41" s="104"/>
      <c r="G41" s="149" t="s">
        <v>203</v>
      </c>
      <c r="H41" s="104"/>
      <c r="I41" s="156"/>
      <c r="J41" s="4"/>
      <c r="K41" s="4"/>
      <c r="L41" s="104" t="s">
        <v>228</v>
      </c>
      <c r="M41" s="4"/>
      <c r="N41" s="4"/>
      <c r="O41" s="4"/>
      <c r="P41" s="4"/>
      <c r="Q41" s="134">
        <v>7000</v>
      </c>
      <c r="R41" s="140"/>
      <c r="S41" s="49"/>
      <c r="T41" s="47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</row>
    <row r="42" spans="1:63" s="26" customFormat="1" x14ac:dyDescent="0.3">
      <c r="A42" s="3"/>
      <c r="B42" s="94" t="s">
        <v>156</v>
      </c>
      <c r="C42" s="15" t="s">
        <v>26</v>
      </c>
      <c r="D42" s="105" t="s">
        <v>117</v>
      </c>
      <c r="E42" s="105" t="s">
        <v>254</v>
      </c>
      <c r="F42" s="110">
        <v>46178</v>
      </c>
      <c r="G42" s="150" t="s">
        <v>190</v>
      </c>
      <c r="H42" s="105"/>
      <c r="I42" s="111"/>
      <c r="J42" s="3"/>
      <c r="K42" s="3"/>
      <c r="L42" s="104" t="s">
        <v>214</v>
      </c>
      <c r="M42" s="3"/>
      <c r="N42" s="3"/>
      <c r="O42" s="3"/>
      <c r="P42" s="3"/>
      <c r="Q42" s="31"/>
      <c r="R42" s="141"/>
      <c r="S42" s="48"/>
      <c r="T42" s="46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</row>
    <row r="43" spans="1:63" s="26" customFormat="1" x14ac:dyDescent="0.3">
      <c r="A43" s="3"/>
      <c r="B43" s="94" t="s">
        <v>157</v>
      </c>
      <c r="C43" s="15" t="s">
        <v>229</v>
      </c>
      <c r="D43" s="105" t="s">
        <v>115</v>
      </c>
      <c r="E43" s="110">
        <v>46176</v>
      </c>
      <c r="F43" s="105" t="s">
        <v>199</v>
      </c>
      <c r="G43" s="152" t="s">
        <v>218</v>
      </c>
      <c r="H43" s="105"/>
      <c r="I43" s="111" t="s">
        <v>190</v>
      </c>
      <c r="J43" s="3"/>
      <c r="K43" s="3"/>
      <c r="L43" s="105"/>
      <c r="M43" s="3"/>
      <c r="N43" s="3"/>
      <c r="O43" s="3"/>
      <c r="P43" s="3"/>
      <c r="Q43" s="136">
        <v>200000</v>
      </c>
      <c r="R43" s="141"/>
      <c r="S43" s="48"/>
      <c r="T43" s="46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</row>
    <row r="44" spans="1:63" s="26" customFormat="1" x14ac:dyDescent="0.3">
      <c r="A44" s="3"/>
      <c r="B44" s="94" t="s">
        <v>230</v>
      </c>
      <c r="C44" s="15" t="s">
        <v>231</v>
      </c>
      <c r="D44" s="105" t="s">
        <v>115</v>
      </c>
      <c r="E44" s="110">
        <v>46176</v>
      </c>
      <c r="F44" s="105" t="s">
        <v>199</v>
      </c>
      <c r="G44" s="152" t="s">
        <v>218</v>
      </c>
      <c r="H44" s="105"/>
      <c r="I44" s="111" t="s">
        <v>190</v>
      </c>
      <c r="J44" s="3"/>
      <c r="K44" s="3"/>
      <c r="L44" s="105"/>
      <c r="M44" s="3"/>
      <c r="N44" s="3"/>
      <c r="O44" s="3"/>
      <c r="P44" s="3"/>
      <c r="Q44" s="3"/>
      <c r="R44" s="141"/>
      <c r="S44" s="48"/>
      <c r="T44" s="46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</row>
    <row r="45" spans="1:63" s="26" customFormat="1" x14ac:dyDescent="0.3">
      <c r="A45" s="3"/>
      <c r="B45" s="94" t="s">
        <v>232</v>
      </c>
      <c r="C45" s="15" t="s">
        <v>233</v>
      </c>
      <c r="D45" s="105" t="s">
        <v>117</v>
      </c>
      <c r="E45" s="110">
        <v>46176</v>
      </c>
      <c r="F45" s="105" t="s">
        <v>199</v>
      </c>
      <c r="G45" s="152" t="s">
        <v>218</v>
      </c>
      <c r="H45" s="105"/>
      <c r="I45" s="111" t="s">
        <v>190</v>
      </c>
      <c r="J45" s="3"/>
      <c r="K45" s="3"/>
      <c r="L45" s="105"/>
      <c r="M45" s="3"/>
      <c r="N45" s="3"/>
      <c r="O45" s="3"/>
      <c r="P45" s="3"/>
      <c r="Q45" s="3"/>
      <c r="R45" s="141"/>
      <c r="S45" s="48"/>
      <c r="T45" s="46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</row>
    <row r="46" spans="1:63" s="26" customFormat="1" x14ac:dyDescent="0.3">
      <c r="A46" s="3"/>
      <c r="B46" s="96" t="s">
        <v>158</v>
      </c>
      <c r="C46" s="15" t="s">
        <v>82</v>
      </c>
      <c r="D46" s="105" t="s">
        <v>117</v>
      </c>
      <c r="E46" s="110">
        <v>46176</v>
      </c>
      <c r="F46" s="105" t="s">
        <v>199</v>
      </c>
      <c r="G46" s="152" t="s">
        <v>218</v>
      </c>
      <c r="H46" s="105"/>
      <c r="I46" s="111" t="s">
        <v>190</v>
      </c>
      <c r="J46" s="3"/>
      <c r="K46" s="3"/>
      <c r="L46" s="105"/>
      <c r="M46" s="3"/>
      <c r="N46" s="3"/>
      <c r="O46" s="3"/>
      <c r="P46" s="3"/>
      <c r="Q46" s="135">
        <v>3013800</v>
      </c>
      <c r="R46" s="141"/>
      <c r="S46" s="48"/>
      <c r="T46" s="46"/>
      <c r="U46" t="s">
        <v>119</v>
      </c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</row>
    <row r="47" spans="1:63" x14ac:dyDescent="0.3">
      <c r="A47" s="3"/>
      <c r="B47" s="96" t="s">
        <v>159</v>
      </c>
      <c r="C47" s="15" t="s">
        <v>35</v>
      </c>
      <c r="D47" s="105" t="s">
        <v>117</v>
      </c>
      <c r="E47" s="110">
        <v>45811</v>
      </c>
      <c r="F47" s="110">
        <v>45872</v>
      </c>
      <c r="G47" s="148" t="s">
        <v>203</v>
      </c>
      <c r="H47" s="105"/>
      <c r="I47" s="111" t="s">
        <v>190</v>
      </c>
      <c r="J47" s="3"/>
      <c r="K47" s="3"/>
      <c r="L47" s="105" t="s">
        <v>193</v>
      </c>
      <c r="M47" s="3"/>
      <c r="N47" s="3"/>
      <c r="O47" s="3"/>
      <c r="P47" s="3"/>
      <c r="Q47" s="3"/>
      <c r="R47" s="141">
        <v>36000</v>
      </c>
      <c r="S47" s="48"/>
      <c r="T47" s="46"/>
    </row>
    <row r="48" spans="1:63" s="26" customFormat="1" x14ac:dyDescent="0.3">
      <c r="A48" s="3"/>
      <c r="B48" s="94" t="s">
        <v>160</v>
      </c>
      <c r="C48" s="14" t="s">
        <v>34</v>
      </c>
      <c r="D48" s="104" t="s">
        <v>117</v>
      </c>
      <c r="E48" s="104" t="s">
        <v>254</v>
      </c>
      <c r="F48" s="138">
        <v>46331</v>
      </c>
      <c r="G48" s="153" t="s">
        <v>218</v>
      </c>
      <c r="H48" s="104"/>
      <c r="I48" s="111" t="s">
        <v>190</v>
      </c>
      <c r="J48" s="4"/>
      <c r="K48" s="4"/>
      <c r="L48" s="104" t="s">
        <v>234</v>
      </c>
      <c r="M48" s="4"/>
      <c r="N48" s="4"/>
      <c r="O48" s="4"/>
      <c r="P48" s="4"/>
      <c r="Q48" s="88">
        <v>17900</v>
      </c>
      <c r="R48" s="140"/>
      <c r="S48" s="49"/>
      <c r="T48" s="47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</row>
    <row r="49" spans="1:63" s="26" customFormat="1" x14ac:dyDescent="0.3">
      <c r="A49" s="3"/>
      <c r="B49" s="96" t="s">
        <v>161</v>
      </c>
      <c r="C49" s="15" t="s">
        <v>11</v>
      </c>
      <c r="D49" s="105" t="s">
        <v>117</v>
      </c>
      <c r="E49" s="110">
        <v>46176</v>
      </c>
      <c r="F49" s="105" t="s">
        <v>199</v>
      </c>
      <c r="G49" s="152" t="s">
        <v>218</v>
      </c>
      <c r="H49" s="105"/>
      <c r="I49" s="111" t="s">
        <v>190</v>
      </c>
      <c r="J49" s="3"/>
      <c r="K49" s="3"/>
      <c r="L49" s="105"/>
      <c r="M49" s="3"/>
      <c r="N49" s="3"/>
      <c r="O49" s="3"/>
      <c r="P49" s="3"/>
      <c r="Q49" s="136">
        <v>78000</v>
      </c>
      <c r="R49" s="141"/>
      <c r="S49" s="48"/>
      <c r="T49" s="46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</row>
    <row r="50" spans="1:63" s="26" customFormat="1" x14ac:dyDescent="0.3">
      <c r="A50" s="3"/>
      <c r="B50" s="96" t="s">
        <v>162</v>
      </c>
      <c r="C50" s="15" t="s">
        <v>17</v>
      </c>
      <c r="D50" s="105" t="s">
        <v>115</v>
      </c>
      <c r="E50" s="105" t="s">
        <v>244</v>
      </c>
      <c r="F50" s="105" t="s">
        <v>216</v>
      </c>
      <c r="G50" s="152" t="s">
        <v>218</v>
      </c>
      <c r="H50" s="105"/>
      <c r="I50" s="111" t="s">
        <v>190</v>
      </c>
      <c r="J50" s="3"/>
      <c r="K50" s="3" t="s">
        <v>200</v>
      </c>
      <c r="L50" s="105" t="s">
        <v>220</v>
      </c>
      <c r="M50" s="3"/>
      <c r="N50" s="3"/>
      <c r="O50" s="3"/>
      <c r="P50" s="3"/>
      <c r="Q50" s="95">
        <v>1300000</v>
      </c>
      <c r="R50" s="141"/>
      <c r="S50" s="48"/>
      <c r="T50" s="46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</row>
    <row r="51" spans="1:63" s="26" customFormat="1" x14ac:dyDescent="0.3">
      <c r="A51" s="3"/>
      <c r="B51" s="125" t="s">
        <v>163</v>
      </c>
      <c r="C51" s="15" t="s">
        <v>18</v>
      </c>
      <c r="D51" s="105" t="s">
        <v>117</v>
      </c>
      <c r="E51" s="110">
        <v>46176</v>
      </c>
      <c r="F51" s="105" t="s">
        <v>199</v>
      </c>
      <c r="G51" s="152" t="s">
        <v>218</v>
      </c>
      <c r="H51" s="105"/>
      <c r="I51" s="111" t="s">
        <v>190</v>
      </c>
      <c r="J51" s="3"/>
      <c r="K51" s="3"/>
      <c r="L51" s="105"/>
      <c r="M51" s="3"/>
      <c r="N51" s="3"/>
      <c r="O51" s="3"/>
      <c r="P51" s="3"/>
      <c r="Q51" s="136">
        <v>55000</v>
      </c>
      <c r="R51" s="141"/>
      <c r="S51" s="48"/>
      <c r="T51" s="46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</row>
    <row r="52" spans="1:63" s="26" customFormat="1" x14ac:dyDescent="0.3">
      <c r="A52" s="3"/>
      <c r="B52" s="126"/>
      <c r="C52" s="15" t="s">
        <v>176</v>
      </c>
      <c r="D52" s="105" t="s">
        <v>117</v>
      </c>
      <c r="E52" s="105"/>
      <c r="F52" s="105"/>
      <c r="G52" s="152"/>
      <c r="H52" s="105"/>
      <c r="I52" s="111"/>
      <c r="J52" s="3"/>
      <c r="K52" s="3"/>
      <c r="L52" s="105"/>
      <c r="M52" s="3"/>
      <c r="N52" s="3"/>
      <c r="O52" s="3"/>
      <c r="P52" s="3"/>
      <c r="Q52" s="136">
        <v>10000</v>
      </c>
      <c r="R52" s="141"/>
      <c r="S52" s="48"/>
      <c r="T52" s="46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</row>
    <row r="53" spans="1:63" s="26" customFormat="1" x14ac:dyDescent="0.3">
      <c r="A53" s="3"/>
      <c r="B53" s="96" t="s">
        <v>164</v>
      </c>
      <c r="C53" s="15" t="s">
        <v>25</v>
      </c>
      <c r="D53" s="105"/>
      <c r="E53" s="105" t="s">
        <v>244</v>
      </c>
      <c r="F53" s="105" t="s">
        <v>216</v>
      </c>
      <c r="G53" s="152" t="s">
        <v>218</v>
      </c>
      <c r="H53" s="105"/>
      <c r="I53" s="111" t="s">
        <v>190</v>
      </c>
      <c r="J53" s="3"/>
      <c r="K53" s="3" t="s">
        <v>200</v>
      </c>
      <c r="L53" s="105" t="s">
        <v>220</v>
      </c>
      <c r="M53" s="3"/>
      <c r="N53" s="3"/>
      <c r="O53" s="3"/>
      <c r="P53" s="3"/>
      <c r="Q53" s="135">
        <v>100000</v>
      </c>
      <c r="R53" s="141"/>
      <c r="S53" s="48"/>
      <c r="T53" s="46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</row>
    <row r="54" spans="1:63" x14ac:dyDescent="0.3">
      <c r="A54" s="3"/>
      <c r="B54" s="96" t="s">
        <v>165</v>
      </c>
      <c r="C54" s="15" t="s">
        <v>24</v>
      </c>
      <c r="D54" s="105"/>
      <c r="E54" s="110">
        <v>46176</v>
      </c>
      <c r="F54" s="105" t="s">
        <v>193</v>
      </c>
      <c r="G54" s="148" t="s">
        <v>203</v>
      </c>
      <c r="H54" s="105"/>
      <c r="I54" s="111" t="s">
        <v>190</v>
      </c>
      <c r="J54" s="3"/>
      <c r="K54" s="3"/>
      <c r="L54" s="105"/>
      <c r="M54" s="3"/>
      <c r="N54" s="3"/>
      <c r="O54" s="3"/>
      <c r="P54" s="3"/>
      <c r="Q54" s="3"/>
      <c r="R54" s="141"/>
      <c r="S54" s="48"/>
      <c r="T54" s="46"/>
    </row>
    <row r="55" spans="1:63" x14ac:dyDescent="0.3">
      <c r="A55" s="3"/>
      <c r="B55" s="96" t="s">
        <v>166</v>
      </c>
      <c r="C55" s="15" t="s">
        <v>33</v>
      </c>
      <c r="D55" s="105" t="s">
        <v>117</v>
      </c>
      <c r="E55" s="105"/>
      <c r="F55" s="105"/>
      <c r="G55" s="105"/>
      <c r="H55" s="105"/>
      <c r="I55" s="3"/>
      <c r="J55" s="3"/>
      <c r="K55" s="3"/>
      <c r="L55" s="105"/>
      <c r="M55" s="3"/>
      <c r="N55" s="3"/>
      <c r="O55" s="3"/>
      <c r="P55" s="3"/>
      <c r="Q55" s="3"/>
      <c r="R55" s="141"/>
      <c r="S55" s="48"/>
      <c r="T55" s="46"/>
    </row>
    <row r="56" spans="1:63" x14ac:dyDescent="0.3">
      <c r="A56" s="3"/>
      <c r="B56" s="96" t="s">
        <v>167</v>
      </c>
      <c r="C56" s="15" t="s">
        <v>49</v>
      </c>
      <c r="D56" s="105" t="s">
        <v>117</v>
      </c>
      <c r="E56" s="110">
        <v>46116</v>
      </c>
      <c r="F56" s="110">
        <v>46117</v>
      </c>
      <c r="G56" s="105"/>
      <c r="H56" s="105"/>
      <c r="I56" s="3"/>
      <c r="J56" s="3"/>
      <c r="K56" s="3"/>
      <c r="L56" s="105"/>
      <c r="M56" s="3"/>
      <c r="N56" s="3"/>
      <c r="O56" s="3"/>
      <c r="P56" s="3"/>
      <c r="Q56" s="90">
        <v>990000</v>
      </c>
      <c r="R56" s="141"/>
      <c r="S56" s="48"/>
      <c r="T56" s="46"/>
    </row>
    <row r="57" spans="1:63" x14ac:dyDescent="0.3">
      <c r="A57" s="3"/>
      <c r="B57" s="96" t="s">
        <v>168</v>
      </c>
      <c r="C57" s="15" t="s">
        <v>29</v>
      </c>
      <c r="D57" s="105"/>
      <c r="E57" s="110">
        <v>46176</v>
      </c>
      <c r="F57" s="105" t="s">
        <v>193</v>
      </c>
      <c r="G57" s="150" t="s">
        <v>190</v>
      </c>
      <c r="H57" s="105"/>
      <c r="I57" s="3"/>
      <c r="J57" s="3"/>
      <c r="K57" s="3"/>
      <c r="L57" s="105" t="s">
        <v>239</v>
      </c>
      <c r="M57" s="3"/>
      <c r="N57" s="3"/>
      <c r="O57" s="3"/>
      <c r="P57" s="3"/>
      <c r="Q57" s="3"/>
      <c r="R57" s="141">
        <v>110000</v>
      </c>
      <c r="S57" s="48"/>
      <c r="T57" s="46"/>
    </row>
    <row r="58" spans="1:63" x14ac:dyDescent="0.3">
      <c r="A58" s="3"/>
      <c r="B58" s="96" t="s">
        <v>169</v>
      </c>
      <c r="C58" s="15" t="s">
        <v>15</v>
      </c>
      <c r="D58" s="105" t="s">
        <v>117</v>
      </c>
      <c r="E58" s="110" t="s">
        <v>240</v>
      </c>
      <c r="F58" s="105"/>
      <c r="G58" s="150" t="s">
        <v>190</v>
      </c>
      <c r="H58" s="105"/>
      <c r="I58" s="3"/>
      <c r="J58" s="3"/>
      <c r="K58" s="3"/>
      <c r="L58" s="105" t="s">
        <v>241</v>
      </c>
      <c r="M58" s="3"/>
      <c r="N58" s="3"/>
      <c r="O58" s="3"/>
      <c r="P58" s="3"/>
      <c r="Q58" s="3"/>
      <c r="R58" s="141"/>
      <c r="S58" s="48"/>
      <c r="T58" s="46"/>
    </row>
    <row r="59" spans="1:63" s="26" customFormat="1" x14ac:dyDescent="0.3">
      <c r="A59" s="3"/>
      <c r="B59" s="94" t="s">
        <v>170</v>
      </c>
      <c r="C59" s="14" t="s">
        <v>16</v>
      </c>
      <c r="D59" s="104" t="s">
        <v>117</v>
      </c>
      <c r="E59" s="110" t="s">
        <v>240</v>
      </c>
      <c r="F59" s="105"/>
      <c r="G59" s="150" t="s">
        <v>190</v>
      </c>
      <c r="H59" s="105"/>
      <c r="I59" s="3"/>
      <c r="J59" s="3"/>
      <c r="K59" s="3"/>
      <c r="L59" s="105" t="s">
        <v>241</v>
      </c>
      <c r="M59" s="4"/>
      <c r="N59" s="4"/>
      <c r="O59" s="4"/>
      <c r="P59" s="4"/>
      <c r="Q59" s="4"/>
      <c r="R59" s="140"/>
      <c r="S59" s="49"/>
      <c r="T59" s="47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</row>
    <row r="60" spans="1:63" s="26" customFormat="1" x14ac:dyDescent="0.3">
      <c r="A60" s="3"/>
      <c r="B60" s="96" t="s">
        <v>171</v>
      </c>
      <c r="C60" s="15" t="s">
        <v>124</v>
      </c>
      <c r="D60" s="105"/>
      <c r="E60" s="110">
        <v>46176</v>
      </c>
      <c r="F60" s="105" t="s">
        <v>216</v>
      </c>
      <c r="G60" s="152" t="s">
        <v>218</v>
      </c>
      <c r="H60" s="105"/>
      <c r="I60" s="3"/>
      <c r="J60" s="3"/>
      <c r="K60" s="3"/>
      <c r="L60" s="105"/>
      <c r="M60" s="3"/>
      <c r="N60" s="3"/>
      <c r="O60" s="3"/>
      <c r="P60" s="3"/>
      <c r="Q60" s="3"/>
      <c r="R60" s="141"/>
      <c r="S60" s="48"/>
      <c r="T60" s="46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</row>
    <row r="61" spans="1:63" ht="15" thickBot="1" x14ac:dyDescent="0.35">
      <c r="A61" s="3"/>
      <c r="B61" s="96" t="s">
        <v>172</v>
      </c>
      <c r="C61" s="15" t="s">
        <v>108</v>
      </c>
      <c r="D61" s="105" t="s">
        <v>117</v>
      </c>
      <c r="E61" s="110"/>
      <c r="F61" s="105"/>
      <c r="G61" s="105"/>
      <c r="H61" s="105"/>
      <c r="I61" s="3"/>
      <c r="J61" s="3"/>
      <c r="K61" s="3"/>
      <c r="L61" s="105"/>
      <c r="M61" s="3"/>
      <c r="N61" s="3"/>
      <c r="O61" s="3"/>
      <c r="P61" s="3"/>
      <c r="Q61" s="3"/>
      <c r="R61" s="141"/>
      <c r="S61" s="48"/>
      <c r="T61" s="46"/>
    </row>
    <row r="62" spans="1:63" s="26" customFormat="1" x14ac:dyDescent="0.3">
      <c r="A62" s="3"/>
      <c r="B62" s="121" t="s">
        <v>173</v>
      </c>
      <c r="C62" s="14" t="s">
        <v>14</v>
      </c>
      <c r="D62" s="109" t="s">
        <v>117</v>
      </c>
      <c r="E62" s="138">
        <v>46057</v>
      </c>
      <c r="F62" s="104" t="s">
        <v>221</v>
      </c>
      <c r="G62" s="154" t="s">
        <v>257</v>
      </c>
      <c r="H62" s="104"/>
      <c r="I62" s="4"/>
      <c r="J62" s="4"/>
      <c r="K62" s="4"/>
      <c r="L62" s="104" t="s">
        <v>242</v>
      </c>
      <c r="M62" s="4"/>
      <c r="N62" s="4"/>
      <c r="O62" s="4"/>
      <c r="P62" s="4"/>
      <c r="Q62" s="4"/>
      <c r="R62" s="140"/>
      <c r="S62" s="49"/>
      <c r="T62" s="47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</row>
    <row r="63" spans="1:63" s="26" customFormat="1" x14ac:dyDescent="0.3">
      <c r="A63" s="3"/>
      <c r="B63" s="120"/>
      <c r="C63" s="15" t="s">
        <v>39</v>
      </c>
      <c r="D63" s="105" t="s">
        <v>117</v>
      </c>
      <c r="E63" s="138">
        <v>46057</v>
      </c>
      <c r="F63" s="104" t="s">
        <v>221</v>
      </c>
      <c r="G63" s="154" t="s">
        <v>257</v>
      </c>
      <c r="H63" s="104"/>
      <c r="I63" s="4"/>
      <c r="J63" s="4"/>
      <c r="K63" s="4"/>
      <c r="L63" s="104" t="s">
        <v>242</v>
      </c>
      <c r="M63" s="3"/>
      <c r="N63" s="3"/>
      <c r="O63" s="3"/>
      <c r="P63" s="3"/>
      <c r="Q63" s="3"/>
      <c r="R63" s="141"/>
      <c r="S63" s="48"/>
      <c r="T63" s="46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</row>
    <row r="64" spans="1:63" s="26" customFormat="1" x14ac:dyDescent="0.3">
      <c r="A64" s="3"/>
      <c r="B64" s="122"/>
      <c r="C64" s="15" t="s">
        <v>40</v>
      </c>
      <c r="D64" s="105" t="s">
        <v>115</v>
      </c>
      <c r="E64" s="138">
        <v>46057</v>
      </c>
      <c r="F64" s="104" t="s">
        <v>221</v>
      </c>
      <c r="G64" s="154" t="s">
        <v>257</v>
      </c>
      <c r="H64" s="104"/>
      <c r="I64" s="4"/>
      <c r="J64" s="4"/>
      <c r="K64" s="4"/>
      <c r="L64" s="104" t="s">
        <v>242</v>
      </c>
      <c r="M64" s="3"/>
      <c r="N64" s="3"/>
      <c r="O64" s="3"/>
      <c r="P64" s="3"/>
      <c r="Q64" s="3"/>
      <c r="R64" s="141">
        <v>17592</v>
      </c>
      <c r="S64" s="48"/>
      <c r="T64" s="46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</row>
    <row r="65" spans="1:63" s="26" customFormat="1" x14ac:dyDescent="0.3">
      <c r="A65" s="111"/>
      <c r="B65" s="112" t="s">
        <v>175</v>
      </c>
      <c r="C65" s="113" t="s">
        <v>174</v>
      </c>
      <c r="D65" s="114"/>
      <c r="E65" s="114"/>
      <c r="F65" s="114"/>
      <c r="G65" s="114"/>
      <c r="H65" s="114"/>
      <c r="I65" s="115"/>
      <c r="J65" s="115"/>
      <c r="K65" s="115"/>
      <c r="L65" s="114"/>
      <c r="M65" s="115"/>
      <c r="N65" s="115"/>
      <c r="O65" s="115"/>
      <c r="P65" s="115"/>
      <c r="Q65" s="116">
        <v>358636.80000000005</v>
      </c>
      <c r="R65" s="144"/>
      <c r="S65" s="117"/>
      <c r="T65" s="118"/>
    </row>
    <row r="66" spans="1:63" s="26" customFormat="1" x14ac:dyDescent="0.3">
      <c r="A66" s="3"/>
      <c r="B66" s="96" t="s">
        <v>179</v>
      </c>
      <c r="C66" s="51" t="s">
        <v>177</v>
      </c>
      <c r="D66" s="106"/>
      <c r="E66" s="106" t="s">
        <v>255</v>
      </c>
      <c r="F66" s="106" t="s">
        <v>200</v>
      </c>
      <c r="G66" s="106"/>
      <c r="H66" s="106"/>
      <c r="I66" s="52"/>
      <c r="J66" s="52"/>
      <c r="K66" s="52"/>
      <c r="L66" s="106"/>
      <c r="M66" s="52"/>
      <c r="N66" s="52"/>
      <c r="O66" s="52"/>
      <c r="P66" s="52"/>
      <c r="Q66" s="99">
        <v>35000</v>
      </c>
      <c r="R66" s="142">
        <v>190000</v>
      </c>
      <c r="S66" s="92"/>
      <c r="T66" s="93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</row>
    <row r="67" spans="1:63" s="26" customFormat="1" x14ac:dyDescent="0.3">
      <c r="A67" s="3"/>
      <c r="B67" s="96" t="s">
        <v>180</v>
      </c>
      <c r="C67" s="51" t="s">
        <v>178</v>
      </c>
      <c r="D67" s="106" t="s">
        <v>117</v>
      </c>
      <c r="E67" s="106"/>
      <c r="F67" s="106"/>
      <c r="G67" s="106"/>
      <c r="H67" s="106"/>
      <c r="I67" s="52"/>
      <c r="J67" s="52"/>
      <c r="K67" s="52"/>
      <c r="L67" s="106"/>
      <c r="M67" s="52"/>
      <c r="N67" s="52"/>
      <c r="O67" s="52"/>
      <c r="P67" s="52"/>
      <c r="Q67" s="99"/>
      <c r="R67" s="142"/>
      <c r="S67" s="92"/>
      <c r="T67" s="93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</row>
    <row r="68" spans="1:63" s="26" customFormat="1" x14ac:dyDescent="0.3">
      <c r="A68" s="3"/>
      <c r="B68" s="96" t="s">
        <v>182</v>
      </c>
      <c r="C68" s="51" t="s">
        <v>181</v>
      </c>
      <c r="D68" s="106" t="s">
        <v>117</v>
      </c>
      <c r="E68" s="106"/>
      <c r="F68" s="106"/>
      <c r="G68" s="106"/>
      <c r="H68" s="106"/>
      <c r="I68" s="52"/>
      <c r="J68" s="52"/>
      <c r="K68" s="52"/>
      <c r="L68" s="106"/>
      <c r="M68" s="52"/>
      <c r="N68" s="52"/>
      <c r="O68" s="52"/>
      <c r="P68" s="52"/>
      <c r="Q68" s="99"/>
      <c r="R68" s="142"/>
      <c r="S68" s="92"/>
      <c r="T68" s="93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</row>
    <row r="69" spans="1:63" ht="15" thickBot="1" x14ac:dyDescent="0.35">
      <c r="A69" s="3"/>
      <c r="B69" s="100"/>
      <c r="C69" s="101"/>
      <c r="D69" s="107"/>
      <c r="E69" s="107"/>
      <c r="F69" s="107"/>
      <c r="G69" s="107"/>
      <c r="H69" s="107"/>
      <c r="I69" s="102"/>
      <c r="J69" s="102"/>
      <c r="K69" s="102"/>
      <c r="L69" s="107"/>
      <c r="M69" s="102">
        <f>SUM(M62:M64)</f>
        <v>0</v>
      </c>
      <c r="N69" s="102"/>
      <c r="O69" s="102"/>
      <c r="P69" s="102"/>
      <c r="Q69" s="102">
        <f>SUM(M69)</f>
        <v>0</v>
      </c>
      <c r="R69" s="145">
        <f>SUM(R62:R64)</f>
        <v>17592</v>
      </c>
      <c r="S69" s="50">
        <f>SUM(S62:S64)</f>
        <v>0</v>
      </c>
      <c r="T69" s="16"/>
    </row>
    <row r="70" spans="1:63" ht="15" thickBot="1" x14ac:dyDescent="0.35">
      <c r="B70" s="123" t="s">
        <v>63</v>
      </c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8">
        <f>SUM(M2:M69)</f>
        <v>20000</v>
      </c>
      <c r="N70" s="18"/>
      <c r="O70" s="18"/>
      <c r="P70" s="18"/>
      <c r="Q70" s="18">
        <f>SUM(Q2:Q69)</f>
        <v>6623882.7999999998</v>
      </c>
      <c r="R70" s="146">
        <f>SUM(R2:R69)</f>
        <v>2046036</v>
      </c>
      <c r="S70" s="57">
        <f>SUM(S2:S69)</f>
        <v>0</v>
      </c>
      <c r="T70" s="54"/>
    </row>
    <row r="71" spans="1:63" ht="15" thickBot="1" x14ac:dyDescent="0.35">
      <c r="Q71" s="58"/>
      <c r="R71" s="147">
        <f>SUM(Q70+R70)</f>
        <v>8669918.8000000007</v>
      </c>
      <c r="T71" s="119">
        <f>Q70+R70</f>
        <v>8669918.8000000007</v>
      </c>
    </row>
  </sheetData>
  <sortState xmlns:xlrd2="http://schemas.microsoft.com/office/spreadsheetml/2017/richdata2" ref="B24:V81">
    <sortCondition ref="C24:C81"/>
  </sortState>
  <mergeCells count="11">
    <mergeCell ref="B2:B3"/>
    <mergeCell ref="B10:B14"/>
    <mergeCell ref="B15:B21"/>
    <mergeCell ref="B7:B8"/>
    <mergeCell ref="B70:L70"/>
    <mergeCell ref="B23:B24"/>
    <mergeCell ref="B25:B26"/>
    <mergeCell ref="B28:B29"/>
    <mergeCell ref="B37:B39"/>
    <mergeCell ref="B62:B64"/>
    <mergeCell ref="B51:B5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C74"/>
  <sheetViews>
    <sheetView topLeftCell="A8" zoomScale="70" zoomScaleNormal="70" workbookViewId="0">
      <selection activeCell="F8" sqref="F1:F1048576"/>
    </sheetView>
  </sheetViews>
  <sheetFormatPr defaultRowHeight="14.4" x14ac:dyDescent="0.3"/>
  <cols>
    <col min="1" max="1" width="5" customWidth="1"/>
    <col min="2" max="2" width="3.5546875" customWidth="1"/>
    <col min="3" max="3" width="35.44140625" customWidth="1"/>
    <col min="4" max="4" width="34.6640625" customWidth="1"/>
    <col min="5" max="5" width="9.44140625" customWidth="1"/>
    <col min="6" max="6" width="12.21875" customWidth="1"/>
    <col min="7" max="7" width="0.109375" customWidth="1"/>
    <col min="8" max="8" width="14.109375" customWidth="1"/>
    <col min="9" max="9" width="14.88671875" style="27" customWidth="1"/>
    <col min="10" max="10" width="13.88671875" customWidth="1"/>
    <col min="11" max="12" width="11.77734375" customWidth="1"/>
  </cols>
  <sheetData>
    <row r="2" spans="1:12" ht="15" thickBot="1" x14ac:dyDescent="0.35"/>
    <row r="3" spans="1:12" ht="18.600000000000001" thickBot="1" x14ac:dyDescent="0.4">
      <c r="A3" s="7"/>
      <c r="B3" s="9"/>
      <c r="C3" s="133"/>
      <c r="D3" s="133"/>
      <c r="E3" s="133"/>
      <c r="F3" s="133"/>
      <c r="G3" s="133"/>
      <c r="H3" s="133"/>
      <c r="I3" s="133"/>
      <c r="J3" s="133"/>
      <c r="K3" s="133"/>
      <c r="L3" s="133"/>
    </row>
    <row r="4" spans="1:12" s="1" customFormat="1" ht="172.8" x14ac:dyDescent="0.3">
      <c r="A4" s="4" t="s">
        <v>0</v>
      </c>
      <c r="B4" s="43" t="s">
        <v>62</v>
      </c>
      <c r="C4" s="4" t="s">
        <v>52</v>
      </c>
      <c r="D4" s="14" t="s">
        <v>51</v>
      </c>
      <c r="E4" s="44" t="s">
        <v>67</v>
      </c>
      <c r="F4" s="44" t="s">
        <v>116</v>
      </c>
      <c r="G4" s="44" t="s">
        <v>66</v>
      </c>
      <c r="H4" s="44" t="s">
        <v>126</v>
      </c>
      <c r="I4" s="44" t="s">
        <v>127</v>
      </c>
      <c r="J4" s="44" t="s">
        <v>125</v>
      </c>
      <c r="K4" s="44" t="s">
        <v>53</v>
      </c>
      <c r="L4" s="45" t="s">
        <v>54</v>
      </c>
    </row>
    <row r="5" spans="1:12" s="1" customFormat="1" x14ac:dyDescent="0.3">
      <c r="A5" s="2"/>
      <c r="B5" s="10"/>
      <c r="C5" s="5"/>
      <c r="D5" s="13"/>
      <c r="E5" s="6"/>
      <c r="F5" s="6"/>
      <c r="G5" s="6"/>
      <c r="H5" s="6"/>
      <c r="I5" s="29"/>
      <c r="J5" s="6"/>
      <c r="K5" s="6"/>
      <c r="L5" s="36"/>
    </row>
    <row r="6" spans="1:12" s="1" customFormat="1" x14ac:dyDescent="0.3">
      <c r="A6" s="2"/>
      <c r="B6" s="11">
        <v>1</v>
      </c>
      <c r="C6" s="5"/>
      <c r="D6" s="14" t="s">
        <v>112</v>
      </c>
      <c r="E6" s="6"/>
      <c r="F6" s="6"/>
      <c r="G6" s="6"/>
      <c r="H6" s="6"/>
      <c r="I6" s="29"/>
      <c r="J6" s="6"/>
      <c r="K6" s="6"/>
      <c r="L6" s="36"/>
    </row>
    <row r="7" spans="1:12" s="1" customFormat="1" x14ac:dyDescent="0.3">
      <c r="A7" s="2"/>
      <c r="B7" s="11">
        <v>2</v>
      </c>
      <c r="C7" s="5"/>
      <c r="D7" s="14" t="s">
        <v>60</v>
      </c>
      <c r="E7" s="6"/>
      <c r="F7" s="6"/>
      <c r="G7" s="6"/>
      <c r="H7" s="6"/>
      <c r="I7" s="29"/>
      <c r="J7" s="6"/>
      <c r="K7" s="6"/>
      <c r="L7" s="36"/>
    </row>
    <row r="8" spans="1:12" s="1" customFormat="1" x14ac:dyDescent="0.3">
      <c r="A8" s="2"/>
      <c r="B8" s="11">
        <v>3</v>
      </c>
      <c r="C8" s="5"/>
      <c r="D8" s="14" t="s">
        <v>61</v>
      </c>
      <c r="E8" s="6"/>
      <c r="F8" s="6"/>
      <c r="G8" s="6"/>
      <c r="H8" s="6"/>
      <c r="I8" s="29"/>
      <c r="J8" s="6"/>
      <c r="K8" s="6"/>
      <c r="L8" s="36"/>
    </row>
    <row r="9" spans="1:12" s="1" customFormat="1" x14ac:dyDescent="0.3">
      <c r="A9" s="2"/>
      <c r="B9" s="11">
        <v>4</v>
      </c>
      <c r="C9" s="5"/>
      <c r="D9" s="14" t="s">
        <v>59</v>
      </c>
      <c r="E9" s="6"/>
      <c r="F9" s="6"/>
      <c r="G9" s="6"/>
      <c r="H9" s="6"/>
      <c r="I9" s="29"/>
      <c r="J9" s="6"/>
      <c r="K9" s="6"/>
      <c r="L9" s="36"/>
    </row>
    <row r="10" spans="1:12" s="1" customFormat="1" x14ac:dyDescent="0.3">
      <c r="A10" s="2"/>
      <c r="B10" s="11">
        <v>5</v>
      </c>
      <c r="C10" s="5"/>
      <c r="D10" s="14" t="s">
        <v>58</v>
      </c>
      <c r="E10" s="6"/>
      <c r="F10" s="6"/>
      <c r="G10" s="6"/>
      <c r="H10" s="6"/>
      <c r="I10" s="29"/>
      <c r="J10" s="6"/>
      <c r="K10" s="6"/>
      <c r="L10" s="36"/>
    </row>
    <row r="11" spans="1:12" s="1" customFormat="1" x14ac:dyDescent="0.3">
      <c r="A11" s="2"/>
      <c r="B11" s="11">
        <v>6</v>
      </c>
      <c r="C11" s="3"/>
      <c r="D11" s="15" t="s">
        <v>5</v>
      </c>
      <c r="E11" s="2"/>
      <c r="F11" s="2"/>
      <c r="G11" s="2"/>
      <c r="H11" s="2"/>
      <c r="I11" s="30"/>
      <c r="J11" s="2"/>
      <c r="K11" s="2"/>
      <c r="L11" s="37"/>
    </row>
    <row r="12" spans="1:12" x14ac:dyDescent="0.3">
      <c r="A12" s="3"/>
      <c r="B12" s="11">
        <v>7</v>
      </c>
      <c r="C12" s="3"/>
      <c r="D12" s="15" t="s">
        <v>1</v>
      </c>
      <c r="E12" s="3"/>
      <c r="F12" s="3"/>
      <c r="G12" s="3"/>
      <c r="H12" s="3"/>
      <c r="I12" s="31"/>
      <c r="J12" s="3"/>
      <c r="K12" s="3"/>
      <c r="L12" s="12"/>
    </row>
    <row r="13" spans="1:12" x14ac:dyDescent="0.3">
      <c r="A13" s="3"/>
      <c r="B13" s="11">
        <v>8</v>
      </c>
      <c r="C13" s="3"/>
      <c r="D13" s="15" t="s">
        <v>2</v>
      </c>
      <c r="E13" s="3"/>
      <c r="F13" s="3"/>
      <c r="G13" s="3"/>
      <c r="H13" s="3"/>
      <c r="I13" s="31"/>
      <c r="J13" s="3"/>
      <c r="K13" s="3"/>
      <c r="L13" s="12"/>
    </row>
    <row r="14" spans="1:12" x14ac:dyDescent="0.3">
      <c r="A14" s="3"/>
      <c r="B14" s="11">
        <v>9</v>
      </c>
      <c r="C14" s="3"/>
      <c r="D14" s="15" t="s">
        <v>4</v>
      </c>
      <c r="E14" s="3"/>
      <c r="F14" s="3"/>
      <c r="G14" s="3"/>
      <c r="H14" s="3"/>
      <c r="I14" s="31"/>
      <c r="J14" s="3"/>
      <c r="K14" s="3"/>
      <c r="L14" s="12"/>
    </row>
    <row r="15" spans="1:12" x14ac:dyDescent="0.3">
      <c r="A15" s="3"/>
      <c r="B15" s="11">
        <v>10</v>
      </c>
      <c r="C15" s="3"/>
      <c r="D15" s="15" t="s">
        <v>13</v>
      </c>
      <c r="E15" s="3"/>
      <c r="F15" s="3"/>
      <c r="G15" s="24">
        <v>300000</v>
      </c>
      <c r="H15" s="24"/>
      <c r="I15" s="31"/>
      <c r="J15" s="3"/>
      <c r="K15" s="3"/>
      <c r="L15" s="12"/>
    </row>
    <row r="16" spans="1:12" x14ac:dyDescent="0.3">
      <c r="A16" s="3"/>
      <c r="B16" s="11">
        <v>11</v>
      </c>
      <c r="C16" s="3"/>
      <c r="D16" s="15" t="s">
        <v>19</v>
      </c>
      <c r="E16" s="3"/>
      <c r="F16" s="3"/>
      <c r="G16" s="3"/>
      <c r="H16" s="3"/>
      <c r="I16" s="31"/>
      <c r="J16" s="3"/>
      <c r="K16" s="3"/>
      <c r="L16" s="12"/>
    </row>
    <row r="17" spans="1:55" x14ac:dyDescent="0.3">
      <c r="A17" s="3"/>
      <c r="B17" s="11">
        <v>12</v>
      </c>
      <c r="C17" s="3"/>
      <c r="D17" s="15" t="s">
        <v>6</v>
      </c>
      <c r="E17" s="3"/>
      <c r="F17" s="3"/>
      <c r="G17" s="24">
        <v>200000</v>
      </c>
      <c r="H17" s="24"/>
      <c r="I17" s="31"/>
      <c r="J17" s="3"/>
      <c r="K17" s="3"/>
      <c r="L17" s="12"/>
    </row>
    <row r="18" spans="1:55" x14ac:dyDescent="0.3">
      <c r="A18" s="3"/>
      <c r="B18" s="11">
        <v>13</v>
      </c>
      <c r="C18" s="3"/>
      <c r="D18" s="15" t="s">
        <v>7</v>
      </c>
      <c r="E18" s="3"/>
      <c r="F18" s="3"/>
      <c r="G18" s="3"/>
      <c r="H18" s="3"/>
      <c r="I18" s="31"/>
      <c r="J18" s="3"/>
      <c r="K18" s="3"/>
      <c r="L18" s="12"/>
    </row>
    <row r="19" spans="1:55" x14ac:dyDescent="0.3">
      <c r="A19" s="3"/>
      <c r="B19" s="11">
        <v>14</v>
      </c>
      <c r="C19" s="3"/>
      <c r="D19" s="15" t="s">
        <v>8</v>
      </c>
      <c r="E19" s="3"/>
      <c r="G19" s="25">
        <v>200000</v>
      </c>
      <c r="H19" s="25"/>
      <c r="I19" s="31"/>
      <c r="J19" s="3"/>
      <c r="K19" s="3"/>
      <c r="L19" s="12"/>
    </row>
    <row r="20" spans="1:55" x14ac:dyDescent="0.3">
      <c r="A20" s="3"/>
      <c r="B20" s="11">
        <v>15</v>
      </c>
      <c r="C20" s="3"/>
      <c r="D20" s="15" t="s">
        <v>9</v>
      </c>
      <c r="E20" s="3"/>
      <c r="F20" s="3"/>
      <c r="G20" s="3"/>
      <c r="H20" s="3"/>
      <c r="I20" s="31"/>
      <c r="J20" s="3"/>
      <c r="K20" s="3"/>
      <c r="L20" s="12"/>
    </row>
    <row r="21" spans="1:55" ht="15" thickBot="1" x14ac:dyDescent="0.35">
      <c r="A21" s="3"/>
      <c r="B21" s="11">
        <v>16</v>
      </c>
      <c r="C21" s="52"/>
      <c r="D21" s="51" t="s">
        <v>3</v>
      </c>
      <c r="E21" s="52"/>
      <c r="F21" s="52"/>
      <c r="G21" s="52"/>
      <c r="H21" s="52"/>
      <c r="I21" s="41"/>
      <c r="J21" s="52"/>
      <c r="K21" s="52"/>
      <c r="L21" s="53"/>
    </row>
    <row r="22" spans="1:55" ht="30.6" customHeight="1" thickBot="1" x14ac:dyDescent="0.35">
      <c r="A22" s="3"/>
      <c r="B22" s="12"/>
      <c r="C22" s="61" t="s">
        <v>128</v>
      </c>
      <c r="D22" s="62" t="s">
        <v>129</v>
      </c>
      <c r="E22" s="63" t="s">
        <v>67</v>
      </c>
      <c r="F22" s="63" t="s">
        <v>116</v>
      </c>
      <c r="G22" s="63" t="s">
        <v>66</v>
      </c>
      <c r="H22" s="63" t="s">
        <v>126</v>
      </c>
      <c r="I22" s="63" t="s">
        <v>127</v>
      </c>
      <c r="J22" s="64" t="s">
        <v>125</v>
      </c>
      <c r="K22" s="56" t="s">
        <v>132</v>
      </c>
      <c r="L22" s="55" t="s">
        <v>54</v>
      </c>
    </row>
    <row r="23" spans="1:55" s="26" customFormat="1" ht="15.6" x14ac:dyDescent="0.3">
      <c r="A23" s="3"/>
      <c r="B23" s="12">
        <v>34</v>
      </c>
      <c r="C23" s="75" t="s">
        <v>88</v>
      </c>
      <c r="D23" s="69" t="s">
        <v>47</v>
      </c>
      <c r="E23" s="70"/>
      <c r="F23" s="70"/>
      <c r="G23" s="70"/>
      <c r="H23" s="76"/>
      <c r="I23" s="70"/>
      <c r="J23" s="72"/>
      <c r="K23" s="48"/>
      <c r="L23" s="46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</row>
    <row r="24" spans="1:55" s="26" customFormat="1" ht="15.6" x14ac:dyDescent="0.3">
      <c r="A24" s="3"/>
      <c r="B24" s="12">
        <v>35</v>
      </c>
      <c r="C24" s="75" t="s">
        <v>87</v>
      </c>
      <c r="D24" s="69" t="s">
        <v>50</v>
      </c>
      <c r="E24" s="70" t="s">
        <v>117</v>
      </c>
      <c r="F24" s="70"/>
      <c r="G24" s="70"/>
      <c r="H24" s="70"/>
      <c r="I24" s="70"/>
      <c r="J24" s="77"/>
      <c r="K24" s="48"/>
      <c r="L24" s="46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</row>
    <row r="25" spans="1:55" s="26" customFormat="1" ht="13.2" customHeight="1" x14ac:dyDescent="0.3">
      <c r="A25" s="3"/>
      <c r="B25" s="12">
        <v>36</v>
      </c>
      <c r="C25" s="75" t="s">
        <v>89</v>
      </c>
      <c r="D25" s="69" t="s">
        <v>48</v>
      </c>
      <c r="E25" s="70"/>
      <c r="F25" s="70" t="s">
        <v>115</v>
      </c>
      <c r="G25" s="70"/>
      <c r="H25" s="70"/>
      <c r="I25" s="70"/>
      <c r="J25" s="72"/>
      <c r="K25" s="48"/>
      <c r="L25" s="46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</row>
    <row r="26" spans="1:55" s="26" customFormat="1" ht="15.6" x14ac:dyDescent="0.3">
      <c r="A26" s="3"/>
      <c r="B26" s="12">
        <v>31</v>
      </c>
      <c r="C26" s="75" t="s">
        <v>90</v>
      </c>
      <c r="D26" s="69" t="s">
        <v>30</v>
      </c>
      <c r="E26" s="70"/>
      <c r="F26" s="70"/>
      <c r="G26" s="70"/>
      <c r="H26" s="70"/>
      <c r="I26" s="70"/>
      <c r="J26" s="77"/>
      <c r="K26" s="48"/>
      <c r="L26" s="4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</row>
    <row r="27" spans="1:55" s="26" customFormat="1" ht="15.6" x14ac:dyDescent="0.3">
      <c r="A27" s="3"/>
      <c r="B27" s="12">
        <v>37</v>
      </c>
      <c r="C27" s="127" t="s">
        <v>91</v>
      </c>
      <c r="D27" s="69" t="s">
        <v>42</v>
      </c>
      <c r="E27" s="70" t="s">
        <v>117</v>
      </c>
      <c r="F27" s="70" t="s">
        <v>117</v>
      </c>
      <c r="G27" s="70"/>
      <c r="H27" s="70"/>
      <c r="I27" s="70"/>
      <c r="J27" s="72"/>
      <c r="K27" s="48"/>
      <c r="L27" s="46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</row>
    <row r="28" spans="1:55" s="26" customFormat="1" ht="15.6" x14ac:dyDescent="0.3">
      <c r="A28" s="3"/>
      <c r="B28" s="12">
        <v>38</v>
      </c>
      <c r="C28" s="128"/>
      <c r="D28" s="69" t="s">
        <v>43</v>
      </c>
      <c r="E28" s="70" t="s">
        <v>117</v>
      </c>
      <c r="F28" s="70"/>
      <c r="G28" s="70"/>
      <c r="H28" s="70"/>
      <c r="I28" s="70"/>
      <c r="J28" s="72"/>
      <c r="K28" s="48"/>
      <c r="L28" s="46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</row>
    <row r="29" spans="1:55" s="26" customFormat="1" ht="15.6" x14ac:dyDescent="0.3">
      <c r="A29" s="3"/>
      <c r="B29" s="12">
        <v>39</v>
      </c>
      <c r="C29" s="129"/>
      <c r="D29" s="69" t="s">
        <v>44</v>
      </c>
      <c r="E29" s="70"/>
      <c r="F29" s="70" t="s">
        <v>117</v>
      </c>
      <c r="G29" s="70"/>
      <c r="H29" s="70"/>
      <c r="I29" s="70"/>
      <c r="J29" s="72"/>
      <c r="K29" s="48"/>
      <c r="L29" s="46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</row>
    <row r="30" spans="1:55" ht="15.6" x14ac:dyDescent="0.3">
      <c r="A30" s="3"/>
      <c r="B30" s="12">
        <v>40</v>
      </c>
      <c r="C30" s="75" t="s">
        <v>92</v>
      </c>
      <c r="D30" s="69" t="s">
        <v>80</v>
      </c>
      <c r="E30" s="70"/>
      <c r="F30" s="70"/>
      <c r="G30" s="70"/>
      <c r="H30" s="70"/>
      <c r="I30" s="70"/>
      <c r="J30" s="72">
        <v>150000</v>
      </c>
      <c r="K30" s="48"/>
      <c r="L30" s="46"/>
    </row>
    <row r="31" spans="1:55" s="26" customFormat="1" ht="15.6" x14ac:dyDescent="0.3">
      <c r="A31" s="3"/>
      <c r="B31" s="12">
        <v>50</v>
      </c>
      <c r="C31" s="73" t="s">
        <v>93</v>
      </c>
      <c r="D31" s="65" t="s">
        <v>27</v>
      </c>
      <c r="E31" s="66"/>
      <c r="F31" s="66"/>
      <c r="G31" s="66"/>
      <c r="H31" s="66"/>
      <c r="I31" s="67">
        <v>7000</v>
      </c>
      <c r="J31" s="68"/>
      <c r="K31" s="49"/>
      <c r="L31" s="47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</row>
    <row r="32" spans="1:55" s="26" customFormat="1" ht="15.6" x14ac:dyDescent="0.3">
      <c r="A32" s="3"/>
      <c r="B32" s="12">
        <v>51</v>
      </c>
      <c r="C32" s="73" t="s">
        <v>93</v>
      </c>
      <c r="D32" s="69" t="s">
        <v>26</v>
      </c>
      <c r="E32" s="70" t="s">
        <v>117</v>
      </c>
      <c r="F32" s="70"/>
      <c r="G32" s="70"/>
      <c r="H32" s="70"/>
      <c r="I32" s="71"/>
      <c r="J32" s="72"/>
      <c r="K32" s="48"/>
      <c r="L32" s="46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</row>
    <row r="33" spans="1:55" s="26" customFormat="1" ht="15.6" x14ac:dyDescent="0.3">
      <c r="A33" s="3"/>
      <c r="B33" s="12">
        <v>53</v>
      </c>
      <c r="C33" s="73" t="s">
        <v>94</v>
      </c>
      <c r="D33" s="69" t="s">
        <v>120</v>
      </c>
      <c r="E33" s="70"/>
      <c r="F33" s="70"/>
      <c r="G33" s="70"/>
      <c r="H33" s="70"/>
      <c r="I33" s="74">
        <v>200000</v>
      </c>
      <c r="J33" s="72"/>
      <c r="K33" s="48"/>
      <c r="L33" s="46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</row>
    <row r="34" spans="1:55" s="26" customFormat="1" ht="15.6" x14ac:dyDescent="0.3">
      <c r="A34" s="3"/>
      <c r="B34" s="12">
        <v>54</v>
      </c>
      <c r="C34" s="75" t="s">
        <v>95</v>
      </c>
      <c r="D34" s="69" t="s">
        <v>82</v>
      </c>
      <c r="E34" s="70"/>
      <c r="F34" s="70"/>
      <c r="G34" s="70"/>
      <c r="H34" s="71">
        <v>2263800</v>
      </c>
      <c r="I34" s="74">
        <v>750000</v>
      </c>
      <c r="J34" s="72"/>
      <c r="K34" s="48"/>
      <c r="L34" s="46"/>
      <c r="M34" t="s">
        <v>119</v>
      </c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</row>
    <row r="35" spans="1:55" ht="15.6" x14ac:dyDescent="0.3">
      <c r="A35" s="3"/>
      <c r="B35" s="12">
        <v>56</v>
      </c>
      <c r="C35" s="75" t="s">
        <v>96</v>
      </c>
      <c r="D35" s="69" t="s">
        <v>35</v>
      </c>
      <c r="E35" s="70"/>
      <c r="F35" s="70"/>
      <c r="G35" s="70"/>
      <c r="H35" s="70"/>
      <c r="I35" s="74"/>
      <c r="J35" s="72">
        <v>36000</v>
      </c>
      <c r="K35" s="48"/>
      <c r="L35" s="46"/>
    </row>
    <row r="36" spans="1:55" s="26" customFormat="1" ht="15.6" x14ac:dyDescent="0.3">
      <c r="A36" s="3"/>
      <c r="B36" s="12">
        <v>57</v>
      </c>
      <c r="C36" s="73" t="s">
        <v>131</v>
      </c>
      <c r="D36" s="65" t="s">
        <v>34</v>
      </c>
      <c r="E36" s="66"/>
      <c r="F36" s="66"/>
      <c r="G36" s="66"/>
      <c r="H36" s="67">
        <v>17900</v>
      </c>
      <c r="I36" s="78"/>
      <c r="J36" s="68"/>
      <c r="K36" s="49"/>
      <c r="L36" s="47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</row>
    <row r="37" spans="1:55" s="26" customFormat="1" ht="15.6" x14ac:dyDescent="0.3">
      <c r="A37" s="3"/>
      <c r="B37" s="12">
        <v>58</v>
      </c>
      <c r="C37" s="75" t="s">
        <v>97</v>
      </c>
      <c r="D37" s="69" t="s">
        <v>11</v>
      </c>
      <c r="E37" s="70"/>
      <c r="F37" s="70"/>
      <c r="G37" s="70"/>
      <c r="H37" s="70"/>
      <c r="I37" s="74"/>
      <c r="J37" s="72"/>
      <c r="K37" s="48"/>
      <c r="L37" s="46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</row>
    <row r="38" spans="1:55" s="26" customFormat="1" ht="15.6" x14ac:dyDescent="0.3">
      <c r="A38" s="3"/>
      <c r="B38" s="12">
        <v>59</v>
      </c>
      <c r="C38" s="75" t="s">
        <v>98</v>
      </c>
      <c r="D38" s="69" t="s">
        <v>17</v>
      </c>
      <c r="E38" s="70"/>
      <c r="F38" s="70"/>
      <c r="G38" s="70"/>
      <c r="H38" s="74">
        <v>1300000</v>
      </c>
      <c r="I38" s="74"/>
      <c r="J38" s="72"/>
      <c r="K38" s="48"/>
      <c r="L38" s="46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</row>
    <row r="39" spans="1:55" s="26" customFormat="1" ht="15.6" x14ac:dyDescent="0.3">
      <c r="A39" s="3"/>
      <c r="B39" s="12">
        <v>60</v>
      </c>
      <c r="C39" s="75" t="s">
        <v>99</v>
      </c>
      <c r="D39" s="69" t="s">
        <v>18</v>
      </c>
      <c r="E39" s="70" t="s">
        <v>117</v>
      </c>
      <c r="F39" s="70"/>
      <c r="G39" s="70"/>
      <c r="H39" s="70"/>
      <c r="I39" s="74">
        <v>10000</v>
      </c>
      <c r="J39" s="72"/>
      <c r="K39" s="48"/>
      <c r="L39" s="46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</row>
    <row r="40" spans="1:55" s="26" customFormat="1" ht="15.6" x14ac:dyDescent="0.3">
      <c r="A40" s="3"/>
      <c r="B40" s="12">
        <v>64</v>
      </c>
      <c r="C40" s="75" t="s">
        <v>130</v>
      </c>
      <c r="D40" s="69" t="s">
        <v>25</v>
      </c>
      <c r="E40" s="70"/>
      <c r="F40" s="70"/>
      <c r="G40" s="70"/>
      <c r="H40" s="70"/>
      <c r="I40" s="71">
        <v>100000</v>
      </c>
      <c r="J40" s="72"/>
      <c r="K40" s="48"/>
      <c r="L40" s="46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</row>
    <row r="41" spans="1:55" ht="15.6" x14ac:dyDescent="0.3">
      <c r="A41" s="3"/>
      <c r="B41" s="12">
        <v>65</v>
      </c>
      <c r="C41" s="75" t="s">
        <v>100</v>
      </c>
      <c r="D41" s="69" t="s">
        <v>24</v>
      </c>
      <c r="E41" s="70"/>
      <c r="F41" s="70"/>
      <c r="G41" s="70"/>
      <c r="H41" s="70"/>
      <c r="I41" s="70"/>
      <c r="J41" s="72"/>
      <c r="K41" s="48"/>
      <c r="L41" s="46"/>
    </row>
    <row r="42" spans="1:55" ht="15.6" x14ac:dyDescent="0.3">
      <c r="A42" s="3"/>
      <c r="B42" s="12">
        <v>70</v>
      </c>
      <c r="C42" s="75" t="s">
        <v>101</v>
      </c>
      <c r="D42" s="69" t="s">
        <v>33</v>
      </c>
      <c r="E42" s="70" t="s">
        <v>117</v>
      </c>
      <c r="F42" s="70"/>
      <c r="G42" s="70"/>
      <c r="H42" s="70"/>
      <c r="I42" s="70"/>
      <c r="J42" s="72"/>
      <c r="K42" s="48"/>
      <c r="L42" s="46"/>
    </row>
    <row r="43" spans="1:55" ht="15.6" x14ac:dyDescent="0.3">
      <c r="A43" s="3"/>
      <c r="B43" s="12">
        <v>70</v>
      </c>
      <c r="C43" s="75" t="s">
        <v>102</v>
      </c>
      <c r="D43" s="69" t="s">
        <v>49</v>
      </c>
      <c r="E43" s="70"/>
      <c r="F43" s="70"/>
      <c r="G43" s="70"/>
      <c r="H43" s="71">
        <v>990000</v>
      </c>
      <c r="I43" s="71"/>
      <c r="J43" s="72"/>
      <c r="K43" s="48"/>
      <c r="L43" s="46"/>
    </row>
    <row r="44" spans="1:55" ht="15.6" x14ac:dyDescent="0.3">
      <c r="A44" s="3"/>
      <c r="B44" s="12">
        <v>77</v>
      </c>
      <c r="C44" s="75" t="s">
        <v>103</v>
      </c>
      <c r="D44" s="69" t="s">
        <v>29</v>
      </c>
      <c r="E44" s="70"/>
      <c r="F44" s="70"/>
      <c r="G44" s="70"/>
      <c r="H44" s="70"/>
      <c r="I44" s="70"/>
      <c r="J44" s="72">
        <v>110000</v>
      </c>
      <c r="K44" s="48"/>
      <c r="L44" s="46"/>
    </row>
    <row r="45" spans="1:55" ht="15.6" x14ac:dyDescent="0.3">
      <c r="A45" s="3"/>
      <c r="B45" s="12">
        <v>78</v>
      </c>
      <c r="C45" s="75" t="s">
        <v>104</v>
      </c>
      <c r="D45" s="69" t="s">
        <v>15</v>
      </c>
      <c r="E45" s="70" t="s">
        <v>117</v>
      </c>
      <c r="F45" s="70"/>
      <c r="G45" s="70"/>
      <c r="H45" s="70"/>
      <c r="I45" s="70"/>
      <c r="J45" s="72"/>
      <c r="K45" s="48"/>
      <c r="L45" s="46"/>
    </row>
    <row r="46" spans="1:55" s="26" customFormat="1" ht="15.6" x14ac:dyDescent="0.3">
      <c r="A46" s="3"/>
      <c r="B46" s="12">
        <v>79</v>
      </c>
      <c r="C46" s="73" t="s">
        <v>104</v>
      </c>
      <c r="D46" s="65" t="s">
        <v>16</v>
      </c>
      <c r="E46" s="66" t="s">
        <v>117</v>
      </c>
      <c r="F46" s="66"/>
      <c r="G46" s="66"/>
      <c r="H46" s="66"/>
      <c r="I46" s="66"/>
      <c r="J46" s="68"/>
      <c r="K46" s="49"/>
      <c r="L46" s="47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</row>
    <row r="47" spans="1:55" s="26" customFormat="1" ht="15.6" x14ac:dyDescent="0.3">
      <c r="A47" s="3"/>
      <c r="B47" s="12">
        <v>62</v>
      </c>
      <c r="C47" s="75" t="s">
        <v>106</v>
      </c>
      <c r="D47" s="69" t="s">
        <v>124</v>
      </c>
      <c r="E47" s="70"/>
      <c r="F47" s="70"/>
      <c r="G47" s="70"/>
      <c r="H47" s="70"/>
      <c r="I47" s="74"/>
      <c r="J47" s="72"/>
      <c r="K47" s="48"/>
      <c r="L47" s="46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</row>
    <row r="48" spans="1:55" ht="16.2" thickBot="1" x14ac:dyDescent="0.35">
      <c r="A48" s="3"/>
      <c r="B48" s="12">
        <v>61</v>
      </c>
      <c r="C48" s="75" t="s">
        <v>109</v>
      </c>
      <c r="D48" s="69" t="s">
        <v>108</v>
      </c>
      <c r="E48" s="70" t="s">
        <v>117</v>
      </c>
      <c r="F48" s="70"/>
      <c r="G48" s="70"/>
      <c r="H48" s="70"/>
      <c r="I48" s="74"/>
      <c r="J48" s="72"/>
      <c r="K48" s="48"/>
      <c r="L48" s="46"/>
    </row>
    <row r="49" spans="1:55" s="26" customFormat="1" ht="15.6" x14ac:dyDescent="0.3">
      <c r="A49" s="3"/>
      <c r="B49" s="12">
        <v>80</v>
      </c>
      <c r="C49" s="127" t="s">
        <v>105</v>
      </c>
      <c r="D49" s="65" t="s">
        <v>14</v>
      </c>
      <c r="E49" s="79" t="s">
        <v>117</v>
      </c>
      <c r="F49" s="66"/>
      <c r="G49" s="66"/>
      <c r="H49" s="66"/>
      <c r="I49" s="66"/>
      <c r="J49" s="68"/>
      <c r="K49" s="49"/>
      <c r="L49" s="47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</row>
    <row r="50" spans="1:55" s="26" customFormat="1" ht="15.6" x14ac:dyDescent="0.3">
      <c r="A50" s="3"/>
      <c r="B50" s="12">
        <v>81</v>
      </c>
      <c r="C50" s="128"/>
      <c r="D50" s="69" t="s">
        <v>39</v>
      </c>
      <c r="E50" s="70" t="s">
        <v>117</v>
      </c>
      <c r="F50" s="70"/>
      <c r="G50" s="70"/>
      <c r="H50" s="70"/>
      <c r="I50" s="70"/>
      <c r="J50" s="72"/>
      <c r="K50" s="48"/>
      <c r="L50" s="46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</row>
    <row r="51" spans="1:55" s="26" customFormat="1" ht="15.6" x14ac:dyDescent="0.3">
      <c r="A51" s="3"/>
      <c r="B51" s="12">
        <v>82</v>
      </c>
      <c r="C51" s="129"/>
      <c r="D51" s="69" t="s">
        <v>40</v>
      </c>
      <c r="E51" s="70"/>
      <c r="F51" s="70"/>
      <c r="G51" s="70"/>
      <c r="H51" s="70"/>
      <c r="I51" s="70"/>
      <c r="J51" s="72">
        <v>17592</v>
      </c>
      <c r="K51" s="48"/>
      <c r="L51" s="46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</row>
    <row r="52" spans="1:55" ht="16.2" thickBot="1" x14ac:dyDescent="0.35">
      <c r="A52" s="3"/>
      <c r="B52" s="12"/>
      <c r="C52" s="80"/>
      <c r="D52" s="81"/>
      <c r="E52" s="82"/>
      <c r="F52" s="82"/>
      <c r="G52" s="82">
        <f>SUM(G49:G51)</f>
        <v>0</v>
      </c>
      <c r="H52" s="82">
        <f>SUM(G52)</f>
        <v>0</v>
      </c>
      <c r="I52" s="82">
        <f>SUM(I49:I51)</f>
        <v>0</v>
      </c>
      <c r="J52" s="83">
        <f>SUM(J49:J51)</f>
        <v>17592</v>
      </c>
      <c r="K52" s="50">
        <f>SUM(K49:K51)</f>
        <v>0</v>
      </c>
      <c r="L52" s="16"/>
    </row>
    <row r="53" spans="1:55" ht="16.2" thickBot="1" x14ac:dyDescent="0.35">
      <c r="C53" s="130" t="s">
        <v>63</v>
      </c>
      <c r="D53" s="131"/>
      <c r="E53" s="131"/>
      <c r="F53" s="132"/>
      <c r="G53" s="84">
        <f>SUM(G23:G52)</f>
        <v>0</v>
      </c>
      <c r="H53" s="84">
        <f>SUM(H23:H52)</f>
        <v>4571700</v>
      </c>
      <c r="I53" s="84">
        <f>SUM(I23:I52)</f>
        <v>1067000</v>
      </c>
      <c r="J53" s="85">
        <f>SUM(J23:J52)</f>
        <v>331184</v>
      </c>
      <c r="K53" s="57">
        <f>SUM(K23:K52)</f>
        <v>0</v>
      </c>
      <c r="L53" s="54"/>
    </row>
    <row r="54" spans="1:55" ht="15" thickBot="1" x14ac:dyDescent="0.35">
      <c r="H54" s="58"/>
      <c r="I54" s="59">
        <f>+I53+H53</f>
        <v>5638700</v>
      </c>
      <c r="J54" s="60">
        <f>+J53</f>
        <v>331184</v>
      </c>
    </row>
    <row r="55" spans="1:55" x14ac:dyDescent="0.3">
      <c r="B55" s="12">
        <v>83</v>
      </c>
      <c r="C55" s="3" t="s">
        <v>107</v>
      </c>
      <c r="D55" s="15" t="s">
        <v>56</v>
      </c>
      <c r="E55" s="3"/>
      <c r="F55" s="3"/>
      <c r="G55" s="3"/>
      <c r="H55" s="4"/>
      <c r="I55" s="42"/>
      <c r="J55" s="4"/>
      <c r="K55" s="3"/>
      <c r="L55" s="12"/>
    </row>
    <row r="56" spans="1:55" x14ac:dyDescent="0.3">
      <c r="B56" s="12">
        <v>84</v>
      </c>
      <c r="C56" s="3" t="s">
        <v>107</v>
      </c>
      <c r="D56" s="15" t="s">
        <v>55</v>
      </c>
      <c r="E56" s="3"/>
      <c r="F56" s="3"/>
      <c r="G56" s="3"/>
      <c r="H56" s="3"/>
      <c r="I56" s="31"/>
      <c r="J56" s="3"/>
      <c r="K56" s="3"/>
      <c r="L56" s="12"/>
    </row>
    <row r="57" spans="1:55" x14ac:dyDescent="0.3">
      <c r="B57" s="12">
        <v>85</v>
      </c>
      <c r="C57" s="3" t="s">
        <v>107</v>
      </c>
      <c r="D57" s="15" t="s">
        <v>57</v>
      </c>
      <c r="E57" s="3"/>
      <c r="F57" s="3"/>
      <c r="G57" s="3"/>
      <c r="H57" s="3"/>
      <c r="I57" s="31"/>
      <c r="J57" s="3"/>
      <c r="K57" s="3"/>
      <c r="L57" s="12"/>
    </row>
    <row r="58" spans="1:55" ht="172.8" x14ac:dyDescent="0.3">
      <c r="C58" s="5" t="s">
        <v>52</v>
      </c>
      <c r="D58" s="13" t="s">
        <v>51</v>
      </c>
      <c r="E58" s="8" t="s">
        <v>67</v>
      </c>
      <c r="F58" s="8"/>
      <c r="G58" s="8" t="s">
        <v>66</v>
      </c>
      <c r="H58" s="8"/>
      <c r="I58" s="28" t="s">
        <v>65</v>
      </c>
      <c r="J58" s="8" t="s">
        <v>64</v>
      </c>
      <c r="K58" s="8" t="s">
        <v>53</v>
      </c>
      <c r="L58" s="35"/>
    </row>
    <row r="59" spans="1:55" ht="15" thickBot="1" x14ac:dyDescent="0.35">
      <c r="C59" s="18"/>
      <c r="D59" s="17" t="s">
        <v>68</v>
      </c>
      <c r="E59" s="18" t="e">
        <f>+E57+#REF!+#REF!+#REF!+#REF!++#REF!+E41+E37</f>
        <v>#REF!</v>
      </c>
      <c r="F59" s="18"/>
      <c r="G59" s="18" t="e">
        <f>+G57+#REF!+#REF!+#REF!+#REF!++#REF!+G41+G37</f>
        <v>#REF!</v>
      </c>
      <c r="H59" s="18"/>
      <c r="I59" s="32" t="e">
        <f>+I57+#REF!+#REF!+#REF!+#REF!++#REF!+I41+I37</f>
        <v>#REF!</v>
      </c>
      <c r="J59" s="18"/>
      <c r="K59" s="18" t="e">
        <f>+K57+#REF!+#REF!+#REF!+#REF!++#REF!+K41+K37</f>
        <v>#REF!</v>
      </c>
      <c r="L59" s="38"/>
    </row>
    <row r="60" spans="1:55" ht="15" thickBot="1" x14ac:dyDescent="0.35"/>
    <row r="61" spans="1:55" ht="173.4" thickBot="1" x14ac:dyDescent="0.35">
      <c r="C61" s="22" t="s">
        <v>52</v>
      </c>
      <c r="D61" s="21" t="s">
        <v>51</v>
      </c>
      <c r="E61" s="23" t="s">
        <v>67</v>
      </c>
      <c r="F61" s="23"/>
      <c r="G61" s="23" t="s">
        <v>66</v>
      </c>
      <c r="H61" s="23"/>
      <c r="I61" s="33" t="s">
        <v>65</v>
      </c>
      <c r="J61" s="23" t="s">
        <v>64</v>
      </c>
      <c r="K61" s="23" t="s">
        <v>53</v>
      </c>
      <c r="L61" s="39"/>
    </row>
    <row r="62" spans="1:55" ht="15" thickBot="1" x14ac:dyDescent="0.35">
      <c r="C62" s="20"/>
      <c r="D62" s="19" t="s">
        <v>69</v>
      </c>
      <c r="E62" s="20" t="e">
        <f>+E60+#REF!+E50+#REF!+#REF!++#REF!+#REF!+#REF!</f>
        <v>#REF!</v>
      </c>
      <c r="F62" s="20"/>
      <c r="G62" s="20" t="e">
        <f>+G60+#REF!+G50+#REF!+#REF!++#REF!+#REF!+#REF!</f>
        <v>#REF!</v>
      </c>
      <c r="H62" s="20"/>
      <c r="I62" s="34" t="e">
        <f>+I60+#REF!+I50+#REF!+#REF!++#REF!+#REF!+#REF!</f>
        <v>#REF!</v>
      </c>
      <c r="J62" s="20" t="e">
        <f>+J60+#REF!+J50+#REF!+#REF!++#REF!+#REF!+#REF!</f>
        <v>#REF!</v>
      </c>
      <c r="K62" s="20" t="e">
        <f>+K60+#REF!+K50+#REF!+#REF!++#REF!+#REF!+#REF!</f>
        <v>#REF!</v>
      </c>
      <c r="L62" s="40"/>
    </row>
    <row r="65" spans="2:12" x14ac:dyDescent="0.3">
      <c r="B65" s="3"/>
      <c r="C65" s="3"/>
      <c r="D65" s="2" t="s">
        <v>21</v>
      </c>
      <c r="E65" s="3"/>
      <c r="F65" s="3"/>
      <c r="G65" s="3"/>
      <c r="H65" s="3"/>
      <c r="I65" s="31"/>
      <c r="J65" s="3"/>
      <c r="K65" s="3"/>
      <c r="L65" s="3"/>
    </row>
    <row r="66" spans="2:12" x14ac:dyDescent="0.3">
      <c r="B66" s="3">
        <v>86</v>
      </c>
      <c r="C66" s="3"/>
      <c r="D66" s="3" t="s">
        <v>71</v>
      </c>
      <c r="E66" s="3"/>
      <c r="F66" s="3"/>
      <c r="G66" s="3"/>
      <c r="H66" s="3"/>
      <c r="I66" s="31"/>
      <c r="J66" s="3"/>
      <c r="K66" s="3"/>
      <c r="L66" s="3"/>
    </row>
    <row r="67" spans="2:12" x14ac:dyDescent="0.3">
      <c r="B67" s="3">
        <v>87</v>
      </c>
      <c r="C67" s="3"/>
      <c r="D67" s="3" t="s">
        <v>72</v>
      </c>
      <c r="E67" s="3"/>
      <c r="F67" s="3"/>
      <c r="G67" s="3"/>
      <c r="H67" s="3"/>
      <c r="I67" s="31"/>
      <c r="J67" s="3"/>
      <c r="K67" s="3"/>
      <c r="L67" s="3"/>
    </row>
    <row r="68" spans="2:12" x14ac:dyDescent="0.3">
      <c r="B68" s="3">
        <v>88</v>
      </c>
      <c r="C68" s="3"/>
      <c r="D68" s="3" t="s">
        <v>73</v>
      </c>
      <c r="E68" s="3"/>
      <c r="F68" s="3"/>
      <c r="G68" s="3"/>
      <c r="H68" s="3"/>
      <c r="I68" s="31"/>
      <c r="J68" s="3"/>
      <c r="K68" s="3"/>
      <c r="L68" s="3"/>
    </row>
    <row r="69" spans="2:12" x14ac:dyDescent="0.3">
      <c r="B69" s="3">
        <v>89</v>
      </c>
      <c r="C69" s="3"/>
      <c r="D69" s="3" t="s">
        <v>74</v>
      </c>
      <c r="E69" s="3"/>
      <c r="F69" s="3"/>
      <c r="G69" s="3"/>
      <c r="H69" s="3"/>
      <c r="I69" s="31"/>
      <c r="J69" s="3"/>
      <c r="K69" s="3"/>
      <c r="L69" s="3"/>
    </row>
    <row r="70" spans="2:12" x14ac:dyDescent="0.3">
      <c r="B70" s="3">
        <v>90</v>
      </c>
      <c r="C70" s="3"/>
      <c r="D70" s="3" t="s">
        <v>75</v>
      </c>
      <c r="E70" s="3"/>
      <c r="F70" s="3"/>
      <c r="G70" s="3"/>
      <c r="H70" s="3"/>
      <c r="I70" s="31"/>
      <c r="J70" s="3"/>
      <c r="K70" s="3"/>
      <c r="L70" s="3"/>
    </row>
    <row r="71" spans="2:12" x14ac:dyDescent="0.3">
      <c r="B71" s="3">
        <v>91</v>
      </c>
      <c r="C71" s="3"/>
      <c r="D71" s="3" t="s">
        <v>76</v>
      </c>
      <c r="E71" s="3"/>
      <c r="F71" s="3"/>
      <c r="G71" s="3"/>
      <c r="H71" s="3"/>
      <c r="I71" s="31"/>
      <c r="J71" s="3"/>
      <c r="K71" s="3"/>
      <c r="L71" s="3"/>
    </row>
    <row r="72" spans="2:12" x14ac:dyDescent="0.3">
      <c r="B72" s="3">
        <v>92</v>
      </c>
      <c r="C72" s="3"/>
      <c r="D72" s="3" t="s">
        <v>77</v>
      </c>
      <c r="E72" s="3"/>
      <c r="F72" s="3"/>
      <c r="G72" s="3"/>
      <c r="H72" s="3"/>
      <c r="I72" s="31"/>
      <c r="J72" s="3"/>
      <c r="K72" s="3"/>
      <c r="L72" s="3"/>
    </row>
    <row r="73" spans="2:12" x14ac:dyDescent="0.3">
      <c r="B73" s="3">
        <v>93</v>
      </c>
      <c r="C73" s="3"/>
      <c r="D73" s="3" t="s">
        <v>78</v>
      </c>
      <c r="E73" s="3"/>
      <c r="F73" s="3"/>
      <c r="G73" s="3"/>
      <c r="H73" s="3"/>
      <c r="I73" s="31"/>
      <c r="J73" s="3"/>
      <c r="K73" s="3"/>
      <c r="L73" s="3"/>
    </row>
    <row r="74" spans="2:12" x14ac:dyDescent="0.3">
      <c r="B74" s="3">
        <v>94</v>
      </c>
      <c r="C74" s="3"/>
      <c r="D74" s="3" t="s">
        <v>79</v>
      </c>
      <c r="E74" s="3"/>
      <c r="F74" s="3"/>
      <c r="G74" s="3"/>
      <c r="H74" s="3"/>
      <c r="I74" s="31"/>
      <c r="J74" s="3"/>
      <c r="K74" s="3"/>
      <c r="L74" s="3"/>
    </row>
  </sheetData>
  <mergeCells count="4">
    <mergeCell ref="C27:C29"/>
    <mergeCell ref="C49:C51"/>
    <mergeCell ref="C53:F53"/>
    <mergeCell ref="C3:L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Stephen Mukoyi | AFC Holdings</cp:lastModifiedBy>
  <dcterms:created xsi:type="dcterms:W3CDTF">2025-11-22T08:41:48Z</dcterms:created>
  <dcterms:modified xsi:type="dcterms:W3CDTF">2026-03-05T17:33:03Z</dcterms:modified>
</cp:coreProperties>
</file>