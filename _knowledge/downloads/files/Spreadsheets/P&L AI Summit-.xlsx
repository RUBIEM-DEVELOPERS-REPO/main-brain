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mapere\Desktop\EVENTS 2026\"/>
    </mc:Choice>
  </mc:AlternateContent>
  <bookViews>
    <workbookView xWindow="0" yWindow="0" windowWidth="20490" windowHeight="6750"/>
  </bookViews>
  <sheets>
    <sheet name="P&amp;L" sheetId="1" r:id="rId1"/>
    <sheet name="REVENUE" sheetId="6" r:id="rId2"/>
    <sheet name="expenses " sheetId="3" r:id="rId3"/>
    <sheet name="PROFIT SHARING" sheetId="5" state="hidden" r:id="rId4"/>
  </sheets>
  <definedNames>
    <definedName name="_xlnm.Print_Area" localSheetId="0">'P&amp;L'!#REF!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6" l="1"/>
  <c r="E14" i="6" l="1"/>
  <c r="C9" i="1"/>
  <c r="C10" i="1"/>
  <c r="C11" i="1"/>
  <c r="C8" i="1"/>
  <c r="B23" i="3"/>
  <c r="B7" i="3"/>
  <c r="F23" i="3" l="1"/>
  <c r="E10" i="1"/>
  <c r="E11" i="1"/>
  <c r="E12" i="1"/>
  <c r="E13" i="1"/>
  <c r="E9" i="1"/>
  <c r="E8" i="1"/>
  <c r="D17" i="1"/>
  <c r="C17" i="1"/>
  <c r="F17" i="1" s="1"/>
  <c r="D6" i="1"/>
  <c r="D19" i="1" s="1"/>
  <c r="D21" i="1" s="1"/>
  <c r="L14" i="6"/>
  <c r="F14" i="6"/>
  <c r="E16" i="6"/>
  <c r="E5" i="1" s="1"/>
  <c r="E6" i="1" s="1"/>
  <c r="D14" i="6"/>
  <c r="C14" i="6"/>
  <c r="C16" i="6"/>
  <c r="B16" i="6"/>
  <c r="C5" i="1" s="1"/>
  <c r="C6" i="1" s="1"/>
  <c r="E23" i="3"/>
  <c r="D23" i="3"/>
  <c r="C23" i="3"/>
  <c r="E17" i="1"/>
  <c r="C10" i="5"/>
  <c r="E10" i="5"/>
  <c r="G10" i="5"/>
  <c r="F10" i="5"/>
  <c r="H10" i="5"/>
  <c r="H19" i="5"/>
  <c r="H23" i="5"/>
  <c r="D9" i="5"/>
  <c r="D15" i="5"/>
  <c r="C9" i="5"/>
  <c r="C15" i="5"/>
  <c r="E15" i="5"/>
  <c r="E9" i="5"/>
  <c r="F21" i="5"/>
  <c r="F9" i="5"/>
  <c r="G9" i="5"/>
  <c r="H9" i="5"/>
  <c r="F15" i="5"/>
  <c r="G19" i="5"/>
  <c r="G21" i="5"/>
  <c r="G23" i="5"/>
  <c r="G15" i="5"/>
  <c r="C19" i="1" l="1"/>
  <c r="C21" i="1" s="1"/>
  <c r="C23" i="1" s="1"/>
  <c r="E19" i="1"/>
  <c r="F6" i="1"/>
  <c r="F19" i="1" l="1"/>
  <c r="E21" i="1"/>
  <c r="E23" i="1" l="1"/>
  <c r="F21" i="1"/>
</calcChain>
</file>

<file path=xl/sharedStrings.xml><?xml version="1.0" encoding="utf-8"?>
<sst xmlns="http://schemas.openxmlformats.org/spreadsheetml/2006/main" count="122" uniqueCount="95">
  <si>
    <t>TOTAL</t>
  </si>
  <si>
    <t>EXPENDITURE</t>
  </si>
  <si>
    <t>MC</t>
  </si>
  <si>
    <t>TOTAL EXPENDITURE</t>
  </si>
  <si>
    <t>Netone</t>
  </si>
  <si>
    <t>BUDGET</t>
  </si>
  <si>
    <t>ACTUAL</t>
  </si>
  <si>
    <t>REVENUE:</t>
  </si>
  <si>
    <t>REMARKS</t>
  </si>
  <si>
    <t>Total</t>
  </si>
  <si>
    <t>EXPENSES:</t>
  </si>
  <si>
    <t>Industry &amp; University Together Summit</t>
  </si>
  <si>
    <t>ZWG</t>
  </si>
  <si>
    <t>USD</t>
  </si>
  <si>
    <t>Zimbabwe Newspapers (1980) Ltd</t>
  </si>
  <si>
    <t>Harare Branch</t>
  </si>
  <si>
    <t>Period</t>
  </si>
  <si>
    <t>Invoice</t>
  </si>
  <si>
    <t>……………………………………………………………</t>
  </si>
  <si>
    <t>………………………………………………………….</t>
  </si>
  <si>
    <t>REVENUE</t>
  </si>
  <si>
    <t>EXPENSES</t>
  </si>
  <si>
    <t>PROFIT/LOSS</t>
  </si>
  <si>
    <t xml:space="preserve">AMOUNT PAYABLE TO MEMSHA </t>
  </si>
  <si>
    <t>LESS: payments not yet received</t>
  </si>
  <si>
    <t>Prepared by</t>
  </si>
  <si>
    <t>Checked by</t>
  </si>
  <si>
    <t>Approved by</t>
  </si>
  <si>
    <t>s</t>
  </si>
  <si>
    <t>Less upaid revenue-netone portion (4347.83/5647.83)</t>
  </si>
  <si>
    <t>ZIMPAPERS 70% PORTION</t>
  </si>
  <si>
    <t>MEMSHA 30% PORTION</t>
  </si>
  <si>
    <t>Amount payable to Memsha after deducting unpaid recs</t>
  </si>
  <si>
    <t>Amount payable to Memsha before deducting unpaid recs</t>
  </si>
  <si>
    <t>ACTUAL ZWG</t>
  </si>
  <si>
    <t>ACT</t>
  </si>
  <si>
    <t>RATE</t>
  </si>
  <si>
    <t>ACT (RANDS)</t>
  </si>
  <si>
    <t>VENUE AND SETUP</t>
  </si>
  <si>
    <t>what is the basis?</t>
  </si>
  <si>
    <t>okay</t>
  </si>
  <si>
    <t>Is this covered by the venue?</t>
  </si>
  <si>
    <t xml:space="preserve">TOTAL EXPENDITURE </t>
  </si>
  <si>
    <t>Signed Agreement</t>
  </si>
  <si>
    <t xml:space="preserve">Payment Details </t>
  </si>
  <si>
    <t>REVENUE FROM SPONSERS</t>
  </si>
  <si>
    <t>ZIG</t>
  </si>
  <si>
    <t>US$</t>
  </si>
  <si>
    <t>YES</t>
  </si>
  <si>
    <t>NO</t>
  </si>
  <si>
    <t>Rec: No</t>
  </si>
  <si>
    <t>Amount Paid:</t>
  </si>
  <si>
    <t>Contract #</t>
  </si>
  <si>
    <t>Client</t>
  </si>
  <si>
    <t>SUBTOTAL</t>
  </si>
  <si>
    <t>GRAND TOTAL</t>
  </si>
  <si>
    <t>DIGITAL &amp; PUBLISHING DIVISION</t>
  </si>
  <si>
    <t xml:space="preserve"> ACTUAL USD</t>
  </si>
  <si>
    <t xml:space="preserve">BUDGETED </t>
  </si>
  <si>
    <t>BUD VAR</t>
  </si>
  <si>
    <t xml:space="preserve">REVENUE </t>
  </si>
  <si>
    <t>TOTAL REVENUE</t>
  </si>
  <si>
    <t xml:space="preserve"> Profit before Agency fee</t>
  </si>
  <si>
    <t xml:space="preserve">Less Agency Fee </t>
  </si>
  <si>
    <t xml:space="preserve"> Profit After Agency fee</t>
  </si>
  <si>
    <t>Gross Profit Margin</t>
  </si>
  <si>
    <t>Remarks</t>
  </si>
  <si>
    <t xml:space="preserve">GIFTS FOR SPEAKERS </t>
  </si>
  <si>
    <t>PROGRAMS AND TICKETS PRINTING</t>
  </si>
  <si>
    <t>ENTERTAINMENT</t>
  </si>
  <si>
    <t>PA SYSTEM</t>
  </si>
  <si>
    <t>VENUE , LUNCH AND DRINKS</t>
  </si>
  <si>
    <t>Accommodation</t>
  </si>
  <si>
    <t>BUD (USD$)</t>
  </si>
  <si>
    <t>NETONE</t>
  </si>
  <si>
    <t>DANDEMUTANDE</t>
  </si>
  <si>
    <t>VENUE, ACC, DINNER, CONFERENCE</t>
  </si>
  <si>
    <t>GIFTS FOR SPEAKERS</t>
  </si>
  <si>
    <t>KEY SPEAKER APRECIATION</t>
  </si>
  <si>
    <t>VENUE BRANDING</t>
  </si>
  <si>
    <t>DELEGATES PACKS</t>
  </si>
  <si>
    <t>TRANSPORT</t>
  </si>
  <si>
    <t>NSSA</t>
  </si>
  <si>
    <t>TO SHARE PROFITS WITH THE PARTNER</t>
  </si>
  <si>
    <t>ECONET</t>
  </si>
  <si>
    <t>NEC</t>
  </si>
  <si>
    <t>OLD MUTUAL</t>
  </si>
  <si>
    <t>SETOFF</t>
  </si>
  <si>
    <t>PAID</t>
  </si>
  <si>
    <t>COMMENTS</t>
  </si>
  <si>
    <t>DELEGATES</t>
  </si>
  <si>
    <t xml:space="preserve">AI SUMMIT </t>
  </si>
  <si>
    <t>AI SUMMIT</t>
  </si>
  <si>
    <t>POSTED</t>
  </si>
  <si>
    <t>POSTED REMAIN 1296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</si>
</sst>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8" formatCode="&quot;US$&quot;#,##0.00;[Red]\-&quot;US$&quot;#,##0.00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_ ;\-0\ "/>
    <numFmt numFmtId="167" formatCode="_-* #,##0_-;\-* #,##0_-;_-* &quot;-&quot;??_-;_-@_-"/>
    <numFmt numFmtId="168" formatCode="_-[$US$-3009]* #,##0.00_-;\-[$US$-3009]* #,##0.00_-;_-[$US$-3009]* &quot;-&quot;??_-;_-@_-"/>
    <numFmt numFmtId="169" formatCode="&quot;US$&quot;#,##0.00"/>
  </numFmts>
  <fonts count="3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1"/>
      <name val="Marlett"/>
      <charset val="2"/>
    </font>
    <font>
      <b/>
      <sz val="11"/>
      <color theme="0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Marlett"/>
      <charset val="2"/>
    </font>
    <font>
      <b/>
      <sz val="12"/>
      <name val="Calibri"/>
      <family val="2"/>
    </font>
    <font>
      <sz val="11"/>
      <name val="Calibri"/>
      <family val="2"/>
    </font>
    <font>
      <sz val="11"/>
      <color rgb="FFFF0000"/>
      <name val="Marlett"/>
      <charset val="2"/>
    </font>
    <font>
      <b/>
      <sz val="12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A5A5A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511703848384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 style="medium">
        <color auto="1"/>
      </left>
      <right style="medium">
        <color auto="1"/>
      </right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3F3F3F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2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9" applyNumberFormat="0" applyFill="0" applyAlignment="0" applyProtection="0"/>
    <xf numFmtId="0" fontId="5" fillId="3" borderId="12" applyNumberFormat="0" applyAlignment="0" applyProtection="0"/>
    <xf numFmtId="0" fontId="14" fillId="0" borderId="9" applyNumberFormat="0" applyFill="0" applyAlignment="0" applyProtection="0"/>
    <xf numFmtId="0" fontId="15" fillId="0" borderId="0" applyBorder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43" fontId="15" fillId="0" borderId="0" applyFont="0" applyFill="0" applyBorder="0" applyAlignment="0" applyProtection="0"/>
    <xf numFmtId="0" fontId="18" fillId="0" borderId="15" applyNumberFormat="0" applyFill="0" applyAlignment="0" applyProtection="0"/>
    <xf numFmtId="0" fontId="19" fillId="8" borderId="14" applyNumberFormat="0" applyAlignment="0" applyProtection="0"/>
  </cellStyleXfs>
  <cellXfs count="171">
    <xf numFmtId="0" fontId="0" fillId="0" borderId="0" xfId="0"/>
    <xf numFmtId="0" fontId="0" fillId="0" borderId="11" xfId="0" applyBorder="1"/>
    <xf numFmtId="43" fontId="0" fillId="0" borderId="0" xfId="0" applyNumberFormat="1"/>
    <xf numFmtId="0" fontId="6" fillId="0" borderId="0" xfId="0" applyFont="1"/>
    <xf numFmtId="0" fontId="7" fillId="0" borderId="0" xfId="0" applyFont="1" applyAlignment="1">
      <alignment horizontal="left"/>
    </xf>
    <xf numFmtId="0" fontId="7" fillId="0" borderId="0" xfId="0" applyFont="1"/>
    <xf numFmtId="43" fontId="7" fillId="0" borderId="0" xfId="0" applyNumberFormat="1" applyFont="1" applyAlignment="1">
      <alignment horizontal="left"/>
    </xf>
    <xf numFmtId="0" fontId="8" fillId="3" borderId="12" xfId="4" applyFont="1" applyAlignment="1">
      <alignment horizontal="center" vertical="center" wrapText="1"/>
    </xf>
    <xf numFmtId="0" fontId="9" fillId="4" borderId="12" xfId="4" applyFont="1" applyFill="1" applyAlignment="1">
      <alignment horizontal="center" vertical="center" wrapText="1"/>
    </xf>
    <xf numFmtId="17" fontId="6" fillId="0" borderId="1" xfId="0" applyNumberFormat="1" applyFont="1" applyBorder="1" applyAlignment="1">
      <alignment horizontal="left"/>
    </xf>
    <xf numFmtId="0" fontId="7" fillId="0" borderId="1" xfId="0" applyFont="1" applyBorder="1"/>
    <xf numFmtId="4" fontId="7" fillId="0" borderId="1" xfId="0" applyNumberFormat="1" applyFont="1" applyBorder="1"/>
    <xf numFmtId="43" fontId="7" fillId="0" borderId="1" xfId="1" applyFont="1" applyBorder="1"/>
    <xf numFmtId="0" fontId="8" fillId="3" borderId="12" xfId="4" applyFont="1"/>
    <xf numFmtId="4" fontId="8" fillId="3" borderId="13" xfId="4" applyNumberFormat="1" applyFont="1" applyBorder="1"/>
    <xf numFmtId="43" fontId="7" fillId="0" borderId="0" xfId="1" applyFont="1" applyBorder="1"/>
    <xf numFmtId="0" fontId="10" fillId="0" borderId="0" xfId="0" applyFont="1"/>
    <xf numFmtId="0" fontId="10" fillId="0" borderId="0" xfId="0" applyFont="1" applyAlignment="1">
      <alignment horizontal="left"/>
    </xf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left"/>
    </xf>
    <xf numFmtId="0" fontId="12" fillId="5" borderId="0" xfId="0" applyFont="1" applyFill="1" applyAlignment="1">
      <alignment horizontal="left"/>
    </xf>
    <xf numFmtId="43" fontId="12" fillId="5" borderId="0" xfId="1" applyFont="1" applyFill="1" applyAlignment="1">
      <alignment horizontal="left"/>
    </xf>
    <xf numFmtId="0" fontId="0" fillId="0" borderId="0" xfId="0" applyAlignment="1">
      <alignment horizontal="left"/>
    </xf>
    <xf numFmtId="0" fontId="13" fillId="0" borderId="0" xfId="0" applyFont="1"/>
    <xf numFmtId="0" fontId="0" fillId="0" borderId="0" xfId="0" applyAlignment="1">
      <alignment horizontal="left" vertical="center"/>
    </xf>
    <xf numFmtId="43" fontId="0" fillId="0" borderId="0" xfId="0" applyNumberFormat="1" applyAlignment="1">
      <alignment horizontal="left"/>
    </xf>
    <xf numFmtId="0" fontId="9" fillId="2" borderId="12" xfId="4" applyFont="1" applyFill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10" fillId="5" borderId="0" xfId="0" applyFont="1" applyFill="1" applyAlignment="1">
      <alignment horizontal="center"/>
    </xf>
    <xf numFmtId="43" fontId="12" fillId="5" borderId="0" xfId="0" applyNumberFormat="1" applyFont="1" applyFill="1" applyAlignment="1">
      <alignment horizontal="left"/>
    </xf>
    <xf numFmtId="43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9" fontId="1" fillId="0" borderId="0" xfId="2" applyFont="1" applyAlignment="1">
      <alignment horizontal="right"/>
    </xf>
    <xf numFmtId="165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0" fontId="15" fillId="0" borderId="0" xfId="6"/>
    <xf numFmtId="0" fontId="15" fillId="0" borderId="16" xfId="6" applyBorder="1"/>
    <xf numFmtId="0" fontId="16" fillId="6" borderId="17" xfId="7" applyBorder="1"/>
    <xf numFmtId="44" fontId="16" fillId="6" borderId="18" xfId="7" applyNumberFormat="1" applyBorder="1" applyAlignment="1">
      <alignment horizontal="center"/>
    </xf>
    <xf numFmtId="43" fontId="16" fillId="6" borderId="18" xfId="7" applyNumberFormat="1" applyBorder="1" applyAlignment="1">
      <alignment horizontal="center"/>
    </xf>
    <xf numFmtId="43" fontId="16" fillId="6" borderId="19" xfId="7" applyNumberFormat="1" applyBorder="1" applyAlignment="1">
      <alignment horizontal="center"/>
    </xf>
    <xf numFmtId="43" fontId="16" fillId="6" borderId="4" xfId="7" applyNumberFormat="1" applyBorder="1" applyAlignment="1">
      <alignment horizontal="center"/>
    </xf>
    <xf numFmtId="0" fontId="16" fillId="6" borderId="2" xfId="7" applyBorder="1" applyAlignment="1">
      <alignment horizontal="center"/>
    </xf>
    <xf numFmtId="0" fontId="17" fillId="7" borderId="20" xfId="8" applyBorder="1" applyAlignment="1">
      <alignment horizontal="center"/>
    </xf>
    <xf numFmtId="0" fontId="15" fillId="0" borderId="8" xfId="6" applyBorder="1"/>
    <xf numFmtId="44" fontId="0" fillId="0" borderId="11" xfId="9" applyNumberFormat="1" applyFont="1" applyFill="1" applyBorder="1"/>
    <xf numFmtId="43" fontId="0" fillId="0" borderId="21" xfId="9" applyFont="1" applyFill="1" applyBorder="1"/>
    <xf numFmtId="43" fontId="0" fillId="0" borderId="0" xfId="9" applyFont="1" applyFill="1"/>
    <xf numFmtId="0" fontId="15" fillId="0" borderId="3" xfId="6" applyBorder="1"/>
    <xf numFmtId="0" fontId="15" fillId="0" borderId="10" xfId="6" applyBorder="1"/>
    <xf numFmtId="0" fontId="18" fillId="0" borderId="22" xfId="6" applyFont="1" applyBorder="1"/>
    <xf numFmtId="44" fontId="0" fillId="0" borderId="11" xfId="9" applyNumberFormat="1" applyFont="1" applyBorder="1"/>
    <xf numFmtId="43" fontId="0" fillId="0" borderId="21" xfId="9" applyFont="1" applyBorder="1"/>
    <xf numFmtId="43" fontId="0" fillId="0" borderId="0" xfId="9" applyFont="1"/>
    <xf numFmtId="43" fontId="0" fillId="0" borderId="3" xfId="9" applyFont="1" applyBorder="1"/>
    <xf numFmtId="43" fontId="15" fillId="0" borderId="10" xfId="6" applyNumberFormat="1" applyBorder="1"/>
    <xf numFmtId="43" fontId="18" fillId="0" borderId="23" xfId="10" applyNumberFormat="1" applyBorder="1"/>
    <xf numFmtId="43" fontId="0" fillId="0" borderId="10" xfId="9" applyFont="1" applyBorder="1"/>
    <xf numFmtId="0" fontId="18" fillId="0" borderId="8" xfId="6" applyFont="1" applyBorder="1"/>
    <xf numFmtId="44" fontId="18" fillId="0" borderId="24" xfId="9" applyNumberFormat="1" applyFont="1" applyBorder="1"/>
    <xf numFmtId="43" fontId="18" fillId="0" borderId="25" xfId="9" applyFont="1" applyBorder="1"/>
    <xf numFmtId="0" fontId="0" fillId="0" borderId="26" xfId="0" applyBorder="1"/>
    <xf numFmtId="44" fontId="18" fillId="0" borderId="1" xfId="0" applyNumberFormat="1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7" xfId="0" applyBorder="1"/>
    <xf numFmtId="165" fontId="18" fillId="0" borderId="6" xfId="0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19" fillId="8" borderId="30" xfId="11" applyBorder="1"/>
    <xf numFmtId="44" fontId="19" fillId="8" borderId="14" xfId="11" applyNumberFormat="1" applyAlignment="1">
      <alignment horizontal="center"/>
    </xf>
    <xf numFmtId="0" fontId="19" fillId="8" borderId="14" xfId="11" applyAlignment="1">
      <alignment horizontal="center"/>
    </xf>
    <xf numFmtId="0" fontId="19" fillId="8" borderId="31" xfId="11" applyBorder="1" applyAlignment="1">
      <alignment horizontal="center"/>
    </xf>
    <xf numFmtId="0" fontId="18" fillId="0" borderId="0" xfId="0" applyFont="1" applyAlignment="1">
      <alignment horizontal="center"/>
    </xf>
    <xf numFmtId="165" fontId="18" fillId="0" borderId="1" xfId="0" applyNumberFormat="1" applyFont="1" applyBorder="1" applyAlignment="1">
      <alignment horizontal="center"/>
    </xf>
    <xf numFmtId="165" fontId="18" fillId="0" borderId="1" xfId="0" applyNumberFormat="1" applyFont="1" applyBorder="1"/>
    <xf numFmtId="0" fontId="19" fillId="8" borderId="21" xfId="11" applyBorder="1"/>
    <xf numFmtId="0" fontId="19" fillId="8" borderId="11" xfId="11" applyBorder="1" applyAlignment="1">
      <alignment horizontal="center"/>
    </xf>
    <xf numFmtId="165" fontId="18" fillId="0" borderId="32" xfId="0" applyNumberFormat="1" applyFont="1" applyBorder="1" applyAlignment="1">
      <alignment horizontal="center"/>
    </xf>
    <xf numFmtId="165" fontId="18" fillId="0" borderId="29" xfId="0" applyNumberFormat="1" applyFont="1" applyBorder="1" applyAlignment="1">
      <alignment horizontal="center"/>
    </xf>
    <xf numFmtId="0" fontId="18" fillId="0" borderId="32" xfId="0" applyFont="1" applyBorder="1" applyAlignment="1">
      <alignment horizontal="center"/>
    </xf>
    <xf numFmtId="165" fontId="18" fillId="0" borderId="32" xfId="0" applyNumberFormat="1" applyFont="1" applyBorder="1"/>
    <xf numFmtId="0" fontId="20" fillId="0" borderId="32" xfId="0" applyFont="1" applyBorder="1"/>
    <xf numFmtId="44" fontId="0" fillId="0" borderId="32" xfId="9" applyNumberFormat="1" applyFont="1" applyBorder="1"/>
    <xf numFmtId="43" fontId="0" fillId="0" borderId="26" xfId="9" applyFont="1" applyBorder="1"/>
    <xf numFmtId="43" fontId="0" fillId="0" borderId="11" xfId="9" applyFont="1" applyBorder="1"/>
    <xf numFmtId="43" fontId="21" fillId="0" borderId="32" xfId="9" applyFont="1" applyBorder="1"/>
    <xf numFmtId="43" fontId="0" fillId="0" borderId="32" xfId="9" applyFont="1" applyBorder="1"/>
    <xf numFmtId="0" fontId="22" fillId="0" borderId="33" xfId="0" applyFont="1" applyBorder="1"/>
    <xf numFmtId="8" fontId="0" fillId="0" borderId="11" xfId="9" applyNumberFormat="1" applyFont="1" applyBorder="1"/>
    <xf numFmtId="164" fontId="23" fillId="0" borderId="34" xfId="0" applyNumberFormat="1" applyFont="1" applyBorder="1"/>
    <xf numFmtId="43" fontId="4" fillId="0" borderId="32" xfId="9" applyFont="1" applyBorder="1" applyAlignment="1">
      <alignment horizontal="center"/>
    </xf>
    <xf numFmtId="43" fontId="24" fillId="0" borderId="11" xfId="9" applyFont="1" applyBorder="1"/>
    <xf numFmtId="166" fontId="18" fillId="0" borderId="11" xfId="9" applyNumberFormat="1" applyFont="1" applyBorder="1" applyAlignment="1">
      <alignment horizontal="center"/>
    </xf>
    <xf numFmtId="165" fontId="18" fillId="0" borderId="11" xfId="0" applyNumberFormat="1" applyFont="1" applyBorder="1" applyAlignment="1">
      <alignment horizontal="center"/>
    </xf>
    <xf numFmtId="1" fontId="18" fillId="0" borderId="11" xfId="0" applyNumberFormat="1" applyFont="1" applyBorder="1" applyAlignment="1">
      <alignment horizontal="center"/>
    </xf>
    <xf numFmtId="8" fontId="23" fillId="0" borderId="33" xfId="0" applyNumberFormat="1" applyFont="1" applyBorder="1"/>
    <xf numFmtId="43" fontId="0" fillId="0" borderId="21" xfId="9" applyFont="1" applyBorder="1" applyAlignment="1"/>
    <xf numFmtId="43" fontId="4" fillId="0" borderId="11" xfId="9" applyFont="1" applyBorder="1" applyAlignment="1">
      <alignment horizontal="center"/>
    </xf>
    <xf numFmtId="0" fontId="25" fillId="0" borderId="11" xfId="0" applyFont="1" applyBorder="1"/>
    <xf numFmtId="44" fontId="0" fillId="0" borderId="0" xfId="0" applyNumberFormat="1"/>
    <xf numFmtId="43" fontId="4" fillId="0" borderId="11" xfId="9" applyFont="1" applyBorder="1"/>
    <xf numFmtId="0" fontId="16" fillId="6" borderId="24" xfId="7" applyBorder="1"/>
    <xf numFmtId="44" fontId="16" fillId="6" borderId="24" xfId="7" applyNumberFormat="1" applyBorder="1"/>
    <xf numFmtId="0" fontId="16" fillId="6" borderId="24" xfId="7" applyNumberFormat="1" applyBorder="1" applyAlignment="1">
      <alignment horizontal="center"/>
    </xf>
    <xf numFmtId="165" fontId="16" fillId="6" borderId="35" xfId="7" applyNumberFormat="1" applyBorder="1"/>
    <xf numFmtId="165" fontId="16" fillId="6" borderId="24" xfId="7" applyNumberFormat="1" applyBorder="1"/>
    <xf numFmtId="44" fontId="0" fillId="0" borderId="21" xfId="9" applyNumberFormat="1" applyFont="1" applyBorder="1"/>
    <xf numFmtId="43" fontId="0" fillId="0" borderId="21" xfId="9" applyFont="1" applyBorder="1" applyAlignment="1">
      <alignment horizontal="center"/>
    </xf>
    <xf numFmtId="165" fontId="18" fillId="0" borderId="21" xfId="0" applyNumberFormat="1" applyFont="1" applyBorder="1" applyAlignment="1">
      <alignment horizontal="center"/>
    </xf>
    <xf numFmtId="0" fontId="0" fillId="0" borderId="21" xfId="0" applyBorder="1"/>
    <xf numFmtId="0" fontId="26" fillId="0" borderId="36" xfId="10" applyFont="1" applyBorder="1"/>
    <xf numFmtId="44" fontId="26" fillId="0" borderId="37" xfId="9" applyNumberFormat="1" applyFont="1" applyBorder="1"/>
    <xf numFmtId="0" fontId="26" fillId="0" borderId="37" xfId="9" applyNumberFormat="1" applyFont="1" applyBorder="1" applyAlignment="1">
      <alignment horizontal="center"/>
    </xf>
    <xf numFmtId="43" fontId="26" fillId="0" borderId="37" xfId="9" applyFont="1" applyBorder="1"/>
    <xf numFmtId="43" fontId="26" fillId="0" borderId="11" xfId="9" applyFont="1" applyBorder="1"/>
    <xf numFmtId="43" fontId="27" fillId="0" borderId="37" xfId="9" applyFont="1" applyBorder="1"/>
    <xf numFmtId="0" fontId="0" fillId="0" borderId="7" xfId="0" applyBorder="1"/>
    <xf numFmtId="44" fontId="0" fillId="0" borderId="7" xfId="0" applyNumberFormat="1" applyBorder="1"/>
    <xf numFmtId="0" fontId="0" fillId="0" borderId="38" xfId="0" applyBorder="1"/>
    <xf numFmtId="0" fontId="0" fillId="0" borderId="7" xfId="0" applyBorder="1" applyAlignment="1">
      <alignment horizontal="center"/>
    </xf>
    <xf numFmtId="0" fontId="0" fillId="0" borderId="5" xfId="0" applyBorder="1"/>
    <xf numFmtId="0" fontId="18" fillId="0" borderId="0" xfId="0" applyFont="1"/>
    <xf numFmtId="165" fontId="0" fillId="0" borderId="0" xfId="0" applyNumberFormat="1"/>
    <xf numFmtId="0" fontId="0" fillId="0" borderId="0" xfId="0" applyAlignment="1">
      <alignment horizontal="center"/>
    </xf>
    <xf numFmtId="8" fontId="2" fillId="0" borderId="11" xfId="9" applyNumberFormat="1" applyFont="1" applyBorder="1"/>
    <xf numFmtId="8" fontId="28" fillId="0" borderId="33" xfId="0" applyNumberFormat="1" applyFont="1" applyBorder="1"/>
    <xf numFmtId="0" fontId="2" fillId="0" borderId="22" xfId="6" applyFont="1" applyBorder="1"/>
    <xf numFmtId="0" fontId="29" fillId="0" borderId="0" xfId="0" applyFont="1"/>
    <xf numFmtId="0" fontId="30" fillId="0" borderId="0" xfId="0" applyFont="1" applyAlignment="1">
      <alignment horizontal="center"/>
    </xf>
    <xf numFmtId="43" fontId="30" fillId="0" borderId="0" xfId="1" applyFont="1" applyAlignment="1">
      <alignment horizontal="center"/>
    </xf>
    <xf numFmtId="0" fontId="31" fillId="0" borderId="0" xfId="0" applyFont="1" applyAlignment="1">
      <alignment horizontal="center"/>
    </xf>
    <xf numFmtId="0" fontId="30" fillId="0" borderId="0" xfId="0" applyFont="1"/>
    <xf numFmtId="0" fontId="29" fillId="0" borderId="0" xfId="0" applyFont="1" applyAlignment="1">
      <alignment horizontal="center"/>
    </xf>
    <xf numFmtId="0" fontId="30" fillId="0" borderId="1" xfId="0" applyFont="1" applyBorder="1" applyAlignment="1">
      <alignment horizontal="center"/>
    </xf>
    <xf numFmtId="0" fontId="30" fillId="9" borderId="1" xfId="0" applyFont="1" applyFill="1" applyBorder="1" applyAlignment="1">
      <alignment horizontal="center"/>
    </xf>
    <xf numFmtId="0" fontId="29" fillId="0" borderId="1" xfId="0" applyFont="1" applyBorder="1" applyAlignment="1">
      <alignment horizontal="center"/>
    </xf>
    <xf numFmtId="43" fontId="29" fillId="0" borderId="1" xfId="1" applyFont="1" applyFill="1" applyBorder="1" applyAlignment="1">
      <alignment horizontal="center"/>
    </xf>
    <xf numFmtId="0" fontId="32" fillId="0" borderId="1" xfId="0" applyFont="1" applyBorder="1" applyAlignment="1">
      <alignment horizontal="center"/>
    </xf>
    <xf numFmtId="0" fontId="29" fillId="0" borderId="1" xfId="0" applyFont="1" applyBorder="1"/>
    <xf numFmtId="0" fontId="29" fillId="9" borderId="1" xfId="0" applyFont="1" applyFill="1" applyBorder="1"/>
    <xf numFmtId="0" fontId="30" fillId="0" borderId="1" xfId="0" applyFont="1" applyBorder="1"/>
    <xf numFmtId="0" fontId="30" fillId="9" borderId="1" xfId="0" applyFont="1" applyFill="1" applyBorder="1"/>
    <xf numFmtId="167" fontId="30" fillId="0" borderId="1" xfId="1" applyNumberFormat="1" applyFont="1" applyFill="1" applyBorder="1" applyAlignment="1">
      <alignment horizontal="center"/>
    </xf>
    <xf numFmtId="0" fontId="31" fillId="0" borderId="1" xfId="0" applyFont="1" applyBorder="1" applyAlignment="1">
      <alignment horizontal="center"/>
    </xf>
    <xf numFmtId="167" fontId="29" fillId="0" borderId="1" xfId="1" applyNumberFormat="1" applyFont="1" applyFill="1" applyBorder="1" applyAlignment="1">
      <alignment horizontal="center"/>
    </xf>
    <xf numFmtId="9" fontId="32" fillId="0" borderId="1" xfId="2" applyFont="1" applyFill="1" applyBorder="1" applyAlignment="1">
      <alignment horizontal="center"/>
    </xf>
    <xf numFmtId="43" fontId="31" fillId="0" borderId="1" xfId="1" applyFont="1" applyFill="1" applyBorder="1" applyAlignment="1">
      <alignment horizontal="center"/>
    </xf>
    <xf numFmtId="43" fontId="31" fillId="0" borderId="1" xfId="0" applyNumberFormat="1" applyFont="1" applyBorder="1" applyAlignment="1">
      <alignment horizontal="center"/>
    </xf>
    <xf numFmtId="43" fontId="29" fillId="0" borderId="0" xfId="1" applyFont="1"/>
    <xf numFmtId="43" fontId="30" fillId="0" borderId="0" xfId="1" applyFont="1"/>
    <xf numFmtId="168" fontId="31" fillId="0" borderId="1" xfId="0" applyNumberFormat="1" applyFont="1" applyBorder="1" applyAlignment="1">
      <alignment horizontal="center"/>
    </xf>
    <xf numFmtId="9" fontId="32" fillId="0" borderId="1" xfId="2" applyFont="1" applyBorder="1" applyAlignment="1">
      <alignment horizontal="center"/>
    </xf>
    <xf numFmtId="168" fontId="30" fillId="0" borderId="0" xfId="0" applyNumberFormat="1" applyFont="1"/>
    <xf numFmtId="43" fontId="0" fillId="0" borderId="0" xfId="9" applyFont="1" applyBorder="1"/>
    <xf numFmtId="44" fontId="0" fillId="0" borderId="11" xfId="9" applyNumberFormat="1" applyFont="1" applyBorder="1" applyAlignment="1">
      <alignment vertical="top"/>
    </xf>
    <xf numFmtId="44" fontId="0" fillId="0" borderId="21" xfId="9" applyNumberFormat="1" applyFont="1" applyBorder="1" applyAlignment="1">
      <alignment vertical="top"/>
    </xf>
    <xf numFmtId="0" fontId="20" fillId="0" borderId="0" xfId="0" applyFont="1" applyBorder="1"/>
    <xf numFmtId="43" fontId="21" fillId="0" borderId="11" xfId="9" applyFont="1" applyBorder="1"/>
    <xf numFmtId="169" fontId="0" fillId="0" borderId="0" xfId="0" applyNumberFormat="1"/>
    <xf numFmtId="0" fontId="29" fillId="0" borderId="0" xfId="0" applyFont="1" applyAlignment="1">
      <alignment horizontal="left"/>
    </xf>
    <xf numFmtId="0" fontId="29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0" fillId="0" borderId="0" xfId="0" applyFont="1" applyAlignment="1">
      <alignment wrapText="1"/>
    </xf>
    <xf numFmtId="0" fontId="0" fillId="0" borderId="0" xfId="0" applyAlignment="1">
      <alignment wrapText="1"/>
    </xf>
    <xf numFmtId="165" fontId="18" fillId="0" borderId="28" xfId="0" applyNumberFormat="1" applyFont="1" applyBorder="1" applyAlignment="1">
      <alignment horizontal="center"/>
    </xf>
    <xf numFmtId="165" fontId="18" fillId="0" borderId="6" xfId="0" applyNumberFormat="1" applyFont="1" applyBorder="1" applyAlignment="1">
      <alignment horizontal="center"/>
    </xf>
    <xf numFmtId="0" fontId="14" fillId="0" borderId="9" xfId="5" applyAlignment="1">
      <alignment horizontal="center"/>
    </xf>
    <xf numFmtId="0" fontId="14" fillId="0" borderId="0" xfId="5" applyBorder="1" applyAlignment="1">
      <alignment horizontal="center"/>
    </xf>
    <xf numFmtId="0" fontId="3" fillId="0" borderId="9" xfId="3" applyAlignment="1">
      <alignment horizontal="center"/>
    </xf>
    <xf numFmtId="0" fontId="3" fillId="0" borderId="0" xfId="3" applyBorder="1" applyAlignment="1">
      <alignment horizontal="center"/>
    </xf>
  </cellXfs>
  <cellStyles count="12">
    <cellStyle name="Bad 2" xfId="8"/>
    <cellStyle name="Check Cell" xfId="4" builtinId="23"/>
    <cellStyle name="Comma" xfId="1" builtinId="3"/>
    <cellStyle name="Comma 2" xfId="9"/>
    <cellStyle name="Good 2" xfId="7"/>
    <cellStyle name="Heading 1" xfId="3" builtinId="16"/>
    <cellStyle name="Heading 1 2" xfId="5"/>
    <cellStyle name="Normal" xfId="0" builtinId="0"/>
    <cellStyle name="Normal 2" xfId="6"/>
    <cellStyle name="Output 2" xfId="11"/>
    <cellStyle name="Percent" xfId="2" builtinId="5"/>
    <cellStyle name="Total 2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4</xdr:col>
      <xdr:colOff>304800</xdr:colOff>
      <xdr:row>4</xdr:row>
      <xdr:rowOff>95250</xdr:rowOff>
    </xdr:to>
    <xdr:sp macro="" textlink="">
      <xdr:nvSpPr>
        <xdr:cNvPr id="5" name="AutoShape 1" descr="data:image/jpg;base64,%20/9j/4AAQSkZJRgABAQEAYABgAAD/2wBDAAUDBAQEAwUEBAQFBQUGBwwIBwcHBw8LCwkMEQ8SEhEPERETFhwXExQaFRERGCEYGh0dHx8fExciJCIeJBweHx7/2wBDAQUFBQcGBw4ICA4eFBEUHh4eHh4eHh4eHh4eHh4eHh4eHh4eHh4eHh4eHh4eHh4eHh4eHh4eHh4eHh4eHh4eHh7/wAARCAHuA7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MVV2jgUu1f7ooT7o+lLQAm1f7oo2r/dFLRQAm1f7oo2r/dFLRQAm1f7oo2r/AHRS1keJfFHhvwzFDL4i13T9JSclYmu5xGHI6gZ69aASua21f7oo2r/dFcnZfE34c3tyltZ+OfD887nCRpeoWY+1dYjK6hkYMpGQQcg07O1wDav90UbV/uis258Q6Dba9b6BcaxZRatcJ5kFk8oE0i88qvUjg/lWnSATav8AdFG1f7orHi8WeF5vET+HIvEOmvrKfesFuFMw4zyvXoRWzR0uHWwm1f7oo2r/AHRWFeeNfB9nr48P3fifSYNXLKospLlRMSwyBt68it+jpcPIbtX+6KNq/wB0VBqd/Y6Xp82oaldw2dnAu+aeZwqRr6knpVLw34k8PeJraS68O63YatBE+ySS0mEio2M4JHQ4NC1A1Nq/3RRtX+6Kivbu1sbWS6vbmK2gjG55JXCqo9STXN2XxJ+Ht9erZWfjbQJ7lztWJL1CxPpjNHkHS51O1f7oo2r/AHRSqysoZWDA9CDkGsXVvFnhfSNXt9H1XxDpljqNyAYLWe4VJJATgYU9ckUdbAbO1f7oo2r/AHRTqzLHxBod9rF3o1lq9lc6lZgG6tI5Q0sIPTcvUUB0uaO1f7oo2r/dFc/4h8c+C/Dt+LDX/FWkaXdlA4hurlY32nocHtxTdD8feB9cuxZ6N4u0XULg9Ire7Vm/Kha7A9Nzotq/3RRtX+6KWigBNq/3RRtX+6K5fVfiP8P9J1CbT9T8aaFZXkDbZYJrxVdD6EHpUug+PvA+vakmm6J4u0XUr2QEpb210ruwAySAPQULXYHpudHtX+6KNq/3RWFrXjTwjomqx6TrHibStP1CUKY7a4uVSRgxwuAfU1vAggEHIIyDR0uHkJtX+6KNq/3RTLq4gtbaW6upkhghQySSO2FRQMkk9gBWV4a8WeGPE3nf8I74g03VvIx532ScSbM9M46ULUDY2r/dFG1f7opa5O/+Jnw6sL2ayvvHGgW1zA5jlikvVVkYdQR2NFwOr2r/AHRRtX+6K47/AIWv8Mf+igeG/wDwOSr+u+PPBOg3MdtrXizRtOmkjEqR3N0qMyHowB7GgDotq/3RRtX+6K43/hbHww/6KB4b/wDA5K1vDnjPwj4klni8P+JdK1WSBPMmW1uFkMa9MnHQUAbm1f7oo2r/AHRWd4e1/Q/EVm95oOr2WqWyP5bS2sokUN6EjvUuuaxpWhabJqWtaja6dZRkB7i5kCIpJwMk+poem4LUubV/uijav90VHZ3Nve2kV3Zzx3FvMgeKWNsq6noQe4qWhqwJ3E2r/dFG1f7oqh4g1zRfD2nnUNe1Wz0yzDBfPupQibj0GTU+l6hY6rp8OoaZeQXlnOu6KeFwyOvqCOtAFjav90UbV/uiqWu6xpOg6a+pa3qVrptkhCvcXMgRFJ6Ak0/RtU03WtOi1LSL+2v7KYZjnt5A6OPYigC1tX+6KNq/3RWdrfiDQtDktY9Z1ey097yTy7ZbiUIZn/urnqeRUmvazpOgac+pa5qVrptkjBWnuZAiAnoMmi+lwsXdq/3RRtX+6Kq6Pqem6xp0WpaTfW9/ZTDMU9vIHRx7EVBrXiDQtEmtIdY1iy0+W8fy7VLiUIZm4+Vc9TyPzotrYOlzR2r/AHRRtX+6KoeINc0bw9Yi+17VLTTLUuIxNdShE3HouT3qDVPFHhvS5rGHU9d0+zk1DH2JZpwpuM4+5nr1H50LXYHpua21f7oo2r/dFONZfiDxFoPh6OCTXtZsdMS4k8uFrqYIJH/urnqaANLav90UbV/uisfxJ4r8MeGkgfxF4g03SVuM+SbucRiTGM7c9eo/OsX/AIWx8MP+igeG/wDwOSgDstq/3RRtX+6KoXOuaNbaF/b1xqlpFpXliX7Y8oEOw9G3dMHIrnV+K3wxZgq+P/DhJOAPtyUdbB0udjtX+6KNq/3RTLW4t7q3S4tZo54ZAGSSNgysPUEVT1/XdF8P2X23XdWstMts4826mEa5+poem4LXYv7V/uijav8AdFZHhzxV4Z8SK7eH9f03VRH9/wCy3Cybfritmiwrjdq/3RRtX+6Kx7TxZ4XvPEEvh618QabPrEWfMsUuFMyY65Xr3FbNHS4+thNq/wB0UbV/uiuY1b4jeANI1GbTtU8Z6FZXkDbZYJ7xVdD6EHpWh4b8VeGfEqyN4e1/TdVERxIbS4WTaffFC12B6bmvtX+6KNq/3RWXqfiXw9perWmkalrdhZ6hef8AHrbTTBZJv90HrWt3xR5gN2r/AHRRtX+6KzNL8R+H9V1S80vTNasby+sji6t4Zg0kJ6fMB0rUo8wE2r/dFG1f7opScAk8Cs3w/wCINC8QwTT6DrFlqcUMnlyvayhwj/3SR0NAGjtX+6KNq/3RWNB4t8LXHiKTw5B4h0yXWYiRJYrcKZlI65XrxW0SACTwB1o6XDrYTav90UbV/uis7w/r+h+ILeW40LV7LU4YpPLke1lDqj/3SR0NWdT1Cx0uykvtSvILO1jGXmmcIqj3Joem4Fjav90UbV/uiud0Px94H129Flovi7RdQuT0it7tXY/hXR0WC4m1f7oo2r/dFYXiHxp4P8O3At9e8T6RpkzDIS5ulRiPoat+H/EOg+IbY3Og6zYanCOr2swkH6ULXYHpuaW1f7oo2r/dFRXt1bWNnNeXtxHb20CGSWWRtqooGSSewFZvhrxV4Z8TLM3h3X9N1YQY802k4k2Z6Zx0oWoGvtX+6KNq/wB0UtYniXxh4U8MzQw+IvEel6TLOpaJLu4WMuM4yAaANrav90UbV/uiq15qOn2WmSapeXkEFjHH5r3EjgRqmM7ifSuW/wCFsfDD/ooHhv8A8Dko62Dpc7Lav90UbV/uisrw14m8O+JoJZ/Duuafq0ULbJXtJhIEbGcHHStaiwXE2r/dFG1f7orD8R+MvCPhuZIfEHibStKlkGUS6uVQsPoauWmvaHeaM+tWur2M+mopd7uOYGJVHUlugFF9Lh1saG1f7oo2r/dFcb/wtj4Yf9FA8N/+ByUf8LX+GH/RQPDf/gclAHZbV/uijav90Uy0uILu1iurWZJ4JkEkUiHKupGQQe4IrJi8WeF5fETeHIvEOmvrKfesFuFMw4z93r0INOzvYOlzZ2r/AHRRtX+6Kiv7u1sLKa9vriK2tYELyzSttRFHUk9hXJf8LY+GH/RQPDf/AIHJSuB2W1f7oo2r/dFcd/wtf4Y/9FA8N/8Agcla2u+MfCeg2tpda14k0vToL1d9rJc3Cosy4BypPUYI/MUAbe1f7oo2r/dFcb/wtj4Yf9FA8N/+ByV0lxrWkW+hnXZ9TtItKEQmN40gEXlno27pjkc0dLh1sXtq/wB0UbV/uisvw34l8PeJreW48O63YatDE2yR7SYSBGxnBx0NatNpoLibV/uijav90Via94y8JaDqMOm654k0rTb2cBooLm5VHcE4BAPvxWhq+q6ZpGmSapqt/bWNjEoaS4nkCxqCcAkn6il0uOzvYt7V/uijav8AdFcb/wALY+GH/RQPDf8A4HJXQeHPEOg+JLN7zw9rFlqtsj+W0tpKJFDYztJHfkUCNLav90UbV/uisbRPFvhbXNSuNN0bxDpmoXttnz7e3uFeSPBwdwHTnita7uLeztZbq6mSC3hQySyOcKigZJJ7ACjpcFq7D9q/3RRtX+6KwpPGnhGPw8niKTxNpSaO7+Wt8blfJL/3Q3TNZX/C2Phh/wBFA8N/+ByUAdltX+6KNq/3RXJ2PxN+HN9eQ2dn448P3FzO4jiijvVLOxOAAO5JrrqLAN2r/dFG1f7opaKAE2r/AHRRtX+6KWigBNq/3RXhH7aviDXfDfgDQ7vw9rF/pNxLqpjkls7homdfKY7SVIyM84r3ivnT9vn/AJJr4f8A+wwf/RL0AfRSfdH0paRPuj6UtABRRRQAUUUUAFfPv7XlvBd638O7a6hjmgl1ZkkjkUMrKdmQQeor6CrwL9rL/kZPhv8A9hhv/ZKIq9Wmv7yCTtTn/hf5Hfa58FvhdqllLZy+DNKtlfI8y0gEMi+4ZcGvNfg7ea18M/jNc/CHVL+fUNBuojcaLLM2WiXGQo9uoI6ZBPevot/vn6184fEB/wC0/wBs3wja2T5k0+0ja5wfujczYP4MPzop/wAWK6O6f3P8gn/Dk+2q+9Gh46/5PG8G/wDYL/8AZ5K9v8Rara6HoN/rN5II7eygeZ2PYAf44rxDx1/yeN4N/wCwX/7PJVn9srxUukeAbPw3HIyy67ciOUopZhAmC+AOucj8qht+wilu3Jf+TFpJ13fay/8ASUeJrpeuaJpGjfH5mnS8vvEUs0yP0W3dsJx6fK/4Yr7a068g1Cwtr+1YPBcxLNEw7qwBH6Gvm7xJ8W/hZqXwlm8BxQa6sA01bSFzprcMigK35j9a7D9jzxV/wkHwkg0y4l3X2izNaSq33tmdyEj0w23/AIDW6StKEdo2t6bfmk/mYtu8Zy3d7+u/+a+R4l8W/Cs3iP40fEi8sVY6josNvf2+09dqJuGO/Y/hX1T8IfFUXjT4c6N4gR1aWe3C3AB6Sr8r5/EZ/GvKfh3DFcftZ/ES3nUPFLYxI6kcFTEoIqL9nu9XwF8S/Gvwx1SbyrSCZtT08scKIiuWAHsu38QayotKlGL6xv8ANN3/AA/I0ra1JS7O3yaVvx/M1P2m72bxHrHhn4UadLtn1q5FzfbeqW6Zxn0BIb/vmsn9ii1hsoPG9lbgrBb6wYo8nOFXIHP0FXvgKreOPiT4x+Kt1l7fe2l6RnOFiQfMRnscqfqTVX9jtSx+ICjknWpAPzaineCl3cbv5tWX3W/EVX3muylb8Hf8fyMdLGb4+fGrWrHWL64Hgvwy4jS0gcos8uSMkjuSrc9cAYr07WfgH8K9S0c6aPC9vZfLtjuLYlJUPZt3VvxzmuF/Y5lji1n4iaa6hLqLVy7jvtLSAfqDX0TT5UoRXkn6tq4OTc5N9G16WPnn9mbV9a8NeP8AxL8INdv5L2PSR52mvI25liyMrn0wyHHQHOK5P9ozwfceN/2hZNHsZGjv4/DYurTBxmSOQkD8RnHviun8Iuuo/tseI7iyTfDZ6YY55F6Bv3ff8f0rVv8Aj9tSx/7Fw/8AoZpK9T2Um9Wnr6KVn+A3am6iS0VtPVxujpv2bPHreNvAMcOoMqa3pDCyv4ifmyvCuR7gEfVTXI/Bz/k6H4l/7kf/ALLWd44if4N/H3T/ABnZxhPDPilvsupRouEhlyPm9Bzgj/gdaHwZZJP2nviTJGwdGjiZWHRgduCKuEvaVYz7qV/Wyv8A5r1InHkpuHS8bel/02KPjDRdJ179six07W9NtdRs30MM0FzEJEJBbBweK7rxt8Bfhz4i0qS3s9BtNEvgpNtd2CCExv2JC4DDPrXKal/yezp//YC/q1e/LywHvWcYp0o/P/0pluTVWXy/9JR4l+y/4w8QXy674C8WzPc6v4bmEa3Ehy8sRJA3HvjA5POG9q9tHWvnD4CSf2p+0z8RtYs332QUxFgcgsXXH/oDV9HjrWik5QhN7tJsmyjOcFsmfM/w58J+G/FX7RPxKh8R6LZ6pHBMrRLcRhwhJGSM17d4d+HXgfw7qiapofhfTNPvUBVZ4IFVgCMHke1fPvhjRfG2s/tC/EWPwX4utvDksc4ad5rMT+auRgDIOK9o+H3hn4oaRrxuvFvxDstf00wsv2WLTVhbfkYbcAOnPHvU0f4VPp7o6n8SfXX/ACPB/wBoPwl/wmf7QWs6TErG7j8O/abXDY/eRqWA98gEfjXu/wCzr4tPjD4VaXeXDhr+0X7HeDPIkTjJ+o/lXDt/ye0OM/8AEi/9lNVfhky/Df8AaR8QeBZWEWleIV+26aM4RXGWCjtnbvH5UUdIRj/Mm/mm/wA1+QVvicv5WvucY/k7fedF+1RrVy3hvSvAOlS7dU8VXsdmMclId43tj07H2Jrjf2SdItvD/wAUPiDotmCILJ1hTJJOFfHU1ufDeRfiT+0Rrnjbd52j+Go/sGlnna0jcFx25Xd+lVP2cP8AkuXxQ/6+z/6MooaST6yUn8tLfhr8xV/ha/lcV89b/wCXyPoWuN1L4V/DrUtQn1C/8HaRcXVxIZJpXtlLOx6k8V2VU9c1O00XRrzVr+QR2tnA88rE4wqjJ/lUyaiuZ9Ckm3ZHzD8bPA3g/VPit4X+GfhDw7p+nXE0gutVuLa3VXSDGSMgcfLk/XFfQOvfDvwPr9xFc614Z03ULiKJYVlngVm2KMAZNeUfsraddeJtc8S/FrWYT9q1e5eGy3ZPlxbsttz24A+lfQFXyuMIxlvu/V9Pkv1JupTbjtt92/3v9D5X0LwH4Om/az1jw3L4c059Hi04SR2ZhHlq2wHIHrmvoLQ/BXhPwrb303hzQLDTJJ4SsrW8IQuo5wcV5D4c/wCT2Nd/7BY/9Fivfr7/AI8bj/rm38qzk7YaP+F/mykv38l5r8keHfsTED4Yajkgf8TSTqfrW1+18y/8KF1nDA/v7fv/ANNBXkH7N3wph8beDL7VZPGninRSl+8fkabdCOI9eSMda0P2g/g7B4T+Feo64njzxdqxglhX7Lf3YeF9zgZIx27VWJ1Svp8P6FUNKmmur/Nn0H8If+SVeFv+wVb/APosV1Nct8If+SVeFv8AsFW//osV01xLHBBJPKwSONSzMegAFbYlpVJt92YUFenH0R4H+0Dbf8LG+K3hj4VwyS/ZIVbUNVaLgouOAf8AgIBH1qz+yDq13a6Jr3w81WTN94av5IkU9fLLnP4bs49q89+FHxg8J2HxC8X+OfEianJeatP5NkttZtIsdsp+X5vXAApdN+JXhn/hqPTfFWgte2+ma5EtnqAu7cwhZCNgbnqOjVnQT92P8yd/V6r7tvmXWfxP+W1vRb/fdv5Hp/7ZqhvgpOp6G/twf++q4/8AZ/vrv4XfEu5+GGtTf8SrWVW+0aaRupdchQff7uP7wNdj+2X/AMkWm/7CFv8A+hVH+0D4HuPEnwu0vxFoqlPEHh+3ju7WRB87oqgsgxz2yB65qKclT55va6T9Gv00Zc4ufJBb2bXrf9djN/a0/wCRh+HH/YYP/slan7aKCT4ONG3RtTt1P0JNecfEzxtB8QPDvwn8RJsW5fVTHeRr/wAs512BhjsCRkexFek/tm/8kg/7ilv/AOhGipHlpcr/AJ/1iFOXNUuv5f8A5I5D9ny/u/hj8Sbz4V63NjTdVVb7RZpG6l1BCg+/TH94Gtj9q3/kbvhr/wBhZ/8A2StP9obwTceIPhrpfifRFKeIPDsMd1bOg+d4woLIMcn1A+teefErxrb+P9L+EfiOPYtxLqbR3ca/8s51KBxjsCRkexFbrWtBdYyS+XR/o/QxelKT6Si/vtqv1PQ/20/+SRx/9ha3/m1Uf2mfDU2rfBDR/EFimb7w/HBeKw6iPYu/+S1e/bT/AOSRx/8AYWt/5tXqNlYQar4EttMuUDw3WmRwuD0w0QFcyT9lNx3Uk16pI3bSqQvtZ/mV/hp4ij8V+AtF8QRsGN5aI0mO0gGHH/fQNeO/EpG+IH7T/hvwgi+dpvhyD7dfDqBI2GIP4eX+tH7K2uN4ZsfGHw/1pmjl8MXUtxEZDjdAcnj8Ru/4GKvfsn2k2tTeLviVfKxm1/U3S2LDkQRn5cfmV/4DW91Kspx2S5vv0X4v8DGzjScHvfl/z/BfiUf2r7a2vvHnw1tby3iuLebUJVkikUMrqfLyCD1FepP8KPhlvYf8IJ4d6/8APhH/AIV5N+15YnU/GHw608XlzZm4vpo/Pt22yR58v5lPY11dr8CTa30Vx/wtb4hS+VKH2SajlWwc4Psaij/DV/5pa/cXU+P/ALdX6mn+0dbW9n+z/wCI7S0gjgt4bNI4oo1Cqih1AAA6Csn4SfC/4e638JfD9xqng/Rpp7uwUz3BtUWRic5beBkH3zW5+03/AMkL8Uf9ey/+hrXj2kfB/wAWav8ABKw1bw98SvE6zTad5w0qa+cWrJg5iVVIxnHHaov7tRtdV+TKtrTS8/8A202f2TGn0v4g+PPCWmXc914a0+4U2u5yyROWYYGfXGD67az47fQfGX7W2vaT8RHiuYrCARaNYXLfuGO1WwAeCeScd/wFd7+yTqXh29+GRtdG0aHR76xuGg1S3QszNMMfvCWJY5HqeCCBwK3fi78HfCnxI8u81BZrDV4V2w6hanbIADkBuzDPryMnGK1knCcHvZW9brf/AC8iI2mpra7+7Xb/ADJ7D4Q+B9L8aaf4s0LS10a/s92Usv3cUykY2sg4x34rqfGGuW3hrwtqev3bhYbG2eYk9yB8o/FsD8a+fdJ8R/EP4KePdF8K+NdZPiXwxrEnk2d7IS0sbZA4Y/NwWUbSSMHitr9s/wAUw6f4X0jwiZXUa1dhrsxqWcW0ZBbAHXJK/lWdTWmuV6N2Xk+v3bl00lP3l5+q/rQ8fsNJ1nwZbeEPjhNJOtxqmtym9V+iwSnCfoJP/Ha+2rWeK6t4bqBg0UyLIhHdWGR/Ovmf4g/Fz4Y+IvhNeeCbe31xB9hSG1Y6awCvGBsPtkr+pr0H9k3xWPE3whsIJpd97pLmynBPzYHKE/UHH/Aa2VmpRjtF6em35r8TJt3jKW739d/69Dhvh74Z8PeJv2lfiRB4g0Sw1WKEo8a3UCyBDxyMjis39oXwvoPw98feCNd8B26aLrF3qAhktbI7Fmj3KD8g4HXB453e1Q6H4NuvGP7R3xDtrTxbr3ht7d0cy6VcmJpc4GGx1FP8DaGvw8/aQttJ+IMj+I7vUoc6Lr17PJI8ZGcLh2IzjI6ZBIxgE1lQV40emi+dunzNKujqvf8AS6X5HpX7UXg268T/AA7j13TEMev+H2XULV0HzALgyKPpjd9UFRSfGS2X9nP/AIWApA1H7P8AZRF1IvPu/pkN+dexsqsCrqGU8MrDII7g18fw/DyP/hpn/hXUmoy/8Iut1/bi2XVSwUkLj6nB9qSXM3S2UtfTv+H4obfLFVN3H8b7fj+Z7P8AsveCpvC/w/8A7W1RCdb15/tt4z/eAOdin8yfxr1mhVVVCqoVVACgdAB0FFaTlzPTYzimlruNm/1L/wC6f5V4P+xZ/wAij4k/7DL/ANa94m/1L/7p/lXg/wCxZ/yKPiT/ALDL/wBaml8c/wDCv/SkOp8Mf8X/ALazxvxf4f1iX4l/EHx14dkcan4V1lLzYDw0QY7uO+MZPtmvrj4feLLHxv4CsvElg6lbqA+agOfKkA+ZD7g15b8CYYbj4zfFm3uIklhlvQkkbjKupJBBHcEVj/DSSb4R/GnVfhrfSH+wNeDXWjytnCSYJCZ6cjKn321nH/d40+8br1tqvmtvNFz/AIsp9pWfp3+T/Bmv+xWQvgPXmYgAau+Se3WuZ8O6ZJ+0L8UtY1TxDcXB8E6DMYbKwjkKLM/IBOO5AJJ/Ct79j2OWb4ZeKIYeJX1GZUyOjFWxUP7Dc8S+EvEunsVF1BqQMi55wQ3OK3aUqmvSMWvVpL8DNtqDt1k0/vb/ABO18R/AH4Y6tpot7fQE0m5jX9xd2LGOSJuzcfeI/wBrNVP2g/F+o/DX4P29vpl/Lca1chNPtbqXmVmx80n+9jJHvXrtfPP7bBFvpng3UJo91rb6yplPbAGcfkKyau1Do2r/AHmkdLytdpO33G78MfgD4O0/QoL/AMW6ePEHiC8QTXs98xkAduSAp4/E81xPx6+G9r8K4Lb4n/DR5tGuLG4Rby2jlJidGYD7p7E8FemO1fTluyvbxOpyrIpB9sV5d+1heW1n8Cde+0EZmEcUYPdy4xiitNw9+OjX9W+ewqMVO0Za33/zLvxF1iHxF+znrOu24xFf6BJcKPQNETivnr4EZ+HHjDwPr+fL0fxfZfZblmY7VmzgfT5sNXskdtNafsctBcRmOQeF2JU9RmKuJn8KN4m/Yy0e4tF/4mOkQG/tXUfMNhywHfJArSbVKrUl0TV/T3k/w/IiCdWlCPVp/f7rX4n08xCqWY4AGSa+HPjWx8fReLviXI7Pp9jqUGlaTgnaUVgGcdiCOfqa9l8XfF1bj9mS016yn/4nmsQjTY0VvnFxjbIRjuOSKwvjl4Ti8E/snaV4eVQJobi3a5I/imZgXP5k1lVjyuTf2WkvVtX/AA/M0py5opfzJv5JP9fyPTfiN/ybNqX/AGLo/wDRQrn/AIAfDrwFq/we8O6jqng/Q7y8mtt0s81nGzuc9SSMmug+I3/Js2pf9i6P/RQrzb4K/B1vEPwv0PWP+Fk+ONN+02+77LZX+yGLnoo7Ctp/xqunVf8AtxlD+FS9H/7afQPhrw14e8M28tv4e0Ww0uKZt8iWkCxh2xjJwOau6rJNDpd3NbKGnSF2jB7sAcVm+BfDv/CK+GrfRP7Z1PWfJZ2+16jL5k77mJwW9s4HsK26iouZNJ/MuDs7tHy7+yp4d8E+OtN1zWvF9tZa/wCK5r52u478CRo0PQqrdic8/h2r2rwf8K/B/hS51v8AseyaOw1mNY7rTpG32/HUhT0z6dK474j/ALP+j63rkvijwfq914T8ROxkM9q7LE7nqxC8qT32kZySc1V+BfxA8YR+PtR+FfxE8u41qwi8y2vUAzMgUN82OD8pBB6nPNVG0/dSs7bdLJa/5ikuVuV7q979r/1uJ8ffhj8P9F+D/iLU9K8JaVZ3sFtuimit1DIc9Qam+Bvww+H2rfCbw5qepeEdJurye0DyzSW6lnbJ5JrqP2l/+SGeKP8Ar0/rVj9nb/kifhb/AK8R/M1NPafrH8mOe8PR/mjq9XvdP8MeF7m+dY7aw0y0LBVGFREXCgD06CvjIaXrei6Po/x/LTpeXviKWaVH6Lbu2E49PlcfTFe2ftleKl0fwBZ+G45GWXXbny5SilmECYL4A65yPyrnPEXxb+FmpfCWbwFFBrywDTVtIXOmtwyKArfXI/WoU2nKqtWrW/N/fovvLcVaNN7O9/yX6v7j6IK6Z4i0BfNhivNN1C3VzHIAySRuAQCO/BFeK/tDfDPwDofwd1/VNI8J6VZXsEKmKaK3VWQ7h0NaX7Hnir/hIPhJBplxLuvtFma0kVvvbM7kOPTDbf8AgNbf7Uf/ACQnxL/1wX/0MU8XFQvy+X3dBYaTlZS8/vMP4L/C/wCHuqfCzw5qWoeENJubyezV5ZpLdSztk8k1z/7UenWEvjj4X6XLZwSWP2ySE27IDH5Y8sBdvTGO1eofAP8A5I14W/68F/ma8s/a6sDqnjT4c6cLy5sjcXs0f2i2bbLHny/mU9jW9XTExSX2tvvMaWtBt/yvX5HrL/Cj4Zb2H/CCeHev/PhH/hWH+0lbW9n+z/4itLSGOC3htI0ijjUKqKHUAADoKzrT4FG0v4rj/ha3xCm8mUPsk1HKvg5wfY1rftPf8kK8Uf8AXuv/AKMWuat/C3Oij/FR4l+z7/xbf4m6BbMfL0bxpo8ciM7HAuFJ4yfx/wC+xX1ndTw2ltNdXLiOGBGkkY9FVRkn8hXzV8Q/Dk+o/sveD/E+mrjU/DcMN5E6j5vL3YdQRz12n8K2/i/8TV1j4EaGNDuM6v4w8uyiVW+ZDkCY8ehwPo1b1m/ejHdSaXzfu/5fIwoJe7J7SSb+S1/DU8P+Jkc3i4XfxVvC+2+8TRadpqk8LBGpJI7EE7fyNfS37SX/ACbjrH/Xjbf+hR155+0p4bt/CPwU8C+HbVQq2WqW6Pju5Vi5/wC+ia9D/aS/5Nx1j/rxtv8A0KOsqqUaMox2UkvwX57mtJuVeEnu1f8AF/ktBnwo+Gnw91D4aeHr6+8F6DcXU9ijyyyWUZZ255JI5NejeH/D+h+HNPksdA0my0y2ZjI0VrCsaliOpA78CvDfhv8ABVtX8A6Hqn/Cz/Hln9ps0k+z22obYo8/wqOwr3Dwno3/AAj3hm00U6nf6p9ljKfa72TfPLyTlm7nnH4Vrid59N9DGh8MOux8S+F7TWPCdzcfF7Rd8q6R4imtdRhzwYHOM49OSPqVr6/8W6vY6/8ABrWNa02ZZrS80SeWJ1ORgxNx+ByPwry79l3SbHXvAXjnRtShWW0vNZuYZVYZ4I6/UdR7iue+Huq33gzTPiD8Gdfky9lp13daRK2R5sRjO5RnrxgjHo1Y1f4Mqf8Aduv/AAFXX6/ebw/iqp/es/8AwJ2f6fcdt+zV4f0TxL+zzpGm69plrqVp9okfybiMOu4Hg4PeuH/aw8BeDfDejeFpdB8N6dp73OtRwzNBCFMiFWypx1Fel/si/wDJC9I/66y/zFcz+2p/yAfB3/Yfi/8AQWraul7Vesf0MKT/AHT9Jfqek6H8LPh3YSWOo2fg/SIbuERyxyrbKGVwAQwOOua7iobL/jyt/wDrin/oIqWlJ62KjtcKKKKkoKKKKACvnT9vn/kmvh//ALDB/wDRL19F186ft8/8k18P/wDYYP8A6JegD6KT7o+lLSorbB8p6elLsf8Aut+VADaKdsf+635UbH/ut+VADaKdsf8Aut+VGx/7rflQA2vDv2qdB8Uarc+DtQ8M+Hb7XH0u/e4mitU3ED5cZ9M4Ne57H/ut+VGx/wC635Uuqkt07j0s0+qt954VffEv42agFt9F+Dd1YXEjY8/USxiQHvxt/wAK1/gb8LdV8M6zqXjbxtqQ1LxdqpPnMj7o7dD/AAqe/pxwAAAOK9e2P/db8qNj/wB1vyqovl1W4nqrPY8W8X+GvEF1+1J4W8R22j3kuj2uneXPerHmKNt7nBPY8j86Y3hrxJ4l/aiXxDrGkXlv4d8PWgXTZ5UxHNKRu3Ke/wAzN+Qr2zY/91vyo2P/AHW/KlD3eXyv+N/yuEve5vO34W/Owokkzne3514X4L8M+JfB/wC0v4hurLQrx/CviCJZnu41zDFNjJ3Hsd28/iK9z2P/AHW/KjY/91vyojpJS9V94PWLj6fgeL+APDHiCy/aX8a+I7zSbqDSLy2iS2u3TEcxCKCFPfkGue/aw+HvirWdb0bxV4Fs7641Tym0+8FouWEJOVY47fMwJ+lfROx/7rflRsf+635VPKuWEf5f+D+dyuZ80pd/+B/lc5X4XeFYfBvw60nw3CoD21r++P8Aelb5nP8A30TXnv7LnhbxF4Zk8Ztr2k3WnfbNYeW289Nvmpk/MvqOete2bH/ut+VGx/7rflWjk3Nz76fjczUUoKPbX8LHgfjz4d+OfCPxKuviV8Kzb3jXyY1LR5z8sp7lRxnOAeMEHPPOKW6+Inx21a1j07SPhJLpF/MCj3t7u8mI4+8uSAOemc173sf+635UbH/ut+VRFWjy9C2/e5up5f8AAP4YzeAdPv8AUtbvv7R8TaxIJtRuAcquMkIv0LHnv+ArNvfDmvP+1dZ+Jl0m7OjJoX2dr0J+6Em8nbu9a9i2P/db8qNj/wB1vyqr+8pdv8rE291rv/mn+hyvxV8H2vjvwJqXhu62q1xHut5G/wCWcq8o358H2Jrxb9k/wX478N+OPEd54y0m+tw9slvFdTrhZ9jYG09xgD8MV9J7H/ut+VGx/wC635Uoe5JyXX/hhz96Ki/66/ofO/xPs/HGh/tHW3jjw/4G1TxHZRaUtv8A6Mh2liWyN3txVrWfF3x78WwS6NoHw5/4RZbmJo3v9RdleLPUoxwAcZ7E+nNe/bH/ALrflRsf+635UlFcqi9UNy97mW//AALHAfBD4b2nw28Kvp4umvtTvJPP1C7b/lpJ6D2GT78mu+HWl2P/AHW/KjY/91vyq5ScndkpWR4t8IvDXiDS/jt8QtZ1HR7y107UHU2lzLHiOfkfdPevZ6dsf+635UbH/ut+VStIRj2VhvWUpd3c8X/4RnxA37WR8T/2RdjRRo/k/bin7ovjG3Pr7VU/ay8DeIPEGl6L4k8G2l5ceINJnKItouZTE45Ixzwcfhmvc9j/AN1vyo2P/db8qlxvGMe3+d/1KUrScu/+Vv0OC+Afg1vA/wANNN0m5jKahLm5vs9fOfqD9K4/4F+FfEWifF34h6pq2kXVnY390WtJ5Uwk435yp7jFe27H/ut+VGx/7rflWjlepz+TX32/yM1G0OTzT+7/AIcbXkP7U1l4x17wVa+E/COj3l6dVukS+nhjLLBCDn5j25Az7Zr2DY/91vyo2P8A3W/KocVK19i4ycdUYvgnQLPwt4T03w/YRhILK3WMYH3iByT7k1sU7Y/91vyo2P8A3W/KqlJybbJjFRSSPEdB8L+Iov2sdZ8Ty6Pdx6LJpwjjvmTETtsAwD3Oa9nvFZrOZVBLGNgAO5xU+x/7rflRsf8Aut+VQ43pqn2Vvz/zKv77n3d/6+48b/ZM8Oa94Z+H19Y+IdIu9Lun1B5FiuU2sVPfHpWv+03oWseJPg3quk6Fp8+oX8ksLJbwLudgrgnA+lem7H/ut+VGx/7rflVVf3i18vwt/kFN8kuZd2/vdznPhpZXWm/Dvw9p99A8F1badDFNE4wyOEAIP41hftAt4lb4V6tZeEtLvNR1S+UWyx2qbnVH4dvwHevQNj/3W/KjY/8Adb8qK371u/UVL92lbocl8HPDR8GfDPQ/Du0xzW9spuAOP3zfNJ/48TXL/tR+D9R8ZfDJ49Hs5r3WNPuEubOOPlyQfmC+5Ar1XY/91vyo2P8A3W/KnVbqNy87/qFL92kkeGfGnTfGHjL9nXTbdfDeot4gke1e6sFizMrqfnJHpnmvZtGiePRbKCaMq626I6N1B2gEGrux/wC635UbH/ut+VF/i/vO/wCFhJaR8lY+Q/HPwb8ZaN8Z7N/DOlXl94VudVTUgIEzHaOzDeG/u4xx7Yr2X9qnQda8SfDD+z9A0u61O8/tGCTybdNzbQTk49BXq+x/7rflRsf+635VPL+7VPs7/l/kVf33Purfn/mU9JiZNHtIJoyGFuiOjdvlAINfJ/jD4N+MtE+Ndk3hzS7y+8KT6qupIYEzHasxG8N/dxjj2xX15sf+635UbH/ut+VXzfvVV6p/8Ejl/dun0t+lvyPJf2rvD+t+Jfhmmn+H9LutTuxqUMhht03NsGctj0r0vQIpINB06GZGjkjtYkdT1VggBB/Gr+x/7rflRsf+635VMfdTXd3/AAsVLVp9lb8bny9+0f4D8dj4lz694B0e+vItf0z7FqT2sRYIchSTjp8oXn2NfQPw78PQeFPA+j+H7eNUWytUjcKMAyYy5/Fix/Gug2P/AHW/KjY/91vyoh7sORf1vp+LCfvSUv66f5HhX7T+h+KL/wAR+CNZ8OeGdQ14aTdyzTxWiZIHyYBPbOD+VX3+LHxIJLf8KJ8Uev8ArP8A7CvZtj/3W/KjY/8Adb8qUdI8vS7f3jdm7+Vvu/4c81+MNtrfiz4C6rDaaDex6vf2SMNMxvmR9ykpgdSOa3fg7YX2lfC/w7p2pWstpeW9kqTQSrhkbJ4Irrdj/wB1vyo2P/db8qpac1urT+6/+ZNr8t+l/wAbf5HhXgTwr4l8EftI669hol3J4P8AEEQme5ij/cwTDn5j2Od/H+0Ksat4q+OXhXxFeW8/geLxdo8k7taT2AxMkZPyq23gY9xn3r23Y/8Adb8qNj/3W/KpWiiuyt8v+B+RTd3J99f69T51h8I/Eb4t/EDQ/EXj3Q4vC/h/RJGktrAk+fI+QfmB55Krz0+XpzW9pXhvxL4g/ahvfF2u6Pd2miaHZ+RpEs0e1JXP8SHv1fJ+le2bH/ut+VGx/wC635VUXytW6X+99SZXknfrb7k72FEkgIO9uPevDPhl4Z8SeC/2hPFUUGhXn/CJ62ouI7xV/cxyjkAn15fj3Fe5bH/ut+VGx/7rflSjpLm8mvvG9Y8vp+B4t8KvDXiDTf2gfH+uaho95baZfhPsl1JHiObGPunvUv7U/gvWvEnhjStb8K2Ml34g0O/S4t0hTdI6Z+YKO/IQ49FNeybH/ut+VGx/7rflStaMIr7NrfJ3Hf3pS7/qrGZ4Yu72/wDDmnXmpWU1jey26NcW8ww8cmPmBH15/GvJF8LeIj+1u3ij+x7saINJ8r7cU/dF8Ebd3rz0r27Y/wDdb8qNj/3W/Kqb9/nXn+OhNvc5PT8BtFO2P/db8qNj/wB1vypDI5QTE4HJKmvHf2UfDev+GvDOvW/iDSLvTJp9VaWJLiPaXQ5+Ye1ezbH/ALrflRsf+635UR91t91b8bhLVJdnf8Gv1PHfgv4d17Sfi18RtT1PSbuzstRvVeznlTCTrk8qe9X/ANpH4f3njfwZHc6HlfEWjSi80514dmXkoD6nqPcCvU9j/wB1vyo2P/db8qlxvCMOyVvkNP3pS7/qeLfsieG/EvhnwFqNv4o0q7029nvzKI7lNrsMfexWF4s+Hfj74f8AxFvfHnwpih1Gz1EltQ0aU/eJOTtGckZ5GMEV9DbH/ut+VGx/7rflVzblJSWjSt+Fv0JirJxet3f8bnhMnjf48eI4hpmifDRfDVxImJNQ1MnZEf7yA8Ejrgg13XxB+H//AAnXwt/4RLX9REmoeQh+3pHgC4XnzNvoT1A7V3mx/wC635UbH/ut+VTJJxcRxbTTPnjwz4g+O/w/s4fDWreAn8YWdmnl21/YszSMg+6GYcHj1GfUmoLzwf8AFH40a1pzfEPTYvC3hOym806bGxE9wQejAknJHfoOwzX0dsf+635UbH/ut+VXzNvmlqxWsrR0RyHxY0u5vvhP4h0fSLN57iXTJYLa3hXLMShCqorP+Aei6hovwc0LRtbsZbS8itys9vMuGXPYiu/2P/db8qNj/wB1vyqf5r9bfhf/ADH/AC26X/G3+R8ofDr4L+JrD45Cy1Kyvh4K0a/kv7CSUHyJWzmMKe56Z+leqftXeHdc8T/CeTTfD+l3OpXv2yFxBbpucqG5IHtXrex/7rflRsf+635UpK9OMO1vw/4ZDTtNz7/1+rPPvHejapefATUNCtbKWfU30QW6WyDLtJ5YG0D1zXmvww8YfErwb4D0rwy/wU8TXbWEPlmYNtD++NvFfRex/wC635UbH/ut+VU23KUu/wDwf8yUkoxj2/4H+Rx/w18UeIPE1teSa/4I1PwrJA4WJLxsmYEdRwOlb/iOPVJdAv49Enjt9TaBhaSyKCqSY+UkHjFaOx/7rflRsf8Aut+VKS5lbYcXZ3PBrf4h/HbSYZNP1j4Svq97GoWO80/d5Mhx1bBIP4Yq58F/h74s/wCFh6r8UviCLa21q/j8q2sbc5WCMqF59MABcdeMk17bsf8Aut+VGx/7rflTTs+br/mJq65ehwnx90vUtb+EHiHS9Isp76+uLbbDBCu53OegHep/ghpeoaL8J/Dul6raS2d7b2arNBIMNG2TwR612mx/7rflRsf+635Uo6X87fh/w43q15X/ABt/keJv4b8SeJf2ok8QaxpF5b+HfD1oF02eVMRzSkbtynv8zN+Qr20SSZzvb86TY/8Adb8qNj/3W/KhaRUe36u4PWTl/Wh4Z4M8M+JfB/7S/iG6stCvJPCviGJZnu41zFFNjJ3Hsd28/iK7P9obSdT134Pa/pWj2M9/fTxKIreBdzudw6DvXoGx/wC635UbH/ut+VTKN6ah2KUmpufc5D4NabfaP8LfDumanayWt5b2SpNDIMNG2TwfevOP2ndD8UX3ifwPrXhzwzqGvLpN1NNcRWiZI+5gE9s4P5V7tsf+635UbH/ut+VXOTlUVTre5EIqMOTpax4y/wAWPiQSW/4UT4o9f9Z/9hW38ZbXW/FnwE1WCz0G9TV76yjYaaBvmR96kpgdSOa9L2P/AHW/KjY/91vyqJRUo8pUZOMlI434aaHNF8IdH8O63avbynTPs11BIPmTcCCCPUZrwj4F/CHxVpfxhaTxLZXqeHvDsk0mkNOp8qR3OAU7H5eT7gV9U7H/ALrflRsf+635VpzfvXV6u/8AXy6EKK9kqXTT+vn1PGf2r/DPiDxR4T0K38P6TdanPBrMU0qQJuZECtlj7cjmt348aJq2tfAzVdF0nT573UZLSBEt4V3OzKyZAHtg/lXpOx/7rflRsf8Aut+VZuN4uPd3/L/I0UrTUu2n43PAfBPj74k+HfCOlaC3wQ8T3BsbZYTKH278d8beK9T+HXiPXPEuj3N1r3g/UfC9xHKY0t7xstIuPvDgcdq6vY/91vyo2P8A3W/Krm+e/N1IjHlSS6Hj37L3h3XfDuieJIde0m702S51qWaFbhNpkjPRh7VnftVfDfWfFOmWXijwfDI/iLTA0RjhH7y4gkBVlHqRnp6Fq9y2P/db8qNj/wB1vyqZrnS8rfgrFRfK353/ABdzzT9mjQ9Y8O/CDTNL13T57C/SSRpIJl2uoJ4yO1c/+1b4Y8QeJ9I8LQ+H9Iu9SkttajmnECbvLjCsCzeg5617Xsf+635UbH/ut+VXOXPJS7NP7iIx5YuPr+JDaqyWsKMMMsagj0IAqSnbH/ut+VGx/wC635Um7jSshtFO2P8A3W/KjY/91vypDG0U7Y/91vyo2P8A3W/KgBtfOn7fP/JNfD//AGGD/wCiXr6N2P8A3W/KvnP9vpWHw18P5Uj/AInB7f8ATF6AO51z4Kw6xrN7qx+JXxCsjeTvOba01YJDDuJOxF28KM4A9Kp/8KDh/wCirfE3/wAHQ/8AiK9ii/1a/QU6vEniaqk/ePahh6TitDxv/hQcP/RVvib/AODof/EUf8KDh/6Kt8Tf/B0P/iK9koqPrNX+Yr6tS/lPG/8AhQcP/RVvib/4Oh/8RR/woOH/AKKt8Tf/AAdD/wCIr2Sij6zV/mD6tS/lPG/+FBw/9FW+Jv8A4Oh/8RR/woOH/oq3xN/8HQ/+Ir2Sij6zV/mD6tS/lPG/+FBw/wDRVvib/wCDof8AxFH/AAoOH/oq3xN/8HQ/+Ir2Sij6zV/mD6tS/lPG/wDhQcP/AEVb4m/+Dof/ABFH/Cg4f+irfE3/AMHQ/wDiK9koo+s1f5g+rUv5Txv/AIUHD/0Vb4m/+Dof/EUf8KDh/wCirfE3/wAHQ/8AiK9koo+s1f5g+rUv5Txv/hQcP/RVvib/AODof/EUf8KDh/6Kt8Tf/B0P/iK9koo+s1f5g+rUv5Txv/hQcP8A0Vb4m/8Ag6H/AMRR/wAKDh/6Kt8Tf/B0P/iK9koo+s1f5g+rUv5Txv8A4UHD/wBFW+Jv/g6H/wARR/woOH/oq3xN/wDB0P8A4ivZKKPrNX+YPq1L+U8b/wCFBw/9FW+Jv/g6H/xFH/Cg4f8Aoq3xN/8AB0P/AIivZKKPrNX+YPq1L+U8b/4UHD/0Vb4m/wDg6H/xFH/Cg4f+irfE3/wdD/4ivZKKPrNX+YPq1L+U8b/4UHD/ANFW+Jv/AIOh/wDEUf8ACg4f+irfE3/wdD/4ivZKKPrNX+YPq1L+U8b/AOFBw/8ARVvib/4Oh/8AEUf8KDh/6Kt8Tf8AwdD/AOIr2Sij6zV/mD6tS/lPG/8AhQcP/RVvib/4Oh/8RR/woOH/AKKt8Tf/AAdD/wCIr2Sij6zV/mD6tS/lPG/+FBw/9FW+Jv8A4Oh/8RR/woOH/oq3xN/8HQ/+Ir2Sij6zV/mD6tS/lPG/+FBw/wDRVvib/wCDof8AxFH/AAoOH/oq3xN/8HQ/+Ir2Sij6zV/mD6tS/lPG/wDhQcP/AEVb4m/+Dof/ABFH/Cg4f+irfE3/AMHQ/wDiK9koo+s1f5g+rUv5Txv/AIUHD/0Vb4m/+Dof/EUf8KDh/wCirfE3/wAHQ/8AiK9koo+s1f5g+rUv5Txv/hQcP/RVvib/AODof/EUf8KDh/6Kt8Tf/B0P/iK9koo+s1f5g+rUv5Txv/hQcP8A0Vb4m/8Ag6H/AMRR/wAKDh/6Kt8Tf/B0P/iK9koo+s1f5g+rUv5Txv8A4UHD/wBFW+Jv/g6H/wARR/woOH/oq3xN/wDB0P8A4ivZKKPrNX+YPq1L+U8b/wCFBw/9FW+Jv/g6H/xFH/Cg4f8Aoq3xN/8AB0P/AIivZKKPrNX+YPq1L+U8b/4UHD/0Vb4m/wDg6H/xFH/Cg4f+irfE3/wdD/4ivZKKPrNX+YPq1L+U8b/4UHD/ANFW+Jv/AIOh/wDEUf8ACg4f+irfE3/wdD/4ivZKKPrNX+YPq1L+U8b/AOFBw/8ARVvib/4Oh/8AEUf8KDh/6Kt8Tf8AwdD/AOIr2Sij6zV/mD6tS/lPl+++G95B8edN8Ar8TfiEdNutBk1J5jrJ84SLI6hQcbduFHbPvXef8KDh/wCirfE3/wAHQ/8AiKdq/wDyeLoP/Ynzf+j5K9irWpiKqUbPoZ08PTblddTxv/hQcP8A0Vb4m/8Ag6H/AMRR/wAKDh/6Kt8Tf/B0P/iK9korL6zV/mNPq1L+U8b/AOFBw/8ARVvib/4Oh/8AEUf8KDh/6Kt8Tf8AwdD/AOIr2Sij6zV/mD6tS/lPG/8AhQcP/RVvib/4Oh/8RR/woOH/AKKt8Tf/AAdD/wCIr2Sij6zV/mD6tS/lPG/+FBw/9FW+Jv8A4Oh/8RR/woOH/oq3xN/8HQ/+Ir2Sij6zV/mD6tS/lPG/+FBw/wDRVvib/wCDof8AxFH/AAoOH/oq3xN/8HQ/+Ir2SjjucDufSj61V/mD6tS/lPG/+FBw/wDRVvib/wCDof8AxFH/AAoOH/oq3xN/8HQ/+IrO8JfGrXNV+K8Oj32lafF4T1K9utP0u+RXEzzwBC28lipByRwB29K6X4sfErVtB8V6X4G8GaLBrHinUozMq3MhWC2jH8cmOSDg9COlaupiFy6/F/X4dTPkw/vafDv/AF66epl/8KDh/wCirfE3/wAHQ/8AiKP+FBw/9FW+Jv8A4Oh/8RWhZ6r8d5dJvbObwz4Qi1yKSJre4+0S/YZom3bx97cHUhe+Oa5b4X/EL42eMvEl9Y/2P4HjtNI1BLXU2DTq4BJ3GPLkE4BxmqjOvJtKe3n6f5kuNBJNx38vX9Fc2f8AhQcP/RVvib/4Oh/8RR/woOH/AKKt8Tf/AAdD/wCIre+DPjvVvGmr+LbPU7aygj0bUha25t0YF0O7l9zHJ47Yo+EfjzVfF3iXxnpup29jBBoWoLbW7wKwZkIYkvuYgnjtio9tX/m6KXydv80X7Kj/AC9XH5q/+TMH/hQcP/RVvib/AODof/EUf8KDh/6Kt8Tf/B0P/iKzvAvxq1zW/ilBo+o6Vp8HhfVbi6tdHvY1cTSSwYJ3ksVIIz0A5xXYa1471ay+POieAYrWybTb+wluZZmVvOVlUkBTu2449KrnxF4q+6b+5Nv8ieSh72mzS+9pfmzA/wCFBw/9FW+Jv/g6H/xFH/Cg4f8Aoq3xN/8AB0P/AIivZKKx+s1f5jX6tS/lPG/+FBw/9FW+Jv8A4Oh/8RR/woOH/oq3xN/8HQ/+Ir2Sij6zV/mD6tS/lPG/+FBw/wDRVvib/wCDof8AxFH/AAoOH/oq3xN/8HQ/+Ir2Sij6zV/mD6tS/lPG/wDhQcP/AEVb4m/+Dof/ABFH/Cg4f+irfE3/AMHQ/wDiK9koo+s1f5g+rUv5Txv/AIUHD/0Vb4m/+Dof/EUf8KDh/wCirfE3/wAHQ/8AiK9koo+s1f5g+rUv5Txo/AOEKT/wtb4m8D/oND/4iuE+Anw3vPH/AMMrHxRq3xN+IVtd3E88bR2usERgJIVGAwJ6D1r6fb7jfQ/yrx/9jf8A5IFpP/X3d/8Ao5q1WIq+zbv2/Uzlh6ftErd/0Gf8KDh/6Kt8Tf8AwdD/AOIo/wCFBw/9FW+Jv/g6H/xFeyUVl9Zq/wAxp9Wpfynjf/Cg4f8Aoq3xN/8AB0P/AIij/hQcP/RVvib/AODof/EV7JRR9Zq/zB9Wpfynjf8AwoOH/oq3xN/8HQ/+Io/4UHD/ANFW+Jv/AIOh/wDEV7JRR9Zq/wAwfVqX8p43/wAKDh/6Kt8Tf/B0P/iKP+FBw/8ARVvib/4Oh/8AEV7JRR9Zq/zB9Wpfynjf/Cg4f+irfE3/AMHQ/wDiKP8AhQcP/RVvib/4Oh/8RXslFH1mr/MH1al/KeN/8KDh/wCirfE3/wAHQ/8AiKP+FBw/9FW+Jv8A4Oh/8RXslYPxC1qfw34G1nXrWKOaewtHnjSTO1mHY4wcUPFVUr8w1haTduU85/4UHD/0Vb4m/wDg6H/xFH/Cg4f+irfE3/wdD/4iuW8MfGv4jLL4Vv8AxJo3hS70nxFMIootHmkN5Fn+J0Ltge3616Rp3jrVrj4+6l8P3trEaZa6Yt2kyo3nFz2J3bcfhW8niIuzl3/BXZzx+ryV0u34uy/EwP8AhQcP/RVvib/4Oh/8RR/woOH/AKKt8Tf/AAdD/wCIrYn+IGsR/HDUfAwtbD+zrXQn1FJSj+cZBngndjbx6Z968/8AC/xV+NmteErnxraeFPCeoaHazSrLb27zR3bLGfmKguw6f/qqY1K7XNzaWv8Ai1+aLlTop25db2/C/wCR1H/Cg4f+irfE3/wdD/4ij/hQcP8A0Vb4m/8Ag6H/AMRUmtfHGw/4QHw5rfh3Rp9T1nxI7Q6dpe/BEinD72x0U49Mg9q0PCeq/HFPEOnR+L/CvhhtHu5Nk8ulTyedaAgnc4diCOg47mnz4hN3drafMnlw9lZX0uZf/Cg4f+irfE3/AMHQ/wDiKP8AhQcP/RVvib/4Oh/8RWFa/E/4sa9408SaP4ZtfAMVro16LYHVZ5YZZAemP3nzHjsB2rR+M3jr4xeBdPfXrbSfBk2iL5Ee6Rpnm811G7gOBt3Zx7YpKpX933t7fjt+Y+SheS5dr3+W5c/4UHD/ANFW+Jv/AIOh/wDEUf8ACg4f+irfE3/wdD/4iqPib4g/Frwl8K73xZ4k0vwgt00tqNPS0MzxskgJYyAvkEfLjB9a3vh/4l+KF7b32oeKo/A5sItMe6gGj3LyTCXbuUOpc4XGc96cqleKk3LRf5XEo0G4rl3/AM7Gf/woOH/oq3xN/wDB0P8A4ij/AIUHD/0Vb4m/+Dof/EVy3hr4r/GrU/BUvjyPwn4U1Hw/bvJ50FrJNHdlEPzEBnYDA56H6V7f8P8AxRYeM/B+neJtNV0t76LeI3OWjOcFT9CKJzxEE25bDhChJ2Uf6R5z/wAKDh/6Kt8Tf/B0P/iKP+FBw/8ARVvib/4Oh/8AEV7JRWP1mr/Ma/VqX8p43/woOH/oq3xN/wDB0P8A4ij/AIUHD/0Vb4m/+Dof/EV7JRR9Zq/zB9Wpfynjf/Cg4f8Aoq3xN/8AB0P/AIij/hQcP/RVvib/AODof/EV7JRR9Zq/zB9Wpfynjf8AwoOH/oq3xN/8HQ/+Io/4UHD/ANFW+Jv/AIOh/wDEV7JRR9Zq/wAwfVqX8p43/wAKDh/6Kt8Tf/B0P/iKP+FBw/8ARVvib/4Oh/8AEV7JRR9Zq/zB9Wpfynjf/Cg4f+irfE3/AMHQ/wDiK8Z/a1+GsfgrwTpF+njTxdrxn1LyfJ1jUPPiT92x3KNow3GM+hr7Kr5w/b9/5Jr4f/7DB/8ARL1th8RUlUSbMcRQpxptpH0bF/q1+gp1eT638dvDOi6ze6PceG/Gc01jO9vJJb6RvidkJUlG3jKnHB7iqn/DRHhP/oVfHf8A4Jf/ALOsp0anM9DaFenyrU9jorxz/hojwn/0Kvjv/wAEv/2dH/DRHhP/AKFXx3/4Jf8A7Oo9hU7Fe3p9z2OivHP+GiPCf/Qq+O//AAS//Z0f8NEeE/8AoVfHf/gl/wDs6PYVOwe3p9z2OivHP+GiPCf/AEKvjv8A8Ev/ANnR/wANEeE/+hV8d/8Agl/+zo9hU7B7en3PY6K8c/4aI8J/9Cr47/8ABL/9nR/w0R4T/wChV8d/+CX/AOzo9hU7B7en3PY6K8c/4aI8J/8AQq+O/wDwS/8A2dH/AA0R4T/6FXx3/wCCX/7Oj2FTsHt6fc9jorxz/hojwn/0Kvjv/wAEv/2dH/DRHhP/AKFXx3/4Jf8A7Oj2FTsHt6fc9jorxz/hojwn/wBCr47/APBL/wDZ0f8ADRHhP/oVfHf/AIJf/s6PYVOwe3p9z2OivHP+GiPCf/Qq+O//AAS//Z0f8NEeE/8AoVfHf/gl/wDs6PYVOwe3p9z2OivHP+GiPCf/AEKvjv8A8Ev/ANnR/wANEeE/+hV8d/8Agl/+zo9hU7B7en3PY6K8c/4aI8J/9Cr47/8ABL/9nR/w0R4T/wChV8d/+CX/AOzo9hU7B7en3PY6K8c/4aI8J/8AQq+O/wDwS/8A2dH/AA0R4T/6FXx3/wCCX/7Oj2FTsHt6fc9jorxz/hojwn/0Kvjv/wAEv/2dH/DRHhP/AKFXx3/4Jf8A7Oj2FTsHt6fc9jorxz/hojwn/wBCr47/APBL/wDZ0f8ADRHhP/oVfHf/AIJf/s6PYVOwe3p9z2OivHP+GiPCf/Qq+O//AAS//Z0f8NEeE/8AoVfHf/gl/wDs6PYVOwe3p9z2OivHP+GiPCf/AEKvjv8A8Ev/ANnR/wANEeE/+hV8d/8Agl/+zo9hU7B7en3PY6K8c/4aI8J/9Cr47/8ABL/9nR/w0R4T/wChV8d/+CX/AOzo9hU7B7en3PY6K8c/4aI8J/8AQq+O/wDwS/8A2dH/AA0R4T/6FXx3/wCCX/7Oj2FTsHt6fc9jorxz/hojwn/0Kvjv/wAEv/2dH/DRHhP/AKFXx3/4Jf8A7Oj2FTsHt6fc9jorxz/hojwn/wBCr47/APBL/wDZ0f8ADRHhP/oVfHf/AIJf/s6PYVOwe3p9z2OivHP+GiPCf/Qq+O//AAS//Z0f8NEeE/8AoVfHf/gl/wDs6PYVOwe3p9z2OivHP+GiPCf/AEKvjv8A8Ev/ANnR/wANEeE/+hV8d/8Agl/+zo9hU7B7en3PY6K8c/4aI8J/9Cr47/8ABL/9nR/w0R4T/wChV8d/+CX/AOzo9hU7B7en3PY6K8c/4aI8J/8AQq+O/wDwS/8A2dH/AA0R4T/6FXx3/wCCX/7Oj2FTsHt6fc9jorxz/hojwn/0Kvjv/wAEv/2dH/DRHhP/AKFXx3/4Jf8A7Oj2FTsHt6fc9jorxz/hojwn/wBCr47/APBL/wDZ0f8ADRHhP/oVfHf/AIJf/s6PYVOwe3p9xdX/AOTxdB/7E+b/ANHyV7FXytqHxi8PzftHaV4uXQfFYs7fw5JZNbtpmLlnMrtuEe7lMHrnrmvRv+GiPCf/AEKvjv8A8Ev/ANnWtSjNqOnQyp1oJy16nsdFeOf8NEeE/wDoVfHf/gl/+zo/4aI8J/8AQq+O/wDwS/8A2dZewqdjX29Puex0V45/w0R4T/6FXx3/AOCX/wCzo/4aI8J/9Cr47/8ABL/9nR7Cp2D29Puex0V45/w0R4T/AOhV8d/+CX/7Oj/hojwn/wBCr47/APBL/wDZ0ewqdg9vT7nsdFeOf8NEeE/+hV8d/wDgl/8As6P+GiPCf/Qq+O//AAS//Z0ewqdg9vT7nsdcV8cdcu/D/wALtavdOguJ7+WH7NaxwIWcySHZkY6YBJz7VyP/AA0R4T/6FXx3/wCCX/7OgftFeEwePC3jsfTRf/s6Pq83utAWIgtUzyLxN4I+M2h/CbRPO0rwx9g8Nzx6pC9i8r6g7k5O4HIJO/5gAOntXY+MNS1nQ/iZ4V+NMOg3+p6Hf6KtnqUdvATPbMeSdh5+90+hrrB+0T4TByPC3jsH/sC//Z0o/aK8KA7h4X8eA+v9jf8A2ddTnVbu49W/vVmv67HKoUkrc3S33O6fyf5nX/DH4gwePLm8l07w/rOn6da7Al1qMAhMznOVVMnpgc571w/7MltdWvif4jPc2s8Kya2jIZIyocYfkZHP4VYb9orwox+bwt48P10X/wCzoP7RXhQ9fC3jw/8AcF/+zrJQmubljurfin+hrzxajzS2d/wa/U5Dwj4nl+DPjzxpZeK/DWvXEGrXy3thdada+ekq/NweRjr/APWqn4fPinw38I/iH4zn0S9sdS8W3irplkFLTKsmUDEAZXhyc/7Nd4v7RfhVR8vhfx4Ppo3/ANnQP2ivCgOR4X8eZ/7A3/2dPlny2ceiT9Fb87LUXNBSupaXcvm7/hdt2PIvFvgz4zeHfhl4emn0nwx9h8KXEV/btpzyvfOxPO4HIbO/5gAOntXU+PPF8GlfHbwZ49vNK1q501tBZpPsli0kis6EY2nGOT612Y/aK8Jg5Hhbx2D/ANgX/wCzpR+0Z4VHTwv49H/cG/8As6056rd3Hq396aZlyUkrKXRL7mpL+vM9F8C+KLHxh4di1zTbXULW3kdkEd9b+TKCvXK5PFbteOH9orwmTk+FvHZPvov/ANnR/wANEeE/+hV8d/8Agl/+zrnlRm3pE6Y1oJe9LU9jorxz/hojwn/0Kvjv/wAEv/2dH/DRHhP/AKFXx3/4Jf8A7Op9hU7Fe3p9z2OivHP+GiPCf/Qq+O//AAS//Z0f8NEeE/8AoVfHf/gl/wDs6PYVOwe3p9z2OivHP+GiPCf/AEKvjv8A8Ev/ANnR/wANEeE/+hV8d/8Agl/+zo9hU7B7en3PY6K8c/4aI8J/9Cr47/8ABL/9nR/w0R4T/wChV8d/+CX/AOzo9hU7B7en3PYm+430P8q8f/Y3/wCSBaT/ANfd3/6OamH9ojwntI/4RXx30P8AzBf/ALOvOv2cPjH4f8I/CXT9Cv8AQfFd3cQ3Fw7S2OmedCQ0hYANuGTzzx1rWNGfs2rdV+plKtD2id+/6H1TRXjn/DRHhP8A6FXx3/4Jf/s6P+GiPCf/AEKvjv8A8Ev/ANnWXsKnY19vT7nsdFeOf8NEeE/+hV8d/wDgl/8As6P+GiPCf/Qq+O//AAS//Z0ewqdg9vT7nsdFeOf8NEeE/wDoVfHf/gl/+zo/4aI8J/8AQq+O/wDwS/8A2dHsKnYPb0+57HRXjn/DRHhP/oVfHf8A4Jf/ALOj/hojwn/0Kvjv/wAEv/2dHsKnYPb0+57HRXjn/DRHhP8A6FXx3/4Jf/s6P+GiPCf/AEKvjv8A8Ev/ANnR7Cp2D29Puex1yPxnhmuPhP4ngt4nllfTpAiIuWY8cAd64r/hojwn/wBCr47/APBL/wDZ0D9onwmDkeFfHf8A4Jf/ALOk8PUatYccRTTTufP/AIe0vRbvw94UsvAHgzxPYfEKC5ia81Ly5YodoJ3klnIxjHQL3r2Lxreaj8Of2gz481jQ9S1PQ9S0lLNrnTYfNaKZeoKcemeo6it8/tF+FSMHwv49P10b/wCzoX9orwov3fC/jwfTRv8A7Ouyc6spX5e/4q1l2RxQhTjHl5u34O6b7swfh7/anjf4ueJviZHod/pmhDRH0+yN7H5ctw205Oztg5/SuN+EPxJfwr8Kb3wbbeEfEuoeIri4uVt4lsCsDeYSAS56Yz6V6ef2ivChOT4W8eE++i//AGdOP7RnhYjB8MePT/3Bv/s6i0mnFw92yX4t7+rNOaN+bn1vf8Lbeh56fh14z8CeEPh34st9H/tXUvDdxPc6npsLZcJMd2FHQlR1x345qDwxqk/iP9oPw3qfhG4+Iv2Ca7kuNYttXLR2sA2/KqKDjbnPBz2r0cftE+EwePCvjv8A8Ev/ANnSn9ovwqww3hfx4R76N/8AZ1cZ1ebmlHvb59PTqRKFNx5VLe1/l19Txi0X4ead8UvGt18RfBHiDV5m1USadLZ2kzKgGd33XQHnb1zXsf7T+7VvgKk2mWd26Tz2csUIhYyKh5AKjJBAxn0qUftGeFgOPDHj3/wTf/Z00ftFeFAcjwt48B/7Av8A9nWbVRqC5fht+FunnY0UqalOXN8V/wAfPyuVP2mbW4uP2dLa3itLi4f/AELdFFGzPgKM8Dmsn4L3vwxSy1jS/BPgzX9G1afQ5GvJ7u1lWOXZHggF5G53McAAZroR+0V4UByPC3jwH20X/wCzpT+0X4Vbr4X8eH66N/8AZ0uWpyTjy/E2/vVvmF6fNCXN8KS+53PLfhX8R5vD/wAGrjwLYeEPEmoeJblrmKCMWBWA+bkAlyewOcYr3v4EeFtQ8G/CzR9C1XYL+NGkuEU5CO7FtufbI/GuXP7RnhUjB8MePSP+wN/9nTf+GiPCf/Qq+O//AAS//Z1VT2k72ja9r/IVPki1eWivb5nsdFeOf8NEeE/+hV8d/wDgl/8As6P+GiPCf/Qq+O//AAS//Z1z+wqdjo9vT7nsdFeOf8NEeE/+hV8d/wDgl/8As6P+GiPCf/Qq+O//AAS//Z0ewqdg9vT7nsdFeOf8NEeE/wDoVfHf/gl/+zo/4aI8J/8AQq+O/wDwS/8A2dHsKnYPb0+57HRXjn/DRHhP/oVfHf8A4Jf/ALOj/hojwn/0Kvjv/wAEv/2dHsKnYPb0+57HRXjn/DRHhP8A6FXx3/4Jf/s6P+GiPCf/AEKvjv8A8Ev/ANnR7Cp2D29Puex184ft+/8AJNfD/wD2GD/6Jeus/wCGiPCf/Qq+O/8AwS//AGdeMftbfFHRfHXgnSNO0zRvEdjJb6l5zPqWn+QjDy2XCnccnnp6Vvh6U1VTaMMRWhKm0mfYsl5HaWfn3V0lvBGuWklkCIo9yTgVBpmvaVqkjx6Zrlhfug3OtteJKVHqQpOBXC/tG/8AJDfEuRn/AEM8etcrZJZ6z8VfCtno/hWbwVeaZG17di4t4raS/gK48tBAWSRc8ncwI64rNU1OTv3f+ZpKfJGOnT/L8z1+98TaFY3DW174j0u1nX70U9/Gjj6gtkVcttRtrptttqEM7bBJiKcMdh6Nweh7Hoa8P8PPYR/E/wCIYuvh1e+KWbVYcXEFjaTCH9wvykzSKR64AIrovGVuvhf4reEPFlrClpp+oRjQ76JFCKu4/uCQOBhiB7YpKknyr+ZL8VdL79ByqNOemkW/wev4anp8t/DDMIZr6KOUoXCPMFYqOrYJzgetUbbxR4furlLa18TaTPO52pFFqEbux9AobJNeaTQHxB4o8feKpAr2um6c+i2BPOCqlpmH/Ayy/hTPgF/Zk3g7wnGfhnd2c66XAw1mXT7MRuwjX5w6yGX5uoJXPrilGmnFtvovxu/yS+8JzalZLq191r/i2vketxahbzXctpDfwyXMIBlhSYM8YPTcoORn3pRfQmSaIXsRkhAMy+cMxgjI3DPy8c8185/Z73QfiR43+JelRzTzaRriQanbISftFi1vEXwvdk5YV1uhXVpf+Nvinf2U0c9tc6dZyxSoch0NohBB+lKVO0OZfy3+dk7fc9/XsVGV6jg11t+Nv6+Xc9iiulmgW4huVkhdQ6yJJlWXrkEcEe9VbjW9Nt7JL641myhtH+5cSXaLG30YnB/OuS+FpX/hRfh3kY/4R2D6f8e4ryNhEvwV+EZm0l9VjGsQE2SRI7TjLfKFchTn3IFW6NqkoX2aX3tr9CI1b01O28W/uVz6J0zXNM1QuNL1myvzHjeLW7SXbnpnaTirvmSf89G/OuV8JCB9Ovp9J8ESeFbogokd3Z28HnMBlSfIdsrk9znrWt4Y/tz+wLP/AIST7D/a/l/6X9i3eRvz/Bu5x061lKKTdjWDutTU8yT/AJ6N+dHmSf8APRvzptFQXZDvMk/56N+dHmSf89G/Om0UBZDvMk/56N+dHmSf89G/Om0UBZDvMk/56N+dHmSf89G/Om0UBZDvMk/56N+dHmSf89G/Om0UBZDvMk/56N+dHmSf89G/Om0UBZDvMk/56N+dHmSf89G/Om0UBZDvMk/56N+dHmSf89G/Om0UBZDvMk/56N+dHmSf89G/Om0UBZDvMk/56N+dHmSf89G/Om0UBZDvMk/56N+dHmSf89G/Om0UBZDvMk/56N+dHmSf89G/Om0UBZDvMk/56N+dHmSf89G/Om0UBZDvMk/56N+dHmSf89G/Om0UBZDvMk/56N+dHmSf89G/Om0UBZDvMk/56N+dHmSf89G/Om0UBZDvMk/56N+dHmSf89G/Om0UBZDvMk/56N+dHmSf89G/Om0UBZDvMk/56N+dHmSf89G/Om0UBZDvMk/56N+dHmSf89G/Om0UBZHj+ru//DY2gnc2f+EOm5z/ANN5K9i8yT/no35143q//J4ug/8AYnzf+j5K9irartH0MaS1l6jvMk/56N+dHmSf89G/Om0VibWQ7zJP+ejfnR5kn/PRvzptFAWQ7zJP+ejfnR5kn/PRvzptFAWQ7zJP+ejfnR5kn/PRvzptFAWQ7zJP+ejfnR5kn/PRvzptFAWQ7zJP+ejfnTLi6W3gee4ulhiQZeSSTaqj1JPApa4f4+gH4MeKwcEf2e/X6ilJ2TY4xTaR2Y1C3ay+3Lfwm027/PEw8vb67s4x70x9WsY7BdQk1W1Syb7ty1yoiP0fOD+deO6eAP2OgCAB/wAI6/X8a4G/8G+JPEHwU+GGqaZoR8S6Tpds7ajoX2kwfalYnDZGPu4J9fSuqVBRnOLekZJX/wDAtfw/E5IV+anCdviTf3W/zPp+LWNPlsWv4tWtJLNfvXC3SmJfq4OB+dMsNe0rUJvJ0/XLC8lxnZb3iSNj6KSa+Z31DwHcfAP4j2fg/RtT8PXUcMTaho18WP2Z94wUDEnB55zzgcCofFvw38K6B+zrp/xC8OQvoPiOxtLe7F7b3EgM7l1BVgSQc56DHOO1N0YxvzNpXS+/9PQFVlLlUUru/wCFvx16n1Z5kn/PRvzo8yT/AJ6N+dY/g2+n1PwlpOo3QxPcWcckn+8VGa1q55xcJOL6G9OSnFSXUd5kn/PRvzo8yT/no3502ipLsh3mSf8APRvzo8yT/no3502igLId5kn/AD0b86PMk/56N+dNooCyHeZJ/wA9G/OjzJP+ejfnTaKAsh3mSf8APRvzo8yT/no3502igLIVpJNrfvG6HvXj/wCxs7j4A6SAzAfa7vof+mzV6833G+h/lXj/AOxv/wAkC0n/AK+7v/0c1ax/hy9V+pjJfvI+j/Q9j8yT/no350eZJ/z0b86bRWRtZDvMk/56N+dHmSf89G/Om0UBZDvMk/56N+dHmSf89G/Om0UBZDvMk/56N+dHmSf89G/Om0UBZDvMk/56N+dHmSf89G/Om0UBZDvMk/56N+dHmSf89G/Om0UBZDvMk/56N+dHmSf89G/Om0UBZDvMk/56N+dQS6jbRXcVpLqEMdzKCYoXnAkcf7Kk5P4VLXh3xMXP7VHw6OMn7JN29zV0o881Hvf8E3+hnVlyU3O21vxaX6ntk2o28N1FazahDFcTZ8qF5wryY67VJyfwqG61vTLW7Fnda1Y29y2MQy3aJIc9PlJzXjfxZUH9pr4XcZIW4PTJHA5rzXxN4Ws/BnijX7/4s+A9S17Tb7UGntfE9hdu8lojEFV2ZG0L6np0Ga1p0lNRbe9/wdv+CZ1arg5JK9rfirn1dqGuaXp0ix6hrVjZOw3KtxdpGSPUBiOKsWl9DeW4uLO8juYW6SQyh1P4g4r5v8daL4X8aftB+A7C+tl1jQ7nw7ujEzsPNQZ2sSpBz/WtPwbo9v8ADr9pseEPDNzPHoGraKbyTTXmZ0tpA5AK56Dg/mfamqKaSb1fN+Df+RLrO7aSsuX/AMmS/wAz6C8yT/no350eZJ/z0b86bRXMdVkO8yT/AJ6N+dHmSf8APRvzptFAWQ7zJP8Ano350eZJ/wA9G/Om0UBZDvMk/wCejfnR5kn/AD0b86bRQFkO8yT/AJ6N+dHmSf8APRvzptFAWQ7zJP8Ano350eZJ/wA9G/Om0UBZDvMk/wCejfnR5kn/AD0b86bRQFkO8yT/AJ6N+dfN/wC3+zN8NPD+5if+Jwep/wCmL19HV84ft+/8k18P/wDYYP8A6JeujC/xYnPil+6Z7Z8QvDI8Y+BtR8NG9NkL6Hy/PEXmbPfbkZ/OofFvhD+29S8Oapbak1hf6HdCaOYRb/NjIxJERkYDDIzzjNa5+Gj6ix1AfEDxvZi5/e/Z7a9gWKLdztQGEkKOwJP1pP8AhU8n/RS/H/8A4H2//wAYrr+p1ea6a3ucv1ym42lHpY5GHwT4r0vxR4g1jw74v0yzh1u5S5lt7vRGuTGyoEwHE6cYHpW3438Kt4u8Cz+HdR1ERXksalb6CDb5U68rKqFjjDc7d341p/8ACp5P+il+P/8AwPt//jFH/Cp5P+il+P8A/wAD7f8A+MVLwVVpK60t+GxX12ndvlev6mP4a8GxaJ8Oz4SXUJLiSSCRbi+eP5pppMmSUrnuxJxnv1qh4F8K+NPDOnaRo0njHR73SdNhjtxENBaOaSJFCgeZ9oIDYHXafpXT/wDCp5P+il+P/wDwPt//AIxR/wAKnk/6KX4//wDA+3/+MVX1Ordu61/4Pl5sn63SslyvT9bf5GZ4W8JR6Lqvie8kuxeJr96Lp4mh2iIeUsZTOTu+7nPHWsP4ZfC3T/A914h8jUpr2x1dwIrWWPH2WELgRBsncAOAeOAK6/8A4VPJ/wBFL8f/APgfb/8Axij/AIVPJ/0Uvx//AOB9v/8AGKn6lVs1zLZL5LYf1yne/K97/M4uz+H/AIm07Qm8LaX45S28N7TFFC+lB7yGA/8ALNLjzQvA4BMZwMdetXPE/wAPFu/DvhnSPDuqR6P/AMI3cwz2Tz2v2pT5S4Add6Zz3ORXUf8ACp5P+il+P/8AwPt//jFH/Cp5P+il+P8A/wAD7f8A+MVX1St/Mu/3fmL63S/lfVffuU9FsPFkdveR654k069eWPbbSWekm1MDc/MczSbu3HHSrvhix1DTdBs7HVdXk1i9hj2zX0kQjads/eKjIFJ/wqeT/opfj/8A8D7f/wCMUf8ACp5P+il+P/8AwPt//jFS8DUfVf18iljaa6M06KzP+FTyf9FL8f8A/gfb/wDxij/hU8n/AEUvx/8A+B9v/wDGKn+z590V9fh2Zp0Vmf8ACp5P+il+P/8AwPt//jFH/Cp5P+il+P8A/wAD7f8A+MUf2fPug+vw7M06KzP+FTyf9FL8f/8Agfb/APxij/hU8n/RS/H/AP4H2/8A8Yo/s+fdB9fh2Zp0Vmf8Knk/6KX4/wD/AAPt/wD4xR/wqeT/AKKX4/8A/A+3/wDjFH9nz7oPr8OzNOisz/hU8n/RS/H/AP4H2/8A8Yo/4VPJ/wBFL8f/APgfb/8Axij+z590H1+HZmnRWZ/wqeT/AKKX4/8A/A+3/wDjFH/Cp5P+il+P/wDwPt//AIxR/Z8+6D6/DszTorM/4VPJ/wBFL8f/APgfb/8Axij/AIVPJ/0Uvx//AOB9v/8AGKP7Pn3QfX4dmadFZn/Cp5P+il+P/wDwPt//AIxR/wAKnk/6KX4//wDA+3/+MUf2fPug+vw7M06KzP8AhU8n/RS/H/8A4H2//wAYo/4VPJ/0Uvx//wCB9v8A/GKP7Pn3QfX4dmadFZn/AAqeT/opfj//AMD7f/4xR/wqeT/opfj/AP8AA+3/APjFH9nz7oPr8OzNOisz/hU8n/RS/H//AIH2/wD8Yo/4VPJ/0Uvx/wD+B9v/APGKP7Pn3QfX4dmadFZn/Cp5P+il+P8A/wAD7f8A+MUf8Knk/wCil+P/APwPt/8A4xR/Z8+6D6/DszTorM/4VPJ/0Uvx/wD+B9v/APGKP+FTyf8ARS/H/wD4H2//AMYo/s+fdB9fh2Zp0Vmf8Knk/wCil+P/APwPt/8A4xR/wqeT/opfj/8A8D7f/wCMUf2fPug+vw7M06KzP+FTyf8ARS/H/wD4H2//AMYo/wCFTyf9FL8f/wDgfb//ABij+z590H1+HZmnRWZ/wqeT/opfj/8A8D7f/wCMUf8ACp5P+il+P/8AwPt//jFH9nz7oPr8OzNOisz/AIVPJ/0Uvx//AOB9v/8AGKP+FTyf9FL8f/8Agfb/APxij+z590H1+HZmnRWZ/wAKnk/6KX4//wDA+3/+MUf8Knk/6KX4/wD/AAPt/wD4xR/Z8+6D6/DszTorM/4VPJ/0Uvx//wCB9v8A/GKP+FTyf9FL8f8A/gfb/wDxij+z590H1+HZmnRWZ/wqeT/opfj/AP8AA+3/APjFH/Cp5P8Aopfj/wD8D7f/AOMUf2fPug+vw7M8w1f/AJPF0H/sT5v/AEfJXsVeQWnhVdD/AGy9D06bXta1kSeEJpfO1KZHkT9+42goijbxnp1J5r6C/sOz/vTf99f/AFqdTB1Ha3RE08ZTV79TnKK6P+w7P+9N/wB9f/Wo/sOz/vTf99f/AFqz+o1TX67SOcoro/7Ds/703/fX/wBaj+w7P+9N/wB9f/Wo+o1Q+u0jnKK6P+w7P+9N/wB9f/Wo/sOz/vTf99f/AFqPqNUPrtI5yiuj/sOz/vTf99f/AFqP7Ds/703/AH1/9aj6jVD67SOcoro/7Ds/703/AH1/9aj+w7P+9N/31/8AWo+o1Q+u0jnKpa7pdlrei3mj6lF5tneQtDMmcEqwxwfWuw/sOz/vTf8AfX/1qP7Ds/703/fX/wBah4Cq1YPr1LzPmYfAHWTo48Kv8Vdabwd5n/IIFmgby927Z527PX/Zx7V2Piz4bajcw6Qvgrxtqfg99LtTaRCCJZ4njOPvIxGW4659a9o/sOz/AL03/fX/ANaj+w7P+9N/31/9atXh8Q7Xf9ba9/mZKvh1ey/rf5fI+frP4IW8fhDxVp174ovdR1zxOiLf6xcQAn5WBG2IEAf99elZdl8BNTvLTTtH8ZfEvVfEHh7T2RodLSyS2jO3orMGYlfb9R1r6V/sOz/vTf8AfX/1qP7Ds/703/fX/wBamqGJTvddPw2+4TrYdq1n179d+vU5m3hit4I4IY1jijUIiL0VQMAU+uj/ALDs/wC9N/31/wDWo/sOz/vTf99f/WrH6lVNVjaSVjnKK6P+w7P+9N/31/8AWo/sOz/vTf8AfX/1qPqNUf12kc5RXR/2HZ/3pv8Avr/61H9h2f8Aem/76/8ArUfUaofXaRzlFdH/AGHZ/wB6b/vr/wCtR/Ydn/em/wC+v/rUfUaofXaRzlFdH/Ydn/em/wC+v/rUf2HZ/wB6b/vr/wCtR9Rqh9dpHOUV0f8AYdn/AHpv++v/AK1H9h2f96b/AL6/+tR9Rqh9dpHNt9xvof5V4/8Asb/8kC0n/r7u/wD0c1fQb6JZ7G+abof4v/rV4p+xHpltdfs8aRJIZN32u86N/wBN2rRYOpyNen6mbxdNzUvX9D0miuj/ALDs/wC9N/31/wDWo/sOz/vTf99f/WrP6jVNPrtI5yiuj/sOz/vTf99f/Wo/sOz/AL03/fX/ANaj6jVD67SOcoro/wCw7P8AvTf99f8A1qP7Ds/703/fX/1qPqNUPrtI5yiuj/sOz/vTf99f/Wo/sOz/AL03/fX/ANaj6jVD67SOcoro/wCw7P8AvTf99f8A1qP7Ds/703/fX/1qPqNUPrtI5yiuj/sOz/vTf99f/Wo/sOz/AL03/fX/ANaj6jVD67SOcoro/wCw7P8AvTf99f8A1qP7Ds/703/fX/1qPqNUPrtI5yuA+LHwzt/HFxpmq2etXega/pLlrHUrZA5QHqChI3Dj1HevYv7Ds/703/fX/wBaj+w7P+9N/wB9f/WprBVk01uhPGUWmnseF+CPhJcaZ4x/4THxf4xv/F2uxwG3tZ5oFt0t0PXCKT83J5z36Vkaz8FfEeqRXWj3XxZ15/C91Kzy6W9qjOVL7innZzjPtX0X/Ydn/em/76/+tR/Ydn/em/76/wDrVp9XxF09Pw/K1jP2+HtbX8fzufP3jL4MXmoeItB1rwj41uPCsuiacNPttlitw2wE8ks6jJzzxWz8MvhZa+EtdvfE+ra7feJfE18gim1G7UJtT+6iDIUHjPJ6Dpzn2j+w7P8AvTf99f8A1qP7Ds/703/fX/1qPq+Ita/f8dXr5h7fD3vbt+Gi08jnKK6P+w7P+9N/31/9aj+w7P8AvTf99f8A1qy+o1TX67SOcoro/wCw7P8AvTf99f8A1qP7Ds/703/fX/1qPqNUPrtI5yiuj/sOz/vTf99f/Wo/sOz/AL03/fX/ANaj6jVD67SOcoro/wCw7P8AvTf99f8A1qP7Ds/703/fX/1qPqNUPrtI5yiuj/sOz/vTf99f/Wo/sOz/AL03/fX/ANaj6jVD67SOcoro/wCw7P8AvTf99f8A1qP7Ds/703/fX/1qPqNUPrtI5yiuj/sOz/vTf99f/Wo/sOz/AL03/fX/ANaj6jVD67SOcr5w/b9/5Jr4f/7DB/8ARL19Zf2HZ/3pv++v/rV8w/8ABRWwgs/hh4daIuSdax8xz/ywk/wrWhhKkKikzKviqc4OKPc/iz4m1Pwf8GNS8R6P9n+3WVkskPnoXTOB1AIz+dYcnibxx4S8d+FdF8RazpPiS38SSvAsdrpxsp7Qqu4y4MsnmJ2P3ce/SrP7QNjeal+z3rljYWdxe3M2nhUgt4mkdzxwFUEn8KxJ/B9v8NfiJ4Z8Q+EtDum0nVCNM1e1hWSf7OW/1c4B3FAG4YggY616kPjV+9vw28rvS55lT4NOz/TX5b26mhpGr/EbxZ488ZabpHinRtF0/QtQS0gSXQzdPIGiVyS/npz82Ola3/CW69ovxg0jwZrstpc2Gr6SZLS7itzEWu4v9apG4jBHzAds4ya8yTSfAsPxZ8fXXxB8Ma3cSXGqRSafPDo2oTo8QhQEq1uhUjdnrzXoPxusbnUPAmk+L/DNhdXeoeH7mHVbK3WB1mliXBeIIwDgsnG0gHtilFpQhJ7Wjf5rV/Ju9vIc1ec4rfW3yen37fMm1/xxra/EDxFo+kC0/s7w/of2q7eSIsxu3BaNM5GAF2sRjnNN+FEnxI8ReG/DnivVvGWjNZ6lZQXs9hFoBjYLIgYoJftBxjON238Ko+BtK1Wb4R+JPEGp6Zc22t+JxdahLavGfOjVwRDEV67lj2Lj1Fc3+z1a/DfR9I8KRp4b12w8XLp0FvcyTaHqSKs5jUSBnePyhznnOPQ1VNNNxlulH73zN6dbaL5ImbTSktm39y5UvS+r+bNHRviz4hh+N+s+HtftbGPwmNTXSLC8jUiSK78pJAshzgh9+AeOa6a28a61J4y+ImksLT7N4et4JLHER3Ze3WQ7zn5vmJ9OK5rRPAv/AAlU/wAWdD1qzu7W31LXFls7ho2Q7hbRbJYmI5ww6j0NZnwQ03xrq2sfEf8A4S/SZ9P1S5igsGuHiKw3UkVusRmjJ+8jFd3HTOKz1dOy35L+raX4p3+9eZp7qqtvbmt6Wf5Nfk+6PV/Auv3+tfCfRfE955P2+80WG9l8tCE8xoQ5wM8DJ6ZrzZ/iP401D4X/AA61WwutMstX8UahFaXM72RmiiD7vmWPevoP4ql8HeM5PDvwosfBGo+G/Eh8V6bpq6WLKHSJ3inlRPLVluAvkbGADZMgwDzg8Vz3jvwZLofwg+Fvh/xBpN5qNvpeo2razFZW01z5a7SZOIQWIDHGRW1RxdSTj8LlG3azbv8Aha5nTuoWl8Vpfel/nt3Pb/COn+LbFrg+JvE1hrQcDyRbaSbPy/XP72Tdnj0rmfH+seMH+JOheEvDGsadpEd7YXF1PcXOmm7OYyoAAEiY6+pq58JG8CRW17Z+B9L1LT4Q4luEutMvbUMxGAQblF3cD+HNYPxJ8H2Hiz40+F49b0SXUNKh0q73vtkEccm5doLqRgnnAJ5qWrzivXy+y/1+8E/ck/T80HxD1rx/4XsPCmjw+I9JudW1vWhYy6g2jlY442UkYh87kjHXfVnwv4v8SaZ8SdU8D+Kr7Tta+y6Uuq/2lY2ptvIQsy+VLEXfB+QsDu5B6Dvh/GPwFpRtfh94Z0vw9NNocXiJGubeFZZEjjKsSzsCSq5PUkVN4b8Lv4N+IuueC9N0u6PhjxJprXVpcbHkSyuADHJC0pBIUjYygnqWxU3etvO3naKt6a6+drdSpJaei/8ASn9+mnlv0LvhjVviZ4/0h/FWg6zonhvSLh5Bplpc6Y17LPEjFRLI4lQR7yMhQGwMHJzisTX/AIu+Jv8AhSut63Y6fZWHi/RNTGk3ltNma3+0blAdT8pKMrqwzyM45xzZ+F3i4fD3wLb+C/F+geILbVdE320IstIub2G9iDExSRywoyDcpAw5Ugg5AHNcx4k8JeJF+CniTU7zQ7qLWPEniSHVDp0K+dNbxeZEqKwTPzBIwxxkDJ54quVOfLF+7pr/ANvJfle66eQ49HLe708rP8L2s+vdnqvw/wDHq6t8K28Va4sdvd6ck8OqxoMKk8DFZABycEjI9mFYH7PHj3xZ42uPE6+KrextzZXURso7eJlZYJYxLGHyeW2sueBXJ+OPC/ib/hatz4N02wuX8KeMri21PUrpIW8u1aEFZ4yw4Bk2QEZxn5q7r4VabeWPxQ+JM0thcW1rPf2n2V3hZI5EW1RfkJGGAIxx0xTg+ZuT6rbzTV/xul5LzM7WSj2/Xb8N/M2fjD4m1Tw34XhXw/Hby6/ql5HYaYlwCYzM+TlgOSAqsfwrD0/4hand/AvV/FYW2XX9IhuobuMxny1uYGIPy5ztOFYDPRhzWb440nxX4x+NtjFol42h2fhWxNwl9eaUbmCe5uDtwgLIGKIn3gTjfjvXJaloPjLw5cfEzwxf+fr0HiPRG1a2u7HSmhi+1hfKkhCqzgMVERAzk8msW/3cvNNr5f8AAUn9xtFL2keyav8AP/h4+mp08viT4n+Hvh/YfEPUtY0TxDpn2SG81DTYdLazljgdQWaOXzZAzJnO0qMgHkdK6Hw54+u734r/APCOXHkPo+raHFq+hXCxlHdd2JUbJ5I3xkdOprjbnxPP4g+C1l4A8LaHr9z4hvNJh0+VbrR7mzhtBsVJZHlnREIUZ4UsScYBGSNP4q+HtT8I+BvB3iLQNPudZ1TwU0atBaxlpbu3aLypUVRycnY2P9mt6jUZt/ZvZfO6+5Pld/VemEE5QS+01r6qzXzeqt6fO14s+IniC31D4hy6Mtl/ZvhTSEKNLEWMl8wZypIYfKqBcj/bHNbvw7g+Id9aaRrmueMtIvLK6tUuJbKDQTA/zoCAJPPbGCf7vOK5QeHNWt/2aPEv2nT7htf1y0ur+6t0jLSmWUfKm0clggRce1J8DIfhnpjaNDovh/WtP8RPYJBO8+i6lCgYIC4MksYjHK+v0pQjZuL3SX3+9f8AHr2sXNpxUls2/u923+fq2VYfGPxH1DRvG3im38TeHrDT/DWo3MCWNxpJPnxwor4afzhtLbiudhwccHpWz4p8TeOrz4UD4jeH9W0/Q4Y9FOoSaXeaUbpmcKWx5olTAP8Aun1rh9J+FMev6F8QdXfSLqx8UR+Iri50m6lEkfmeWkbRjafleNiCvQg5Nei+IdQ1LxX+zZqt22i31rqd3oU8b2DWrLMJghUqI8Z5I4AHIIrJ3VG/VRi/vi7+t3uulvM0svbpdHKS/FfdZbPr8irFrXj/AEn4Q6r441XxJpGpzDQmvrS2i0Y26wy+XvG5vObeO2MD61D4o+IOvIPAOkWupaToV14ntjNNq19B5kETrGrCJIy6gu7NwC46HGTWj4msL6T9mS902OyuXvm8MGIWyxMZS/kY27MZ3Z4xjNVtWm8LxfDbw74f8f8AhXVL/TZ9Nh3smkzXaxTIqEIyQq0qP1IO0D5SM5wDtUspyXRNf+3dfu9dEc9Jtwg3u07/APkv/B/El+JPiDx54R+HdnI2oaNLrs+sWmnrfJZu0LxzTLH5hhLja2GPyhyOOvNdHpFn430i21C98QeK9M1mNLR2hig0U2hSQDIJbzn3DjpgdeteDaj4e1pPgHLp+oaT4gu/D48WW02mWl1BLPeppYnQtvRMyAAByARuA7dK9X8Aj4exabrlj4E0bVrGeayd51uNJv7cSYUgANcIoJy3RTmsp39lNrfX1+GL26Wd/nfsbRS54rp+HxNb+enyOOsPiD8SLD4VaN8T9U1vQdRs7yeBZNEj0s20sglmEQWOYzNlxkMBs5wenWuq8R+MvEup/FgeAtC1vSPDEiaWl9HNqNmbqS+dz/q4k8yP7gBLEFj7V5v4a+Hr+Gvgv4W8f6J4bvYvFejOt3e2RjlMl5EZCs0ZhbPz7GLLgA5Ar0L4v3ngPxBpzab4z8I+Ippha/aNNuLXR7iaXe8ZH7qSBWMTqTjEmwZI6gEjSraMpWWzenlbS3fXVd7NbEQ1+a3+fXtpp809z1PR/wC0f7Lt/wC1hbC/2Dz/ALMxMe7uVJAOPqKt1xvwUtfE1l8L9DtfGDStrMdsFn85w0gH8IcgkFsYzg12VOorSaFB3igoooqCgooooAKKKKACiiigAooooAKKKKACiiigAooooAKKKKAPC9e/5Pi8O/8AYlTf+lEle6V4Xr3/ACfF4d/7Eqb/ANKJK90oA8o+DXxA1/xZ8RfiDoOrCzFn4fv0t7LyYirlSCTvJJyePauZi+NPiGx1L4uyahYWl7Z+DfKNhBChjeTcOd7ZOecdAK56w1TxF8FvjL45vtU8A+JvEWkeJrhLyxu9CtftJUgcq65G3k459Ohq38JrDxnpOk/EX4o6p4Dup7jxLdJLa+H5HVZ3tlGMup6MQfunnIPFZxfNTUr/AGNf8Xu/jv8AiU9JtW3np/h1f3bG58E/GPxi8VXek67qdx4F1jwvqCbp00ed/tWn7l3L5gbgkdCo5zXCX3jD4mfFL4tT3fgq78NWUPgjVZY4dFvb2SK61DACuxUDDLwcZwFNZ3hHRZtW+Nnh3W/hR8N/GXga1t5mbXv7Uh+yWkkeOipuO4k5zj244qh8ctQ0fxl4ivtB0/4R+LNI+KYlJtL6wRUidBJtSZ5VYFoyoznbgHjPFa396DS76dd1r5/P9CFflkm+2vTrp5dNv1PsvT5Liawt5rq3+z3DxK0sO7d5bkcrkdcHIzU9ZHgq31W18H6Pa65IJdUisoUu33Z3ShAGOe/Oea16c0lJpCg7xTCiiipKCiiigAooooAKKKKACiiigArlfibc+OYNDhi+H+n6XdatcTiNpdRmKQWse0kyMFBZuQBgc/N7V1VeZftIeNfFXgn4fm88GeHL7W9Zu5hbQi2tXnFvlSTKyoCSBjjtkiom7IuCuzkPgf8AFXx9q/xH8WfDvxxpmlXesaHbNcJcaRuWGQqVHl/P3O4YJx7irfwt+JXxA1v4+a34H8XaTpOlWtppIvobW2czSxkuiqHl4DHDHIC46c1z37LWs6Vo0WpWP/CDfERPEF5BJqOr61rWkeSL2VRkxod5x1IVe9cz4N8d6h/w1JqXjaT4Z/EGHS9Y0+LSovM0VlaKQyp+8k52iMYJJBJ9q2iv3sIvX3Xftezs/v0+V9LmUn7kpLurd7afpr87H058QPEcPhHwTrPiae3e5j0yzkuTChwZNqkhc9snv2r570j4yfFvST4N8XeMbHwvJ4O8WX0drBFYGT7VaCU/IXJ4bA5OM5x2r0hvHjeK/Fvj/wACz+ETqei6JprC4lhm3m7kZObbYQAHIz/FXzp4d+Gem+LvH3hqx8F+APiF4f07T9UivdTu/Er+XFBFGd3lwJnByRjIyenaoo61Ivo7fdd3v8uvT5l1NKcu6v8AfZW/4bqeqfHD4o/FbwlqWq32lXXgGy06wkVbfSbu9M2qX6MwCukS9N2eAefrXceJLz42a7oWgaz4H/4RLQxc2Am1K015ZjJDKQDhSingDOc4ryL9pGHS/EV9rujv8DfE934ylxb6Xrtpb77dgpAjlMyt8uB2K+xI612njm7+IXhD9lrTvDzafqeteNNQsk0xvssTTtCzjazO6ZA2rn5icZxzUJv2La1d1bzvfT8r9F5DdvapbaO/ltr+du5qfsteP/Hnj+HxHc+LH0W4s9PvPslndabA6RXDLneylzll4HYVL8f/AIkeLfDHizw14P8ACMehWN7rnmMNV1yVks4tn8Bx/Ee38q09M0+6+C37P0Vv4f0GfxBqGlWiu1nACHupmI3n5Qx6kngHpXmn7REniHxBqfgbVPE/gPxDrHgZrYXWo6VpEPm3Ud2VyquvDYB+g6854rSpbnUYvRNJ+ej/ADt+S6k0m+Vya1abXlt+V1+LLuj/AB28aWfwi8b+INa0TS9V1Twzeizju9LkY2V2S20yKSDlF6nHX2q38K/il8Srj4q6N4S8WT+DdetNZsHvEuPDkzv9hVVLDzc5HPA7DngnpXnXhjSPitZ/BDx3aeC/DOtad4euLsf2NpepIov0tWb9+FU9yueDk56Zq38DNGubf416De/DPwB4x8JaFHZ+T4jOv24iS4UD5duTlmzg5HfsBV00nU17L/0nr216/IVTSDt5/mrW76dD7Ak+430NeHfsMf8AJuej/wDX5ef+j3r3GT7jfQ14d+wx/wAm56P/ANfl5/6Pesxna/tA+LdW8D/CbWvE+iC2N/ZRq0QuIy6ZLAcgEfzrL8eeO9d0X9nN/H1mLQ6wNHhvMPETF5jIpPy5zjJPetP9oXwrqnjT4P8AiDw7oqo+oXNsfs8bsFEjLyFyeBnGOa8E8R+NvGPjD4L2vwj0z4TeMbXxDNZw6bPcXlmI7GMIArOJicHgcZAHvWT5pRnGPxaW/G/6XLVlKEn8Ot/wt+p1njf40eNIV8AeH9Bk8M6XrPiXR49Rn1PWneOyRimTGAMkEnOOT2Fb3iv4kfEL4e/BHVvE3jfSNGuddtbhbe1l06VjaXCuQEl5+ZVGeQcZxWP8VE0nw/4Y8P8Agfxp8Jde8a6PZaTDDDqOj2wuZI7hU2MAuVZBxnOfwrnfhJB4u8F/CLxLda54B1/W/Ct1qhNhoN66zX0Vg33mKHqQP4eDnnitaji/acr0u7P/ALe28tPlbUzptr2fN2V112u/X/PQ6/8AZptvibaarqGp+ItR8N+IdC8RyPqYvtKvnkFpMwz5W1gML0G0Z246171XyT+zjYx6v8bY/Fvwx8L+I/DPgF7GRL6HUiEgmmOceSgZgQDjoTg56V9bVpO1o6W029HZfht5Exb5pXd/6/r5hRRRWZYUUUUAFFFFABRRRQAUUUUAFFFFABRRRQAUUUUAFFFFABXj37RHxH8UeD9V8L+HPCkOjW194guJIl1TWZClnbFADtcju2ePp3r2Gvnj9ri01y81rwomoeFdZ8SeAYp3l1ez0aISXTzAfusr125z0wOuSOKl/FFef9f18i47N+TOo/Z0+IPi7xhe+KNF8XQ6Nc3Og3UcI1TR3ZrO6LAkhCepXAzz35AqD9pP4geL/BuoeE9M8JX/AId0+bWruSCW61vItogqbgWcEbRx157V5x8ENW1z4ceEfiL4rg8MavovgO0UXWiaVrhEE/nZww6FlDEgcg/w4zzXYfEzXtP17wX4S8QePvgnq/iWzvLUzyW+nxi6m0+ZsbVMZKMQy5O7tgetVV2jb+7f+vOz/DuTDeXzt8rfldHVeENX+K0nw11PVLm58FeK9eeVV0v+xLpls2UsFYvIw/hBLYHpiuL8EfFD4paT8frH4X/Ee08O3ranaNcQXGiiQLBhGcFt/JHyEdBye9c18FoPFvwz+HvxC8b6b4F1m3sL65jk8PeG5FaS4QFiuWjXLKBvBIxnAP1pv7NniF/+FgPrPi/wJ8Qrjxx4hcxXOr3miGGwsYuoijYtlI+ByRknHFXDWpt0V15taL1T1b/4YmWlJ+rs/nv6W0SO5uvid8RLb9ozw14I1TQtM0nQdYW6MamXz7mVIo2YOWUhUyQPl+bjNe6Pu2HbjdjjPTNfJHxM8d6hP+0l4W8X2/wz+IM+neGku7a6MeiszTl0ZFaLBwy5Ockjive4vHWtzfFPTPCsfg3UV0e90w3r6vIrKsD4yImG3aG7Y3Zz2rOn71GHd3/Vr8Fcqp7tWXay/wAn+LPHPi/42/aM+G+kR6rqeqfDq6S7vUtLG0tLe5e4nd2wqqrAAnHJ57V3vxu+JviLwZ4O0nT9FtbO88b6nAZUgZCYYUjTzJ5nXOdgVSOvUisHUdL1f4kftTWU2o6PqNr4W8FQtNby3Fs8cV3eEgAqWADAHkEZ+771m/Fj4a/F/wD4Tvxh458M6h4TuLW/0l7OOG9SeW7jtgh3RxKqYDN7E5OKzlJ+yT73fyW33vfyLSTqvysvm3r9y/E9Z+AvirVfG3wo0PxNrQtxf3sO+byEKJnPYEn+deJ/8FI/+SXeG/8AsN/+0JK9B/Y903xjpPwa0+z8WQ29sqDFjbCCSKeGLnImDgfNn0rz7/gpH/yS7w3/ANhv/wBoSV1VklN2Oei24K59KaZcTLp1sq2M7gRLhgyYPHu1WPtVx/0D7j/vpP8A4qsrVvEOk+FfBTa/rt0bXTrO2WSeURtJtXHXaoJP4Cs/w98SPCet6xDo9vcajZ306F7eHU9KubA3AHXy/PjTzCO4XJrJauyNHors6X7Vcf8AQPuP++k/+Ko+1XH/AED7j/vpP/iq5LUfip4Qstd1DRd2u3l7p0giu1sNAvbtYXIDBS8UTLnBB61taV4u0HUte/sG3u5V1P7FHffZZ7aSGTyX+62HUc9iOoPBAoWqTX9dfyB6bmn9quP+gfcf99J/8VR9quP+gfcf99J/8VWZq3i7w/petnRb6+Md+ti9+0QhdtsCEguSAQOQeCcntWL4Z+KXhTxJNZJpEfiKeO+Cm2uG8OX8du6sMhvNeEIFI/iJx70LXb+t/wDJ/cD03/r+ro637Vcf9A+4/wC+k/8AiqPtVx/0D7j/AL6T/wCKrC0jx94R1bxvqfguw1iOXXtMVWu7QxupQEA8EgK3BGdpOO9W08WaA+p61pq3xN1oaI+op5T/ALlWQOpzjDfKQflzSurX6Wv8u47O9uppfarj/oH3H/fSf/FUfarj/oH3H/fSf/FVDpOtabqvh218QWFx5um3dqt3DNsZd0TLuDbSMjg5wRmudvvid4Ms/Cuk+JpNSuZdN1iRYtPa30+4mkuHOcKsSIXycHjbTas2mJaq6Oo+1XH/AED7j/vpP/iqPtVx/wBA+4/76T/4qsvwn4t0rxM066bb6zCYAN/2/R7qyzn+758abvwziq3i/wAeeHfCupWem6rJqL3t5G8sFvY6Xc3kjIv3m2wxuQBkdaHpuBu/arj/AKB9x/30n/xVH2q4/wCgfcf99J/8VXLaj8TfCenaHZaxfvrFtBfXX2S1ik0S8W5llxnasBi80/Xbg1f8I+OPDfim5urPSrq4S9tcGezvbKazuEU9H8qZVfaezYwSCM8GiwXNr7Vcf9A+4/76T/4qj7Vcf9A+4/76T/4quT1b4p+DNO1K8083epX8tkdt2+maRdX0VuwGSskkEbojAclSQQOtXdX+IXg7S/An/Cc3WuQN4dKBxe26tOpBOOiAnOeCMZBBBpXVuboOzvbqb/2q4/6B9x/30n/xVH2q4/6B9x/30n/xVR6FrGm65odprel3S3Gn3cKzwTAEBkIyDg8j8ax/A3j3wp43k1NPDGqjUDpdybW8KwugSQdgWUBunUZFVZ3ceqJTTSfQ3PtVx/0D7j/vpP8A4qj7Vcf9A+4/76T/AOKrlPGXxQ8J+ELmaHX21u2WAqJLhNCvZrcFsBR5yRFCSSBw3XipV+JXhUaBda9dSavYafayxRSSX+jXdqd0jBU2rLErMCSOVBAzziktdhvTc6b7Vcf9A+4/76T/AOKo+1XH/QPuP++k/wDiqzvFfivQPC+nxXut6gtuk7BLeJUaWa4Y/wAMUSAvI3fCgnHNZNt8TPB82malqEl7e2SaZCJ7uK+025tZ0iJwJBDLGsjLnjcqkZ4pXWvkHbzOn+1XH/QPuP8AvpP/AIqj7Vcf9A+4/wC+k/8AiqydR8aeG7CfQ7e41A+frzAabDHC7yTjbu3bVBKqBjLMABkZIzWI/wAWfBv9pXun251++msbg2ty1l4ev7mOOUAEoZI4WXIBHfvT62/r+tQ6XOx+1XH/AED7j/vpP/iqPtVx/wBA+4/76T/4quR8VfFbwh4XlZdcOvWqKYwZh4fvnhy+Nq+YsJQkkgYznJx1re8J+J9N8TW80+mwarEkLBW+36Xc2ROem0TohYe4zQtVdA9NzQ+1XH/QPuP++k/+Ko+1XH/QPuP++k/+Krmtd+JXhHRtam0e7vbyW6tgpujaadcXMdoG6GaSJGSLoT85GAM9K1vFXinQfC/hmbxJreoJbaVCqs04VpMhiAu1VBLEkjAAPWldW5ug7O9upf8AtVx/0D7j/vpP/iqPtVx/0D7j/vpP/iqz5vFOgw+DpPF73w/sSO1N41ysbHEQGS20Dd07Yz7VfttSs7jSE1aGbdZyQC4WTaRmPbuzjGenanL3b36bii+a1uuwv2q4/wCgfcf99J/8VR9quP8AoH3H/fSf/FVx+gfFjwfr0loukL4iuortwkFyvhy/Fu+TjPmmHYFz/FnHvVrWviX4P0jWp9Iur67kubYqLtrXTri4htN3TzpY0ZIuMk72GACTxTswOm+1XH/QPuP++k/+Ko+1XH/QPuP++k/+KqzG6yRrJGwZGAKsDkEHvS0gKv2q4/6B9x/30n/xVH2q4/6B9x/30n/xVWqKAKv2q4/6B9x/30n/AMVR9quP+gfcf99J/wDFVaooAq/arj/oH3H/AH0n/wAVR9quP+gfcf8AfSf/ABVWqKAKv2q4/wCgfcf99J/8VR9quP8AoH3H/fSf/FVaooAq/arj/oH3H/fSf/FUfarj/oH3H/fSf/FVaooAq/arj/oH3H/fSf8AxVH2q4/6B9x/30n/AMVVqigCr9quP+gfcf8AfSf/ABVH2q4/6B9x/wB9J/8AFVaooAq/arj/AKB9x/30n/xVH2q4/wCgfcf99J/8VVqigCr9quP+gfcf99J/8VR9quP+gfcf99J/8VVqigDwXXZpD+254ec2sob/AIQqb5Mrn/j4k98V7h9quP8AoH3H/fSf/FV4rr3/ACfF4d/7Eqb/ANKJK90oAq/arj/oH3H/AH0n/wAVR9quP+gfcf8AfSf/ABVZHhjxr4a8S63rOi6LqJub7RZhBqEXkSJ5LnoMsoDdP4Sarad8Q/B1/qXiDT4NaiWfw5t/tbzo3iS2yMjLuAp49CaV1a/lf5d/QLfnb59vU6D7Vcf9A+4/76T/AOKrOXTbBfETeIh4fP8AazWwtWu8p5hhDFgmd3TJJ/GuT8E/HL4W+NPEg8O+HPFcN5qZDbITbyxiTHXazqFb8CawPiN+0N4K8I/EfRvB39o2Vw89y0OrT7326cMDYSQpDEk4IzxjnFNfFFdXsFtH5bnrn2q4/wCgfcf99J/8VR9quP8AoH3H/fSf/FVPBLHPCk8MiyRSKGR1OQykZBB7in0Ancq/arj/AKB9x/30n/xVH2q4/wCgfcf99J/8VVqigCr9quP+gfcf99J/8VR9quP+gfcf99J/8VVqigCr9quP+gfcf99J/wDFUfarj/oH3H/fSf8AxVWqKAKv2q4/6B9x/wB9J/8AFUfarj/oH3H/AH0n/wAVVqigCr9quP8AoH3H/fSf/FUfarj/AKB9x/30n/xVWqKAKv2q4/6B9x/30n/xVH2q4/6B9x/30n/xVWqz/EOt6R4d0ifVtd1K102wgGZJ7mURovtk9z2HU0m0tWNJt2RN9quP+gfcf99J/wDFUfarj/oH3H/fSf8AxVYXgzx/4T8YeFLjxT4d1T7bpFuZFkuPIkTBjGW+VlDHA9Bz2rkfDP7Q3wh8SeI7Tw7o3iprnU7yXyYITp1ym9/Tc0YUdO5qrPm5evYTdo83Q7nQdK07QhdjR/Dv2L7ZcNc3Ji2Ayyt952O7kmtL7Vcf9A+4/wC+k/8AiqlvLm3srOa8vJ47e3gjaSWWRgqoijJYk8AADOa868LfHf4T+J/FKeGdF8YWtzqcjmOOMwyxpIw7JIyhGJ7YJz2pLV8q3B6Lmex6B9quP+gfcf8AfSf/ABVH2q4/6B9x/wB9J/8AFV5x4z/aA+E3g/xFdeH/ABD4oaz1K1O2aEafcybT/vJGQfwNanjb4w/DvwZpGlat4j142dnq0fmWUgs55PNXGc4RCRx64pJpx5ug7O/L1Oz+1XH/AED7j/vpP/iqPtVx/wBA+4/76T/4qsH4ceP/AAn8Q9Hl1bwhqh1GzilMTyG3kiw/piRVP6VY8eeNPC/gXQ21rxZrFvpdkG2h5MlnbGdqqoLMcA8AE05e78Wgo+98Oprfarj/AKB9x/30n/xVH2q4/wCgfcf99J/8VXE6N8ZfhxrHgfUvGuneIhPoWmNtvLgWkwaI+6FN5/AVH8O/jZ8M/iBrp0Pwn4iOoagIjKYjZTxfIOpzIgH607O/L1FdWv0O5e5n2N/xL7jof4k/+KrxL9h6aWP9nbRwtpLKPtl5yrLj/Xv6mvd5PuN9DXh37DH/ACbno/8A1+Xn/o96Qz2j7Vcf9A+4/wC+k/8AiqPtVx/0D7j/AL6T/wCKqj4y8TaL4Q8O3XiDxDeGz020UNNMInk2jOPuoCT+AqDV/GXh3SfBJ8aahqBi0IWy3RufJdv3TAENsALdCOMZpXVm+w7O6Xc1ftVx/wBA+4/76T/4qmyzSyxtHJps7IwKsCycg/8AAq5Hxb8Xvh14U8O6Zr+v+JYLOx1SFZrImKRpJo2GQwjVS+MHuOKs6J8T/Aes+B5/G2n+JLR9At93nXbhoxGV6hlYBgfbGTRK1pX6b+XqCvpbrt5+hseH7Cz0DR7fSNF0FrGwtl2wwRFAqDOcD5vU1f8AtVx/0D7j/vpP/iq8w+B/xw8NfFHWde0vT57eGawu3Wyj3MHu7Ufdn2soxn+7yR3r1mqaejfXUnS7XbQq/arj/oH3H/fSf/FUfarj/oH3H/fSf/FVaopDKv2q4/6B9x/30n/xVH2q4/6B9x/30n/xVWqKAKv2q4/6B9x/30n/AMVR9quP+gfcf99J/wDFVaooAq/arj/oH3H/AH0n/wAVR9quP+gfcf8AfSf/ABVWqKAKv2q4/wCgfcf99J/8VR9quP8AoH3H/fSf/FVaooAq/arj/oH3H/fSf/FUfarj/oH3H/fSf/FVaooAq/arj/oH3H/fSf8AxVH2q4/6B9x/30n/AMVVqigCr9quP+gfcf8AfSf/ABVH2q4/6B9x/wB9J/8AFVaooAq/arj/AKB9x/30n/xVH2q4/wCgfcf99J/8VVqigCr9quP+gfcf99J/8VR9quP+gfcf99J/8VXMeMvih4D8Ia5YaHr/AIktbbVNQmSG3tEDSylmOF3KgJQEn7zYHvS/Ev4meCvhvaWd14y1g6bDeOUt2FtLNvYDJGI1bHHrSurc3TYdnexq+IdM0/xDp40/W/D5v7QSpN5MxQrvRgynG7nBANaC3EyqFXTpwAMABk4/8ern/hr8RPB/xG0y51Lwdqx1K1tpRFM5t5YtrEZxiRVPSpfiH498I/D/AEhdV8Xa3Bpls77I94Z3kPoqKCze+AcU5e7voKPvbam59quP+gfcf99J/wDFUfarj/oH3H/fSf8AxVc14S+JvgPxV4VuvFGh+JrK40mzBN1O7GLyMf31cBl9sgZ7Vm/D/wCNHwz8ea3JonhbxTb3uoIpbyGhkhZwOuzzFXf6/LnjmnZ35eoX05uh2/2q4/6B9x/30n/xVH2q4/6B9x/30n/xVef6t8d/hNpfi7/hFb7xnZRap5oiZQkjRI57NKFMa++WGO9ekoyuiujBlYZBByCPWktVzLYHo+V7lb7Vcf8AQPuP++k/+Ko+1XH/AED7j/vpP/iq8/1P48fCXTfF3/CK3njOxj1TzREyhJGiRz2aUL5a++WGK0viP8Wvh58PGtk8W+JbewluRuhiSN55GX+9sjViF9yMUrqyfRj5Xdx6o677Vcf9A+4/76T/AOKr5d/4KOSySfC7w5vtpIv+J11Yqf8AlhJ6E19MeFfEWieKtCt9c8Palb6jp1yu6KeFsg+x7gjuDyK+bf8AgpH/AMku8N/9hv8A9oSVTTTsyU01dHpv7SWf+Gb/ABDtxn+zhjP4VhXJ8Qav8ZPBOm/ES30vTVslkv8ARX0uZpory4CYaN3kVWQqvzYAIPrXqmu+G9L8XeBX8O61HK9he2yxzLHIUYjA6EdKf4o8I6L4jbSH1KObzNIvI7yykilKNHInTkdQehHcUoaST8/6fqt/kOfvRsuz/G2no9meTeBpfHSfFb4mjwnZeG7i3/tqHzzqd3PE4b7On3RHGwIxjqRzW58Y4T4c8d+CviSSIxa3I0nVCp+X7PcHaGJ9EY7q3b/4U6JceIdU1yz17xXpN1qkwnvF07WJYI5HChQ21eM4AFdD4g8J6T4g8Fz+EtaFxfadcW32aVppS0rjGNxfrv77uuaE2owtvG34KzXo1dfMcrSlLs7/AI7fdueY6RCviAfEv4gs/mRXMU2k6c3UC3tgUYg+jSB2/GtH9nSXx83w58GpqFl4ZTQP7EtvLlt7udrsr5K7Mo0YQH1w3HbNd7ovhHQ9H8EQ+DdPtmh0iK0+yrGHO4oRgkt1LHkk+prA8KfC3S/DMmnjTfE3jD7Lp6olvZTa1K9sEUYVDGeCoAAxThaLcelor7ua7+d7/eTK8kn1u/xtZfK1jyGXw/qU/i34i+M/DEIbxL4b8Trc2yg4N1B9lh823Y+jD9a2fAGv6d4s8S/FXxDo0pns9Q02ymhOORmyTKkdiDkEdiDXtHh7wvpOhanrWoafHKs+tXYu7wvIWDSbFTgHoMKOKzvBXw98K+D9T1zUNB0820muXBub1d5KFz12r0UdeB61HLeHJ/dS9HZJ/LS//DmnNabmu/4Xuvu/XyRi/Ce4h/4Zz8Nz+YPLTwzAGb0xbgH9Qa8eC6pD8EPgl/ZkNq+oHV7V7ZLt2SJiwYruZQSAQewNewy/Bvwmxmt47rXrfSJ5Wkl0aHU5E099xyymAfLtYkkjoSTW14y8AaB4o0jS9MuvtthDpMyTWDadcNbPbsgwu0r0AHGK1lPmm6ndxf3Nt/mZwXJHk6Wa+9WX/BNDwjJ4sktJj4ttdEt7nzP3Q0u4llQpgfeMiKQc56A1538S38SR/HbwofC9vpM99/Y95ldSnkii27kzzGrHP4YrvvB/hSLw21w0eveIdU88DI1TUnugmP7u77vXmrV34d0y68V2PiaVJTqNlbyW0LCQhQjkFsr0J4HNT9uMu1//AElr9Q+y16fmmeSfG6Txd5Xw3kvLXQl8Q/8ACTJsijuZTZltj4y5QPjHX5etN8MHVtS+KXjLVfE8drYeMdL0NbS0srN99u1qwd0nSQ4d9zlwQyjbtr1nxP4W0nxHeaPdanHM0ukXq3toUlKgSgEAnHUYJ4pt34T0e68a2XjB45l1aztHs0kSUqrROclXXo2DyM9MmptdNd7/ACvG2n5ej7lN7eSXztJv+vNHI/sxrZn4IaBLbiFpJklkvGXBL3BlfzSx7ndnrXjOtW8Ufwe+I8NqEOit44VbONeYwpeDzQvbHmb+PXNe4X3wj8NS3t9Pp+oeIdDh1CVpruz0rVJLa2mkYYd2jXjLAcnvWrqPw78J3ngaDwUNNFpokDRtHb2rmLaUfeDkc8tyfXJq73qc78tP+3ot/day9egRfKuX53+TX66nj3/CQ3XgjQ/Ffwqs2catJqSR+HVIIMlvfbnyuO0bC4HHTaK6X9njRbXw343+IWhWf+psrqxhDHq5FpHuY+5OSfrXoOq+A/DWp+OtK8aXlmz6zpUDQWsu8hQreq9CRk4PbJq7ofhjSdG13WtasY5VvNamjmvC0hZWZECLgduAKUHbV72t9zVvwTb82Tbtt+r3/HbyOI/al/5I3qH/AF+Wf/pRHUf7Tf8AyRS4/wCvux/9KI67zxp4Z0rxdoEuh61HK9nLJHIwikKNlHDryPcCm+MfC+k+LPDr6DrEcz2TPE5WOQo2Y3DLyPdRSjov+3k/lp/kN/En5NHnMpjm/an0yHVDuSHwo0mlJJjaJTMBMyZ/i2iPp2ro/wBoRE/4Uz4qk2Lv/s8jdjnG4cZ9K2PG/gfw/wCL7ezXVYZ47mwfzLK9tZjDc2rdCY5F5XIGD61nRfDHw+dG1PTNQvdc1YalB9mnuNQ1F55xFnOxHPKrnnAqJxcqTh/i/Ft/rb+rDpvlmpf4fwSX6X+fzPOf2dFePxnfL45WM+Nm0u1bTpA2bdtL8tdots8jD58zgHJXPGKf8F5fHi6z41Xw7ZeGptK/4Sy489767njnB2Q7tqpGynjpkjn0r1LWPAfh7VG8PSzw3Edx4dkV9OuIZiksYCbCpYcspXgg8GsT/hUehxanqF9p3iHxdpR1C6a8uIbDWpYYmlYAFtg4GQo/Ktub3+bya/FNP52189epCVocvmn+DX+VvLTprQ/ahz/wqhs9f7W07OP+vuKvT4P9Sn+6P5Vi+K/Cuk+KPDqaDrH2ia0WWGXImKuzxOroSw5PzKM+tbiqFUKOgGBUrSLXnf8ABL9BvWSflb8WeL+NdI8X/DPWfE3xC8Kix1zQr9ft2t6NdkxzqUChpIJMEHCBiUbA44qp8SvGuj674s8BaW9jql1ozRf8JBexWWmT3kmxU2wI8cKMQC8m7JGMx13GvfCnw1rV/dTXd3riWV7KJbzS4dRkSyuWyCd8I4bdgZ9cVt6B4N0LQ/EupeINPt5EvtRhht5S0hKJFECESNeiKMnge1TFaJPp+i0X32t2t91Se9uv62/S9/U8G0HXoH+BPxV8FqNQj/sK2u2skvrOW2mNnMjNEfLlVXAyHHI9K9u8O/8AJJLL/sCL/wCiab4h+HPhnXdZ1XVr6C5+06tpLaRe+VOyLLbk5wQP4h2bqMmoPC/w40/w+wWDxF4rvbYWzWwtb7V5J4QhXbwjcZA6HtSmnOnKPVpL5q6/HR+twTtUjLom39/K/wALP5WOH/Zhl8ef8K08LI9l4ZHh37O2JVu5/tmzc2Ds8vZnOMjdil8ZaX4u+Fmq+J/H3hoWOu+G74nUNa0i5JjuIyuN8kD4IYBNx2NjpxXVeGPhLo/hs2UekeJPGMFnZOGhsjrcptwAc7CnQr7VLrfwn8M6xfXMt5da2LC7mE11pUeoyLY3DZBO+EfKQxAyO9a1Jc0+aPW/6b9/+ATBWVnt/wAOdjomoW+q6PZ6laZEF1CssYIwQrDI4q5TIIo4IUhhjWOKNQqIowFA6AU+pla7tsKN7K+4UUUUigooooAKKKKACiiigAooooAKKKKACiiigAooooAKKKKAPC9e/wCT4vDv/YlTf+lEle6V4Xr3/J8Xh3/sSpv/AEokr3SgD55/Zqmhj+OXxhtXlRbg6pFIIiwD7cH5sdce9cr4F0jR/Gviv496fd61BY6Rqd1BaHURKoRHAI6k4OGGMZr2P4kfAr4c+Pte/t3XNLuItSZAktxZXLQNKBwN+37xA45rV0z4T+AtO+Hs/gO10GBdDuRm4iJJeZuPnZ+pfgc+1RGPuJS3UeX8tfwKb95tPeXN6b6fezxXwzq3iv4VeNPBfgT4j6F4c1vT7iT7Poet2AVZoSqBRuQgNnBGW9+CcVneKtB8S/B6PxX430EeGvHPgPVr57rUrW6dfPidm2vh+QwDfLgEnI5AxXsPgH4BfDTwVr8eu6TpFxPfw58iW9uWnMJ9U3fdPvXK3v7Mngy++LM/ia5tVOgSwiZtMFxJh7wyFmcr93YRj5c9cmtLtyjrrrd/jZrrtv3t6kJJRatppp56q6fTfbtf0PZfBWo2er+D9H1TT7c21pdWUMsMOMeUjICF49Bx+Fa9R2sENrbRWtvEkUMKCOONBhVUDAAHYAVJTm05NoUE1FJ7hRRRUlBRRRQAUUUUAFFFFABRRRQAVk+LdH0vWtHkg1bT7e+ihzNGkyBlWRQcNg9xWtXM/ErwNoPxB8OHQPES3TWRlWXFvcNE25enzL256VFSLlFpf1/wxcHaV2eL/sgQxy/s6a/byXEFpHJf6hGZpm2xxgjG5j2A71yui3XxM+At74H0PWrnwhr/AIc1TUV0+3Sxjxcr5jcSb2UFsZzkZ7AnpXsfgD9n/wCG/gm9vbnRtPvnF9aSWdzDdXjzRSRPjcCh45x1o8F/s+/DDwn4nj8RaZo08t9Axa3+13LTJbt6orcKR29K2unVU+ml/l0/4Jk1+7cfN2+Z3Oo6x4Y1AanoF3q2kTTR2rG/spbmMtHCwwTKmcqhBxk8V8pePbXxX4P+Lvw41P4lL4Y1vSf7REGkw6Cn2doGZgEcptBdR8p7j3z1978IfCyKDxd418T+KmtNSu/Exa18mMN5cVjjAiOQMk9z7cVW8G/s9/C/wp4li8Q6dos817bvvt/tdy06QNnIKK3CkdvSop6ThN+Tf+Xr59yp/BKC81/wf+B1R5n8S/D/AMRfBviHx18VfB2veC7nSJSs15aXaebMPKHMeSu1W56bs/jWv4k0vxX8YNI+HHjnwhqHhvQtbtbRr8WOp7pF2uu0lUCksoz1IHUV23iz9nz4X+JvFcviTVNGnN3PIJbiKK5dIJ3zks8Y4JPf1rW+Ifwc8A+ObDTrPWtIaJdNj8qzeylMDxR/88wV/h9vaojG0EuzVvK1+vXWxUmnNvve/ne3T9Tjv2dfijqGsaN4qtPHjaFptx4Yvfs13qVvIkNpKDn5s8KvTrnmuL/aTOueIP2g/hxpvhy50R/Os57jTpdSzLZNNg7ZCqghiONvB5xXs1v8HfANr8N7v4f2ujm30S9A+0rHIRLMwIO5n6luBzTfGvwd8B+L/DOleH9a0uR7bSEWOxlimZJolAxgOOcY61T+KMu1vK+jTflrqiY7SW17+dtrevW543pOoeK/iR4J+JHwp8U3nhiy12yuUsk1S3AhtJnZgFU4Gd2eAMZ5xjNavw18VfETwZ8a9H+FvjkeGNUj1DT2e1utIh8p7cRoT84wCc7e4HrzXpukfBf4d6Z4BvPBNvoKNpN63mXPmOWmlkH3ZDJ13Dse1J8MPgx4A+HWozan4d0uX+0JV2G6u52nlVe6qzdB9KqNlO/kr+dk1t01dxS1jbzdvK7X37Hocn3G+hrw79hj/k3PR/8Ar8vP/R717jJ9xvoa8O/YY/5Nz0f/AK/Lz/0e9IZr/tfqzfs9eKNqk4gUnA7bhXK/F3U9OX9idJjfW/l3GgWsMLiQESOUUBVPc54r3zVLCy1TTrjTtRtYrqzuY2imhlXckiEYII7ivItL/Zl+Een61FqiaJdT+VIZEtbi8eS2B7fuzxgdhWbhzKcHtK34X/zLUrOM1vG/42/yOO1D4c+Ida0r4deKvBOu6PbeMNB8NwRtpepAOksLR8kryVJJIyRj3FVdMm0/42fC3xb4J1ez0zwL4it9YWC8a3lRre4vFI28g4fJABAz7Zr134nfBjwF8RNQt9Q8RadcfbLePykntLhoHKdlJXqKik+CXw8X4cXHgW10GOLTJnE7ESMJWmH3ZDJ97cOOa0qS5udtbtu3/b19/wBO5nTjy8lnqrK/orbf1oef/C3xN4l8P/GLSvht8RvDegSa0unO+ma7pm0GSEDBDLgFQdpHOCT2r6JryP8AZ++B+g/DHTob64iivvFDxFLrUDI0gwSflj3cquMD3r1ytJu9tbv/AILJirN22/4AUUUVmWFFFFABRRRQAUUUUAFFFFABRRRQAUUUUAFFFFABRRRQB83fthaLpVnfeA9VtdNt4r688YWQuLlIwJJcBsAnvXYftAeB/EfjLWfCM/hHXPD+n61otxLeRQ6oC4kUoEJEYU7gN3PGORVj4hfs9/Dnx34nn8ReILfVJb6fbuMV+6INowMKOBVnWvgP8OtY8HaR4XvtPvXtNIDCynF44uI1Y5ZfM6kE449hUxXuJP8Amv8Al+TVypNc1+lrfn/nY539nb4lazqj+MtD8ef2HaXfhW4VbrU7JlitZFbdyTwFxt6/yxWH8TrvS9a/aq+E1xJc2moaNPaXkllKkiywSyeWcEEZVu2Peu41n4OaXpvwh1TwB8PobTRV1UpHd3VwWeR4yw8xi2CWfZuAzxzWh4i+C3gPxD4E0bwfq2mySWWjIq2UsUpjmiwMHDjkZ7iq+1GX8tvK/utN+W6a8yLe7KP81/lqret9b+R8o/F0G3vfjnb6OBHpBv8AT/tghwFVvOXI4/GvTfi3b2Nn8VPgrJ4Yht4tQa0n8oQKAWi8jqcdR1/WvbfC3wj8A+HPBN/4P07Q4m0rUVIvlnPmSXOe7ueSR29Kzfhp8DPh18PdcbW/D+lznUNhjinu7hp2hU5BEe77uQcHFKMUkoX0VnfvZWt6fpcqTu3K291b1tr/AF5HzXpFroUn7DPjK6vI7c3/APa8heVgPME/2iPYM9c/0zX1J4L1yBfh9pGj3GqWa+I5NDWZLJrhBcNiP7wjzuIzjnGKwb79nb4VXnjF/FFxoMjXMlx9okthOwtXk9TF908812Enw/8ADL/EW18em1lGt2tmbOF1lIjWIjGNnTOOM0370HF6c1r+Votaer/AW0lJa2v87yT19EvvPkfSrXQn/YR8VXV3Hbm//tVy8rAeZ5/2hNvPXP8ATNdz8E4o739pTVv+Epihlu18H2vkrcKCAmE3EZ46fpmvT7v9nX4U3XjF/E82gyNcyXH2h7bz2Fq0nqYvu9ea1fif8FvAPxFvrW/8RabOLu1j8pJ7SdoHKf3WK9QO1HeVt+nRe7b+ttAauuX1d/WSf6fecF+wzkfDrXY7f/kHJrtwLP02Z5x+lc3/AMFI/wDkl3hv/sN/+0JK+j/B/hrRPCPh+20Hw9p8Vhp9suI4ox37k+pPc184f8FI/wDkl3hv/sN/+0JKubTat0SX3KxMU9W+rb+93PpPTLCzk062d7WJmaJSSV6nFWf7NsP+fSH/AL5rG1bw9B4j8O2NrPqes6esaK4fTNQktJDx0LRkEj2rzL4CaLNf6fqXiHVfFvi+9m0zXb+3ijuddneExQzMqK8Zba3ygZz1rNNa36a/LT/MqWiTXXT83+h7N/Zth/z6Q/8AfNH9m2H/AD6Q/wDfNeRfDfSdS+KPh8+ONe8W+I7OLUZZG06x0jU5bKK1tg5CBhGR5jkAEs3rinfDsat4vtvEXgnxX4i1pr7wpqhtU1PTb6SymvISgaNpDERltpAPqRmnZ6p72v8ALT8VdA7LXpe35/hoet/2bYf8+kP/AHzR/Zth/wA+kP8A3zXjv7Pegz6pYXWvan4r8X31zY65f2sUdzrk8kLRw3DogaMttb5VGcjmsv4geL/EUPj3VPGWm6xer4X8IX1tp99ZQyEQ3Ifa1zIw6MYw+3noVNO2sV3t8k7a/iha+95XXq1fT8Ge7f2bYf8APpD/AN80f2bYf8+kP/fNefeONY1GD41fD7T7PUriPT76K+a4gjkIjn2xqVLDocZyK9LpL4U/X8HYL629PxKv9m2H/PpD/wB80f2bYf8APpD/AN8185XWvaDc+M/iJB4p+KOuaNqVjqhi0iwtvEEkDFPIjZRHbqw8zLlhjBz0rR8feIvFEPwr+G11421y+8MXeoanbx67PBdNp7pEQc72BBj4xkcYOaUXeKl35f8Ayb/LqU1aTj25v/Jf8+h75/Zth/z6Q/8AfNH9m2H/AD6Q/wDfNeR3dlp2ofC7xNdfC34javrmoxxhobkeIZL/AMqWP5wgJZtu4Hkd8ipfGnjzUda+B+g6j4bmlttc8U/ZrS1MJKvBM/8ArSMcgoVcH0p90t9Px2Eul9tfw3PV/wCzbD/n0h/75o/s2w/59If++a8E8T6poVt8bNX0Dxr8TdW8PaZZaJYmxX/hI3sBNKTIJHOGXexCqSff3q/8b/7Yj8H+BND8A+NNUtv7V1ZI4NUGoPPJOhRpF3SkkupOOpIxjtR0vvrb8bf0gSd2n0V/wue2f2bYf8+kP/fNH9m2H/PpD/3zXh3iX4h6trPwz8L39veXOk65D4nttK1yCGQoyTLuEsbAfwNhXA7qy13eganqM3x68UaTLfXD2FvomnzQ2zOTHG7yXIZgvQEhVyfYVSjf73+Sd/Rpibsrvy/F8tvkztv7NsP+fSH/AL5o/s2w/wCfSH/vmvO7vVtUX9oO/wBIXULoaenhOO5W1Eh8sSmeYFwvTdhQM+1effBDUvCXiHTdOfX/AIs60/iyW/uVfTD4slRmZbiQIn2cP02Kvy45FTD3ref+bX6FTXLf5filL9T6F/s2w/59If8Avmj+zbD/AJ9If++atUUCKv8AZth/z6Q/980f2bYf8+kP/fNWqKAKv9m2H/PpD/3zR/Zth/z6Q/8AfNWqKAKv9m2H/PpD/wB80f2bYf8APpD/AN81aooAq/2bYf8APpD/AN80f2bYf8+kP/fNWqKAKv8AZth/z6Q/980f2bYf8+kP/fNWqKAKv9m2H/PpD/3zR/Zth/z6Q/8AfNWqKAKv9m2H/PpD/wB80f2bYf8APpD/AN81aooAq/2bYf8APpD/AN80f2bYf8+kP/fNWqKAKv8AZth/z6Q/980f2bYf8+kP/fNWqKAKv9m2H/PpD/3zR/Zth/z6Q/8AfNWqKAKv9m2H/PpD/wB80f2bYf8APpD/AN81aooAq/2bYf8APpD/AN80f2bYf8+kP/fNWqKAKv8AZth/z6Q/980f2bYf8+kP/fNWqKAKv9m2H/PpD/3zR/Zth/z6Q/8AfNWqKAKv9m2H/PpD/wB80f2bYf8APpD/AN81aooAq/2bYf8APpD/AN80f2bYf8+kP/fNWqKAPBdctLVf23PD0IgjEZ8FTErt4z9okr3D+zbD/n0h/wC+a8V17/k+Lw7/ANiVN/6USV7pQBV/s2w/59If++aP7NsP+fSH/vmvGv2ffEGu6v8AFn4p6fqmsX17aafqkcdnDPMXS3Ug5VAfuj6VymleMPiB/wAJH8c00S/v9UvtHMH9jWcjNMsBKnPloePU4HpU83uqX93m/L/Mrl1a/vcv5/5H0h/Zth/z6Q/981SvpPDtheWdnfTafbXN85jtIZZFV52AyQgPLEDsK+b/ANmrWpfEHiDStRt/jlrGr6oVI1jw3rJ2kNt+cQo3Pyt3HGK4/V9Su/Fnxt1ZPiB8TNS8B+I9D1Jz4ZtbiIR2YhOAr7m4y4Az/eFXyvnjHv8A1p3IUouLl2/rXt5n2b/Zth/z6Q/980f2bYf8+kP/AHzS6X5/9mWv2qeO4n8lPNljGFkbaMsPYnkVZoas7AndXKv9m2H/AD6Q/wDfNH9m2H/PpD/3zVqikMq/2bYf8+kP/fNH9m2H/PpD/wB81aooAq/2bYf8+kP/AHzR/Zth/wA+kP8A3zVqigCr/Zth/wA+kP8A3zR/Zth/z6Q/981aooAq/wBm2H/PpD/3zR/Zth/z6Q/981aooAq/2bYf8+kP/fNH9m2H/PpD/wB81arzf9oq9uNN+Hcmof8ACaXXg/ToLhP7R1C0tWnuBC2VCxBQSrF2T5uwBqZSsiox5nY77+zbD/n0h/75o/s2w/59If8AvmvmX9l7W/EXjPUfHWh2fxL1bW/DYtjDp2o3suNSglcYEqq3zKBzjIxnFZPjHw5438N/GHwX4I0H4yeONd1LULtbnUIbm8Ijgs4zudmw3UgHAPB5rTl96Mf5rf18t/Qhv3ZP+X+v+B6n1h/Zth/z6Q/980f2bYf8+kP/AHzTNZh1CXQ7y30q6jttQe2dLW4lTescpUhXYdwDg4r5b14/Er4efHzwLoVl8TNa8X3OuT51TTbpsxQw7h5jrGDhFC7iDxjbSh71RQ7/ANf8ON6Qcu2p9T/2bYf8+kP/AHzR/Zth/wA+kP8A3zXxz438deINe8S/EW+1D4xT+B73wzPJDouhxXSwpeBAxAZcgyFiAOAetdb4x8fXmtfBrwR4u8T/ABM1bwRYajbbLttHsme4ursDIIZB8iYDHHGeKhSTgp+n3Pb/AIYpxtPl9fw3/wCHPpn+zbD/AJ9If++aP7NsP+fSH/vmvGf2NfEHifxH8Oby98Q+Ihr0CXzx6fcyzCS58oZ/12DkN04bmue/bE8T3eg+JfBltJ4417wjo128wv7vSmfzAAvy/Kv3ucCqq/u2l3t+JMPeTfa/4H0P/Zth/wA+kP8A3zR/Zth/z6Q/981418KvHXhHw38F9X8X/wDCzNU8aadZM0sl1qbn7TG+Plh2t8wLHGAeueK474Ba98Rrj9oK7s/Guu37rqOiDVV0lp2MFl5pDJGqE4BUHFO3v8nl+l7fg/6aJ5vc5v63Sv8AivvPpR9Osdjf6JD0P8NeJ/sPWdrN+zto7S28bt9svOSvP+vevd5PuN9DXh37DH/Juej/APX5ef8Ao96RR7R/Zth/z6Q/980f2bYf8+kP/fNedftS6vqmhfA3xDqmi6hdadfQRKYri2kKSIdw6MORWN8Tde1ux/ZLk8QWerXtvqw0GCb7bHMVm8wxqS24c5JPWolO0Zy/lt+N/wDIpRvKMf5r/hb/ADPXv7NsP+fSH/vmj+zbD/n0h/75r5T+K/jbxZaaB8Mk1bxh4h8M+FNS0SGXVNf06NpJzdmPhXcc88E/XNdRret+MvD37Net6p4K8dy+P7hZ/wDQ9WiAnuYLc43l8Zy6c/T8KufuKbf2W19zt8u+vTUmDU3BL7ST+9X+fy6nu+myeHdSluotOm0+8ezmMFysDq5hkHVHx91vY81d/s2w/wCfSH/vmvnP9kq20VdYuNU8K/FmfxLBqaNdaxpWoKFulum6y7fvDngk9a+lqucHG1/6/rp5ExmpXtsVf7NsP+fSH/vmj+zbD/n0h/75q1RUFFX+zbD/AJ9If++aP7NsP+fSH/vmrVFAFX+zbD/n0h/75o/s2w/59If++atUUAVf7NsP+fSH/vmj+zbD/n0h/wC+atUUAVf7NsP+fSH/AL5o/s2w/wCfSH/vmrVFAFX+zbD/AJ9If++aP7NsP+fSH/vmrVFAFX+zbD/n0h/75o/s2w/59If++atUUAVf7NsP+fSH/vmj+zbD/n0h/wC+atUUAVf7NsP+fSH/AL5o/s2w/wCfSH/vmrVFAFX+zbD/AJ9If++aP7NsP+fSH/vmvnr9qHSfHWh+HPEHxAX4t6rosNm8Y0nSrE+TE4JUbHI5dydx78D61F488T+IP+FJ+CfEHjz4hat4DS8h26k+l2LNd3E5G6LBUZjG1WJ9cikneDl2aX37f8N6FOPvJd7/AIf1ufRX9m2H/PpD/wB80f2bYf8APpD/AN814j+xl4i8S+I/Bus3OteJ28RWEOoGPTLm4lD3flc587nKk/LgNz1rO/bK8TXnh+78FR/8JnrnhTSru9mTUbzSmfzQgjyPlXlucce9Or+7a87eW9v8yYe9fyv+H/DHv/8AZth/z6Q/980f2bYf8+kP/fNeK/Bxm8TfCnWbfwD8YtV8RahcXCKup6sheewG4bl8tuRlQ23PfntXIfD688e+Ff2qoPh/D491jxroz6e1xqp1CTzDZnaxB6kId+wcf3sVSjefJ5fpf+mK/uOfb/O39Lc+mf7NsP8An0h/75o/s2w/59If++a+etX1H4h6R+1l4L0nWvGc11perR3sn9mWgMVskaROUVl/5aNnBy3oK+jnG5GUMVJGMjtUrWmprrf8G1+g5aTcPT8St/Zth/z6Q/8AfNH9m2H/AD6Q/wDfNfJ3x98LeNfA0OlWuh/Gvx7qXiLX9SS007T2vCqfM3zMSpyFUHqPau8+PXirxNb6TZ/DXwfrdzH4jTTG1DWNTjkIls7WGPezFh0eRlCj/eqXJKHN52/C7+5blcvv8vlf8bL73se6/wBm2H/PpD/3zXy7/wAFHLa3g+F3hwwwpGf7b6qMf8sJK9i/Zi1XU9b+B/hvU9Y1C51C+mt8y3FxIXkc56ljya8j/wCCkf8AyS7w3/2G/wD2hJWk48knEzhLmjc+nNJ/5BVr/wBcV/lXGfBfwzq3hvw7rNjrUCQyXeuX93GEkD5ilnZkOR0JUjjtXBan40+P1nqVzaaH4A8KXelwytHZTzantklhBwjMN4wxGCRjg1X/AOE8/aS/6Jv4O/8ABt/9nWHtqV3eS7fl/kbexqNLTrf8Gv1Oh8FWPxE+GulT+E7DwinirSbe4kfSry31CC2aOB2LLFKshB3LnGV4IFdR8JfCeqeHrHV9T8Qz202v69fNf34tgfJiYjCRJnkhVCrk9cZrzb/hPP2kv+ib+Dv/AAbf/Z0f8J5+0l/0Tfwd/wCDb/7OhYimr+8r2t8v6S89BujUb+Hrf5/02d78KfD/AIi8J+BtctriwjfUpdW1G8tIBOuJFlnkeLLdBkMOvSuW8K/A23uPh29j4p1fxJFq+rRy3Gr21prtwlqbmYl5B5avsIDNjpg4rL/4Tz9pL/om/g7/AMG3/wBnR/wnn7SX/RN/B3/g2/8As6l1qTTvJbJfJf56X9ENUqid0nu383/l09SWz8NfE7TY/hpq154aGt6l4atruyv4otShjeRSojilDOcHcqhiOozXs/hbUNW1LTPtGteH5dCut5X7LJdRznHZt0ZK814n/wAJ5+0l/wBE38Hf+Db/AOzo/wCE8/aS/wCib+Dv/Bt/9nWjxNN3vJdfxdyPq81tFnW6J8OZr0fErT/EthA1h4j1U3FoSyuSn2eJA+P4SGQ9eeKwdb8M/Em68AeAftuix6rrvhrWI5buJL6JDdQwlkWQOx27mXaxBPUmqH/CeftJf9E38Hf+Db/7Oj/hPP2kv+ib+Dv/AAbf/Z1Cr01a0lpy/wDkuxTpVG3eO/N/5Nuev+ENW8Qar9pTXfBk/h5FA8vzb6C487Oc/wCqJxj39a82+Hvw28UaP8VJ21P7N/wh2jXF1d6AFcF2lu23yBl6qEbcBn14rJ/4Tz9pL/om/g7/AMG3/wBnR/wnn7SX/RN/B3/g2/8As6axFJS5lJbW/rzE6NRxcWn/AF/Vjp9T0/xpoPxp17xVpXgt/EOnanpdpaxtFqNvA0bxNIWyshBwd46elXvHOh+JvFk3gHVF0MadLpmtreahay3cbtbxBXXIZTtc8jhfWuK/4Tz9pL/om/g7/wAG3/2dH/CeftJf9E38Hf8Ag2/+zojiKat7y0d/xuN0ajbfLurfhb8i/wDGD4V+I9T+Iuj6/wCEPI/s681G2uNftZJAg32+4JcLnq21tpxyQq11PibR/FWg/E+bxx4Z0dPEFvqOmxWF9p4ukt5UMTyMkqNIQhH7xgQeemO9cP8A8J5+0l/0Tfwd/wCDb/7Oj/hPP2kv+ib+Dv8Awbf/AGdKNenFKKls2/vVvu/Lp0B0akm247pL7nf+v+HO58IeHPEeoeNdb8eeJdPh0q6vNNj02x01Z1meCJGkYtJIpKlmZ/4eAAO9YXwgj+IPgzwvY+Fr74bTXCwXdwWv4tXtdmyS4eQMFLbuA44xmsP/AITz9pL/AKJv4O/8G3/2dH/CeftJf9E38Hf+Db/7OnHEUltJW/p/m2J0ajWqf9K35H0FRXz7/wAJ5+0l/wBE38Hf+Db/AOzo/wCE8/aS/wCib+Dv/Bt/9nR7el/Mg9jU/lZ9BUV8+/8ACeftJf8ARN/B3/g2/wDs6P8AhPP2kv8Aom/g7/wbf/Z0e3pfzIfsan8rPoKivn3/AITz9pL/AKJv4O/8G3/2dH/CeftJf9E38Hf+Db/7Oj29L+ZB7Gp/Kz6Cor59/wCE8/aS/wCib+Dv/Bt/9nR/wnn7SX/RN/B3/g2/+zo9vS/mQexqfys+gqK+ff8AhPP2kv8Aom/g7/wbf/Z0f8J5+0l/0Tfwd/4Nv/s6Pb0v5kHsan8rPoKivn3/AITz9pL/AKJv4O/8G3/2dH/CeftJf9E38Hf+Db/7Oj29L+ZB7Gp/Kz6Cor59/wCE8/aS/wCib+Dv/Bt/9nR/wnn7SX/RN/B3/g2/+zo9vS/mQexqfys+gqK+ff8AhPP2kv8Aom/g7/wbf/Z0f8J5+0l/0Tfwd/4Nv/s6Pb0v5kHsan8rPoKivn3/AITz9pL/AKJv4O/8G3/2dH/CeftJf9E38Hf+Db/7Oj29L+ZB7Gp/Kz6Cor59/wCE8/aS/wCib+Dv/Bt/9nR/wnn7SX/RN/B3/g2/+zo9vS/mQexqfys+gqK+ff8AhPP2kv8Aom/g7/wbf/Z0f8J5+0l/0Tfwd/4Nv/s6Pb0v5kHsan8rPoKivn3/AITz9pL/AKJv4O/8G3/2dH/CeftJf9E38Hf+Db/7Oj29L+ZB7Gp/Kz6Cor59/wCE8/aS/wCib+Dv/Bt/9nR/wnn7SX/RN/B3/g2/+zo9vS/mQexqfys+gqK+ff8AhPP2kv8Aom/g7/wbf/Z0f8J5+0l/0Tfwd/4Nv/s6Pb0v5kHsan8rPoKivn3/AITz9pL/AKJv4O/8G3/2dH/CeftJf9E38Hf+Db/7Oj29L+ZB7Gp/Kz6Cor59/wCE8/aS/wCib+Dv/Bt/9nR/wnn7SX/RN/B3/g2/+zo9vS/mQexqfys+gqK+ff8AhPP2kv8Aom/g7/wbf/Z0f8J5+0l/0Tfwd/4Nv/s6Pb0v5kHsan8rL2vf8nxeHf8AsSpv/SiSvdK+L9T8VfGh/wBpnSNUm8FeG18Tp4akigsRqH7hrbzXJkL7uG3ZGM9K9O/4Tz9pL/om/g7/AMG3/wBnQ61NfaQlSm+hHe+Dfi58PPij4n8SfDfSdG8S6Z4mkS4nt765ED20qjHUkZB5/Cr3w4+HPxL8L+F/GHif+0NJ/wCFgeJbpbsxuu62gC9Ic9+CRnp0qr/wnn7SX/RN/B3/AINv/s6P+E8/aS/6Jv4O/wDBt/8AZ1Ma1KMeVS6Wv1tpp+CG6VRyvy9b+r7/AImZF8O/il49+LHhzxd408L+F/CP9hTGZ7rTphNc3vACoWBJwMcZ9TWF8V4/i78QPEF/8GtX8L+Er2V0N9BrjN89tatMQkgXPyyALtwBk4z3zXYf8J5+0l/0Tfwd/wCDb/7Ok/4Tz9pL/om3g3/wbf8A2dP21LRNqyvp/XnYPZVdXZ3019P+Hf8ASPbfBukNoHhLSdDe4Ny1hZxWxlP8ZRAuf0rWr59/4Tz9pL/om/g7/wAG3/2dH/CeftJf9E38Hf8Ag2/+zqpYmnJuTktSY4ecUkos+gqK+ff+E8/aS/6Jv4O/8G3/ANnR/wAJ5+0l/wBE38Hf+Db/AOzpe3pfzIr2NT+Vn0FRXz7/AMJ5+0l/0Tfwd/4Nv/s6P+E8/aS/6Jv4O/8ABt/9nR7el/Mg9jU/lZ9BUV8+/wDCeftJf9E38Hf+Db/7Oj/hPP2kv+ib+Dv/AAbf/Z0e3pfzIPY1P5WfQVFfPv8Awnn7SX/RN/B3/g2/+zo/4Tz9pL/om/g7/wAG3/2dHt6X8yD2NT+Vn0FRXz7/AMJ5+0l/0Tfwd/4Nv/s6P+E8/aS/6Jv4O/8ABt/9nR7el/Mg9jU/lZ9BVyPxSk8fW+jW918PrTSr+/inDT2WoPsS4i2kYV/4WBwfwryv/hPP2kv+ib+Dv/Bt/wDZ0f8ACeftJf8ARN/B3/g2/wDs6TrU39oFSqL7JN8E/hr44h+L+t/FXx1Z6Vot5f2htY9K02QOo5U73YcE/L65zWr8GfAfiqP4p+LfiT4+sYLbVL9haaVAlws32e0BzjK8AnC+/WsT/hPP2kv+ib+Dv/Bt/wDZ0f8ACeftJf8ARN/B3/g2/wDs6axFKNrNaKy+e/8AXmJ0KjTunq7v5bfp9xueHfFnxE8R+NviMdAa1u9C0i3ey0RJYkRZdQUc/vP4lB4JJxyK87+Efhf49+E/Fdzr2sfD/QdY1nVblV1DWrzWFedLcsMpGofCqo5wo5wK6f8A4Tz9pL/om3g3/wAG3/2dL/wnn7SX/RN/B3/g2/8As6UK9KDT5le1v8/v/KyHOlUkmuXRu/8Al9356lD4yeA/iV4x8TatY2Pw38BfZ73dbweJ7gI15BAwwTg/NuAJGQO/FdfqOg/Ev4e+E/Dug/DLR9B8Q6dYWItbq11CXyHaQY/ehsgHPOR71z//AAnn7SX/AETfwd/4Nv8A7Oj/AITz9pL/AKJv4O/8G3/2dJVqSjyqS/r/AIdjlSqSlzOP9f0in8MPhh8UPAPw88Z6vpUmlReN/EE63NtZQ7Ps1q27lfm+QnBOO1d14vufjbp+maHe+G9H8O67dGyWPVbG7lEJW44JkR8gbeoxnvXI/wDCeftJf9E38Hf+Db/7Oj/hPP2kv+ib+Dv/AAbf/Z03Xp2spLp+Ctb8dfkSqNS92nfX53t/lp8zL8Jfs56pqngfWbfxhrf9iatrespq8sejBdloyklY1zxwecjpineCvgX420H9oSHxRdeOPEWp6Nb2kedQur1Wnu2BGbeRc5MdaX/CeftJf9E38Hf+Db/7Oj/hPP2kv+ib+Dv/AAbf/Z044ilFpxaVv8rflb9QlQqSTUk9f87/AJn0DJ9xvoa8O/YY/wCTc9H/AOvy8/8AR71nN48/aS2nPw28HYx/0Fv/ALOvM/2Y/Ffxp0v4PadZ+DfBXhvU9HW4uDFc3moeVKzGViwK7hjBJA46Ue2p2vzIPZTvax9RfGHwd/wn3w41nwmLr7JJfwFIpiMhH6qSO4zjNeE6n4R/aG8UfD61+FeraP4b0vRlijs7jW47sPJJBGMD90DwWAHQflXQ/wDCeftJf9E38Hf+Db/7Oj/hPP2kv+ib+Dv/AAbf/Z1Kq0bu8lZ2uummxXsqmmjutn6nQ+NNO+K/hm203RfAGg+HfE3huDS47F7HUpRC6sg27ySQGBA6VyXw6+HPxQ+G3gPxFrWhReHYPEGqaoNRbRE+WyhgH3oFbopxkAjgDFXP+E8/aS/6Jv4O/wDBt/8AZ0f8J5+0l/0Tfwd/4Nv/ALOm8RD3nz6vr87/AJ/hoSqE0lHl0XT5W/r7zF+Avh3xX4/+KGn/ABw1rQdE8MWTWMkMMGnnMl+zEgyyd/bnkgCvpyvnz/hPP2kv+ibeDf8Awbf/AGdL/wAJ5+0l/wBE38Hf+Db/AOzqniKVlFNJLz+YlQqXcmndn0FRXz7/AMJ5+0l/0Tfwd/4Nv/s6P+E8/aS/6Jv4O/8ABt/9nS9vS/mRXsan8rPoKivn3/hPP2kv+ib+Dv8Awbf/AGdH/CeftJf9E38Hf+Db/wCzo9vS/mQexqfys+gqK+ff+E8/aS/6Jv4O/wDBt/8AZ0f8J5+0l/0Tfwd/4Nv/ALOj29L+ZB7Gp/Kz6Cor59/4Tz9pL/om/g7/AMG3/wBnR/wnn7SX/RN/B3/g2/8As6Pb0v5kHsan8rPoKivn3/hPP2kv+ib+Dv8Awbf/AGdH/CeftJf9E38Hf+Db/wCzo9vS/mQexqfys+gqK+ff+E8/aS/6Jv4O/wDBt/8AZ0f8J5+0l/0Tfwd/4Nv/ALOj29L+ZB7Gp/Kz6Cor59/4Tz9pL/om/g7/AMG3/wBnR/wnn7SX/RN/B3/g2/8As6Pb0v5kHsan8rPoKivn3/hPP2kv+ib+Dv8Awbf/AGdH/CeftJf9E38Hf+Db/wCzo9vS/mQexqfys+gqK+ff+E8/aS/6Jv4O/wDBt/8AZ0f8J5+0l/0Tfwd/4Nv/ALOj29L+ZB7Gp/KzC+K/hH43a/8AGb+3v+EP0jxL4Y0mTdounXmqJFAHwMTugYFnHP3q9E1nU/juvhrRtT0zwl4Yl1MrImp6NLeYRDkeW8cucdAcjPeuY/4Tz9pL/om/g7/wbf8A2dH/AAnn7SX/AETfwd/4Nv8A7Okq1NRUeb+v6/rRDdKo5c3KYHhbwx4w+Dnw/wDiB8QtalsLPxR4geP7DpunxiSKCdnKxoF+65LOOnYGvRdUufjpZeD/AAzqGkad4f17V/se3WbG7YW5MzYIkRhgDaMgr7+1cx/wnn7SX/RNvBv/AINv/s6X/hPP2kv+ib+Dv/Bt/wDZ0/b0rW5l0t5JJ6fO+vy6q4vY1L3abbvfzbt+VtPmU/BXw3+KnhHwN488R6ZDpEXjvxRPHLBY2zqlvZDcQ2GPylgrMfTIFM/Z48N/GHwRqkNjrHw90KOHUbgy65rz6sJ724OCd5+Y55wAo4GTV/8A4Tz9pL/om/g7/wAG3/2dH/CeftJf9E38Hf8Ag2/+zojiKUXdNbJfJdP8+4pUaklZp7t/N9f8jA8eaB8ftV+NejePLHwD4fkXw99phskOqqFuY5FKhnywIODnAxXsULfFCT4q6ZJLFp8PgxtLJvo1ZGkW7x0U/eIz+GK88/4Tz9pL/om/g7/wbf8A2dH/AAnn7SX/AETfwd/4Nv8A7OlCvTjGMeZaX/G/6u/qOdGpKTly7/o1/lb0ubVj4E8V+IP2lJ/Hfi2xgh0DQ7Vrfw9F9oWQvI3DTFR93ILcHvis/wCJnwCvdd1/xN4q0H4geJdK1DWLVkeytJlihnwhCxOeMoTxz6mqv/CeftJf9E38Hf8Ag2/+zo/4Tz9pL/om/g7/AMG3/wBnUupR5VHm2T/Hf7ylTqczly72/DY639l7wD4g+HvwyttI8SaneXF85DtayzrLHZ/9M4iCRt715d/wUj/5Jd4b/wCw3/7QkrpP+E8/aS/6Jv4O/wDBt/8AZ14d+2N4j+K2teBdHg8f+E9B0axTU99vNYXvnO8vlONpG44GCTn2FbPEQqS3VzJUJU47H1P4n1/TfC/hq617V5JI7Gzj3zNHGXYD2UdaztC8aWur3f2eLw74rtP3bSebe6NLBGQBnG5hjJ7DvWD+0Zn/AIUb4kx1+xnGa6LwjH40Qg+JLjw5La+SvlDTreeOQN/tGR2GMegrw5RVpSfdnt8zXIl2/wAiG28f+GJ/As/jRbyRNItw/mmSIrKjISrIYzyHyMbeuar6p8RNGsNUTS/7K8SXl6bRLx4bLSJZmhifoZAv3T7GvG9XGnL8ZJtUFrdD4d/25HHqBDL9mk1cYUSlcZMYfAY5xuBNd7ql/r9j8dNYOgeHE1uWTQYA6tqEdsIh5hwfmB3fQU/Zxspd/wDK9v19Ld9JlUkm49rfi7fhs/O/bXqb74j+FbbwvpviSK5ur+x1Odbe0FjbNPLJKxwI9i87s8EdjxV3R/F1nqNte3MmkeINMhs4vNlfU9MktgV77d33j7CvJPFfhfWfCvgnwbp4urCTW7nxhHeszRt9mjnmmL7cKQxQFscHJxXpuqJ4oTwJr/8Awk82iyzfZJfJOmQyxqF2fxeYzEnPpU1YxjTlKPnb5JP57l0nKVWMX1t+bXy0Rc8CeN/Dnjbw23iDw7ePcWKsyvvjKOhXqGU8jjkeoIqtJ8RPDC+F9M8RRzXk9tqr+Xp8ENqz3Ny+cbUiHzE15L4R/wCLf+FvCPjCP934f17QbSy1pR92G48hVhuMe/CsfQCtjwB4QuPFHwT8EXWk6ydH17SVe40252LIgcnDB0OdykDnvWtSjCMpdk0vzv8Akn6MypVpzir7tX/y/wAn6Hodz8QfD9r4SvvE16mp2lpYOI7qCeydLmJjjAMR+bJBBHqCDVjw/wCMLXWL02q6D4n08CMyGbUdIltoQB1+duM+1eTfEjxVreu/B/xxoniGys7bXNDu4raZ7UsbeYNteORckkZDDK5yDmvW/D9v4vdLmLxXceHZbWSHYg02CeNhkEHcZHYYx6YrOVNKDl933J/qWpyclH79POxS0X4i+HdY1KG1sYtWa3uJmgt9QewdbKeQEjakx+ViSCBjrg119eOWTeJfhFeaJoxu7XXfBN/qAsrQsmy90/zOUXI4lTdu5wWAxzXpekaObHXtX1E61f3ovnRhaTzborTaoXEa/wAIOMn3NKcI2vHb/htPJ6lRnK7T3/TX/I2KKKKxNQooooAKKKKACiiigAooooAKKKKACiiigAooooAKKKKACiiigAooooAKKKKACiiigAooooAKKKKACiiigAooooAKKKKACiiigAooooA8d1f/AJPF0H/sT5v/AEfJXsVeO6v/AMni6D/2J83/AKPkr2Ktqu0fQypby9QooorE1CiiigAooooAKKKKACiiigAooooAKKKKACiiigAooooAKKKKACiiigAooooAKKKKACiiigBG+430P8q8f/Y3/wCSBaT/ANfd3/6OavYG+430P8q8f/Y3/wCSBaT/ANfd3/6OatY/w5eq/Uyl/Ej6P9D2GiiisjUKKKKACiiigAooooAKKKKACiiigAooooAKKKKACiiigAooooAKKKKACiiigAooooAKKKKACiiigAooooAKKKKACvnD9v3/AJJr4f8A+wwf/RL19H184ft+/wDJNfD/AP2GD/6JeujC/wAWJhiv4TPdPEun+H/EWgXWg65JbzWVzH5dxD9q8tiPTKkEVl6N4U8L6TcGe11vV5CY2j23Pia6nTaRg4WSUgH0OMjtTrz9nH4OeILuXXdW8JNcahqDm6upRqV0m+VzuZtqyADJJOAAKi/4ZZ+Bn/Qlv/4Nbv8A+O12vAt397c4ljdFeOxaj8M+C4/BT+DFisf7DeFoXtjdZLK3Ul924sTzuznPOasaTpPhnS9S/tKznhF39jjsjLJfGRmhT7oO5jk/7R5Pc1m/8Ms/Az/oS3/8Gt3/APHaP+GWfgZ/0Jb/APg1u/8A47R9Revv7h9dWnubGh4v0Xwv4rsrez1q4SSO2nW4gaDUWt5I5F6MrxsGBH1qvpHhvwxptre2serX11DexeVOl9r892Nv+z5sjbfquDVf/hln4Gf9CW//AINbv/47R/wyz8DP+hLf/wAGt3/8dpfUNHHm0H9f1UuXVGidF8Jt4OXwg4sZNEW0WzFrJchh5IXaFyTnoOuc1nHwZ4HGg6ZosDCztdLQx2T2mqyQTwqeqiZHEmD3G7nvR/wyz8DP+hLf/wAGt3/8do/4ZZ+Bn/Qlv/4Nbv8A+O0/qLu3z7/13F9dVkuTYP8AhC/Af/CKXnhgxW7adfSGW73agxmuJCc73m3+Yze5YngCpdE8L+FtJuHmg1fUbnfG0TRX/iG4u4ip6/u5ZWX8cVF/wyz8DP8AoS3/APBrd/8Ax2j/AIZZ+Bn/AEJb/wDg1u//AI7R9Revv7h9dWnubDNK8EeBdN1S11GGRp5bIk2cd5rEtzDak8ZiikkZI8DAG0DA4GK2NK0zwzpetaprNjLaxX2quj3sn2vd5hRQq8FsDAA6YrK/4ZZ+Bn/Qlv8A+DW7/wDjtH/DLPwM/wChLf8A8Gt3/wDHaHgW/t/194LGpfYOq+3WP/P/AGn/AH/X/Gj7dY/8/wDaf9/1/wAa5X/hln4Gf9CW/wD4Nbv/AOO0f8Ms/Az/AKEt/wDwa3f/AMdqf7O/vfgV/aD/AJTqvt1j/wA/9p/3/X/Gj7dY/wDP/af9/wBf8a5X/hln4Gf9CW//AINbv/47R/wyz8DP+hLf/wAGt3/8do/s7+9+Af2g/wCU6r7dY/8AP/af9/1/xo+3WP8Az/2n/f8AX/GuV/4ZZ+Bn/Qlv/wCDW7/+O0f8Ms/Az/oS3/8ABrd//HaP7O/vfgH9oP8AlOq+3WP/AD/2n/f9f8aPt1j/AM/9p/3/AF/xrlf+GWfgZ/0Jb/8Ag1u//jtH/DLPwM/6Et//AAa3f/x2j+zv734B/aD/AJTqvt1j/wA/9p/3/X/Gj7dY/wDP/af9/wBf8a5X/hln4Gf9CW//AINbv/47R/wyz8DP+hLf/wAGt3/8do/s7+9+Af2g/wCU6r7dY/8AP/af9/1/xo+3WP8Az/2n/f8AX/GuV/4ZZ+Bn/Qlv/wCDW7/+O0f8Ms/Az/oS3/8ABrd//HaP7O/vfgH9oP8AlOq+3WP/AD/2n/f9f8aPt1j/AM/9p/3/AF/xrlf+GWfgZ/0Jb/8Ag1u//jtH/DLPwM/6Et//AAa3f/x2j+zv734B/aD/AJTqvt1j/wA/9p/3/X/Gj7dY/wDP/af9/wBf8a5X/hln4Gf9CW//AINbv/47R/wyz8DP+hLf/wAGt3/8do/s7+9+Af2g/wCU6r7dY/8AP/af9/1/xo+3WP8Az/2n/f8AX/GuV/4ZZ+Bn/Qlv/wCDW7/+O0f8Ms/Az/oS3/8ABrd//HaP7O/vfgH9oP8AlOq+3WP/AD/2n/f9f8aPt1j/AM/9p/3/AF/xrlf+GWfgZ/0Jb/8Ag1u//jtH/DLPwM/6Et//AAa3f/x2j+zv734B/aD/AJTqvt1j/wA/9p/3/X/Gj7dY/wDP/af9/wBf8a5X/hln4Gf9CW//AINbv/47R/wyz8DP+hLf/wAGt3/8do/s7+9+Af2g/wCU6r7dY/8AP/af9/1/xo+3WP8Az/2n/f8AX/GuV/4ZZ+Bn/Qlv/wCDW7/+O0f8Ms/Az/oS3/8ABrd//HaP7O/vfgH9oP8AlOq+3WP/AD/2n/f9f8aPt1j/AM/9p/3/AF/xrlf+GWfgZ/0Jb/8Ag1u//jtH/DLPwM/6Et//AAa3f/x2j+zv734B/aD/AJTqvt1j/wA/9p/3/X/Gj7dY/wDP/af9/wBf8a5X/hln4Gf9CW//AINbv/47R/wyz8DP+hLf/wAGt3/8do/s7+9+Af2g/wCU6r7dY/8AP/af9/1/xo+3WP8Az/2n/f8AX/GuV/4ZZ+Bn/Qlv/wCDW7/+O0f8Ms/Az/oS3/8ABrd//HaP7O/vfgH9oP8AlOq+3WP/AD/2n/f9f8aPt1j/AM/9p/3/AF/xrlf+GWfgZ/0Jb/8Ag1u//jtH/DLPwM/6Et//AAa3f/x2j+zv734B/aD/AJTqvt1j/wA/9p/3/X/Gj7dY/wDP/af9/wBf8a5X/hln4Gf9CW//AINbv/47R/wyz8DP+hLf/wAGt3/8do/s7+9+Af2g/wCU6r7dY/8AP/af9/1/xo+3WP8Az/2n/f8AX/GuV/4ZZ+Bn/Qlv/wCDW7/+O0f8Ms/Az/oS3/8ABrd//HaP7O/vfgH9oP8AlOq+3WP/AD/2n/f9f8aPt1j/AM/9p/3/AF/xrlf+GWfgZ/0Jb/8Ag1u//jtH/DLPwM/6Et//AAa3f/x2j+zv734B/aD/AJTqvt1j/wA/9p/3/X/Gj7dY/wDP/af9/wBf8a5X/hln4Gf9CW//AINbv/47R/wyz8DP+hLf/wAGt3/8do/s7+9+Af2g/wCU4rVrq1P7YOhSi6tzGPCEwL+au0HzpOM5xXr/ANusf+f+0/7/AK/418/6t8CfhZb/ALVGjeCIvDJGgXPheW/ltft9wd04mdQ+/wAzcOAOAccdK9W/4ZZ+Bn/Qlv8A+DW7/wDjtXLA81ve2IjjXG/u7nVfbrH/AJ/7T/v+v+NH26x/5/7T/v8Ar/jXK/8ADLPwM/6Et/8Awa3f/wAdo/4ZZ+Bn/Qlv/wCDW7/+O1H9nf3vwL/tB/ynVfbrH/n/ALT/AL/r/jR9usf+f+0/7/r/AI1yv/DLPwM/6Et//Brd/wDx2mH9l34ECQRnwd85GQv9rXeSPXHm0f2d/e/AP7Qf8p1v26x/5/7T/v8Ar/jR9usf+f8AtP8Av+v+Ncr/AMMs/Az/AKEt/wDwa3f/AMdo/wCGWfgZ/wBCW/8A4Nbv/wCO0f2d/e/AP7Qf8p1X26x/5/7T/v8Ar/jR9usf+f8AtP8Av+v+Ncr/AMMs/Az/AKEt/wDwa3f/AMdo/wCGWfgZ/wBCW/8A4Nbv/wCO0f2d/e/AP7Qf8p1X26x/5/7T/v8Ar/jR9usf+f8AtP8Av+v+Ncr/AMMs/Az/AKEt/wDwa3f/AMdo/wCGWfgZ/wBCW/8A4Nbv/wCO0f2d/e/AP7Qf8p1X26x/5/7T/v8Ar/jR9usf+f8AtP8Av+v+Ncr/AMMs/Az/AKEt/wDwa3f/AMdo/wCGWfgZ/wBCW/8A4Nbv/wCO0f2d/e/AP7Qf8p1X26x/5/7T/v8Ar/jR9usf+f8AtP8Av+v+Ncr/AMMs/Az/AKEt/wDwa3f/AMdo/wCGWfgZ/wBCW/8A4Nbv/wCO0f2d/e/AP7Qf8p1X26x/5/7T/v8Ar/jR9usf+f8AtP8Av+v+Ncr/AMMs/Az/AKEt/wDwa3f/AMdo/wCGWfgZ/wBCW/8A4Nbv/wCO0f2d/e/AP7Qf8p1X26x/5/7T/v8Ar/jR9usf+f8AtP8Av+v+Ncr/AMMs/Az/AKEt/wDwa3f/AMdo/wCGWfgZ/wBCW/8A4Nbv/wCO0f2d/e/AP7Qf8p1X26x/5/7T/v8Ar/jR9usf+f8AtP8Av+v+Ncr/AMMs/Az/AKEt/wDwa3f/AMdo/wCGWfgZ/wBCW/8A4Nbv/wCO0f2d/e/AP7Qf8p1X26x/5/7T/v8Ar/jR9usf+f8AtP8Av+v+Ncr/AMMs/Az/AKEt/wDwa3f/AMdo/wCGWfgZ/wBCW/8A4Nbv/wCO0f2d/e/AP7Qf8p1X26x/5/7T/v8Ar/jR9usf+f8AtP8Av+v+Ncr/AMMs/Az/AKEt/wDwa3f/AMdo/wCGWfgZ/wBCW/8A4Nbv/wCO0f2d/e/AP7Qf8p1X26x/5/7T/v8Ar/jR9usf+f8AtP8Av+v+Ncr/AMMs/Az/AKEt/wDwa3f/AMdo/wCGWfgZ/wBCW/8A4Nbv/wCO0f2d/e/AP7Qf8p1X26x/5/7T/v8Ar/jR9usf+f8AtP8Av+v+Ncr/AMMs/Az/AKEt/wDwa3f/AMdo/wCGWfgZ/wBCW/8A4Nbv/wCO0f2d/e/AP7Qf8p1LX1jtb/T7Tof+W6/415D+x5dWsXwF0lJbq3jb7Xd/K8qqf9c3Ymu0b9lr4GBSf+ELfp/0Fbv/AOO15X+yn8CPhX44+C2m+IvE/hlr7U5rm5SScX9xHuVJWVRtSQKMADtVrA2i48xDxrclLl2Pf/t1j/z/ANp/3/X/ABo+3WP/AD/2n/f9f8a5X/hln4Gf9CW//g1u/wD47R/wyz8DP+hLf/wa3f8A8dqP7O/vfgX/AGg/5Tqvt1j/AM/9p/3/AF/xo+3WP/P/AGn/AH/X/GuV/wCGWfgZ/wBCW/8A4Nbv/wCO0f8ADLPwL/6Et/8Awa3f/wAdo/s7+9+Af2g/5Tqvt1j/AM/9p/3/AF/xo+3WP/P/AGn/AH/X/GuTj/Zd+BMi7o/BxdckZXVrsj/0bTv+GWfgZ/0Jb/8Ag1u//jtH9nf3vwD+0H/KdV9usf8An/tP+/6/40fbrH/n/tP+/wCv+Ncr/wAMs/Az/oS3/wDBrd//AB2j/hln4Gf9CW//AINbv/47R/Z3978A/tB/ynVfbrH/AJ/7T/v+v+NH26x/5/7T/v8Ar/jXK/8ADLPwM/6Et/8Awa3f/wAdo/4ZZ+Bn/Qlv/wCDW7/+O0f2d/e/AP7Qf8p1X26x/wCf+0/7/r/jR9usf+f+0/7/AK/41yv/AAyz8DP+hLf/AMGt3/8AHaP+GWfgZ/0Jb/8Ag1u//jtH9nf3vwD+0H/KdV9usf8An/tP+/6/40fbrH/n/tP+/wCv+Ncr/wAMs/Az/oS3/wDBrd//AB2j/hln4Gf9CW//AINbv/47R/Z3978A/tB/ynVfbrH/AJ/7T/v+v+NH26x/5/7T/v8Ar/jXK/8ADLPwM/6Et/8Awa3f/wAdo/4ZZ+Bn/Qlv/wCDW7/+O0f2d/e/AP7Qf8p1X26x/wCf+0/7/r/jR9usf+f+0/7/AK/41yv/AAyz8DP+hLf/AMGt3/8AHaP+GWfgZ/0Jb/8Ag1u//jtH9nf3vwD+0H/KdV9usf8An/tP+/6/40fbrH/n/tP+/wCv+Ncr/wAMs/Az/oS3/wDBrd//AB2j/hln4Gf9CW//AINbv/47R/Z3978A/tB/ynVfbrH/AJ/7T/v+v+NH26x/5/7T/v8Ar/jXK/8ADLPwM/6Et/8Awa3f/wAdo/4ZZ+Bn/Qlv/wCDW7/+O0f2d/e/AP7Qf8p1X26x/wCf+0/7/r/jR9usf+f+0/7/AK/41yv/AAyz8DP+hLf/AMGt3/8AHaP+GWfgZ/0Jb/8Ag1u//jtH9nf3vwD+0H/KdV9usf8An/tP+/6/40fbrH/n/tP+/wCv+Ncr/wAMs/Az/oS3/wDBrd//AB2j/hln4Gf9CW//AINbv/47R/Z3978A/tB/ynVfbrH/AJ/7T/v+v+NH26x/5/7T/v8Ar/jXK/8ADLPwM/6Et/8Awa3f/wAdo/4ZZ+Bn/Qlv/wCDW7/+O0f2d/e/AP7Qf8p1X26x/wCf+0/7/r/jR9usf+f+0/7/AK/41yv/AAyz8DP+hLf/AMGt3/8AHaP+GWfgZ/0Jb/8Ag1u//jtH9nf3vwD+0H/KdV9usf8An/tP+/6/40fbrH/n/tP+/wCv+Ncr/wAMs/Az/oS3/wDBrd//AB2j/hln4Gf9CW//AINbv/47R/Z3978A/tB/ynVfbrH/AJ/7T/v+v+NH26x/5/7T/v8Ar/jXK/8ADLPwM/6Et/8Awa3f/wAdo/4ZZ+Bn/Qlv/wCDW7/+O0f2d/e/AP7Qf8p1X26x/wCf+0/7/r/jXzn+3vcW83w20BYbiCUjWCSEkDEfuX9DXsX/AAyz8DP+hLf/AMGt3/8AHa8D/bY+Dvw7+HHgHRNT8HeHzpt3c6p5E0hvJ5t0flO2MSOwHKjkDNaUsF7OalzGdXGOpFxsfUPxe8Sa14U+EM2taDHm7jjhQzeT5v2aNiFebZ/FsUlscjjkUeELPVNb0CabSvizfa1p97CkltqUdrZG5gbr8u2ER7SOzxlge9dFq2p32keFLe+stDuNa2JH51tbMBKYzjcUU8OwH8ORn1Fec/Cfw3PH8W9Y8VaH4RvPBnhu509LeawuY1gN3dA580QISqALxuByTmu6Cu2v6Wn9arq/u4pOyTX9a/18vxj8BQeONY+IPi/RLz4peImtfD95bxQBbHTgZleFZG8w/ZvUkfLjirHxx8YeMLHX10rwPdrFLo+mPrWqp5KSG4hUkJANwO0sVPIwcdDW78N9G1bTvif8RdSvdPmgs9QvraSzlbG2dVt0VivPYgiub8HeA/FWva54q8Yap4i8ReErrWr54UsbeGzf/RIv3cRbzoZCCyqGwCBzSblaNt+W/wA7Lf5u9vJgrJyvte3y/wCGur+aOj8dfEK4j0fwrH4OFpcal4tljTTpbpS0UMTKHaZlUgttU5xkc1NpGk+I9N16yEvxZuNXkRwt5p2oWtkFkUjnYIY45Fb0yxHqDXmnh7wD4703w3pNta2c1zqPw/16caR9slWJNW05jwodRhW8shQcYyOlaWs6YPG/xD8JaxpXwt1Dw/qFlqiX+qanqWmw27NGoGV81CzO3YA1cbc3u9X9ydrfcr36307Eu6jZ9E/m1e/36W9fUvaJqXiHxJ488b2d58UtQ8O22kautpZWltDp4HlmGN8kzQO5O5jzmvZrCKSGyghlupLuRI1Vp5AoaUgcsQoC5PXgAegrwG00fTtK+JHji98V/B/UvE32/V1uNPvY9Et7xfJEMa8PIwK/MrcfjXqdz43S38beG/CkOi3Xm6xZSXjl2CNZRoBgOnPJOV4PBB60oawgurS+/lu/1uVPScn0Tf3XMD4++L9S8LDw5DDq7eHtJ1G+MOp62sCSGyQAFceYrIu4nG5lIFL4q8T6z4D+Gk2orr0Xi6+ubtLXSLm4jjQyvKQFEphCo2G3cqq8ADrknpviFqsmn2UcFx4NvfE+lXatFdw2kSTuvoDC+A6nnJzx6GvHNN+F/iDUPh/4oj0PSf8AhHYJ9fj1jw3ot+//AB7GMDcrAEiESOHYIMhdwqY9U9ur8rq69bXat/wSn0tv+utn99k7nYeLtN+J3hTwdceKrX4g3Gt6np8f2q50y7sLVLGdRzJGnlxLMox90mQnjnNXLTx1fa146+Hh0y4aDRvEWiXOoT2zIpJYJEyZbGQV3kcEZqh4r8V+MPF3hGfwvpPw617TdY1KH7NPcakiJY2u4YkfzAxLgc7QFG72p3iXwnqvhG78A654e0641u18K2Emm3dnb4FxLC6Rr5kanhmBjztyM561cHaV5bX/ADUl91+X8X3IesbLez/NW+fxf1Y3PiF4i1nSvif4B0awvPJsdWlu1vYvLVvNCIhXkjIwWPQiuB8N/EzxdY/GbXYfEt9FP4Mm1s6HZYgRDYXKwxyJucAErJ5jDLE4K8Yrp4YNa8e/FLw74jk8N6poOi+HYrg/8TVFiuLi4lCgBI1LfIAv3ieScY4qt4b+H0ut6b8TdE8SadLbWmta+9xZyOBkr9ngCTJj0dD+VTC8dWr6Sdv+3or77Xt9+xUrSVlpqlf5Sf3bX+4dd+MvEkd/8W411HCeH0iOljyU/cFrVZD2+b5iT82azo7j4j6T8JtN+I1t46v9euF02DUb3StRsbRbeaNo1aRUaGGN1YZJUliOOQaxfAHhX4iDwt8Uo/FelSPq+oRpa2sqYxqHlW6xLKvPG/aDz3JrTtdQ8Y6x8HtO+HWj+BfEGm6tJpMGn3N9qsKQWtuojVJXDKzFzjO1cDPqKTTUXyaytC3rZ33+V/xKTi3Hm0V3f/yX/g2/A9m8MavbeIPDmm65Zhhb6hax3MQbqFdQwB9+a8h8SfETxJZ/E6XU7e+RfA+l6pb6FfwrAjb7iWMu02/G4BC0KYBAyxzXpMVlN4N+Gkem6La3Gpz6TpiwWsKAeZO8ce1fbJIrybS/gx4ivfg3c6XqHjXxDZ3uqRSahdaUkNkYVu3bzQhZoDLwwUE+Znjg44qpyiqknH4V/n/kn87GdNN01GW7/DT/ADa9Vc0Pjt408eeHfiRoFt4SuIpNOttMudV1SwMCObyGKSNWVWI3KVVyw2kZxzXQ6r45ub7x98N18P6kDoXiK1vLidBGh84IkJjySCVILtkAjnr0rB8D6b4w1Tx74F8QeJNAu7WS38LXdjqjTBcJcebEADg/xhCw9jWTovw98VeG/j7oVrY2L3HgewN9fWNwCMWTXATzLc98b0Lr/vkdqcY8rjFvrLX5yVvS1mvTzQSd7y8lp/26vxT0fr5G14K/4TrxrqHjK4j+JGr6T/ZeuzWFjawWFk8CokUbLv3wGRuXOfnBx0Irr/gz4w1DxZ4fvo9bt4YNb0a/k03URACInlQAh0BJIVlZTjPBzXEeBNW8QeCNU8aWdx8P/FWoy6j4gmvbKW0tkNvIjxRKpMhcbRlDk4OBzXZ/BTwnq3hnQ9TvPELxf21rmpS6lexQvvjgZgqrGrYG4KqLz3Oamn8K7csf/AtPn/Nf/hiqnxO38z+7X/gW/wCHOWutV1/WvjH4r0CX4k33hfTdKtLKS1htobH52l83eS08LsfuL0PGaZ8cda+IHh7TPBWj+B/EZu9W1C/dJLm7t4HN8scEkvlsFQIu/ZtygU9Kzdf0WytPjV4r1jxR8KtQ8Xaff2lklhPFo8F6qGPzfMH7xht+8nTrj2rpvF+m6hrniD4X6ppPh2+srHT9TlmubeWFYmsovs0qLvQHC8kDAz1FEVeEfVf1/wADYJ2U5ejt/wCA/wCf4lPXviZean4P8BeIPDl19k/tfxDBYajC0asyjy5fNhIYHaQ6DkYOAPWoPifD410Pxd4Us9O+J3iGK28Qay1nNEbHT2FvH5Esg8sm3znKAfMW4zWH8RPh34osfixoc/hbT2uvC+p69Dq+oxIQBY3UUbo0v+7IrjOO6D1r0D4s6LquqeLvh7dafYy3MGna61xeOmMQx/Zpl3N7bmUfjThaSUn1lt2Vo3+V728iZ3jzRXSP4+9b57X8/kYXxJu/FHh3UvAvhqL4h6pbrq+pzw32rTW9iJzGtvJIq8w+UvzIOdmea0fF93rfhP4P+Lde0/x7feIb62snmtLq5hsz9ndR2EMSKev8QPSqX7QOizajr/gbUJvCN14o0nTtSml1CzgtI7nKNbyIpMbkK3zsv061H4is7fXPgh4x0Lwf8OtS8Nyy2UiQ2D6bDZ/aZHHVFjbBPHJOO1Q23TlbfX9P60NYJKrC+2n5szbbxH4p0LU/A8lr49uPGL+ILiO3vtNuoLT9xG0Rd50a3iQrsKgfOSCGx15q18SIfG2i+NPCOnWHxQ8Qx23iDVZLWZDY6c3kRiCWUeWTbZzlAPm3cZptz4Em8G3Pgvxd4G8KwWuoQ+TYa9Y6fAkP2m1kUB2dVwrNG4V8nJwDXT/FLRtV1Pxz8O76wsZri207WZJ7yRQMQxm1mQM3tuZR+Nau3Mv8Vvlp+Hn5tdDCLfI/8N/nZ/j5eSfUm8d6nq3gX4YXci65dazrcjpaWFzexQiR7ieRY4srEiIQrMD93oDmqfwi8Sa9eaH4g0LxPf8A2zxJ4euHgubjyUj85Cu6OXaoCgHB6DtVT4p+G/EPjX4k+GdIt5NT0fRNJWTVJdWtVhY/agNkUaiVXUn52blT045rMtfB3izwr8ZF1aDVNa8Uab4h0maz1S6uorZDbyxLugYiGOMYPzLnBOWrGTbhJ907fLb53TXzRqkk0u1vx3+Vmn6powtU8dePrv8AZq8M65pOvR23ijWdQtbL+0HtYmCmW4EeShXZ0PpWtrPxP1y5+BV1rlrKul+KtL1G107VIhGreTP9pijlAVgRtZWODjvx0rMsvB3ihfgB4D0JtDu11Ow1ywnu7Ygb4Y0uw7secYCjNL+0T8PfFE+qjWPA+nm8h16ezt9es0wCfJnSSO5GeMqEKn2bPat5W52ujn9ytG3yeqfn6MzjtF9l+rv87Wa+7qS/Fj4h+MvDHxi0dLLUgPDFpp0V5rNmbeMmSOSeOFpA5Xcuzzd/BAwprf8A2lPG3iDw/wCEEsvBN8lrr13BNeR3PkpKILa3iaaR9rAryE2AkHlhTtc8F3mvfGO+/tLTZm0C/wDB02lz3PGze8iZQd923J6dq4vwf4J8e3vgPxtdeL9Oml1uDw9ceHtEjwu6eIRMDIPeRgnpXPO/smluuZ/i7L8I6dm+xtBL2qfT3V+C1/8ASrvul3N/xJ4q8TXUvwv0+PxhPoEfiCCR9SvYYLbexW2aQY86NkXLAdBW18QdR17wb8E/FWvaX46vNf1C3tHktL66htG8hwMcCGJEODz8wNcr408NXwj+Fdxq/ga98R6dpEEi6pYR2Ud0UY2zIu6NyFOHI+mK2fG+np4h+AXizQfB3w91Lw9JJbPHb6a+nRWhmduSURGKn3PFb1km5qPd/df+tjOhvT5uy/4P9Mg0P4heKE+EXjSy129ji8c+FtMnkluEhQLOBEzw3KpjaQwAJGMA8YqX4kXvjK3+Cs3xA0vx7q+m3ttoS3f2SGzsngklEe4s3mQM/J6gMB6Yqt+0P4E8R3/hUeJPBVibjxANJl0m+sl4a9tJkKsnpuRiHH+7iuh8f+HtavP2aNQ8NWmnyz6u+gfZktUwXaXysbR75qJO8Zy66f8At2q9dPnp0QUd6aezvf8A8l0fpr8vVnUfD/SdasrBLzVvGWr+IDdQIwS9t7WNYiQCSvkRIfzJrqap6HHJDotlDKhSRIEVlPUEKMirlXUtzOxnSvyJvcKKKKg0CiiigAooooAKKKKACiiigDwvXv8Ak+Lw7/2JU3/pRJXuleF69/yfF4d/7Eqb/wBKJK90oA4b4Za9q2seI/HNpqV158Ol64LWzXy1XyovssD7cgAn5nY5OTzXKap468XWV98WTYj+0n8PfZjpVp5CnZvt43b7oDNyzNyTVqzl134e+PPFdxL4V1vX9I8QXiahaz6REszwyCGOJ45EZlx/qwQcnOegxU/gTT/E2kjxl48u/DrtqOu3sdzbaR54WZLeOJI1VjjAkIVm29s4z3qd4rp7qX/b3ur876/O5SajN6X978L3/LT8B/wn1LUtW8PxeJLH4jN4xtp7AvNazW1uhhuAPux+SiMo3BlKybjwORg55H4VS33jzVrbxxJ8RHtfFdrLJZ32hG1txBaxiRs2+xk84EgK27eTnvjAFzw/o13f/GKLxv4V8B6l4UtYNMnTVkvIkszq0ztuiXykLAsCGJkPPzgc1h+NRB8T9Tht/Dnw41TQfHenahbPea1cW6W/2Aqqswa4Q7pcx4CqRhgQeK0TvOLtb9NWr+at36abbw17kot6d++n4a9uvnt9HUUiBlRQzbmAGTjGTS1I0FFFFABRRRQAUUUUAFFFFABRRRQAUUUUAFfPHw+8b3Gta1Pa+JvjFqujat/bUttBpAsLKON41cbE3PbFvmGRnfk9jX0O2dpwMnsK8U+Juo+IviP4LufBFt8PNe03U76RE+26jDH9jsyjhjMsoJLEBTtwoJJHSkvjT/D5r5dPxG9Ytfj8n8/+GPaWZY4y7uAqjLMTgY9TXimi+PfFHiD4teHbuxvvs3gzVbi7tLS0Num68WGGRvtBcjcFLKNoBHGc5rpvEN9H4g1q5+D8h1KD7R4faW81aznVJIVJWPaAVOGYM3PsfrXL6r8M/E9l4+8Cmw8a+KbvTNOedXmNtp6rZoIGCgBLdRhuEOQeDxg81UfjT6a2/FP7rf1oTK/I116/g199/wBOrK/if4n2t7441zTL74j/APCD6Vo0v2VGtbaGW4uph/rGczRSKka9AAAT1z2q38WPFt/outeCbKP4hX+kaDfwTNe6zb2dtM8xWMmNiWhdF3Nj7qgc0yKDXvAfiXx5a/8ACD6p4ltPEtw19ZT2EKMju6FWhuCzDYASBnB4J47VreB5Nb+FfgLw14VvvCuua/5Nhia40dFnEEoP+q2synbgnDZ7dKmOsF8vm7O6+T+W2mxU/jdvP7tLP+tfxOx+GV5a6h4YS9sfGlx4vt5XYpfzJArf7uIY41GPdc1z/jrW/EGpfE3Sfh94f1iTQ1msJNSv9QghjlnSNWCrGglVkGWIySp46YPNYfgKy8VeEtF8b+Nk8JTzXGt3wvrDw5DIscyrjGHONqyNncw5we5q74ztte0f4n6D8RbPw3qGqWj6VJp2pWVjtkuoNzB0YKSAwDDB5HrTduaN/n68rsv/AAKy/MSulK3nb0TV/wANvwOdv/iR4t8MWfi7wxdXkWra7pmpWdjpWoXMCoZlvGVY3lWMKhZN/O0KDjoK6D+0fFvgj4keFNF1jxVe+JtL8RedbSNeWlvHJbXCRl1ZDBGg2nGCGDH3rlNa8DeLfE+l+LfGkejvZarfapYahpWl3bhJvKs3VlWTGQrvt6c4z1NdOg134gfErwpq0vhbWPD+k+HDNdTtqsaxyTzvGUVI1VmyBnJYkdMYp07+7ffS/py/nv8AO3kKdrO22tvW/wCW1r9Lnrkn3G+hrw79hj/k3PR/+vy8/wDR717jJ9xvoa8O/YY/5Nz0f/r8vP8A0e9IZ3vxz1zVPDfwm8R65ot19l1Czsnlgm2K+xgODhgQfxFT/FbWNS0T4S+Idc0u4+z6hZ6VLcQTbFbZIqEg4YEHnsRipfi34bufGHw217w3ZzJDc39lJDC7/dDkcZ9s1594v1vxj4z+Hd54Ft/h/r2na3qVmbG5u7xUWwgJG2SQSgkuvUr8o3cdKid5QlGO/T5/1qaQcYzhKWyvf8P+CQ+LvHGtJrvgbRdQ8Vy+FNM1rS1nl1mK3gLT3hA2wBpUeNM9fu89ARWl8VfE/iLwZ4M8Px3XiZBa3uoLa6l4lW0QtbWzH5ZtuDGHIwC2zZnJ2gcVt+MpbfSdHs/C2q/D3UfFuhfZI4wbW1juxvQYw8UhG3gAhsnn0rjvB76l8L/g5Db+KvCOoaloEk13JPYRut2+lWLMzRQyK/8ArFCEKwz8uO9aVJRbk1te/rrt5aadree+VNStFPe1vw389fx/Du/hB4d/4RvR5bOw8YyeJNFY+ZaNNHB5kTN8z/PCqhgSS3Izz1rua8b+CXhuW28fa/4q0Pw5c+EvCep2sKwaTMghM1wOWn8hSViBGAMdcZr2SnJbCj1sFFFFSUFFFFABRRRQAUUUUAFFFFABRRRQAUUUUAFFFFABRRRQAVj+MLfUbrRHh07XxoDl1Mt+Io3eKPPOzzAUDHgZYMME8ZwRsVznxDuxa6Bi48Jz+KbGaUR3ljDEkz+WQTuET/LJ8wUbcjg57YKlsOO5yPwm17xBceP/ABV4ZvPELeKtI0xIJLfVpIoUkSV9263YwokbEAA5CgjPNVfjz4o1LQPEnhGzTxZeeFtHv5rhdRvra0imZQsRZB+8ikC5bA6d6o/DXTLzTPHmv+LdP8O33g3wVHpWwaPcotustyp3POIEJSMbVxuGC2eRxXQaR8UNQvvC+h+Il+H/AIiubTVYJJCmnhLiS3ZXAUMpKcMMsD7YxzQ9Yx7q1/vf52/z1Et5dnt9y/L89jM1Hxv/AGD8HbzxL4f8ZyeNbie6itLG7vI4FCTTSpEoZYI4xhS+4gjJxjNJdan4v8B+MfCMOueLbzxHpfiCWSyu1u7O3jNrOIWlR4jDGh2/u2Uh93BzmuXn+HnirXfCfjvW4NJXSrvXNTs9V0rSJiEdTayLJ+92jCySbcEc44yTXRzrr3xH8Y+EWuvCes6BpmgTSX1/JqkaxmWUwPEscQVjuGZCxbjhenNGvTfT7rK/zvzed7A7W121+++n6eW/QxR4m+IWq/CrVfi3Y+KJbRbYS3tnoK2du1pJbQtykjshmLMqt8yuoBxxXteh6tFqfhuz1oKY4ri1W4II+6CuTXhNjYeNtL+Eep/B5PB2qTajMs+n2mrIqHT/ALPKx/fNITuBVWY7dpOQBnnI9W0OXUtO1Wz8D/8ACOXTaPBpA3a0Jh5RkGF8rb1yQSc57U5fC+Ty5fubd/w+d+oP4ve87/ekrfj8tzzMeJ/iFqXwn1L4vWfiiW1W3WS+tNAWzt2tJLWJslJHKGYsyK3zLIoBxxXQWfiLxH8QvHVzouheIrvwzpWmabbXU89nbwSXE8067lQ+ejqqqAei5JxzXKWWn+NtO+D+ofBxfB+qSajKk2m22rIqHT/s8pI85pM7gQjMdu3OQBnnNdDZadrXwz+Il/qlv4Z1fxBouq6XawbtKjWWaGe3Xb86My/KwJIIP4Ue7f8Au9O+z369vmEr2f8ANrf05la34/L5HU/BDxRrHiPw9qNr4gaOXVtF1OfTbmeOPYs5jbAk2jgFhyQOM14v/wAFI/8Akl3hv/sN/wDtCSvZ/gd4d1bQ/D2pX2vQLa6lreqT6nNbBt32cSNlYyehIHXFeMf8FI/+SXeG/wDsN/8AtCSm76X3sr+ttfxEuttru3pfT8D6T0yS8GnWwS0jZfKXBM2MjHpirPnX/wDz5xf9/wD/AOxrF8Q+JbDwh4Ck8RanFcy2lnbK8iWyB5GGBwoJAJ/Gszw58StL1XxLF4b1DRdd8O6rcwNPaW+rW6Rm6RfvGMo7gkdwSDSWrshvRXOt86//AOfOL/v/AP8A2NHnX/8Az5xf9/8A/wCxrziP42aE1nc6o3hfxYmh2l1JbXOsNZRfZYTG5SR2IlL7FYHJC9uldT4u8eeH/Del2F7cSzXsmpkLptpZR+bPesRkCNcgHg5ySB6mlfS/9a7feHW39ab/AHdTe86//wCfOL/v/wD/AGNHnX//AD5xf9//AP7GuR8P/EzSNS8TQeGtT0jW/DerXUZls7fV7dIzdKv3vLZHdSR3BIPtVO8+K9mmv6zo+m+DvF2svo04t72ews4XiSTYHwC0qk/KwPApvT8wO686/wD+fOL/AL//AP2NZ0WlRR+IJtfXR4P7TmgW3e4NyxbylJIQAjAGSTwBnNZNx8SvCqfDibx9b3U15o0KFpPIizKpDbWQo2CGByCD6VteLvEVh4Y8K3/iTUlnaysbc3EwhTc5UegyMn8aJe7q+gRXNZLqXfOv/wDnzi/7/wD/ANjR51//AM+cX/f/AP8AsawPEvj3QNA0TTtSvGuZZNUVTp1jBFvubtmUMERM43YI6kAdzWdbfEhZYrlX8EeMYL+FFkTT5bKITzoTguhEpQgEcgsD7UPRtdgTuk+52HnX/wDz5xf9/wD/AOxo86//AOfOL/v/AP8A2Nef6D8XYNa1i70ux8A+NzcWNytte77KALbSMoYBz5391lPGeDXVaH4w0fVtQ8Q2UDTQt4fuRb30kyhUDGJZcqc8rtccnHejpfyv8tNfxQX1t8v6+5mt51//AM+cX/f/AP8AsaPOv/8Anzi/7/8A/wBjXnsnxm0Q2E2sWvhnxXe+HoiS2t29ghtCgOGkGZBIUBzyE7ZGRWh4++LPg/wb4R0rxVf3Fxe6Vq0scdpNYRiXeHGQ/JHy45Pf2o6X/rXYOtv603+47Lzr/wD584v+/wD/APY0edf/APPnF/3/AP8A7GsTxN430PQNF0nWLmSa5s9WuoLa0ktkDhmmBKN1Hy4HWulp2f6f194r7FXzr/8A584v+/8A/wDY0edf/wDPnF/3/wD/ALGrR4GTXAXnxU0xr67tvD/hzxL4ois3MdzdaRaxyQRyjO6PdJIm5hjnbkc9c8VN1exVjtfOv/8Anzi/7/8A/wBjR51//wA+cX/f/wD+xrj/ABD8T9F0jRNB1JdK1zUH164NtZWdpar9oMoUllZXZQpG1s89qveDPHul+JdWvNFbT9U0XWbNFll07VIVjn8puFlAVmUoSCMg9QeKqzu0TfRM6Lzr/wD584v+/wD/APY0edf/APPnF/3/AP8A7GuZvPiN4ctfiTbeAZDdnVZ4RIJFiBgQkMVjZ88OQjkDHRTSeMfiBa+HfEdp4ei8O+INc1G5tXuli0u3jfZErKpZi8iAcsPzqb7eY+/kdP51/wD8+cX/AH//APsaPOv/APnzi/7/AP8A9jXGL8WPCbeCx4qU3xtV1CPTZ7fyALi3uXcJ5ciE8EFhnk8HIzW/4v8AFel+F00ltSW5YarqEen2/koGxK6sw3cjC4Q8/Sqs/wAbfPT/ADX3h/w/3b/kzU86/wD+fOL/AL//AP2NHnX/APz5xf8Af/8A+xrL03xXpmoeMtW8KQLcC/0q3guLgsgEZWUuF2nPJ+Rs8elc3P8AFjSJLu6TQ/D/AIk8RWdm5judQ0u0SS2idfvrueRSxXGTtB9snipugsdx51//AM+cX/f/AP8AsaPOv/8Anzi/7/8A/wBjXIa38TtHsb+007TNJ13xDqFxZ/bjaaXaq0sMBOA8gkZAoJ4Azng8V1uh6lb6xpNvqVqsqw3CblWWMo6+oYHoQeKq3ULjvOv/APnzi/7/AP8A9jR51/8A8+cX/f8A/wDsa5HWviZpdnrtzoej6Jr3ie+suL6PR7dJBaMeiyNI6AMfQEnjnFT6l8SPDeneFLXxBdG9RbyYW9rZfZj9rmuD/wAsVjPV+D3x3zjmpTTV0O2tjp/Ov/8Anzi/7/8A/wBjR51//wA+cX/f/wD+xrjtG+J+lXXiOy0DWNC8QeGb7UQ32BdYto41umUZZEZHcbgOcHGe2afbfFLwrP8AFef4aeZdx65FB5wMkQEMnG7Yr5yX2gnGBwD6VVtUu/6bk30v/Wp13nX/APz5xf8Af/8A+xo86/8A+fOL/v8A/wD2NY0fjLR38W6v4Z23K3uk2SX1yxjHl+W+cbTnk8HjFZ3wn+Jnhn4maLdap4be6VLWYwzw3UQjlQ9iVBPysASDmktU38/lt+Y3pv8A1pf8tTqvOv8A/nzi/wC//wD9jR51/wD8+cX/AH//APsa4eb4ueG18A2XjKCw1m6s769SxtreG3U3EkzyeWqhS4HLEd63fCXiu4165nhn8I+JdCWJN/m6pBFGj89FKSPz9QKdt/68/wBQem/9dDb86/8A+fOL/v8A/wD2NHnX/wDz5xf9/wD/AOxrhW+LejzyXEui+HfE2vaXbOUm1XTrNHtVK/fwWdWbb32qfbNR+K/i7Y+HCkt14N8YXFjNPFb219b2URhneVgsYXdKG+YkAZUdalO9rdf12+/p3B6X/r+rdex33nX/APz5xf8Af/8A+xo86/8A+fOL/v8A/wD2NcnP8R7Kx0ODVta8OeItGSfUYNPihvbeMStJM4RGwsjDZlhk5z7VraB4u0nWvE2t+HLb7RFqOivGt1FMgXKuu5XTk5UjvxVW/r7v80K6/r5/5M1vOv8A/nzi/wC//wD9jR51/wD8+cX/AH//APsa5PX/AIm+HNFk8Urcx38q+F7VLnUXhhDKAy7gincMvjnHH1qDxz8TrTwjYy6le+E/FN5pUNqLqbULO1ieGNCMnO6UNkd+Km6tcqzvb+un+aOz86//AOfOL/v/AP8A2NHnX/8Az5xf9/8A/wCxrhbj4safYaN/bWueE/FeiacJ4YjcX1pEFHmsFDnZKxCjIJPYV0WteMdI0vxbovhaQXNxqesCR4I4EDCONBlpJDkbV7Z55qrO9vl+v5Eppq5sedf/APPnF/3/AP8A7Gjzr/8A584v+/8A/wDY1aopDKvnX/8Az5xf9/8A/wCxo86//wCfOL/v/wD/AGNWqKAKvnX/APz5xf8Af/8A+xo86/8A+fOL/v8A/wD2NWqKAKvnX/8Az5xf9/8A/wCxo86//wCfOL/v/wD/AGNWqKAPBdce5/4bc8PMbeMSf8IVNhfN4x9ok74r3Dzr/wD584v+/wD/APY14rr3/J8Xh3/sSpv/AEokr3SgCr51/wD8+cX/AH//APsaPOv/APnzi/7/AP8A9jWf4b8Tadr2oa1Y2KziXRr37FdeYgAMnlpJ8vJyNsi88c5rNk+IPhuG68UQ3c01qvhjy/7RmlTEY3xrIu0gknhgOg5pX0v5X+Xf8RpNu3yOi86//wCfOL/v/wD/AGNQW8MlvNPNb6TaRS3Dh5nSQK0jAAAsQvJwAMnsBXP+EfiBZ+IJxHJ4f8Q6Kklsbq3m1O1SOO4iABLIUdsYBU4baeR7456w+LE2p+LLNtL8M61deDpw0A1tLMNE9xvKhlPmbhENrAsU6+3Jqz5lHv8A1+at6kt2i5dF/X/B9D0jzr//AJ84v+//AP8AY0edf/8APnF/3/8A/satUUhlXzr/AP584v8Av/8A/Y0edf8A/PnF/wB//wD7GrVFAFXzr/8A584v+/8A/wDY0edf/wDPnF/3/wD/ALGrVFAFXzr/AP584v8Av/8A/Y0edf8A/PnF/wB//wD7GrVFAFXzr/8A584v+/8A/wDY0edf/wDPnF/3/wD/ALGrVFAFXzr/AP584v8Av/8A/Y0edf8A/PnF/wB//wD7GrVFAFXzr/8A584v+/8A/wDY0edf/wDPnF/3/wD/ALGrVFAFXzr/AP584v8Av/8A/Y0edf8A/PnF/wB//wD7GrVFAGJYaTDY6vf6va6PAl9qGz7VOblmaQICFHI4AyeBgVo+df8A/PnF/wB//wD7GprqeO2tpbmZtsUSF3OCcKBk8DmuF0f4p6VeeJNO0LUfD/iPQZtU3jTp9UtEjhumUZKoyuxDbQSAwHFC1fKgei5jtPOv/wDnzi/7/wD/ANjR51//AM+cX/f/AP8Asa4vxL8VNG0fVdR0+30XX9b/ALJTfqk+l2qSxWQxnEhZ1OdoJwoY4FW/F3xQ8F+GPBdv4t1DVhJp15F5lkLdDJJd/KWxGvUnAJ5wB3IpXXLzdP6/Pp3HZ83L1Op86/8A+fOL/v8A/wD2NHnX/wDz5xf9/wD/AOxqDwzrFr4g8P2GuWKyra30CTxCVdrhWGRkZODWT438baZ4VnsbKWz1DVNUv2ItNO06JZLiUKMswDMoCqBkkkVUk4vle5MWpLmWxu+df/8APnF/3/8A/saPOv8A/nzi/wC//wD9jXJ6b8T/AArc+FtW8QXct1pcejSNDqVrexbLi1kHRGVSQSeMbSc5GKTwv8SdM1rxFB4fvNE17w/qN1A1xZw6tbJEbpF+8YyjsCQOSDg4os72/rv+WvoF9LnVvLfbG/0OLof+W/8A9jXiX7D0l0v7O2j+VbxyL9svOTLtP+vf2r3iT7jfQ14d+wx/ybno/wD1+Xn/AKPekM9o86//AOfOL/v/AP8A2NHnX/8Az5xf9/8A/wCxqj418R6f4R8Lah4k1VZ2srCFpphAgZyo64BIyfxp/ijX7Hw74Vv/ABJqCzNZWFq91MIlDOUVcnAyMnHvSbSTb2Gk20luy351/wD8+cX/AH//APsahvI5ry1ktbzS7W5t5VKyRSyB0dT1BBXBFczr3xK0fTDpFvbabrGsajq9qLu10/T4Ee48nGTIwZ1UAdPvdafqnxG0PTvDFjrNxa6os9/P9ltNM+zYvJbnODCEJC7wQR97bx1xzTate/p89vz09RRd7Nev9fmdQsl6qhVsYQoGABPwB/3zS+df/wDPnF/3/wD/ALGuV+Fni3VvEmnzw+I/D2oaFrNs5M1vc24jQoxJQoQ7hvlwCcjkHgV2lNiTKvnX/wDz5xf9/wD/AOxo86//AOfOL/v/AP8A2NWqKQyr51//AM+cX/f/AP8AsaPOv/8Anzi/7/8A/wBjVqigCr51/wD8+cX/AH//APsaPOv/APnzi/7/AP8A9jVqigCr51//AM+cX/f/AP8AsaPOv/8Anzi/7/8A/wBjVqigCr51/wD8+cX/AH//APsaPOv/APnzi/7/AP8A9jVqigCr51//AM+cX/f/AP8AsaPOv/8Anzi/7/8A/wBjVqigCr51/wD8+cX/AH//APsaPOv/APnzi/7/AP8A9jVqigCr51//AM+cX/f/AP8AsaPOv/8Anzi/7/8A/wBjVqigCr51/wD8+cX/AH//APsaPOv/APnzi/7/AP8A9jVqigCr51//AM+cX/f/AP8AsaPOv/8Anzi/7/8A/wBjVqigDK1mzbWNKudL1HTYprO6jMU8f2pl3oeCuVAOCPepbOOeztIrS102CGCFBHHGs2AqgYAHy1oVzfxE8ceHPAOgPrXiS9MEHKxRRoXlncKW2Ig5Jwp9uOSKTkoq7Gk29Da86/8A+fOL/v8A/wD2NHnX/wDz5xf9/wD/AOxrGsfGWk3ngGDxpDDetp9xbLcRRCHM7BjhUCAn5iSBjOOetZfhX4laXrfig+GLvRtd8P6w1sbqC11a2SNriIHDMhR3BxkZBIIzVNNScXv/AF/kSmnFS6HW+df/APPnF/3/AP8A7Gjzr/8A584v+/8A/wDY1wV/8Y/DVpPdTDTNduNFs7kWt3rsFqjWEEm4Kdz795CkgEhSBmvRYpEliWWNgyOoZWHQg9DSWq5ug3o7Ffzr/wD584v+/wD/APY0edf/APPnF/3/AP8A7GuBvfjJ4atZ7mb+zNdn0S0uRa3Wuw2qNYQvuCnc+/eQGIBIUgZrX8U/EPS9F1mDRLPS9Y8QapLB9paz0mBJZIoe0jl3VVUkgDnJz0pX0T/rv+WvoO2rXb/hvzOn86//AOfOL/v/AP8A2NfLv/BRx7hvhd4c86FIx/bf8Mm7/lhJ7CvpLwT4o0jxh4eg1zRZnktpSVZZE2yROpwyOvZgeCK+c/8AgpH/AMku8N/9hv8A9oSVTTTsyU7nqv7QJcfs/wCsmNQziyTapOATx37UWPhnxh4k+IOheLPFlnpOiWugQS/ZLOxvWvHuJJUKlnkaOPaoB+6FOT3rs7zTtE17wquj61HBdWc8CrNC8mAwwODgg1sC4tQu0XEOMYxvFKOjv/W1hy10PlPT18XQ/AnX7g6hYyeDn1zUY9XtLazZNQjtDdyCZo5y7ITjJwYunGe9ej3j6Tpv7QXgMrPAujTeHJLXRXY/IZPRW6bjHtx3NemaZ4f8K6ZoN1oNjaWkWm3TzPPb+aWV2lYtITkk/MWJ/Gqd74M8EXvhSz8LXWm2cuk2KIlpCZm3W4QYUpJu3qQB1DA+9EW4u/a3/pLi/uvdfMcrSb87/wDpSa/Kz+Rxnx/EN94s+HOk2kiHWR4ihu4UXmRIIzmV/ULjqelWfgt8vj/4qM3CjxCmSen/AB6xV1HhLwT4I8K3st9otjFFeSrsa5nvJLmUL/dDyuzKvsCBWdq/wv8Ahvqus3usXmnN9tv5BJdvDqtxCJmAAyyxyBTwAOlEPcvbrf8AHl/+R/EUve36W/Dm/wDkjxnWF+3fDH43arpMby6Ldau8lm8XzRylERZnTHBHmK/I6nNerfH7U7CT9nvX7yO6ieC90sLbOrgiUyAbAvqTnjFd5Y2ehWOkppFnb6fBp6R+WtqioIgvcbemK5TS/hh8NtN1KLULTR4BJC5kijlvppYI29VhdzGuO2FGO2KTinH2fTReeiS/FL5FRm1NVOt2/vd/67nEyAaP8f8A4f8A9uHyYH8LGzsmlbEYux99Rn+MrtHqcV7ebi3W5W2aaITsu5Yyw3FfXHXFY3izQvDHivSzpniC1tL+2zuUPJtZG/vI6kMh91INU/CXhHwf4Vlmm0S3WKaYAPLPfS3EmPQNK7FR7AgVbk5b+f4tv839xmo8u3ZfgkvyX3nK/Br/AJKR8U/+w9D/AOkcFcLq8N9P4e+PkWm7/tJ1Fdu0EkgWduWwB7Zr3XSNL8P6TqGpahp0Vvb3OqTi4vZBLkzSBFQMcnj5VUcY6UmlaT4d0u91O8sIbaGfVZhPfOJM+dIEVASCcfdVRxjpWbjePL/c5fn7v4aGilaXN/e5vlr/AJmP4T1bw+fg7pmq293Zroi6LGfN3ARJGIgCD2GMEEeoxXhGgabt+GnwgtLyANaXfiq4khgkTj7NK87RjB7FGBHsa9nl+FPwwkvWum0SABpTM1ut/MtqWJyf3Ak8rGecbcZ7V02raL4a1WTS5L+2tJm0mdbiw/ebRBIBtBUAgcA4x0rWUlKbm1u1p5J3+f8AXcziuWHIuif4ppf1/kfN3jia48HzaT8KdTld4rTxPZ3/AIemfnzbFzJmLPdon3Lj+6Ur6qlkjhiaWWRY40BZmY4Cj1Jrn/E3hrwj4mvdMvddsLK+udKn+0WMkj4aGT1GCPQcHjiq/wATbG78QeB9T0PR7yxiub+L7OZJ5cKiMcOeM5O3OBWfNJU7bu/36JK/3av5l2TqX2Vv1bf56fcafiZpr3wdqbaRIJpprCX7K8TAhmKHaVPQ84ry74O3Wqzfs+6IPBuq6Rpt/psMq6lHf2LXRSdGcyoyJLGUcvk5JPB6V6l4YsdM8P8AhzTtCsbiP7Np9rHbRZcZ2ooUZ/Kub1/4a/DrXNUn1O+0uNbq4AE7WuoTWqzdeXWKRVY8nJIJNE42clF6O2vpe356ii7qLktV+u/5HlPiLxF4i8a+HPg7rwudLstbvNfmxN9keS2RlSZM+V5gYghem8cnrXUfD24lsvi14wvfH13bt4q0/TYvKmtk8q0fTAXYPFG2WU7w+/Lv/D0r0aTwz4ReLRYjYWSx6HL5umqj7RbvtK5AB54J6561H4j8J+DvEV+1/rFja3Vy1lJYNJ57IWt5CC8Z2sMglRVSercfP8VZf8HybBK6Sl2X4Sbf56eaR833uqa5qfw+1jxnF4H8VS6xNrw8QWmpQwQfZkgg/dqATMH2+SJD93q54r0S/wDEWsat8XfCviHwbpGn6w2oeE551ivNRa0RUaWE53rFJkg8Yx688V6/aWei2uiR6Jbpax6dFbi2S3DjaIgu3b16Y4rL8O+E/Bvh6Wxk0ewtbR7C1ktLUrOzeVC772QZY8FgDQrRaS2W3f4XH/5H8RSvKOu7+74lL8Nbep4v8TfB+r+F/gzqU+o31o+u654rstRnMURNvbytNEqooyC6qFXJypbnpWp8X7Lx3b3fgSTxJ4i8P6jYnxVahYbHRZbWQP5U2CXe5kGMZ429xz6+x+JdK8P+JNOXT9bitry1WaOcRvLgCSNgyNwQeCAaTXtJ8Pa6tiurQ210LC6S8td0uPLmUEK4wRyAzdeOaIPl5fKSfyXKrf8Akv5ajlqn5qS+bv8A5nljRXk/xd+LEOnb/tknhizW32HDeYVutuPfOK6H9ma90ub4IaAtjJEv2SBortNw3RTKzeYH6YbOSc+tdnZ6V4fs/EF9r9tFbR6nfxRw3VwJeZEj3bARnHG5ug71zmq/DP4calq8+rXGlRx3Vwwac22oTW6SsO7xxyKjH1JBz3zSjdLl8l+F/wDMJayv5/ol+hleOvCd9feJn8e/D3xbZ6b4itrLybqG4VbmyvoAGaNJVDBk+bkOrDGDwa3PhN44Txl8P9H8QX8Vvpt5qG6PyPOBV5UJDeWT94fKSPak8RfDz4f6/LHLqWmQ7o4RABbXstsGjHRWETqHAyfvZ6n1NU9W8G2l9438J3cLadZeH/DUc01tawuFZrhl8tPlAwEVGk75JIoitOXp+W7f39u4Su/e6/npZL/g9jn/ANlaaGPwpr+l3Lga5a69dnU45GzLvZgVZu+CuMH2p/xBvrOP49/Dm/u7u3OmMl/awyFgY1vGQbF3dAxUOAOvOO9dV4n+H/gHxJqx1bVNPj+3lNj3FrfS2ryL/tmF1347bs4q9e+E/Bl74XTwzdabYS6SmCkBflGHRw+dwf8A2wd3vQm/db3X3bW+Wn3P0G9XLs7v73f8/wADiv2lfJvLHwho9vIh1m58TWMtjGOZQI5A8rqOuBGHyenOO9cfqPhO68VfET4of2RItv4h0u40y/0e4PGy5jjkIUn+44yjD0Y1634V8CeBfDGpnU9IsI0vthjW4ub6W5kRT1CtK7FAe+3Ge9a+m6T4e03WtS1mxhtob/UzGb2YS5M2wEJkE4GAT0x1oSsnZ66v0fu2+7lv6g5X3XZfK7b++9jwz4W+LLbxp8RvHGuQxvDM/ha3iu7dxh4LhQ4kjI7EGsz4eRyeBvAHgL4pWSkaZJpsWm+JYkHBt3bEdzj+9G5XJ/uFq9603wp4N03WdY1ix06xt7/WgF1KZJCDcDGORnA69sVY0/QvDFh4UXwra2lmmirbm2FmX3J5RBBXkkkYJ70nfk0309PtXXo+awPV2e347RSfr7tz5s0/7Rcfsz+CP7MuIY7iXxbZfZppYjLGrG9XazKCCwzgkAjPqK9y8Q6f47/4Vr4st9T1rS9T1KbS7hdPOmabJZlJDEwGd00uTnGMYq1P8Pvh/N4MtvBzaTarodrIslvax3UieW6tuVg6sGBB5zmrXhHwf4R8KXU11oazQyzJskM2qT3AIzngSyMB9RTqJThOHe//AKTFfoOM2pxqdv8A5Jv9TK/Z+1DR7j4K+GptLmhW0t9PSOUBh+5dV+dX6YIOc5xWT+0hJHN4N8PywyJJG/ibSirKcgj7XHyDWxffDD4bXmrTanJpMUVxPIJJlt9Qmgikb1aKOQIc98rz3zXRa1ovhrWdPtdP1K2tJrS1niuIIg+xY5ImDRkBSOhAOOnFXKfPUVR/zJ/c7v8A4BlGHJBwW1mvwsv+CcN+0n/yKnh7/sZ9K/8ASqOqHxFuLPwD8ZtC8fXUy2ul6xaSaTq0rHCIVUvC5/4EoX8a9L8Q6V4f8QWsFrrEVtdw29zFdRK0uNssbBkbgjowBqDxl4f8K+MdCk0PxNaWmpadIys8EkhAJU5BypBHI7Gs1dLTfmb+TSi/wT/A00b12tb7m2vxseJazp0n/DLHjrxXeRuuoeKLW51WYP1VJATEn/AUwK7j48f8m0eIv+wG3/ouu81rSvD2s+Hbjw9qUNrPpVxCYJbbzNqtHjG35SCBj0o1vSvD+teHZ/D2qRW1zpdxD5Etu0uA0eMbcg56e9OVmnGO2lvRaBBtSjKW6vf1bTILrRdP8SeAToOqw+dZX2niCdPVWTBx6GvL/wBl/RryZNZ8Sa9qR1bU7S6k0G0uHTDR2to5iHr8zldzHuTXs0EtlDAkMU0KxooVV3jgDoKoeHdK8P8Ah61ntdGitrSG4uZbqVVlzulkYs7ck9WJNU2vaSkuv+f+V18zOMWqcYPp/l/nZ/I2KKi+1W3/AD8Q/wDfYo+1W3/PxD/32KksloqL7Vbf8/EP/fYo+1W3/PxD/wB9igCWiovtVt/z8Q/99ij7Vbf8/EP/AH2KAJaKi+1W3/PxD/32KPtVt/z8Q/8AfYoA8Q17/k+Lw7/2JU3/AKUSV7pXhGuzQn9t/wAPOJYyv/CFTc7hj/j4kr3L7Vbf8/EP/fYoA81+Ds0cfj/4nafIwS6Gvx3HlE4by2s7cK+OuCVYZ9jXP+HNJ0TxZ4r+MNrq06f2HqF/bWMk6zBBvS1iDBX6ZDYH1GK9A8WeBvA/inUE1HWrGOS8RPL+0W99LbSMv91midSwHYHOO1Xbbw14RtvC7eGYdPsE0h1KvbbuHz1ZjncW77ic55zSS91J9I8v3W1+5feyuZqTcerv+v5/gedeGtR8VeCvHOm/DHxZrFn4l0PU9MuJLDUTEILyBIjgpcAHay7HUCQBeVORWZqq+KPgfoNvqOh+ILHxF4GbUY0i0u9h23dtFM33be4Rtsg3MWCshOP4jjNek+GfAfgPw5NdTaXp0ImuofImlubyS6kMfOUDSuxVTk5AIB71h+E/hL4J0HxHd6v8t2n2hZdNtZruaSGwUIF2ojyshO4MwO0bd2BjFWn7yb+b767W9NL+vUiys7L0XbT+tD0xG3IrYIyAcEcilqL7Vbf8/EP/AH2KPtVt/wA/EP8A32KkaJaKi+1W3/PxD/32KPtVt/z8Q/8AfYoAloqL7Vbf8/EP/fYo+1W3/PxD/wB9igCWiovtVt/z8Q/99ij7Vbf8/EP/AH2KAJaKi+1W3/PxD/32KPtVt/z8Q/8AfYoAloqL7Vbf8/EP/fYo+1W3/PxD/wB9igCWiovtVt/z8Q/99ij7Vbf8/EP/AH2KAJaKi+1W3/PxD/32KPtVt/z8Q/8AfYoAdPLFBA888iRRRqWd3YBVUckknoK8Q+JJ8QaN8RPAmseML7TfEGlvrQtdOs9OtGs3guJVZUnffJL54RS3CmPGd3OMV7Pe/wBnX1nPZ3bW09vPG0UsbsCrowwVI9CDXJ+Hfh18PtA1eLVtN05PtkIIhkudQmuRFnuiyyMEPbIAOOKI6TUn0a/r/g9Nwl8DS63/AK/zXXY5P4LXFnaWHxMTUpokmtvEN9Lel2A2xkEqzeg2g81m/DnS4f8AhkqC4vLGNriHw9dyWryxgyQq0T42k8rlTjjtXf8AiT4d/D3xFrD6vq+lW815IqrM6XkkSzgdBIqOFkH+8DxxV3xd4R8H+K9Pg0/XLdZrS3BWOGG9lt0CkY2kROuRjjByKzlBypOHVpR+5NX/AK2LjJKopdE2/vd7f15FT4R3NvY/Bzwxc3txFbQJpUBeSZwiqNg5JPArm9Skjj/al0SS4kQx3Phm4SyJIwziVWYL6naCfpW/Y/Df4eWfhW/8LQ6ajaLfhVuLSXUJpUYL0A3yEoB6KRWj4n8I+DfEunWdhrNlb3ENkQbUpcPFJDgY+WRGDjjjg8963qz5qrqLu/xTT+6+nfyMacOWkqb7L8LNffbX9T5/+JRjbxf4/wBUiYf2Vb+JNAW+fd8mUkj8zPb5e/pXqHxSMdz8Zfhbb2rBrtLy6uG2NyIBbuCTj+E9PQ12eneFPBun+FpvDFrptgNInVlnt5H8wTbvvF2YlmJ9SSfeq3g/wR4I8JXkl5oNjFBcyIIzNNeyXDhP7qtK7FV9hgVELRUY9Fr87JfddfdoXP3uZ9Wmv689fyOtk+430NeHfsMf8m56P/1+Xn/o969re6ttjf6RD0P8YrxH9huaGP8AZ10cPNGp+2XnBYD/AJbvQB2X7ScUk3wL8XJDG0jf2ZKdqjJwFqv8b9V0+T9nfxFqEd1E9td6I4t3VwRKZI8IF9SSRgDrXoc01lNE8U0lvJG4KsjMCGB6gjvXFad8L/hrp+pR6hbaPAJIpDJFFJfTSW8beqws5jGO2F47YqZR5ouD2f8ATLjPllGa3jf9P8jD1PwDealD4Y1rw74mHh/xlo2lwwZeJbiKWDA3RTQkglSc/MCpHrWXpP2j4zfD2wn1XUo/DHjHR9TuI7S9051liW7t3KNLEj58yI7clT2OM969C8XeDfBviy5hutctVmuIlKLLBfS27lf7paJ1LD2ORWX4w+HPhDXPA8XhmyjtdJFlEy6ZcW0jo1k5GN6lHVifXLfN3zVzk5cza63t2d73T/TvqZ04pKMb+V/K1rNf1poUfhv4t8Vt8RNb+HvjBtK1C9020hvINS02J4UlifgLLEzNskyCeGIII4r02uZ8E+GPC/g+wa10WOKN5cG4uJLhpZp2AxlpHZmPsCcDtXQ/arb/AJ+If++xTk9hRJaKi+1W3/PxD/32KPtVt/z8Q/8AfYqSiWiovtVt/wA/EP8A32KPtVt/z8Q/99igCWiovtVt/wA/EP8A32KPtVt/z8Q/99igCWiovtVt/wA/EP8A32KPtVt/z8Q/99igCWiovtVt/wA/EP8A32KPtVt/z8Q/99igCWiovtVt/wA/EP8A32KPtVt/z8Q/99igCWiovtVt/wA/EP8A32KPtVt/z8Q/99igCWiovtVt/wA/EP8A32KPtVt/z8Q/99igCWiovtVt/wA/EP8A32KPtVt/z8Q/99igCWiovtVt/wA/EP8A32KPtVt/z8Q/99igCWub+JVlZ3HgrWbie0gmnttNumgkeMM0TGFwSpPKkgkcdjW/9qtv+fiH/vsVgeM/DPhbxhZR2fiBDdW8ZJCR38sAORgg+W67hg9DkVFWLnBxXUunJRkpMxPgnd22n/A3w7fX08dtbW+lrLNLIcKijJJJ9MVzng6HUfiF8Rn+Jgt5LHQ9O06bT/D6SoUmuzIR5lwwPRPlAUdTkk101j8M/hzZeFtQ8L2+mKNG1FUS5tH1Kd0ZVOVUbpCUGey4B707w58N/AHh7UrXUNItp7ee14gzrF1IiDGMbHlKkYPQitatqlSUujvb53v+DsvvMqacKcYdrfha347/APDnlvhm50+P9ijW47ho90emX1tcKTz9oJdQuP7xZlGOuSK9k8GyeT4J0rSZLqIaqulRnyGlHmj5AN2DzjOOaz5/hv8ADmbxC2vSaPam9acXDgXUgheUch2hD+WzZwcleoBraGg+F/8AhLR4s+y2v9ti1NmLvzTu8kkHZjOMZA7VMvfUub7W/lZPb5v7itmrdL2+bW/yXzZ4h4eudPT9iLV45mj3R6TeW0655+0HcoXH94sVGOuSK6D4IpJZ/FvxNZak2L9tC0p4w7fMYljIbrycMRmu1l+G/wAOZfEJ159HtTetOLlgLqQQtKDkOYQ/lFs85K9eat+MPBXgnxbdQXeu2MU9zAhjjnhvJLeUIeql4nVivsSRT5nzOdtXv9z2+b+4Gk1y9Nfxaev3fecr+zcFksfGN7bc2Nz4ovXtmByrLv5Ze2Ce4rzD/gpH/wAku8N/9hv/ANoSV9KaJaaLoul2+l6THaWdlboEihiYBVAr5o/4KPyxSfC7w55ciP8A8Tv+Fgf+WElGiSS6JL7lYXVvu2/vdz6b0q3t20y2ZoIiTEuSUHpVn7Nbf8+8X/fArzP45WWsyfCWPWvDss6atoRh1S3WJyvmiIhmjIHUMoIwfWqnxJ1k+M18CeH9AupRb+IbqHUbmWGQowsYwJW5BBAb7tKPvO3ml9/X8/uY5aK/k393T8vvPV/s1t/z7xf98Cj7Nbf8+8X/AHwK+bIpPh7dfF34hRePo9avJ4tViSyFvFqMyRRmFPl/0YFV+bJwcGtX4+aLq2oeN/h/4e8Iaxe6RNb2l1c6eElba0sEQaJZAxyykgA7s0k9IvvZ/hd/NLoNqzku1/zse/fZrb/n3i/74FH2a2/594v++BXhmoeNT4w1z4SaxatcWMk+q3MGpWQkZfJuI49skLjvtcEc/Wuw+FNxcS/ET4mRyzyyJFrUCxq7khB9khOFB6DJJ4q4xvfyv+Divx5iW7JPvb8eb8uU9D+zW3/PvF/3wKPs1t/z7xf98CvFpLu8/wCE9+Msf2u42QWFsYV81sRE2anKjPy888Vlfs72/wAL9R0fwlcW1rrMvioabBcTTzxakI2mEal23yDyW5J7kHtmph733J/ff8rFTXL/AF5L/M9++zW3/PvF/wB8Cj7Nbf8APvF/3wKoeLNatPDvhrUdcvpBHb2Vu0zsfYcfrXjHwbk13wr440qPxFdXkv8AwnWmNqjLcSswtr4M0jwqDwoEbxqAMfdNEfely/11f6P+mKWkeb+ul/uuj3b7Nbf8+8X/AHwKPs1t/wA+8X/fAr5m07Wtb8JfFvxl8QZtSvbrw9F4iXSNYtHkLR20BghaO4UdtrOwOOxFdTPf3T+IPjY0d9OY4ra2a32zNiMGyQ5TnjJOeKhytT5/7t/wTt9zRcYXqcnnb8bfn/Wp7h9mtv8An3i/74FH2a2/594v++BXgGm+AdPsvgNpHjfw1dahpPim30O31Fb5b+WQTSeUrusiSMylX5yMD2xXsXgvXZPE3w50nxFJCIJNR0yO6eNTwjPGGIB9MmtakeTnXWO/4/5Mzg+blf8AN/wP80bv2a2/594v++BR9mtv+feL/vgV89fCz4neH9O+Cl1pmq6hrb6pG+pqXXSr24AJuJ9v75ImU4GOQ3GMcYqPQtW1fVfht8JPBUOsX1mPEcEj6jeRuTO8EIBaNXOcFi4BPXApWbbUfL8b/lYei38/w/zPon7Nbf8APvF/3wKPs1t/z7xf98CvD/ix4XsfhVoth438ByXmm3NlfQQ3ls15LPDfW8jhGR1kZuQcEEYIOazfHsujaf8AFTVrz4tW2uxaDeRwHw9rFvJN9jsFVQHSTyTmOQyPndIpU8cjBFJWdrd7fk9PW/5/Ms+va/42/D+vL6C+zW3/AD7xf98Cj7Nbf8+8X/fArxH4jw+D734s+F7LxhrcJ0L/AIR6eSKa71Y20c0geIK5ZXQMxUk/ieK5G61HVV+Afiz7JqWpS6La+J4YdAu5ZGWR7TzoeFfhnQOZFDHOR3NOK5ref/yXL9/W3a4m7f1/d5vu6H059mtv+feL/vgUfZrb/n3i/wC+BXiH7TfhDQB4DuvFSW11HrMlzZRtcxX88Z2tNGjDarhRlSR071213Y+GvhX8Pda1vRrN7VVtvNKvcyzeZNjbGo8xmIyzAcetS3aEpPpp+T/Ua96UUup3P2a2/wCfeL/vgUfZrb/n3i/74FeJ/BOPWPBvjaPw5r95eXX/AAlOkjWIpLqVmMd2rn7REM9AFlhwB/cNdD8CLi4n1f4hrPcTTCLxRKkYkkLbF8iLgZ6DnoKvl1t5N/c1F/i/wJ5tL+aX3ptfh/Wh6X9mtv8An3i/74FH2a2/594v++BXlGkWkWufHP4g6HqrT3GmyaRpoNv57qoy0+cbSCpOByMdK5rwj8OfB9x8cvF+hzafdvp2nWGnz2kB1O62xO5m3sP3nfYvX0qY6281cqXu83lb8bf5nvn2a2/594v++BR9mtv+feL/AL4FeCeMda134T+Ldc0jTor2+s/F6KfDm5mlFtqRIjeLnO1NpEvPaNq9d+GnhtvCfgrTtDmvbi+uYY91xczyF3llY5c5JPc8e1Efejzf1fqvl+q7hLR8v9W6P5/o+xvfZrb/AJ94v++BR9mtv+feL/vgVLRQBF9mtv8An3i/74FH2a2/594v++BUtFAEX2a2/wCfeL/vgUfZrb/n3i/74FS0UARfZrb/AJ94v++BR9mtv+feL/vgVLRQBF9mtv8An3i/74FH2a2/594v++BUtFAEX2a2/wCfeL/vgUfZrb/n3i/74FS0UARfZrb/AJ94v++BR9mtv+feL/vgVLRQBF9mtv8An3i/74FH2a2/594v++BUtFAEX2a2/wCfeL/vgUfZrb/n3i/74FS0UARfZrb/AJ94v++BR9mtv+feL/vgVLRQBF9mtv8An3i/74FH2a2/594v++BUtFAEX2a2/wCfeL/vgUfZrb/n3i/74FS0UAeEa7DEP23/AA8giQL/AMIVNxtGP+PiSvcvs1t/z7xf98CvENe/5Pi8O/8AYlTf+lEle6UARfZrb/n3i/74FH2a2/594v8AvgV578H7i4m8WfEdJp5ZFi8RhIw7lgi/Y7Y4GegyScD1rk5P+Eqv/EfxosPC95MNXVrRdOVpsCNjaxkhN3Ck8/iaTdkn/dUvwTt+JUY3k49nb8bHt32a2/594v8AvgVRe90ZNcj0RjCNQkga4WHyuTGCFLZxgcnHWvIvghceCZJJbHw9/bmg+M4dOK6jpOrSzCSSQZXzmEhZXAdWIaI4+bnqAOZ+H8fgm11+ytviVFruhfEqPUGjOqXkkyR30hZmTyZlJgMZQqNh2njpnmr5ffUf6fTTv/Xyzb9xvr/T17f18/pH7Nbf8+8X/fAo+zW3/PvF/wB8CpaKkoi+zW3/AD7xf98Cj7Nbf8+8X/fAqWigCL7Nbf8APvF/3wKPs1t/z7xf98CpaKAIvs1t/wA+8X/fAo+zW3/PvF/3wKlooAi+zW3/AD7xf98Cj7Nbf8+8X/fAqWigCL7Nbf8APvF/3wKPs1t/z7xf98CpaKAIvs1t/wA+8X/fAo+zW3/PvF/3wKlooAi+zW3/AD7xf98Cj7Nbf8+8X/fAqWvD7/R9b0n9pnwre6l4s1DVF1KLUDHaY8m1toljyqLGCdxHdmJz6ChayS9fyB6Rv6Htf2a2/wCfeL/vgUfZrb/n3i/74FLdRma2lhEskJdCokjIDJkYyMgjI+lfPVjH4WsfjJ4Us/h3daxY3YuJxrcmotdRQ3UAQgoBc4Eshk2keUDjk9BRHWSj3/r7gekXLt/X39j6E+zW3/PvF/3wKPs1t/z7xf8AfArwP9oDUdU8XaT4mh0q5u7TQPC1u0k91bTNGbu/H3Ygy8lI8ktz94KOlbXxi8O6prHiHwXeyeGNc8R6FaQS/wBo2mm3qwyFmiwhIaaLOGwfvUr6J9/y7/15PqN2vb+r9v6810PYvs1t/wA+8X/fAo+zW3/PvF/3wK4j4KX/AIRuvD13a+FNN1HSfsd00V9p2oM5uLabur7nf8CrEHsawfH0P/CXfGvSPAmpTXH9gw6RLql1awzNF9pkDhEDMhDbV3ZwCOQPpTe6S6/5X/LbuSno2+n+dvz+49V+zW3/AD7xf98Cj7Nbf8+8X/fAr5q1zWNa8Hnxr8P9F1S7gsv7Z0y00yVpjJLZQ3rosiozZPG47SScV199oNp8Nviv4Gj8LNd29hrss9hqVrLeSTJNiJnST94WwwYDpjPSnG0rNbPRetr2/FL/AIA5XjddVr8u/wCZ7I9tb7G/0eLof4BXiP7DcMMn7Omjl4o2P2y85Kg/8t3r3ST7jfQ14d+wx/ybno//AF+Xn/o96QHtv2a2/wCfeL/vgUfZrb/n3i/74FcF+0hPPbfA/wAVz200sEyafIUkjcqynHUEcirHxsmmg+B/imeCaSKZNFnZZEYqynyzyCOQamcuWDn2LhDmnGH83/A/zO1+zW3/AD7xf98Cg21t/wA+8X/fArwD4gLchfAuq+KtP1zV/Aa6RGl8mmvIzw3TKNs8qxkSMgB6rnHXFaHj3y7v4TeHL7wLc6v4l8ExXYn1OCwuC91cWGcmJCxVyF6bch8DBOaua5b+Tt6a2u+3f0M4PmSfdX/C9l37ep7Fol5o+tacmoaX5NxauzKkgiwGKsVbGQO4Iq79mtv+feL/AL4Feb/Av/hWgi1NPhzdXEMSOi3ulzNMjWsm0cmKYb0JGMn7pr02hqwRdyL7Nbf8+8X/AHwKPs1t/wA+8X/fAqWikMi+zW3/AD7xf98Cj7Nbf8+8X/fAqWigCL7Nbf8APvF/3wKPs1t/z7xf98CpaKAIvs1t/wA+8X/fAo+zW3/PvF/3wKlooAi+zW3/AD7xf98Cj7Nbf8+8X/fAqWigCL7Nbf8APvF/3wKPs1t/z7xf98CpaKAIvs1t/wA+8X/fAo+zW3/PvF/3wKlooAi+zW3/AD7xf98Cj7Nbf8+8X/fAqWigCL7Nbf8APvF/3wKPs1t/z7xf98CpaKAIvs1t/wA+8X/fAo+zW3/PvF/3wKlrG8Z6XqmteH5tN0fXpdCuJmQNexQCWREDAuEBIAYjIDHOM5waTbS0GtzU+zW3/PvF/wB8Cj7Nbf8APvF/3wK8r/ZVSaH4aXVrNfXl8bfWbuJZruYySsAw6sa7fxr4R0XxVHbr4gku5LG1LSG2S6aGJmxw7lCGO0Zx82OTkGnLSzXk/vVxR1un5r7nY3fs1t/z7xf98Cj7Nbf8+8X/AHwK+Z9B8RazpXwV8Wy+HtVvv7Gn8SRaX4cvJnMjxW0s8cTsjP8AMQN7bWOefWus13QrP4X+NvAt/wCGXvIoNUu5dP1aCW8kmW6U28kgchy2GDxggjHUii6spPRO33tJ2/FILPVdVf7k7foz2z7Nbf8APvF/3wKPs1t/z7xf98Cvm610R9e+A2r/ABautR1AeMfIuNUtL5LuRBbeSxaONYwdmzCYIKnIY81754Z1aTUPBdhrVwgEk1ilxIoPfZk0S92Lct1a/wA7/wCTDdpLre3yt/mrGr9mtv8An3i/74FH2a2/594v++BXzbbaLJrfwC1T4uXOoX//AAmRtp9Wtb9buRVtzES6RLGDs2YTaQVOQTzXR+HoYvix8RdSt/FRuJtK0jSbJ4LGK5khTz50LPIxjKljwQMnABPFOzu49Vv5af8AAaBtW5unTz1S/W57f9mtv+feL/vgV8t/8FH4o4/hd4c8uNE/4nf8Kgf8sJK9b/Z3v9Sk8P65oOo3k17/AGDrVzp1tPM+6RoEb5AxxyQOM968n/4KR/8AJLvDf/Yb/wDaElGmjWzSf3q4tdU+l192h9M6fFHNokEMqhkeAKynoQV5rzH4JfC/XPBev6he69q1pqFrbRHT/D8cO7dbWIcsqvkDD844yPevSNMivDp1sUu41XylwDDnAx9as+Tff8/sX/fj/wCypLR3/r+t/vY3qrHmWleHPiR4Y8ceL9W0LTPCup2GvX6Xcf2zV57aWLbEqFSq20gP3c5zW1rHhPXNW+JPgzxbO2nW6aRa3KX0CTO58yWPGIyUG5Qe52nHbtXZ+Tff8/sX/fj/AOyo8m+/5/Yv+/H/ANlRHS3lp+FvyBu9/M8m1n4Q6kfjppXjjRdStbfQ1uWvtR0+QsGN0YwnmRADHzBRuyRzk85raufC/jLw5471vxH4LTQ9StdeMct5Y6pdy2phnSNYw6SRxS7gVUZUqMHvXf8Ak33/AD+xf9+P/sqPJvv+f2L/AL8f/ZULRJLpf8enpovuQPVtvrb8P6/FnAaD4B1iLRvGF9q99ZTeIvFWWnEO4W1riIRxxKxG5lUKMsVBJydo6UfC7T/ib4c8P+HvDGraJ4SbT9Ms4LOa8ttauHlZY0C71ja1UZOM4Lj613/k33/P7F/34/8AsqPJvv8An9i/78f/AGVNO222n4Xt+YPVff8Aja/5HIfGfwjq3jjw7aeG7Oezh0y4vYzrHnO6vJaqcske0HLN7kfWuW8afA/RVj0rVfh/Y2mk+IdJ1CG7tp7m7naMop+eM5L4DLxwOwr1jyb7/n9i/wC/H/2VHk33/P7F/wB+P/sqUfdd13v+X4abevcHrv2t+f8AmcT4R8Ay2c/jyHXvsd1YeJtUa6jijJYiFoI49r5UYbKE8Z7c1yHw6+D/AIl8M6B470m+1yz1D+2o1ttLmZn3pbpCIohMSv3goAJGc4z3xXsvk33/AD+xf9+P/sqPJvv+f2L/AL8f/ZVLinFx8lH5LRFKTUubre/z3/r0R5HaeDfihqHw3074dao3hjRdLhsIbG71Kwv57u4lijQKypE8EaoXA+9vO3PQ16vpmk2uleHrbRNNjENraWq21uhP3UVdqj8gKl8m+/5/Yv8Avx/9lR5N9/z+xf8Afj/7Krm3K9+u5EVy2t02OL+G/gzVfDfwlk8JX1xaSXzG+xJC7GIefNK6clQeA4zx1z1rnY/hXr1v8OfBFnYaxZWfirwj89vNtaS1nJGHibgNsYY+bGRjoa9W8m+/5/Yv+/H/ANlR5N9/z+xf9+P/ALKhttt+n4Xt+ZSf6/jueca54V8eePLzTbLxlH4f0bQLK6S8nttLvZbyW+dDlEZpIYhGgPJwGJ46Yq58QNJ+I+t2Os+HLK18JXWj6nGYUu7yeZJbaN1AYGARMspHJB8xM5HAxk935N9/z+xf9+P/ALKjyb7/AJ/Yv+/H/wBlUtJrla0/O/8AwyBNp8y3PPNJ+Fsdj4l8LyXP2DVNJ0Pw++lkXkW+SSQtGVcKQVAwh75Gcc1r/GDwfd+LPh5N4a0Q2VpKZ7eSMS5SJVjlVyPlBxwpxxXWeTff8/sX/fj/AOyo8m+/5/Yv+/H/ANlVOTdr9Hf535vzZMUo7en4W/JHKfGHwnqPjH4fSeHtMmtYbpri1lD3DMExHKjtyAT0U44qt8XfBepeONM0Tw95tmuhC/jm1uOV3WSeCNSVjTaO77SckcCu08m+/wCf2L/vx/8AZUeTff8AP7F/34/+ypf53+en+QWt91vkeV+JvgrpNnqnh7X/AIf2drpWtaTqcc7SXN3OyS2xVlli5L4yGBHHVRU/hXw78SPCXiTxPJpWl+FNR03WtZbUEludXuIJo0ZEQqUW2dSRsJ+93r03yb7/AJ/Yv+/H/wBlR5N9/wA/sX/fj/7Kmm1+P42/yX49waT/AK9f82cn4b8J6np/xX8S+LrmW0NnqthZ28UUbsZEeIyl92VAx+8GCD2PApfDvhPUdO+LPifxbPNatY6tZWdvBGjMZVaEy7iwIwAd4xgnv0rq/Jvv+f2L/vx/9lR5N9/z+xf9+P8A7Kkna3loDV7+dvwt/kcr8Q/CeoeIvEvgzUrOa1SHQ9Wa9uVmZgzoYJY8JgEFsuOuOM812lVfJvv+f2L/AL8f/ZUeTff8/sX/AH4/+yoWisN6u/y/P/MtUVV8m+/5/Yv+/H/2VHk33/P7F/34/wDsqALVFVfJvv8An9i/78f/AGVHk33/AD+xf9+P/sqALVFVfJvv+f2L/vx/9lR5N9/z+xf9+P8A7KgC1RVXyb7/AJ/Yv+/H/wBlR5N9/wA/sX/fj/7KgC1RVXyb7/n9i/78f/ZUeTff8/sX/fj/AOyoAtUVV8m+/wCf2L/vx/8AZUeTff8AP7F/34/+yoAtUVV8m+/5/Yv+/H/2VHk33/P7F/34/wDsqALVFVfJvv8An9i/78f/AGVHk33/AD+xf9+P/sqALVFVfJvv+f2L/vx/9lR5N9/z+xf9+P8A7KgC1RVXyb7/AJ/Yv+/H/wBlR5N9/wA/sX/fj/7KgC1RVXyb7/n9i/78f/ZUeTff8/sX/fj/AOyoAtUVV8m+/wCf2L/vx/8AZUeTff8AP7F/34/+yoA8V17/AJPi8O/9iVN/6USV7pXguuJcj9tzw8rXCGT/AIQqbDeVxj7RJ2zXuHk33/P7F/34/wDsqAOAfwz418MeNNe1rwZHoWqWOvypdXVnql5LaNb3CxrGWR44pd6sqLwQuCOpzxN4T8HeJ9C0zxHq41PTJPFuvXYvZmMLm0hKoiJCvRioVAN+ASSTtHSu58m+/wCf2L/vx/8AZUeTff8AP7F/34/+ypLRadrfLt+C+62wPV3+fz/r/Pc84g8H+NNc+Ilj408SR+HdHudI0+e10+HTbiW7M0kuMtNI8cR2LtXCAHOWORWDrekfEL4oW9x4L8U6RoOkWOl39ubzVre4mle6ZFWTNvG8KBc5ALbzt+Zfm617L5N9/wA/sX/fj/7Kjyb7/n9i/wC/H/2VNaW7L873v94d+7/yt+RZRQiKgzhQAM0tVfJvv+f2L/vx/wDZUeTff8/sX/fj/wCyoBKxaoqr5N9/z+xf9+P/ALKjyb7/AJ/Yv+/H/wBlQBaoqr5N9/z+xf8Afj/7Kjyb7/n9i/78f/ZUAWqKq+Tff8/sX/fj/wCyo8m+/wCf2L/vx/8AZUAWqKq+Tff8/sX/AH4/+yo8m+/5/Yv+/H/2VAFqiqvk33/P7F/34/8AsqPJvv8An9i/78f/AGVAFqiqvk33/P7F/wB+P/sqPJvv+f2L/vx/9lQBaryTxZ4f+KOo/E/RfFdjo/g822ircxQRTa1cK9wsq7dzYtSEI64G7616j5N9/wA/sX/fj/7Kjyb7/n9i/wC/H/2VC3TDpY4dvEnirVPibqfhjRv7PisrDRDJcXLxNIIb+QjyVzkblADErgEgdqydd8IeO/HGt+G28XWvhrSbDQtSj1PzNNvprqe4lj+6gDwxiNSTkkM3TGD1r0qO0uY3d47i3R5Dl2W2ALH355qTyb7/AJ/Yv+/H/wBlRHSz6rX53v8Ah+iB63Xf8rWf3/qzy34i/AnwZrfhjWrfQdCtLPWL8O6TyXc6R+cxyXYKxGT3+U10TaT4u8LWem6Z4D0rw7caVBbGOW11HUbiBkkyMMkgjlLDGRggdjntXYeTff8AP7F/34/+yo8m+/5/Yv8Avx/9lQtFZbA9XdnnPh7wT408P6D4q1nTdR0aTxt4huBdt54kNhbuBhYwQN7Kq5G7AJ64FWvGHhPxW/jHQvHPhuTR5tasrJ7G9s72WSC3uYn5JWREdlIYAj5TnpxXeeTff8/sX/fj/wCyo8m+/wCf2L/vx/8AZUdrdLW+St+Wgd79b/jr+e3Y8lvPhLrWteHfE95rGqWNr4q1y+t9Qie2DS21nJbMGgjBYKzqNoDNhSeeK2dO8K+Mte8d6H4l8brodjFoEchs7TS7qW5E08iFDI7SRR7QFJwoB5716D5N9/z+xf8Afj/7Kjyb7/n9i/78f/ZU07NW6f5W/L+rg9VqWZPuN9DXh37DH/Juej/9fl5/6PevZnivtjf6ZF0P/LD/AOyrxL9h6O6b9nXR/KuEjX7ZecGLd/y3f3pAeu+PvDdr4w8Gat4ZvJnhg1G1e3aRBlk3DG4fSuA1vwx8U/E/g1/A2uSeFrPTriEWl5rFpdzyXM0IGGK27RKqMw/6asFz/FXqPk33/P7F/wB+P/sqPJvv+f2L/vx/9lSsv68v6+fUd3p5fqc3rsHjfTJLaHwhZeHb/TUtlh+zaldy2rRMvAYOkUm8EcbSq/WuL03QfGnwq+G7XWhRaPrl0lzd6nq2nhZYUkaVjJ5dqURyArEgAp8wH8NeseTff8/sX/fj/wCyo8m+/wCf2L/vx/8AZU3fV31fX8RRSVlbRdPlb8jgvh34R1v/AITvU/iL4mj07T9T1SxhtF07T5GljhjT5tzyMiF3JJ/hGBxk9a9Hqr5N9/z+xf8Afj/7Kjyb7/n9i/78f/ZU2+i2Ek93uWqKq+Tff8/sX/fj/wCyo8m+/wCf2L/vx/8AZUhlqiqvk33/AD+xf9+P/sqPJvv+f2L/AL8f/ZUAWqKq+Tff8/sX/fj/AOyo8m+/5/Yv+/H/ANlQBaoqr5N9/wA/sX/fj/7Kjyb7/n9i/wC/H/2VAFqiqvk33/P7F/34/wDsqPJvv+f2L/vx/wDZUAWqKq+Tff8AP7F/34/+yo8m+/5/Yv8Avx/9lQBaoqr5N9/z+xf9+P8A7Kjyb7/n9i/78f8A2VAFqiqvk33/AD+xf9+P/sqPJvv+f2L/AL8f/ZUAWqKq+Tff8/sX/fj/AOyo8m+/5/Yv+/H/ANlQBarO8RS63Dpbv4estPvb/cNkV9dvbxEZ5y6RyEcf7Jqfyb7/AJ/Yv+/H/wBlR5N9/wA/sX/fj/7Kk0CPK/hhp3jL4a+ENdPi618Nx6bCbvVPtNjqU0zh2wwjMbwIMcHkNknAxzWf4g034s/EP4WeGodmh2hv8z6/bSXc1k88OcxwoyRylAwxuPXHA68ewzWt1NG0U1zBJGwwytb5B+ozThDfKABeRADoBB/9lQ1fR+X4f0vuBOzuvP8AH+med6r4N8S+KPhrf+D9V0vw74ZWJYG0l9LvpbtIpIZFkQsrwxYAZF6ZyCaLLwn428ReLPDuq+OV0C0tPD2+aCDTLqW4N3cNG0W9zJFHsUK7HaN3JHPHPovk33/P7F/34/8AsqPJvv8An9i/78f/AGVPq2/6ff1/4HYVtLf1bseNxfDbx/aeB9Q+GVneaA3ha9lkjXVHuJRewWkjZeMQCMozYLKG8wdc44xXo2nab4msfEltYwyaR/wh0GmCBYir/bDOMAHP3dm3Pvmt7yb7/n9i/wC/H/2VHk33/P7F/wB+P/sqOln/AMPpbX+t9RvV3/re7+88bh+Gvj+18C33wwtrzQD4Wu5JIRqjXEovYbSRsvGIPL2M20sobzB1zjjFb1z4L8WeGfHU/iXwImiXsF9p0Nld2GqXUlsFaEYjlSSOOTPGQVKjr1r0byb7/n9i/wC/H/2VHk33/P7F/wB+P/sqNe/9Wt+X+e4273/rrf8ANL8tjmvhP4Qn8H+HJ7a/vI73VL+8lv7+eNSqNPKcsEB52joM14R/wUj/AOSXeG/+w3/7Qkr6c8m+/wCf2L/vx/8AZV8u/wDBRxLhfhd4c86dJB/bfaPb/wAsJPc027kpHvHxD8WS+B/hTe+KYbFL6Sws1kWB5DGHOBwWAOPyrIs/HfivSvGWhaB428PaRaw6/vjsLrSb+S5VZVXcVkWSKMqCOhGffFUf2k8f8M3eIdzbR/Zo5zjHSuDvJNBtfH/gfUvAnj6bx3rn29baWzuNUj1P7PaOMTyDZ/qcLn5z16Uqes0vNL+v8+g6mkL+T/C39W6noA8eePtW8VeK9L8L+F/DtzbeHbpbd3vtWmhmnYxiT5VWBlHBxyw5rpvDPxA0fXPhfH8QFjns9Na0e6kS4ADxhc7gcHHBB5BxXj9t4N1HxX4w+L/9j+KNa0i/j1JEhhtbnbbTN9mQ4ljx8wPQ8jiovEPiaHxj8IfBXgTwbp1hp9/r8otbjSmdoobaK2P+lRMVDMqAqy5AP41Ku4JdWof+TLV+nXyKlaNRt7Jy/Dp69j1X4O/EC68babf/ANr6KND1axeMzWJn8xljkjWWJs4HVHGeODkZrI+DnxgHjrxHq+haloh0W5t55/7OLTb1voIpWiZ1OBhgyNlecetc1LdeLvCXx30PWfFWneH7Cx8UWv8AYz/2XeSzL56ZaFn8yJME5CDGelYvg7w3qWpfBu28U+GU3eJvDfiDVLywUHH2hPtkvmW5P911GKtuOk+mz8tbX/J27P0I5ZW5et1b5pu33pq/kd5qvxcu7P4deLvFUegwPL4f1e406O3a6IWfypfLDltvy564wat6j4+8XeEZrC88f+HNHtdCvJkt21DSNRkuRaO5wpmWWKMhCeNy7sdxXiy6xBrn7LfxD1+KOS3t7/xDd3SLMu1kVrjOGz0Izg/SvRvjb4p0Dx54B/4QXwRq2m+JdZ1iSKBY9NnW6W1TcC00zRkiJQB1bGT0zRFNcvV+7p6xjf8ANv8A4BUuVt20V5fg9D0KHxlJJ8Vb/wAF/YE8m10eLUhdCX5nLu67NuMADZnOe/SuY+C/xgHj3W9W0fUdEOi3dvNM2n7pt631tHK8RkU4HIeNgV5xx61BpieT+0vrMO7cY/CFopPriaUZrhvBvh3Urz4K6V4w8Mx7/EnhvW9UurRFODdRG9m823J/uuB+YpXSSk9tf/Smr/Ky+V+pNm00t7r/ANIvb5v+rHp2mfFewHgzxB4n1uxe0g0jV7nTEht2Msly0chRdowPmYjp0HrU9prvxWY299c+BtDTT5ZAXtY9ZY6hFET3QxiHeBjIEuOuCa8S8Ox6h4v+BN/4m0DTLi7Fv43n1v7D5ZMssKzszIE6lwG6eoNdV8XPGmh6zY2OteAviXqLa/PdW8EWhWGpKJCN+HV7PBkDAZDAgEY5xTin7t9/dX3xjr82392g5te9y7e9+DenySX3n0JRQOgopAFFFFABRRRQAUUUUAFFFFABRRRQAUUUUAFFFFABRRRQAUUUUAFFFFABRRRQAUUUUAFFFFABRRRQAUUUUAFFFFABRRRQAUUUUAFFFFAHhevf8nxeHf8AsSpv/SiSvdK8L17/AJPi8O/9iVN/6USV7pQBy/gnxVJ4i1nxRp72S240PVBYK4k3ecPIil3EYGP9ZjHPSuf1L4pwaVP4/bUdMZbTwj5PzxSbnufMiR+hAC8uB1PrWL4Q8S6H4H+I3j7TvGOrWGgHUdVj1Gwm1GdbeK6hNtDGTG7kKxDRsCAcjuORVfwLcaNeXnxM8aa1bvJ4T1e+hiilltXeO6gjt442lAAy0Zbd8+NpAyDjmlvFW/lX/gXu3/G/+WhSspvm25vwvf8AI7Pwh4i8aXNsuo+KPDmk2emTWP2yGfTdRa4aMbQ2yVXjTDEHjZvGQckcZ5fwl4o+Ivi7VtM8caPpGmnwbdK8CWDaky3hTzCpuGTy/L3DbwvmdD68Dm/h/daN4Y+J9tofw68Wv4k8DyaXcXOp2UNz9vt9JKvuQxyJuC7tzgRZJITisjxHceEdBmtdf+CPjjfrGo6pDM/hewvFuILrfgSb7UfPDgZZmIG09cVas5xaWj/za1/zXrvtm0+SSf3/ACvp29H+W/01RSRliill2tgZGehpakpMKKKKACiiigAooooAKKKKACiiigAooooAKKKKAKms38OlaPe6pcLI0NnbyXEgjGWKopY4Hc4FeVad8VPFS2fhjxBrHhTTIfDniO8htbVrTUmlvYTNkRNJEY1TGcbtjtgZPODXo/jnUNQ0rwZrOp6TpranqFrYzTW1moyZ5FQlUAHJyRjA5NfL3hu38J6SfBfivwb4r0/XfFsuoR+Z4aikEkcX2lwLjybUMWtSil2LEHAU5xminrUs9vd/Fv8APv031HPSnf1/Bf1p18rHuXxp+JzeBLRYtK0lNa1XyWu5rVp/KWC1T78rtgkDJCgY5Zh25q14u8eala+JNE8JeGNJtNR8QarbPebby5aC2t4EHzM7qjtkkhQAp5POBXlfxX8OfEXR/BnxB17UrLwheDVo2Mt5/aFwLiK1Ujy4VTydvyj/AGgCeTXW+LbS3t28MeKte8e+GfAPiy2tHt1lkuEmtri3ZfmjCzmItg7Wz2IpRfupv5/NOy++1/n5A/isvP8AC2v52+V+p2fwy8Z3Pig6xpur6Wml65ol19lv7eObzYskZV43wCysORkA+1X/ABZP45iuYR4U0vw5eQFD5zanqM1uytngKI4ZARj1Iry74TX8Hhez8dfFDxZrs9xo1/cQumpyWLxCeKJdnmpCoLCMk/L1yK7v4v8AjX/hGPhtc61pO241K9RLbR4ehuLmbCwqAefvMD9KJu0U+tlp5tbfN/iEFeTXS718l1+Ryuj/ABi1OPQPFeq+IfD9iE0O/TTLY6VePOl/dMwTy0aSOPo5CknjPtW5pHjrxNYeNtI8MeOdA0vTZNbikbTrjTb97mPzEXc0Um+OMq20EjaGBx1rkfiD4Mk8H/ADRbG1juL59C1Gx1PUGSMvJN5dwkk8hA5J4Zvwq7r2v6J4/wDi54Aj8IanZa3BpE0+oahc2MyzR2yGFkRXZchWZiBtJz7VaS5uXfWz9OXWX33fysQ37vNto2vW+i/L7z2eT7jfQ14d+wx/ybno/wD1+Xn/AKPevcZPuN9DXh37DH/Juej/APX5ef8Ao96ko9N+KPieTwZ4A1jxRFZrevp1s04gaTYJMDpuwcflUnj3xE/hnwBq/iiO0W6fT7CS7EDPtDlV3bd2Dj64rH+Pmk6hrnwc8UaXpds91ez6dKIYUGWkbb90e9cX8TfiR4R8TfBfVdH0DWrPU9e1bTWtLbRraQPfec67djQD94hUn5tyjbjnFRO7hJR+Lp89vxNIcvPBy+HW/wCH6XOi1b4i6xNrHh3w54Z0TT7nXNY0sao66hetBbQQ45G9Ed2bPGAn1Iqz4r8ea14f0TQ7e78Owp4n1u9/s+2tDeD7Ks2ceY0oG7yv4h8m/B5UHisD4gaP8NW0rw9onjrxBD4c1vSbOKTT9Ua7FlLGyAA+VO2FY5HKAnjqKwPD2p+HPFHwasNL+M2rRtbXd7cQaVrN+Gs2uo4nPk3QkYAROyBWUkjdnjNazteSj0f3q+yfe2n497ZU78sXLt+Nr3a7dfw9fTfhYnjyz06fTPHcFjLdQuXi1CzvGmjuFYltpDIjKVzjGMYA5rs68Z+CGpaiPiB4h0HSfFV34w8GW1tDJZ6pPKLgQznhrdbhfllAUAnHQnB5r2ah7J/1/X/DiW7QUUUVJQUUUUAFFFFABRRRQAUUUUAFFFFABRRRQAUUUUAFFFFABWP4y17/AIRvQJdUGl6lqsiskcVnp8BlmldmCgAdAMnlmIAGSTWxVHXNY0nQtOfUdb1Sx0uyQgNcXlwsMak9AWYgClLbca3OX+C/ja+8e+Dm1zUdGXR7pLya1ktBP52woQOWAAzz24963fG3iOx8K+G7rWr7LLEFSKJT888zkLHEvqzMQo+teWfsr+J/Dd14Q1ewtfEGlXN4mrXt01vDdxvKId4/ebASdnI+bGOav+II9f8AiDrHhrxl4Kfw3rXhqxEs9tBqdxc2u+7yUE2FhbOwbwAQOWz2FVLXl6XSv5XWv628yY6c19bN/Oz0/wCD5FrQ/ivct8JNd8ca/wCHjZXGj3EtvLYW1x5pZ1KhRuYKBkuM9hzU+j+PfFdr4y0DQfGHhzSrSLxDDK9jPpeoPcmN408wrMrxoVG3PzLuGcDuK8w0DXPGWk/Bb4hX1xoOhXkX9s3EcqwtLdqm+SNJ3eIou6JEZm4OSAcgdaZ4G0zwr4d+JHhaP4c+LrbxjLqlm+n6lD9rW8bTrURs/mxurH7PGH2LsbqWAznipTb1S6L73G/5212+5jasn5N/cn+i6b/gd7c/FnxE/hzUfHWmeFbG48FafMwknkv2S/mhRtsk0cPllCoGSA0ikhTx0z6zYXlvfafBf20ge3niWVG9VIyDXzZovijR9L/Zp1j4eXV3Cni+O2utIj0R2xezTyFlQrD99lO8HcAVwCc4Br2Twvq+j2MWnfDabUNviKPRFma28p+IwAhbdjbwxAxnNOWkXy67W89G3+SfzD7Svpvfy1SX5tedjlLj4teIn8NX/jzTvCtjP4IsZW8yd79kv5YEbbJNHD5ZTaBlgGkBIU8ZwK3tU8e6zqXiv/hGvAWkabql1BYx315c6levbW8Ucn+rVSiSMzt1+7gAHmvJ9I8UaRp/7MeqfDu5uoU8YR2lzo6aGzYvZZ5CUTbD98qdwO4DbjJzgGuj8E6hpfw1+KmtWvjLU7TRbfUtFsHtLy/lWCGVoUKSRq7EKWBb7uc+1O0b2vp0ffRv/J/MJXs3bXXTt7yX6tfj0PTvhd4yi8beG31A2T2F9a3Mlnf2jOGME8Zw6gjqM9Dxkdq8E/4KR/8AJLvDf/Yb/wDaEleq/s52876F4h1+S3lgttc166vrMSRlC8DN8j4PIDDnkV5V/wAFI/8Akl3hv/sN/wDtCSh30urOyv5O2q+8S3dtrv7r6H0jY3Fq2lQQTQyyL5ShlNuzKePpg062/sq2k8y30/yXxjdHZMp/MLUlpc29noEV3eXEVvbw24eWWVwqIoXJJJ4AA71U0Hxb4V1+yub3QvEujara2v8Ax8TWd9HMkXGfmZSQvHPNK+4y6l1aIzskEys5yxFs4LH345pqS6ejh0tHVhnBFowIz1/h71iaZ8Svh3qmoQ6dpvj3wve3s7hIbe31aCSSRj0CqGyT7CtPxN4o8NeGIYZ/EniHSdFimYrE9/eRwK5HUKXIyaHoG5akurSQr5kEz7TuXdbOcH1HFLFdWsS7Y4JkXJOFtnAyevaq8PiLw/Np1lqUOuaZJZX8ix2dwl0hjuHY4VY2zhiTwAM5q1qmpadpdutxqd/a2MLyLEslxKsal2OFUFiOSeg707MLkPm6f5LQ/Y38piSyfZG2n6jbTbVtMtWLW1iYGYYJjs2Un8lqh4i8deCfDd8LHxD4w8P6RdFA4gvtRigkKnvtdgce9aMmu6JHoa69JrGnppLRiVb5rlBAUPRvMztwfXNJbXQeQ/7VaeaZfIm8wjaW+zPkj0ziiO6tIk2RwTIuScLbOBz17Vj658QPAehagdP1vxp4c0y8Chjb3epwwyBSMg7WYHBHNGlfEDwJqxVdL8aeHL4tKsCi31OGTMjfdQbWPzHsOpoWuwNmxDdWcKbIbeaNc5wtq4GfyqFBpMc/2hNOCzZJ8xbJg2fXO3NWLzVNMs761sbvULS3u7wsLWCWZVknK/eCKTlsZGcVboAq/b4f7lz/AOA7/wCFH2+H+5c/+A7/AOFWqKAKv2+H+5c/+A7/AOFH2+H+5c/+A7/4VaooAq/b4f7lz/4Dv/hR9vh/uXP/AIDv/hVqigCr9vh/uXP/AIDv/hR9vh/uXP8A4Dv/AIVaooAq/b4f7lz/AOA7/wCFH2+H+5c/+A7/AOFWqKAKv2+H+5c/+A7/AOFH2+H+5c/+A7/4VaooAq/b4f7lz/4Dv/hR9vh/uXP/AIDv/hVqigCr9vh/uXP/AIDv/hR9vh/uXP8A4Dv/AIVaooAq/b4f7lz/AOA7/wCFH2+H+5c/+A7/AOFWqKAKv2+H+5c/+A7/AOFH2+H+5c/+A7/4VaooAq/b4f7lz/4Dv/hR9vh/uXP/AIDv/hVqigCr9vh/uXP/AIDv/hR9vh/uXP8A4Dv/AIVaooAq/b4f7lz/AOA7/wCFH2+H+5c/+A7/AOFWqKAKv2+H+5c/+A7/AOFH2+H+5c/+A7/4VaooAq/b4f7lz/4Dv/hR9vh/uXP/AIDv/hVqigCr9vh/uXP/AIDv/hR9vh/uXP8A4Dv/AIVaooAq/b4f7lz/AOA7/wCFH2+H+5c/+A7/AOFWqKAKv2+H+5c/+A7/AOFH2+H+5c/+A7/4VaooAq/b4f7lz/4Dv/hR9vh/uXP/AIDv/hVqigCr9vh/uXP/AIDv/hR9vh/uXP8A4Dv/AIVaooA8F125jP7bnh6XbNt/4QqYY8ps/wDHxJ2xmvcPt8P9y5/8B3/wrxXXv+T4vDv/AGJU3/pRJXulAGddPpt1t+1WTT7enmWbNj81qQXVoIfJFvMI8bdgtX249MYqSy1CwvZrmGzvba5ltJfJuUilVmhk2htrgfdbDKcHnBB70yDVNMnury1h1G0knsSBdxJMpe3yu4bwDlcqQeccc0ARWz6bahltrJoA33hHZsufrhay9E0Tw9o+s6pq9jYTJeanMs1w5tm4IRUAX5flGFBx6knvVrw54u8KeJJ7i38O+JtG1ia2x58djfRztFkkDcEJxyD19Kx5Pid4NT4ixeBRrmmtqzxF2QXsWUkB4hK7t3mEc7cZxzQviS6v/hweibeyOp+3w/3Ln/wHf/Cj7fD/AHLn/wAB3/wq1RQBV+3w/wBy5/8AAd/8KPt8P9y5/wDAd/8ACrVFAFX7fD/cuf8AwHf/AAo+3w/3Ln/wHf8Awq1RQBV+3w/3Ln/wHf8Awo+3w/3Ln/wHf/CrVFAFX7fD/cuf/Ad/8KPt8P8Acuf/AAHf/CrVFAFX7fD/AHLn/wAB3/wo+3w/3Ln/AMB3/wAKtUUAVft8P9y5/wDAd/8ACj7fD/cuf/Ad/wDCrVFAFX7fD/cuf/Ad/wDCj7fD/cuf/Ad/8KtVSn1jSYNYt9Gm1Syj1K5RpILN51E0qL95lTO4gdyBxQA/7fB/cuf/AAHf/Cq0I0mGbzodP8uXn51smDfntrTrA0Lxt4N17UpNM0PxZoWqX0QLSW1nqEU0qAHBJVWJGDQtw6GnJeWsiFJIZ3U9Va2cg/pUVy2m3W37TYmfb93zLNmx9MrVHVvGvg3SNZj0XVvFmhWGpylRHZ3OoRRzOWOFwjMGOe3HNX9f13RfD+nHUte1jT9KsgwU3F7cpDGCeg3MQMml0uHWw5riyaDyGtpWixjYbV9uPTGKV7mzkCh7eVghDKDaudpHQjjijRNX0rXNOj1LRdTs9Tspc+XcWk6yxvjrhlJBqPxBruieHtPOoa/rGn6TZhgpuL25SGMMeg3MQMmm9NwWuxM19bspVo7ggjBBt35/SorWTTrXd9lsmg3fe8uzZc/ktLpWtaPq2kLrGl6tY32nMpZbu2uFkhIHU71JGB9ap+GvF/hPxNJNH4b8T6LrLwAGZbC+jnMY/wBoIxx+NFtbCvpc0HvodjfJc9D/AMu7/wCFeJfsPXUcX7O2jqyzE/bLz7sLMP8AXv3Ar3eT7jfQ14d+wx/ybno//X5ef+j3oGe0fb4f7lz/AOA7/wCFVo/7LjuPtEen7Jsk+YtkwbJ687c1b1O/sdLsJr/Ury3srSFS8s9xII441HdmPAH1pb69s7Gwlv767gtbSFDJLPNIEjRAMlmY8AY70eYeRWupNOutv2qzafb93zLNmx+a1Q8T6foviLw7d6DqVrctZXUJhdUt3UqpGPlO3g+9T654p8M6FpsGpa34i0jTLG4x5Nzd3kcMUmRkbWYgHjnipZ/EOgw+Hv8AhIpda05NH8kTC/a5QW5jIyG8zO3B9c0pJWd9uo4t3TW/QXTm07TrKKzsrWWCCJQqolq4AAGOy1Y+3w/3Ln/wHf8AwrC+G/jrw/4+0E6v4fvre4iWVo5I47iOR4iCQNwQnbkYYA84Irp6p3vdkxtayKv2+H+5c/8AgO/+FH2+H+5c/wDgO/8AhVqikMq/b4f7lz/4Dv8A4Ufb4f7lz/4Dv/hVqigCr9vh/uXP/gO/+FH2+H+5c/8AgO/+FWqKAKv2+H+5c/8AgO/+FH2+H+5c/wDgO/8AhVqigCr9vh/uXP8A4Dv/AIUfb4f7lz/4Dv8A4VaooAq/b4f7lz/4Dv8A4Ufb4f7lz/4Dv/hVqigCr9vh/uXP/gO/+FH2+H+5c/8AgO/+FWqKAKv2+H+5c/8AgO/+FH2+H+5c/wDgO/8AhVqigCr9vh/uXP8A4Dv/AIUfb4f7lz/4Dv8A4VaooAq/b4f7lz/4Dv8A4VHcXFlcRGK4tpZYz1V7V2H5EVeooA5zXdPsL7QtQ06xWTS5ry2e3+1QWB3xhhgkcDmpvCtlpXhvw7Y6FplvcR2llCIox9nfnHUnjqTk/jW7WJ4m8YeE/DEkMfiTxPouivOCYVv76K3MgHUrvYZxkdPWi9vn+l/82Frl4XNmqMgt5Qr53KLV8HPXPFRWx0u1cvbWBgYjBaOzZSR+C1m6b4+8C6nY3l9pvjPw7eWlige7ng1OGSO3U9C7BsKPc4p3h3x34I8R350/w/4x8P6veBC/kWOpQzybR1O1GJx70dQNEtprXIuTYkzjpIbNt357c1J9qs/O877PN5uNu/7K+7HpnFZ934z8IWniCPw9deKtDg1mRlVNPkv4luGLdAIy24k9uK3aFtcOtjOLaabkXRsSZx0l+xtu/PbmlupNOugBdWbThegktGbH5rVK58Z+ELXxCnh258VaHDrMjKqafJfxLcMzdAIy24k9uKm8TeKPDPhiGKbxJ4h0nRY5mKxPf3kcAc9cAuRk0rq1+gdbFxb23VQqxXCqBgAW7gD9K+Xv+CjlxHN8LvDgRZR/xOv44mX/AJYSeor6msbq1vrOK8sriG5tpkDxTQuHR1PQqw4I96+X/wDgpH/yS7w3/wBhv/2hJVO/US8j2j4qeEb/AMbfCptB0y7gtrthBNF54JikMbBtj452tjB9jXLaV4vh1aDxJoPiPwb/AMIt40tdCZ54vkkjuICp+aGVCQ6Bux5HevR9V0m81jwrbW2n61eaNdqsckN1bYJVlwRuU8Ovqp4Nc9o/w1dNR1XWvEXia917W9QsDpy3kkCQrb25/hSJPlBySSeprGcXKE4rqn99rafhe+lvM1hJKUX2a/PX8PxOc/Zv1XWpvh14MsZ/h7eWliujW4XV3u7Ro3AiXDBFkMg3e65Geaf8FbW317x98QvE2sRx3eqwa7NpcJlXJt7WLCoig9AQNxx1zW34D8AeLPCdppGlRfEe4u9F0yKOCOyfSLdS8SAAIZB83QdetS618N7geLrzxR4P8VXnhfUNSCjUlito7iC6KjCuY5PlVwAPmHJ7101Zp1XNbO/rq07/AHXWncwhFqmo9rfhfT8n8jE+N2maZpMHhH+z7O3s0n8ZWM83loFDyNKMsfc1N+1B83gPSkAyzeINPCjuT5w6V0Op/D+DW/BkmgeI9c1LU7p5hdDUS/lSxTqcpJEF4j2nGFHFULb4capf6tpt5408a3viaDS51urO1azitYxOv3ZHEf8ArMdg3APNRB2aXaSf3cun/kv5Fye8l2a/P/M4rxDq+oaN+0h4ku9P8HXvifHhq1MsNrLAjRKJJDnErLuz6Lk8dK5y+sIoP2RvFWqwXUMsOtXFxqUdvCGEdkJZs/ZwrAFShyrDH3ga92s/B9vbfEnUfGwvZnnvtPhsWtio2KsbMwYHrk7q5q7+EWnzeEPFvhaLWryDTfEV694saxqRZM5DOsY7gtlue7GpWi+X/t17fr8rdS21z36XX/pNr/Lb5+RQ/aThhP7PmtyNDGX+xRfMUBPVe9dF8RPBVp4x+Gk2iRiO0umhjns7hEAMFwgzHIMeh/nWl8QfB9v4w8B3nhK4vZrSG6hWIzxqC6gY5APHauihhEdqluGJCoEz9BinLVSt1d1/XqZU7x5PJa/geL/AYav481+f4leLLVIb3TojolhArhlRojtuphjj55Q4H+yor2yub+HXhK38F6BLpFteS3aSXtzeF5FAIM0zSleOwL4/CukqpO9v613f43BKzf8AWmy/CwUUUVJQUUUUAFFFFABRRRQAUUUUAFFFFABRRRQAUUUUAFFFFABRRRQAUUUUAFFFFABRRRQAUUUUAFFFFABRRRQAUUUUAFFFFABRRRQAUUUUAeF69/yfF4d/7Eqb/wBKJK90rwvXv+T4vDv/AGJU3/pRJXulAHmfwYZf+Ex+JqgjcPEqkjv/AMeVtXKQ+HLjxf4p+Nfh+zvfsct/NZwJcYyEb7JEcHH6+xrutb+H+of8JRfeIvCPi678M3ephP7RjS0juYrh0UKsmyThX2gAkdQBnpVnQ/h/b6R4Z1PTrTW9TXVNVnN3e6wJcXEtwQo3+gUBVAQfKAMdKm14q/SKj91l+lylJxm3Hq7/AK/nocd8P9ckj1mw+H/jbwfF4b8UxaTLDpt9bFJba7gXEbGGQcqcLGxRsEZHFYfh+7vPhTodl4U+IvgqK78Owaj5dp4ks9k0JMjl0knjJ8yNtz7S23Ge9egaT8Ob5vES+IfFXjC/1/U7a0ktdPkFvHarZrJ/rHVY+C5wvzHkbRWDafDbxdr11c6N4+8YXureF7G7haytmt4Y5L5URWDTSIdxw+QQfvbcnrWileSb369vi/Oz6aXI5UotLbp91vu9dbHrykMoZSCCMgilpFAVQqgAAYAHalqRoKKKKACiiigAooooAKKKKACiiigAooooAK8N1Lwhofhz9pnwhqWnwStf6qmpT3l1PK0kkh8rhdx6KOyjgV7lXl/iL4Z+KdW8a2fipfiVdWtzp/nLYRro9sywJKMMpyMvx3NEdJp+v5A1eLXoemXMMNzbS29xGssMqFJEYZDKRgg/hXhHjG5x8UvALa54Vk8E6Zp+pPHZX7SRS/bJXRo47ZfIZvLVt2f3m0HGBya7Yaf4q1r4oaqk2pavYeHbXRPsKMhaEXF1KQTPH/tIFOGHQtxTY/hrqmo6zpV74y8bXviO10i5W7srRrGK2UTrwjuY+XxnoeM80Q+KMv60b/G2q6a6hJ+7KPlb71/no+umhl/tDR+H7L4e6v4dsdHtrvxD4r32thZwxAzXNy4x5x74T77N2Cms6y0uRPjh4K8O604u00fwtLPEJPmRrkMkZcA9SFZhn3rZv/hXrz/EXUvG+nfEK5tL+8QQxLLpNvcfZIR/yziLjKg98de9aviH4e3+rSaHrCeLbuz8VaRG8S6xFaR/v0cYdXhPyEHg47EA0qfu2l96+TS+69/y2HPW6v8A1dN/fa349TE+FkS6f8cPiVptlhLBns7sxKPlSeSMlyPQnqaXXo01P9pzQrHUEEtrYeH7i7tYpBlPOaRULgHjcFYjNa1l8NJLTwtrtjb+K9Vh1/XZBNfa/CFjuS4+7sUcIoHAUcAVa8X+AJNZ1DRtc0zxFe6P4h0mJoItSSJJjLEww6SRv8rA9eeh5pr3eTryq34Nfhp8kJ683n/mvz1+88P+IS/YvEnxC8O2jGLRtS8RaIt5GnCKLiSMTjjgBwTkd816X8R7O30v4yfC+80uKK2nkuLmxkWJAN9v5DMVIHYEZ9q14/hJo8/hHW9G1jUr3UdQ1ydbq/1UkRztOpzG6BeE2EDao4GKs+Gvh7eW3im08SeKfFd34n1DT4Wh04zWsdulsHGHbbHwzkcbjzg06fuqMX0tr391K34W9GE/e5n3uvx3/X1R3kn3G+hrw79hj/k3PR/+vy8/9HvXuMn3G+hrw79hj/k3PR/+vy8/9HvSA6z9pn/khHi7/sGyfyqb45On/ChfFb7l2nQ58HPBzGa7HxDo+n+INDvdF1W3FxY3sLQTxn+JGGCK89l+FOq3+lR+HNe+IOrar4XQCNtNe2jjkliX7sclwv7xxwAc/eHWolHnjKHfr+ZcZ8k4T/lv+n+Rga14b8W21z4I8f8AhvR7bxCdN0WOxu9HnlWKQxuoLSws/wAvmAHGGIyOKZrFv/wsn4e6B4q+G+l20F3omrvfvoOor9nElyjnzYJOySb93J4zz0r0fxV4Y16+vobvw34zvfDuyEQyQpax3MLqOhCScI3uOormtS+Het+HPASWvw+8R6jba7aPPeGWXZKNTuZcs5nWT5fmYkg/w54rWpPmbl53XdPmv6Nde5nThZRj5WfZrlt8n0Lvw08X6ZrfirV9HvfCdx4W8V2kMbXtrcIhM0JHyyJJGSsiZyMg9q9ErivAHgaTRNXu/FGvavNrnia/t44Lm8kiWJUiTpFHGvyqAcnI6nmu1ol0/pf1+oo/h+P9foFFFFSUFFFFABRRRQAUUUUAFFFFABRRRQAUUUUAFFFFABRRRQAUUUUAFZ/iK80vS9Hu9Y1fyUs7GB55pJFBCIoyx59hWhXNfErwnH428LSeHbjUZ7KzuJomu/JUEzxK4ZojnoGxgkds1Mr203Kja+ux5T4R8C6p40+EHi/VpfJsdc8cv58f2lSEgt1b9whCjIAXcf8AgVdFofijxR4X8WaR4Q8YaFoET6nZyrpl7pEzsrSwx7mjkWRVYZVSQRkcV6B4g0Se98Nf2Ro+q3GhSxiMW11bKC0OxgQNp4ZSFwQeCCa5zw/8PrmLxZbeKfFnia68TapYxPFpzSWsdtHaq4w5EcfDMw43HkDIHWqkrtqOitb5JNL5/wBeRCvy3lq9/m2r/L9DyvQtL0+//Y51/VLxI3vryxvNRuLlwDJ9pVmdXLddwZFx9K9w8H3l5N8PtMvrjL3TadHI2Rgs2zPSuIf4NbbS88P2/jDU4PB17cme40IQIQQzBniWY/OsbEcqOMEjvXa2/hq4t/GcWuQ6/qCadFp/2NNGBH2UHIIlx/eAGPoaJe9GSWl7fKyf/AXyQ9pJ72b+d2v+C/yPENG0vT779jLW9Uu0je/u9Pu9SuLlgDJ9qUs6uW67gyLj6V0fwfLa98XNf1HXEW4vLLQtNhthKudiSRlpCoPTcyjOK1z8GQtldeHYPGGpw+Dbu5M8+hCBCCpbc0QmP7xYyRyo7ZHetnxF8Op5vFI8TeE/E914X1N7NbK6aG2juIp4l+4DHJwGXsw5xxT5tXK2/Tto1+tvRBJXXLfvr3vJP9L+pi/s1p9k0rxZpNu3/Ev0/wAS3sNkoHyxx787V9ga8x/4KR/8ku8N/wDYb/8AaElfQ3gDwnp3g3w6mj6e802ZGmuLiZt0lxM5y8jn1Jr55/4KR/8AJLvDf/Yb/wDaElD2SveyS+5WuLdt92397ufSemWaPp1s3n3IzEpwJmA6VZ+wp/z8Xf8A3/b/ABplhNHBokM8rhI44AzMTgABeTXkvwe+IXibWvGKW/ieaH+zfElnJqnh1EgCGOBXIEbMBlmMeH59aS1dv67/AKP7hvRc39f1seu/YU/5+Lv/AL/t/jR9hT/n4u/+/wC3+NeOR6t441/xd8QFh+Iv/CO6f4cvFhtov7NtpIwnkrIWkeRS2Mk9+laWi6t418cfCfSPGtr4kn8J3UmntcTWtvYwXEczDJDAyqSFIAIAPQ1LklDne1k/k1dFKL5+Tza+aPUfsKf8/F3/AN/2/wAaPsKf8/F3/wB/2/xryz4UXnjfUPhhY+Ota8bz6k99oou/sLabbRRRSNHuBDIoYgH1PNYWp/EzxHF8J/hvql5rdto0niVYBqmvSW8Zjs90YbdtYeWpYnA3DArSUXGTj1TS+bbS/IiL5kpdHd/ck3+Z7h9hT/n4u/8Av+3+NH2FP+fi7/7/ALf41yMeg+N7jQBa/wDCxnWdJjJFqcGmWzSTxEA7XQqYwQc4KgZGM81yXwYuvH3iDSLjxHrHj26vorLUr61bT10q1jSdYJnjXLqm4FggJwepqdr36aj6J99Pz/yPW/sKf8/F3/3/AG/xo+wp/wA/F3/3/b/GvJvgr4h8WeOLS38UHxxZSn7VJHqfhz7HEFsPnI8reB5okUAfeODmvXNRu4bHT7i9uGCRQRtI5JwAAMmiXuq7BauyGfYU/wCfi7/7/t/jR9hT/n4u/wDv+3+NeTfBbx94n1nxQ1j4tmiMOu2A1rQFSAR7LVpHUREj7zBBG5J5+esnw78UfFVr8atb07xJNbP4Ok1j+xbCRYlVrS6EMcih2AyRJ5h5J4K01FuSj1af4O1vW+nqJu0XLt+qvf0tr6Ht/wBhT/n4u/8Av+3+NH2FP+fi7/7/ALf415fc+NvEUer/ABVt1u4/L8OxQtpo8lf3Ra1WQ54+b5iTzWPa6j8UdL+FWmfEhfGQ8Qn+zYNQvdIutNt4I5I3jVpBG8ShgwyduTjjmpTVuZ6Kyf33/wAtS+V3SW7v+Fv80e0fYU/5+Lv/AL/t/jR9hT/n4u/+/wC3+NVNF1q21zwnaeINOZvs97ZLdQFhyFZNwyPXmvDR4x+IukfDG0+J1x4vTU4DqLQz6NPp8EUTQ/aXhwkiKH3ABSMnnnNU01Llfp97sQneKkuv/Dnvv2FP+fi7/wC/7f40fYU/5+Lv/v8At/jXldzqXjLxJ8YfEPhzTfG83hzTdM02yuYo4dPtpmdpjLu3NKpPGwdPWpvihqXjDQYvAvh/TvF8kd5rGrGzvNVawgaR08t3BEZXyweAOBS1svP/ADsPq/JX/C/5Hp32FP8An4u/+/7f40fYU/5+Lv8A7/t/jXmfg7xJ4nsfiNr/AIH1TXI/E0NjpUeorqf2eOGS3kcsogkWMBD9zcDjODz2qH4SDx14n0HTPFGpfEm58u4nmaTTk0u0WMqkzoE3bN+MKOc5oWuvT/gtfoxPS66/8BP8mj1L7Cn/AD8Xf/f9v8aPsKf8/F3/AN/2/wAa8w0DVPG3xI1LV9Q0PxQPC3h/T76Sws/s9lDcz3jx4EkjmVWCqG+VQvoc9qzF+Ifi3TfC3xE0PWZrVvFHhK0FxbahFCBHdwyKxilMfQNlGDKOOBilze7zeV/l/X9blqLcuVd7fPb89PX5HsX2FP8An4u/+/7f40fYU/5+Lv8A7/t/jXikXibx14Zj8B6ne+MR4o/4SeeC2m0qaxt4HQSRGRpo2iUMdmOQcjDeuKTVfiV4r0j9oyfRLy7gfwcjWljJF5Ch4bi5SZo5C+M4zCVxnq4q+V83L52+en+at6mfMuVy6WT+T/4Zntn2FP8An4u/+/7f40fYU/5+Lv8A7/t/jXj/AO0v8Q/FHhaOx07wVcw29/EFv9SmkgEojtPOjh24YEAs8owfRDXUfFXxJr2n+EdHsfDNzDB4l8QXUNlYyyxh1jYoZJJCp4IVEc+mcVCd48y72/r56F21s+1/1/LX5ncfYU/5+Lv/AL/t/jR9hT/n4u/+/wC3+NeXR/EPVrj9nfWfFscqR+IdJtLiK53RDEd1ESCSvT0bHTms/wAAfEbxPdfC3xRbeJZrePxt4f0p7x5EiUJPG8LSQTquNpBIIIAxlfenNqPN5K/qvL+tginLlXd29Hpv99vU9h+wp/z8Xf8A3/b/ABo+wp/z8Xf/AH/b/GvKJPiF4kufC/gPRdKe1k8VeLLcu11PHiK2iSMtLPtHBI42r0JIzxmup07S/HWg/arrUfGw8QWYtJWdbrToYJIpFXKmPylAIz1DZ9qKn7vm5ul/wFD3+W3W34nXfYU/5+Lv/v8At/jR9hT/AJ+Lv/v+3+NeUfBg+PPFnhHQfFuqfEq5IvV8+bT00q0WNlDnKBtm8DAxnOagsvE/ivxV8T/E/h6y8aWvhq60SdVstHks4ZGv4QM+c5cb9jEhcxkYz64qnFqXI99fw/roJO65uh699hT/AJ+Lv/v+3+NH2FP+fi7/AO/7f41Yi8zyl83b5mBu29M98U6pGVfsKf8APxd/9/2/xo+wp/z8Xf8A3/b/ABq1RQBV+wp/z8Xf/f8Ab/Gj7Cn/AD8Xf/f9v8atUUAVfsKf8/F3/wB/2/xo+wp/z8Xf/f8Ab/GrVFAFX7Cn/Pxd/wDf9v8AGj7Cn/Pxd/8Af9v8atUUAVfsKf8APxd/9/2/xo+wp/z8Xf8A3/b/ABq1RQBV+wp/z8Xf/f8Ab/Gj7Cn/AD8Xf/f9v8atUUAVfsKf8/F3/wB/2/xo+wp/z8Xf/f8Ab/GrVFAFX7Cn/Pxd/wDf9v8AGj7Cn/Pxd/8Af9v8atUUAVfsKf8APxd/9/2/xo+wp/z8Xf8A3/b/ABq1RQB4Lrlsq/tueHo/MnIPgqY5Mpz/AMfEnevcPsKf8/F3/wB/2/xrxXXv+T4vDv8A2JU3/pRJXulAFX7Cn/Pxd/8Af9v8aPsKf8/F3/3/AG/xrk/hr4g1TWvEXjez1CdZIdJ1sWlmBGF2RfZoJMEjr8zscn1rlNW+IPibTbv4rSQQpqI8NfZzptqIeRvt0dslRluWJ/Ck3ZX8ub5af5lRi5ScV3t+Nj1f7Cn/AD8Xf/f9v8aT7DHn/j4uv+/7f415/wDC2/8AEWoeHofFA8eWnjHTruwMpijtIY/KnAzsjaIDI3blIfJG0d81yPwrfxB8QtStfiLB49tYtXtpJbK90FbOForOISndAxx5quQqtknP4Yq+VqfK/n5f0/w+SefMnDmXy8/6/P7z2/7Cn/Pxd/8Af9v8aPsKf8/F3/3/AG/xq1RUlFX7Cn/Pxd/9/wBv8aPsKf8APxd/9/2/xq1RQBV+wp/z8Xf/AH/b/Gj7Cn/Pxd/9/wBv8atUUAVfsKf8/F3/AN/2/wAaPsKf8/F3/wB/2/xq1RQBV+wp/wA/F3/3/b/Gj7Cn/Pxd/wDf9v8AGrVFAFX7Cn/Pxd/9/wBv8aPsKf8APxd/9/2/xq1RQBV+wp/z8Xf/AH/b/Gj7Cn/Pxd/9/wBv8atVR8QXGpWuh3txo9guoajHCzW1s0ojWWTHyqWPAGe9JuyuNK7sSfYU/wCfi7/7/t/jR9hT/n4u/wDv+3+Neb/ArxJ411rV/GWneNrqwmu9L1COKKOyi2xQKyE7AerY9TWZ8UNS+I3gXTI/GMvjC2vYf7Ut4H0MafEsDRTSrEESXHm7huDZJ5xT6xXe342t+ZKd032v+F/8j1v7Cn/Pxd/9/wBv8aPsKf8APxd/9/2/xqXzJDaeckReTy9wjzjJx0ya8n+F/in4iX/xf1vw/wCNhplpBHpUV5badZgP9mLOBhpertg84OPSmleXL/Wmv6A3aPN6fjp+p6n9hT/n4u/+/wC3+NH2FP8An4u/+/7f414/Hr3xD8ZXPjPU/DfiOPQbbw7eTWdlYNYxTC8khBLGZnUsoYgAbCMA+tdJo2qeJPiH4C8OeIdC8Rx+F4r62W4unitY7iQsR/q1EoKhc98Z4qU7x5vT7ns/wG9JW9fvW6O8+wp/z8Xf/f8Ab/Gj7Cn/AD8Xf/f9v8a4b4D+J9c8TeGdQbXbiDUJdP1Kexi1OCMJHfpG2BKFHAz3xx6VH491/wARX3xG0n4f+GNTXRpbiyk1G91IW6TyRRIwUIiOCuWYjJI4Gcc0+qt1/wAr/kHe/T/O35ne/YU/5+Lv/v8At/jR9hT/AJ+Lv/v+3+NeKXXxO8VeGtO8W+HdSkt9W8RaTqNpY6beSQiJboXbKsTyIgCgqWGQoGcVuw6t4z8GfEbwxoXiPxMfEum+I/NgEslhFbva3CIXG3ylAKEDHzZIpxXNa2z2+69vX9dBPS9+n9XPTHsU2N/pF30P/Ldv8a8S/Yetll/Z20djLOp+2Xn3JSB/r39K94k+430NeHfsMf8AJuej/wDX5ef+j3pDPaPsKf8APxd/9/2/xo+wp/z8Xf8A3/b/ABrlvjdr2p+F/hT4h17Rplg1CysnlgkaMOFYDg4PBqb4p63qOg/CnxBr+mTLFqFlpctxBIyBgsioSDg8HntUykoxcn0KjFylGK6/8D/M6P7Cn/Pxd/8Af9v8aPsKf8/F3/3/AG/xrx7xR468QSeIfBHhs+J4fCsWuaUt1Jq720Tme5IGLdBKCgJJzjrzgVofFPxV4n8E+EvD9rqGv2MEmoaitjfeInt1WO0hJ+WZkI8sORjqNmc9qucXH77fO9vz7+pEWpK/lf5Wv+R6gLGM/wDLxdf9/wBv8aX7Cn/Pxd/9/wBv8a5L4SeF9U8J6TLp0vilfEOlMfOs5Xto45ULks+TGArAkls9ea7ehqwJ3Kv2FP8An4u/+/7f40fYU/5+Lv8A7/t/jVqikMq/YU/5+Lv/AL/t/jR9hT/n4u/+/wC3+NWqKAKv2FP+fi7/AO/7f40fYU/5+Lv/AL/t/jVqigCr9hT/AJ+Lv/v+3+NH2FP+fi7/AO/7f41aooAq/YU/5+Lv/v8At/jR9hT/AJ+Lv/v+3+NWqKAKv2FP+fi7/wC/7f40fYU/5+Lv/v8At/jVqigCr9hT/n4u/wDv+3+NH2FP+fi7/wC/7f41aooAq/YU/wCfi7/7/t/jR9hT/n4u/wDv+3+NWqKAKv2FP+fi7/7/ALf40fYU/wCfi7/7/t/jVqigCr9hT/n4u/8Av+3+NH2FP+fi7/7/ALf415p+0V4k+IXhvwxLqHg2HTrW0tYhNealdESMn72NRFHFzksGb5iMAD1xXZ6pH4i1fwnZLoerw6Ve3KRPNeNbrK0alcsURhtLE4HzDGCfahaq/nYOqRsfYU/5+Lv/AL/t/jR9hT/n4u/+/wC3+Nec/DTxB4oj+KPiXwF4h1iPX49NtLe9t9R+zJBKBKWHlOsYC5G3IIFXfiLr+vzeOdB8BeGdRTSbrUree9u9R8hZnt4ItowiOCpZmdRlhgDPfFC15bdf+Df7rMO9+n9fjdHc/YU/5+Lv/v8At/jR9hT/AJ+Lv/v+3+NeLX3xM8UeD7bxn4f1meHW9a0d7IaVeSQLCLoXknlR+YqAKCjHJ2gZFa7ax418D+MfClt4n8Uf8JDpfiGWS0n32EUBs5xE0qFDGo3KdjKd2TyDQrPW+nfz7evT1B3XTX9O56l9hT/n4u/+/wC3+NH2FP8An4u/+/7f414efF3xG1P4a6p8WtP1+K1sLTzbu10D7DE8U1rC3zB5SPMDsqtypABx717VouqQan4ftNZTKQ3FstxyMbQVzQ9Itvpv5X/p/cHW3r+G/wChN9hT/n4u/wDv+3+NH2FP+fi7/wC/7f414d/wl/xG1H4Zaj8XLHXorawthJeW3h/7DE8U1pE3zB5iPM3sgY5U4BxXQR+JvE3j3xvcaF4V14+G9O03Tbe8ubuOziuJppZ1ykYEoKqoAJJxnOKLPa2vbtpf+vMHpr0/4KX6o9R+wp/z8Xf/AH/b/Gvl3/go5brD8LvDhEkz/wDE7/jkLf8ALCT1r3H4KeKtV8T+Hb6HX1i/tjR9Rm028kiTakzRNgSAdtw5wOleKf8ABSP/AJJd4b/7Df8A7Qkptf16iT/r0PW/jRHrt/8ACqPw74dsby4vNcMOnPNbxlhaxSkLJMx7KqknNcd4/wDh/wCNfDVl4a8TaP4m1bxRP4WvITb6Wml2sbNbHEcqL5Masf3eeM17Tpk12unW4Wy3KIlwfNAzxVj7Ref8+H/kYUo+6+Zb3T+7p+f3sb1VntZr79/0+48RtPhNpfi7xV8TZ/E3hhI7i91CNtI1Sa2CzxqIEw8MuNwAfPQ9a7vwPeeJtZ+EBTxNpd3a+IIrSW0uo5IyrTyoCnmKO6vjcPrXZ/aLz/nw/wDIwo+0Xn/Ph/5GFTKKdN0+lkvuVr/5/wDAKUrTU+t7/wDA/r9TgvhdpOp2H7O2iaNe2Fxb6jFoCQyWskZWRZBFjaV65z2rH8HSy+G/gV4P0LxR4H1bVrSTSIrXUrSLTzdSQsIwNkluAWYE8HjA716r9ovP+fD/AMjCj7Ref8+H/kYVpOXPKcv5rfhf/MzjHljGP8t/xt/keYfs9eHr3Q4/FMttpF9oXhi/1Jp9E0q8UpJbxlQJCIjzErSBmCcYB960fgNpuraH4D1OG/0u5guzrepzxW8y+W0iPdSMhGezAgg+9d99ovP+fD/yMKPtF5/z4f8AkYUm/wArfl/kO353/P8AzPC/E1gfF/xD8Ma54W8A694d8VWuopLq2rXGntaR/ZlAWWJ5sAXIIAVQCcgZHFdx+0Hba9rHgiPwr4fs7yWbXbuOxuLmCLctnAxy8rnoAAO9d59ovP8Anw/8jCj7Ref8+H/kYVLScVHpe/5aemn5lXfNzX1tb89fXX8jxHxz4E8beGbzwn4s0vxJq/iqXw9eR266cml20bfY5AElC+TGrHAVeOnFafh/wC/iG0+KWh+INOubW11fX2nsppEKbgLeAJNGe+HU8j0Ir1v7Ref8+H/kYUfaLz/nw/8AIwp7p363/Fxf5xv82JaWt0t+F/8AM+fPh3oPxAk0D4qN4s0W6XV7yGO0hkWI41BobZYhLH6h9oPHckVqWGueJNT+Cul/D7QfBfieDX5NHg0+abU9NltLW2xEqSOZXAVsc4Uct2r2/wC0Xn/Ph/5GFH2i8/58P/IwofvJqWzST+V/zv8A5DT5bOPS9vnb8rL9TO8MaEvhzwJp3hyCRpxp+nJaK5HMmyMLnHvivNfg58K9L/4RTSr/AMU2WtS31ve3NwunalfzyWsMn2iQo62zsY1O0gghe+e9et/aLz/nw/8AIwo+0Xn/AD4f+RhVOTc3PqyFFKKh0R4V4t0XQU+OviTVvGnw11HxRp1zpllHp88fh1tRjR0MvmAEKdp+ZPr+FbXxN8P23jCL4aQ2ng+4l0CHWN11p93pmxLe3WF1AlhYYVchcAjHSvW/tF5/z4f+RhR9ovP+fD/yMKmOiS7O/wCNy5O7b7q34WPL/Cfhy88B/ELW/Deg6JPH4O1qwa/tRbxn7PYXi/JJEOyBxsIUcZVqX4F/DXwzpvhHSdW1XwNpVp4ljmuJHup9OjW7VjNJhi5G7O0jnPQivT/tF5/z4f8AkYUfaLz/AJ8P/IwoWi/rz/zt8kJq/wDXp/w/zPIvAl5q3wrm1zw1rHhXXtQ02XUpr/Sr7RtPkvFkjmO5kkWMExurZ69QRjpWfdeGfE2seE/if4wvdBuLPUvElgtrpulgbrkQRI+zeB0d2kY7eowBXtv2i8/58P8AyMKPtF5/z4f+RhUuN48r7W+W332KUrT5l3v873/PU8Rj8CN4EsfA3jTwT4RFpqkMdvY+ILDT7Xy3ureVFDs6KBl0kCsWPON1WPEHgXU/Eniz4q281jdW0OpadpraXdtHhXuIDM6lCepV9mfrXs32i8/58P8AyMKPtF5/z4f+RhVzfNfzv8r229Hr6smHuJfL52f9L0PnNvDPjbxB8FvFviTxF4fvV8Xa1NZW6WAgPnR21tPHgBevJ81z7Eelddqfhnxb4t+LdrcW9/qnhex8MaSkVnfCxilFzcTgeZsEysp2qgBIGRux3NevfaLz/nw/8jCj7Ref8+H/AJGFF9b/ANbW/wCD6it7vL/W6/yt6HzzrXg/xroFp8UfCqpq3iWy8Q6MdStL1bFE3Xv+rkh2xKFDMNhAA52mtn4x+C/ETfDnTPFHhPTZZvEtloTaXeWKqfMvLSaHY8WO7I+xx/uEd69t+0Xn/Ph/5GFH2i8/58P/ACMKiUeaHL/Wl1+Tt6FqVpX9fxt+qv6nilx4Y8U6JoXw08Zabo1zfX3hqza31LSlO2d7eWMB9g/idSqnb1OMV31l4xm8UQXljp/hPxNaRmzl82bU9OkswpKHaqiQAyEnj5eldb9ovP8Anw/8jCj7Ref8+H/kYVVX97zJ9b/K/wDVyafuctulvwPAvgFp/hPw9o3hy31T4S6xZ+LYMxz6o3hNwySszAubjZ0weWz0rU+PENr4y0rUNBl+Guvz+LID5ehanBYtst5SwMcy3qjbEoYBmGRwuD1r2n7Ref8APh/5GFH2i8/58P8AyMKc3zu7/r07BH3dv69SPw7DfW+g2EGqTCe+jt0W4kH8TgDcfzq/VT7Ref8APh/5GFH2i8/58P8AyMKJO7bJjHlSRboqp9ovP+fD/wAjCj7Ref8APh/5GFIot0VU+0Xn/Ph/5GFH2i8/58P/ACMKALdFVPtF5/z4f+RhR9ovP+fD/wAjCgC3RVT7Ref8+H/kYUfaLz/nw/8AIwoAt0VU+0Xn/Ph/5GFH2i8/58P/ACMKALdFVPtF5/z4f+RhR9ovP+fD/wAjCgC3RVT7Ref8+H/kYUfaLz/nw/8AIwoAt0VU+0Xn/Ph/5GFH2i8/58P/ACMKALdFVPtF5/z4f+RhR9ovP+fD/wAjCgDxbXv+T4vDv/YlTf8ApRJXuleC65JcH9tzw8xtcP8A8IVNhPMH/PxJ3r2/7Ref8+H/AJGFAHl2n3mp/Dvx94uk1Hw3r2q6Vr98mo2V1pFg92VYQRxPHIkYJQgxggng59qm8A23iDS28a/EC88N3puNcvo57XStwFz9mjhjjUsp6OdrNs69B1r0v7Ref8+H/kYUfaLz/nw/8jChXS9Fb5af5JA9W/N3/r8/U8S8M6SJvjMnjLwL4J1nw5pyaZONcS6sW09dTmZt0KiFwN8gO8mTHG4AmsXxyNJ+IurW83gzwFrWi/ESz1C3kutUl0x7NrLCguJrjAEg8vAC5O4EEcV9D/aLz/nw/wDIwqvawC1uLm4tdEggmupBJcSRsitM4UKGYgfMdqgZPYAU46OPZbfff7gevN3f+VjSQMEUMdzYGTjGTS1U+0Xn/Ph/5GFH2i8/58P/ACMKQJWLdFVPtF5/z4f+RhR9ovP+fD/yMKALdFVPtF5/z4f+RhR9ovP+fD/yMKALdFVPtF5/z4f+RhR9ovP+fD/yMKALdFVPtF5/z4f+RhR9ovP+fD/yMKALdFVPtF5/z4f+RhR9ovP+fD/yMKALdVdWvV03Tbi+e3urlYELmK1haWV8dlReWPsKT7Ref8+H/kYUfaLz/nw/8jChgjx74L6xdJ8SfGLXfhTxZYQa9qKXFlcXmjTQxbFjbJdmGE9ADjJIrGuPEN94m+I51rxv4K8bpo2g3RbQtLg8PXEqSSjI+1ysoIY4J2r2znrXvX2i8/58P/Iwo+0Xn/Ph/wCRhQtHF9l+Wl/X/h97WOkl3/W916P/AIG1znV8cWr+P08Ix6ZevN/ZDapJNt/1ShlURsn3t53cD2rznw74iuH/AGgdR8QN4O8aQ6bqGmQafDcTaDOirKJBksSPlUDnceK9V0/SLew1zUNbttHxqGohFuZ2uNzMqAhVGfugZPAwK0/tF5/z4f8AkYUR0cZPpf8AG/6O3yuKWqce9vws/wA1f8Dxf4kaRodz4g1uLQ/CPjx9f1HEUn2Fryy0u8lxtDzujLC6YPzFgcjI5zWtc6HoHg/wD4a8D+JvAd54u0mztFXzLfSP7QRJ045iCkjILENjHGO9epfaLz/nw/8AIwo+0Xn/AD4f+RhSStHl9Pwvb8ym7yv6/j/wx5B8MG8UeDfBfivXB4b1250g3nneHPDmD9qgtegjVG5jHcRn7oGMVoeM11fQ/iroPxEi8ParqGmzaTJp2oQWNu09zbMzCRG8peWGRtOOlen/AGi8/wCfD/yMKPtF5/z4f+RhTd7p9rflZ/ehdGu9/wA7r7n/AME8B13wf4r8Uad4v8cW2hXVve3eq6ff6Tpl0PJuJYbJ1bDqfuM+w4U8jIzXVGbU/iH8TfCOpW/hvXNH0nw6013dS6tZPatJM8RRI41cAtjOSw44r1T7Ref8+H/kYUfaLz/nw/8AIwoj7tktlt62tf8ABP1CXvX7vT5dvzXzLUn3G+hrw79hj/k3PR/+vy8/9HvXszz3mxv9A7H/AJbCvEv2H5bhP2dtHEdr5g+2XnPmAf8ALd6APTfjB4cvPF3wy8QeHNPdEu76ykigLnC7yOM+2a4Dxp4m8Q+Mvhte+CbDwL4mtPEOp2RsZjeWDxWduzLtkf7QRsZRyRg/N2r2D7Ref8+H/kYUfaLz/nw/8jClyp3T2f8AX49RqTTTW62/D/I4Lxu+jaboVl4R8S+A9V8T6ILONEe10s6ghkQYw0aglCMAhj+dcj4Kmufh38Gbew8beFdYv/Ds813m0aE30mm6eWZoYp05LAIQpH8OMHpXtf2i8/58P/IwqDUIjqFlNY3+jQ3drOhSWGZkdJFPUMpGCKcm3zPq/wCv6/4cUFFcq6L/ACt/XmeU/Avw/wDYvH3iDX/C+g33hrwRqFtD9m065ga2Et0PvzJbtjyl24HQBsZFe0VTSW6RAiacFVRgASqABS/aLz/nw/8AIwpt7JdBJPVvdluiqn2i8/58P/Iwo+0Xn/Ph/wCRhSGW6KqfaLz/AJ8P/Iwo+0Xn/Ph/5GFAFuiqn2i8/wCfD/yMKPtF5/z4f+RhQBboqp9ovP8Anw/8jCj7Ref8+H/kYUAW6KqfaLz/AJ8P/Iwo+0Xn/Ph/5GFAFuiqn2i8/wCfD/yMKPtF5/z4f+RhQBboqp9ovP8Anw/8jCj7Ref8+H/kYUAW6KqfaLz/AJ8P/Iwo+0Xn/Ph/5GFAFuiqn2i8/wCfD/yMKPtF5/z4f+RhQB5r+0tqFzL8O9T8M6d4e8Q6rf6jAvk/2fpklxGCsiEhnUYU4B61Jr/jvW9O+EUeqeGPBniS81hfLsYbO40mVJY32jMzRkbjGuCcjqQAOtejfaLz/nw/8jCj7Ref8+H/AJGFK3utdx31T7HlfwTuNK0Kw1Pz9J8V/wBs3aPqWtavq2izWi3UijkBnAAAHCoOgB96zJde1DVvEHgr4yad4W1i40qWwu7C9s7aLz7qFJHUxyiNeXXdFzjoGFet65ZnWtHu9J1DTXktLuJoZ0W52FkYYIyuCMjipdPjksLGCxs9KWG3gjEcUayqAqgYAFVfXm7Wt9zT/B2Jtpbve/4NfjqeFeI/B/ifxtaeOPGVrod3Z3F5JpraNYXqGCeZbKYSsXRuUL9AG5rorybVPiX4y8HBPDGvaPp2hTyX+pTapZPa5kMDxJFHuHznMhJI4wvvXrX2i8/58P8AyMKPtF5/z4f+RhUpKyj0X523/X1Q227vrt8ux8/6fH4r0v4N6n8H/wDhD9ck1yVJ9NtLxLNmsGhmYgTNcY2KArEkE5yMd69Y0K5u9O1Ky8At4f1JrGHRwW1gD/Rt4whiz13nJP0FdR9ovP8Anw/8jCj7Ref8+H/kYU37yalrffz0aX53/wCAHW607eV2m/ysfPunxeLNO+C+ofB3/hD9cfXJI5tLtb1LNjp7QykgTm4xsACsSQTnIx3rotNtdS+GHxH1G/l8Pa3q+iatpVpCs+lWb3ckVxbrtKuiAsAwJIPTivYPtF5/z4f+RhR9ovP+fD/yMKLy3vq9330t/wAH1+4HZ6W0/LVP9EvQ4j4E6Dq2keHtU1LXbQ2V/rmq3GpvasctAkjZVGxxuA6143/wUj/5Jd4b/wCw3/7Qkr6b+0Xn/Ph/5GFfL3/BRuSd/hd4c8238r/id/3wf+WElN20S2Wn3aCXVvrr9+p9Ga14h03wp4Fl8Rau0qWFhaCacxoXYKBzgDrWu99bppZ1Ji32cQ+cTt524z0+leb/ALQn/JuPib/sDv8A+gV2twrP4EdFUsx07AAHJPl1nOTVOcluv8maRSc4Rezv+n+ZY8N69p/iDwxYeI9NaRrC+tUuoGdNrGNl3DI7HB6VyOtfGPwTo/w5sPH17c3q6LfyLHAy2zGQknA+Tr2qH4GX1qv7O/he5aZFit9BhWViQAhSIBgfTBBryTT7T/iw/wAG7e7gVo59esGKOuQyPJkZB9Qa2qQtVlCPSUUvnJr8jOm701KXZv7lc+gfEfjTw/oPhuy8Q3l00um30sEVvNboZA5mIEZGOxyOai8aeOdD8K3FrZXn2u81O75ttNsIDPdTKOrLGvJUdz2r55+Is0vgrTG+FGoysbWHXbG+8NyOc77JrgFoc+sR3KB/dC16d4Skjj/al8ax6k2LyXSrI6Z5hHNuF+cR5/6abicVKtKzjs2/uSTt63un6PsN3infdW/F2v6Ws0dLL8VPDNt4X1PX9Rg1fTo9LKi8tLuxeO6iDY2kxnnByMGt3xh4r0jwppdtqWrvMlvc3UVrGY4i58yQ4XIHQZ71w/7VrhvgZ4ijjdPNWOPgnOCXGMj0rj/jlD8Rk8K6E3iTUvCk+nf27YZTT9PuIps+ZxhnmZcevFEPekl/eS++3+Y5Kyv5N/cfQtcppnxB8M6j8QL/AMD2t1M+sWMYeYGIiInaGKq/QsAykjtkVseKtYtvD/hvUdavHVILK3eZyTxwK+WovEN1oXhTwr44ufCfi611a01iXVtYvZdLZLdre8fMq+Zu5RUMaj2UUoNOdntp970Xy3bFJe5db/5av9EvU+h7/wCJfhOx+Jtr8O7u9ki126txPCjRkRsDnC7+m44OBWrN4q0iLxn/AMIk7zf2p/Z/9obREdnk72XO7pnKnivFvFvheLxx8ZvGlpZ3Hk3yeH9MvNKvYz80E6vM0bqffofY0z4a+LX8Y/G6K+vIhbavaeEjZatbDjyLuO5mWRfoSNw9iKFfRPf3vuSlb7mrP5dxytq1t7v3vl/Ru3o+x3UHxt8LS2cmpf2P4pTR45nil1VtIkFnHsco7NJ0ChlIJ9q9IsLu2v7KC9sp47i2njWSGWNtyujDIYEdQRXlX7PclpD8BDLfvGlot1qpmaQgKE+2T5zntirf7LSXCfBfSvMWVLdri7eyWTqLY3Mhhx7bCuPbFVbddrf1/XmTLv5tfd/X5FrUPjB4dtdR1a1j0XxReRaRcG3v7u00mSW3gcKrNuccYCspPoDWp4m+JXhnQ9E0XV1a91a31yVYtNGl2xuXuGKlhtC+wP5V4vbTePrO1+Ld54XfRpNNTxBN9sglgkN6VNrB5jRPu8sEIcgMh5B9qv8AjGztLXwb8F7T4f3dubcapEdNnv0MiEGB23SrGVJPJyARzUQ96Ee75P8Aybf/AIHzLkkpyXbn/wDJdv8AgnrunePrG40TVNYvND8R6Ra6ZF5s39o6a8DOuCTsB+9jHb1FV/CvxIsfEU0C23hnxbaW88Hnx3d7pDwwFNu4HeeOR0qh41j8VR/CDxSPFd1otzd/Y5fKbTLaWGMJt4BEjuSc56Gq/wALofHyeCtJbXNQ8MTaP/Ykflx2VjPHcD9yu3LvKynjr8vPtQ3bmfZL8b/5CS+Fd2/wt/mFj8bvCVzbxX76f4jtNHkuDbjV7nS3jslYOUyZTwBuBXPrW34v+I2i+G9csNEfT9b1XUL62e7gh0qwa5YxKVDOdvQZZfzFfPWk/wDCTj9n7SoNbudM/wCFf3mrTQak1lAy6hbwm9kwxd2aNlMgAOEBAPWvR/Glvri/tAeEbfwXc6PbzR+F7tY31CCSaHyRLAMARupz93BzjGapL3lHza+6Ll/XzE9L/wBfaS/z/pnoFz8RNFsfCLeJdWsdZ0mD7QLaK1vrForqeU42rHEeWJ7Y64PpTbT4jaJJ4d1jW7yx1rS49Hh8+8tr+weG4WPBIcIeSDtYAjupqp418Gal4y8D2Wl+IdbtrDxDa3S3lnf6ZCUjiuUDbGWOUvuGCcqSc89K898S+LPFdx4H+JPgPxxHp0+r6PoS3Meo6epSK8glVgGZCT5cm5GyM45GAKicrKXdXt8l/wAPp2+ZdOPNKKezav8AN2/y+e567rfjPRNH8DDxneyTjSTDDMGWIs+2UqE+Xr1cfSsvxH8UPCXh/wAW6B4Y1S6uIb/Xk32P7kmMjj7zdF6gfjXj3xCg+JC/s2QvqWp+EpNG+wafujt9PuEuNnmQ7QHaYrnpk7cdeBVz4q+Gz4r+JOmaRCD9r/4Qe4uLJh1W4iuLWSIj/gSgfQmtJJRm10TfrZRb+/QzheVNPq18r3iv1Pa/iH4x0PwH4UuvE3iK4eHT7baHMab3YsQAFUdTz+QJrG1j4peHNO0Pw/qq2usX6eITjTbeysWmnlOwufkHI+VSfwryHVvE4+LWgxJtb7J4b8N3eo6xEQQBqBhlgjibntid8H/ZNOuV1eTw58CF0Kawh1IzyeS99E8kIP2ObO5UZWPGehHOKSi/ev3VvR3X6aeVmO+nylf1ST/XXz9D2W2+IGmnwxq/iLUdH8Q6NY6VEZp/7S054HZQCSUU8t07eoqTwz8Q/DHiL4eSeO9Ju5J9Git5Z5W8s+YgjUs6lOoYAdPcetcv8XE8TR/s/eMx4qutIuL3+zp9r6ZbyQxhNvAIkdznrzmvOvFOfhv4cvL4Yi8K+M/DckM6j7lpqYtGKMB0AlUMD/tKtRUlyqT8lb11/O1vWy6lwjdwv1bv6K35Xv6HrOu/FjQtJ0K3159F8T3ekzWQvje2mlPLFFFjJLsPukAZI7VLpnxS0G60K91290vxBoul2dsLlrvVNOe3jkQkBQhb7zHIwB1zXJ6j/wAmdXf/AGKsn/oo11LeGdN8Y/BPT/Deq3E1tbXmnWoE0LhXjddjoyk8ZDKpwc5rWrHklOK6P87/AORlCXMqbfXf5cv+Zq+DfHGneJrySzi0vXNLuFi85I9UsHtjNHkAum77wBK5+orqa8o+H3iLxtoXxCg+Gvjm407WWl0trzTtYs4fJeVY2VXWeLJCt8y4ZcA4PFer0naya2/4Nhq92n/WgUUUVIwooooAKKKKACiiigAooooAKKKKACiiigAooooAKKKKACiiigDwvXv+T4vDv/YlTf8ApRJXuleF69/yfF4d/wCxKm/9KJK90oAyPD/iPTNcv9YsrB5Wm0i8+x3YdCoEnlpJgHuNsi81Qbx34bju/ElvcXptv+Eb2f2lJMm2OPfGJFw3fhh+PFcv8G5EXx18TrRjtnXxCkpQ9djWduA30JU/lXP+H9B0zxh4v+Mel6lKw0rUL21s5Jo5ApDraxZ2t0yDj8aWrStu4J/O0f1ZStzPm2UrfK7/AEO+8I/ETR/Elz5EWna5pm+3NzbyanYPbJcRDkvGzcMACpPswrn7X4u2t94xtLbT9H1a58LThoBrqafI1s9zv2gLKDjZwwLY+9xWZ4W1Xxf4U8Z6b8L/ABteWOv6XqenTnTdWhi8i4CREAx3CA7ThGTDqFzg55rK1B/GXwN0SCay1LTvEngNdQSOO1uI/Lv7OGZukcqkLKA7EgMpbHerVuaLWz/HVrXs/wAL67EPm5Wuv/Avp3/O2m+3vFFIjB0VxnDAEZpakadwooooAKKKKACiiigAooooAKKKKACiiigAooooAK5O4+IXhqH4i23gEz3EmtXEZkCxwloo8IX2u/RWKqxA9q1PG2p6ho3hPU9T0nSp9W1C3t3e2s4Bl5pMfKo/HGfavnfQNTGheOfAC3PhjxtNqk19eXOp3V3pBR7q4lt3DMo3fdXPQcKoJohrPl/rr/X3BPSF/wCv6/roe7/Ejx94c+H+kw6l4innWOeXy4o7eEyyOcEkhRzgAEk9gKPF/jvQ/DI06K6S+vb7Us/Y7CwtjPczALuZljHOAOSe1eCfFnV9QvbDx3r3iPwf4xjufscmnaRnTC1ra2oYEylw2MyEAk4yBx3r0O/0zxJe+KPC3xN8L+HZryaDTJNOudJ1ST7DMsbgMJFLBgpDKARjkGlHWKf9LR2/S/a/kOWkmv6urf1528z0HwN4v0Xxlpkt7o8kwNvM1vdW1xEYp7aVeqSIeVb2qPxt400fwmbOG+S9vL6+cpaWFhbme5nwMsVjXkgAEk9hXn3wJn1Sfx38R9c1i1tdNiuL63UxRXIlijkSMhx5nAZgeCQAM1f1JlX9qbRmuWXZJ4YuBZknq/nKWx/wHNO13Bd1f/yXm/QWyl5O342/C+vodNpXxJ8J33hbU/EUl9JYWuku8eoxXsZhntHXqkiHlW9B3qPwp8SdC8Qa9Hof2LWdI1GaA3FtBq1i1q1zGPvNHu+9jvivC/iXsPjPx9dRN/xK4/Enh8Xx3fJlZIt+e3HevUPipsl+Mfwsjt2Ju1vbqQ7W58n7M+4n2pw95Rl309NE7+mv3IJrl5l2Tf8AwPXT72j1eT7jfQ14d+wx/wAm56P/ANfl5/6PevcZPuN9DXh37DH/ACbno/8A1+Xn/o96QHrnjDxDpvhTw1feIdXaVLGxiM05jQuwUdcAdaf4k13T/D/hq+8Q6i0i2NlbNczFE3MEUZOB3OK479pZHf4E+LwiM5GmynCjJwBTPjjf2bfs9+JrxZ0ME+hyeU4PD74/lx65yKicmqcpLdGkIp1IRezv+n+Zq+IPiR4f0ePSVEOqaleatB9ptLHT7Rp7losZLmMchR6mnaj8RvDdj4WtNfna8UXkv2e2svszfbJbjODAIupkBBBX1FcrqfgLWr238K+JvCuvRaL4s0jSobVkuYhNb3EGAWilThgCc4ZSCPWqFit98Zvh/YajPdDwt4y0HU5kgntis0Md7A5RiqvkSREr064PWtaiSlKK6P8AC9rrvp+JjTleMZPqvxtez7a/h5na/CvxpdeLNOnj1jRdQ0TWLZz59nd2bwEISdjLuJ3DbjJHfNdpXmnw38ZeKpvH2seAPGttpcmqafaxXkF/pgZYbiF/l+ZGLFHyDxnGMYr0uk7WTQ1fVMKKKKQwooooAKKKKACiiigAooooAKKKKACiiigAooooAKKKKACiiigArnvGPi6w8MC1jnsdU1G6umIhtNNtGuJ2VRln2r0UcZPuK6Guf8f+LtJ8F+HZdZ1Z3K7hHb28S7pbmZuEijX+JiamTsrjirso6B8R/CeseEb/AMURagbSw00uuoLeIYZbR0+8kiHlW9veq/hX4m6Br+uW2i/Yta0q8vIXmsV1Swa2F4i4LGIt9/AIP05ryDxT4X1vQ/gfrmveJo44NS8QeJbHVNUtozlLaE3cOI898KOT6/Su4+MwE/jP4XRae3+nHV5ZIdjYPlCyn3H6cj86q9ldrsmvOyb+Sb/Bite9n3d/JPT8F+KNvUPjB4Rsr+5iePVpdPtLlbW61eGxZ9Pt5SwXa84+UYYgH0yK9BjdZEWRGDKwBUg8EetfO3hqSwX9ijW1uCny6Vfx3A7+flxj67itey+DDPH4B0q0klH9oDS4/kZ8vnYME5564on7kZdWrfO6f+X4oN5Lpdv5Wa/z/Awr74weEbS/uI3j1aTTrW5Frc6xFYs+nwSlgu15x8owxAPpmtTxZ8QtE8Papb6T9l1XWNSnhNwLPSbNrqZIenmMq/dXJAye5FeQ+HpLBf2INWWcr8ujXsc4zz5/zjH13EfjW/8AA9ZYPiz4ng1In7f/AGHpRTecsYxEQfrziny+84X2699Ht91/QG7R5rd/lZpa/f8AeereD/Emj+LNAt9c0O6FxZz5AOMMjDhkYdVYHgg9K+cP+Ckf/JLvDf8A2G//AGhJXp/7OAVrPxnPbkmyl8U3zW/OVI38ke2a8w/4KR/8ku8N/wDYb/8AaElDs0muqT+9XFs2uza+52PofU9G0fxL4MfQNchW50+9tRDcQ+ayb0K4I3KQw/AiqnhXwT4c8M3n2rS7nWWfy/L2XmvXl3GF9kmlZR9cVtaXZ2j6bbM1rAzGJSSYwSeKsfYbL/nzt/8Av2KS02G9dzirr4U/D+4up5m0+5ihuZTNPYwatcxWUrE5bdbJIIWDHkgphsnOc10Os+GvDesQaXBfWUDQ6VcxXVjHHIY1gkj+4QEIGBgcHj2rU+w2X/Pnb/8AfsUfYbL/AJ87f/v2KFokl0/TYHq2/wCtdzD8Y+DvCXjCXTZfEem29/JplyLqzdpGUxSDoQVIyOOh4PpSeMPBvhXxZLaz61Z77u0Oba7trqS2uYfULNEyyKD3AbBrd+w2X/Pnb/8AfsUfYbL/AJ87f/v2KVl+vzD/AIY5Q/DnwS3hy+0C4sZruyvyDdtdajPPPNj7oaZ3MhAxwN2B2ra8TeH9B8SafBp+tW6XVtb3EdzEnnMm2SM5RsqQTg9ulaP2Gy/587f/AL9ij7DZf8+dv/37FVcDO8XaBoXizQZ9D1+EXenzkebCJ2j34OQCUIOM9s1PrelaPrWg3Ohanbw3Gm3MJgmgLYVkIxt4OR+FWvsNl/z52/8A37FH2Gy/587f/v2KlpNNdxptNPsYvh7wl4Y0DUzqWlWghuzYQaeZWuZJCbeEERp8zHpk89T3Jpll4N8I2XjLUPGFrplvDrmpQLBd3SyMDKijAyuducdwMnA5rd+w2X/Pnb/9+xR9hsv+fO3/AO/Yqm23d7/57/eTbS3p+G33HB2/wf8Ah3ArQrZag1m0zzPYSa5ePZuzOXbdbtKYmBYklSuMnpXfW4tbe3jt7cQwwxKEjjTCqigYAAHAAHam/YbL/nzt/wDv2KPsNl/z52//AH7FLpYfW5m6L4e8P6O+rNp1tHCdXuWur7MrN5srIqFvmJx8qKMDA4rBuvhf4DuPDmm+Hzp88Nhpl093Yrb6ncQyW8rlizJIkgccs3GcDPFdh9hsv+fO3/79ij7DZf8APnb/APfsUW/T8Nvu6Bf+vXf7znNM8D+GdP0rUdLSTVLq01GPy7mO/wBau7vcvPCmaVinX+Eit6xtNPstKg0u2CJZwQLbxx7ydsartAyTnoOvWpfsNl/z52//AH7FH2Gy/wCfO3/79ih67gtDCtvBvhO28FS+DItPiGhTLIslq07sCJHLv8xbdyzE9eO1Z2s/DXwVqsmlS3EN/DNpNp9isprPWbq1ljg4+QvFKrMPlX7xPSuu+w2X/Pnb/wDfsUfYbL/nzt/+/Yoerv8A1/Wr+8P6/r7kczJ4B8KSeH00Of8AtKe2juPtEUs2s3Ul1DJjG5LhpTKnHHysOCfU0mnfD3wVYaHq2jw6eZLfWVK6jJcXs09xdDGMPPI5lIAzj5uMnGM10/2Gy/587f8A79ij7DZf8+dv/wB+xR38wWlrGTqvhnw5qnhEeE761SXRhFFELfz2X5IypQbgd3BVe/anr4d8Pr4ktfES2yDU7Syaxgm85vlgZlYptztPKLyRnjrWn9hsv+fO3/79ij7DZf8APnb/APfsU7u9/wCu35BbS3T+v8kc9o/gbwbo9nr1ppulwW0PiCR5NTVZn/fs6lW53ZXgnhcYycVW1f4c+CtU0bRtJubO4jttEOdNNrqdxby252lcrJHIr/dJHJ711X2Gy/587f8A79ij7DZf8+dv/wB+xS6W9Pw2+7oF/wBfx3+/qc1beA/CsPh3VPD8h1K907VI/Lu4r7Wrq6LLgjCtLKzJ1/hIq94h8LeGPEHhCTwlrFhBeaLJCsLWzyH7i424YHcCMDkHPHWtf7DZf8+dv/37FH2Gy/587f8A79ih+8rME7bGXP4c8PTeD38IyWsZ0V7Q2bWwmYZhK7Su4Hd075zS6j4d8P6h4aTw5d2ySaakaRxxiZlaMJjYVcHcrKQCGBBBGc1p/YbL/nzt/wDv2KPsNl/z52//AH7FDd736iSStboc94T8E+FPC+oXGpaXbzPqFxGIpLy+1Ca9uDGOQglnd3C552ggZA4rpvNj/wCeif8AfQqL7DZf8+dv/wB+xR9hsv8Anzt/+/Yp3GS+bH/z0T/voUebH/z0T/voVF9hsv8Anzt/+/Yo+w2X/Pnb/wDfsUgJfNj/AOeif99CjzY/+eif99CovsNl/wA+dv8A9+xR9hsv+fO3/wC/YoAl82P/AJ6J/wB9CjzY/wDnon/fQqL7DZf8+dv/AN+xR9hsv+fO3/79igCXzY/+eif99CjzY/8Anon/AH0Ki+w2X/Pnb/8AfsUfYbL/AJ87f/v2KAJfNj/56J/30KPNj/56J/30Ki+w2X/Pnb/9+xR9hsv+fO3/AO/YoAl82P8A56J/30KPNj/56J/30Ki+w2X/AD52/wD37FH2Gy/587f/AL9igCXzY/8Anon/AH0KPNj/AOeif99CovsNl/z52/8A37FH2Gy/587f/v2KAJfNj/56J/30KPNj/wCeif8AfQqL7DZf8+dv/wB+xR9hsv8Anzt/+/YoAl82P/non/fQo82P/non/fQqL7DZf8+dv/37FH2Gy/587f8A79igCXzY/wDnon/fQo82P/non/fQqL7DZf8APnb/APfsUfYbL/nzt/8Av2KAPEtddT+3D4dYMuP+EKm5z/08SV7l5sf/AD0T/voV4Trttbj9t7w9GLeIIfBUxK7BjP2iTtXuP2Gy/wCfO3/79igDmvE/gLwj4i1caxfQ3VvqPliJ7rTtTuLGWVB0WRoJELgc43Zxk4qza+DfCNr4Vl8LwaVaJpM2TLDuJaRycmRnJ3NITzvJ3Z5zmtz7DZf8+dv/AN+xR9hsv+fO3/79ilZWsHW5y+g/D3wZot5c3tvaT3d3c25tZLjUtRnvpRCc5jV53dkU5OQpAPesLwx8I/DWk67c3t5cXep2MVzHLpGnXepXM9tYKsYUBYpZWQkNuKnb8oIAxivRfsNl/wA+dv8A9+xWbquo+GtK1LTdN1CWwtrzU5GisoXQBp2UZYKMc4FUm7p9Qto10NfzY/8Anon/AH0KPNj/AOeif99CovsNl/z52/8A37FH2Gy/587f/v2KQEvmx/8APRP++hR5sf8Az0T/AL6FRfYbL/nzt/8Av2KPsNl/z52//fsUAS+bH/z0T/voUebH/wA9E/76FRfYbL/nzt/+/Yo+w2X/AD52/wD37FAEvmx/89E/76FHmx/89E/76FRfYbL/AJ87f/v2KPsNl/z52/8A37FAEvmx/wDPRP8AvoUebH/z0T/voVF9hsv+fO3/AO/Yo+w2X/Pnb/8AfsUAS+bH/wA9E/76FHmx/wDPRP8AvoVF9hsv+fO3/wC/Yo+w2X/Pnb/9+xQBL5sf/PRP++hR5sf/AD0T/voVF9hsv+fO3/79ij7DZf8APnb/APfsUAS+bH/z0T/voUebH/z0T/voVF9hsv8Anzt/+/Yo+w2X/Pnb/wDfsUAS+bH/AM9E/wC+hWbqGj6NqGtabrN3Ckl9pjO1pL5rDyy6FG4BwcqSOQau/YbL/nzt/wDv2KPsNl/z52//AH7FAFTxHpWk+IdEutF1iNLmwu0Mc8XmlNy+mVII/A1neJvCeg+Io7WPULnVYltV2xCx1q6s+P8Aa8iRN345rc+w2X/Pnb/9+xR9hsv+fO3/AO/YpWC5z114G8GXPgaXwRJpNuNAmTZJaRysm8ZySXUhixIyWzknqaXxN4K8J+I7Swt9Us2J04j7FPbXkttcQcY+SaJlkAI4IDc966D7DZf8+dv/AN+xR9hsv+fO3/79im9dWC0/ruc/Y+B/Btn4Vu/C8ek20ulXu/7XFcSNM1wz/eaR3Jd2P95iT71F4T8B+EfC+otqWl29w96YfIW4vtSnvJI4/wC4jTu5RfZcCul+w2X/AD52/wD37FH2Gy/587f/AL9ijrcLaWJHlj2N+8Tof4hXiH7DTov7Omj7mUf6ZedT/wBN3r2p7Kz2N/olv0P/ACzFeI/sOW1tL+zro7SW8Tt9svOWQE/696APcblbW5t5Le4EM0MilZI5MMrKeoIPBFcRY/Cj4fWc8Dx6fcy29vIJILG41W5nsomByu22eQwqF/hATC8YxXa/YbL/AJ87f/v2KPsNl/z52/8A37FC0d1uD1Vmc/4q8F+GPE17Hfakt5FdpH5Xn2GqXFlI6ZzsdoJELrnnDZArH8VfDLwzqHgiDw9oaJoU2nxSDSbuzuJYZLSRxgvuidXYn+LLfNznNdx9hsv+fO3/AO/Yo+w2X/Pnb/8AfsUmlaw02ncwvBPhHw/4StpBpqPJeXAX7Xe3V1JcXNwygAb5ZWZyBjgE4HQAV0Xmx/8APRP++hWRouoeGtamv4dKlsbuTT7lrW7WNAfJmXqjcdRWl9hsv+fO3/79iqbb1ZKSjoS+bH/z0T/voUebH/z0T/voVF9hsv8Anzt/+/Yo+w2X/Pnb/wDfsUhkvmx/89E/76FHmx/89E/76FRfYbL/AJ87f/v2KPsNl/z52/8A37FAEvmx/wDPRP8AvoUebH/z0T/voVF9hsv+fO3/AO/Yo+w2X/Pnb/8AfsUAS+bH/wA9E/76FHmx/wDPRP8AvoVF9hsv+fO3/wC/Yo+w2X/Pnb/9+xQBL5sf/PRP++hR5sf/AD0T/voVF9hsv+fO3/79ij7DZf8APnb/APfsUAS+bH/z0T/voUebH/z0T/voVF9hsv8Anzt/+/Yo+w2X/Pnb/wDfsUAS+bH/AM9E/wC+hR5sf/PRP++hUX2Gy/587f8A79ij7DZf8+dv/wB+xQBL5sf/AD0T/voUebH/AM9E/wC+hUX2Gy/587f/AL9ij7DZf8+dv/37FAEvmx/89E/76FHmx/8APRP++hUX2Gy/587f/v2KPsNl/wA+dv8A9+xQBL5sf/PRP++hR5sf/PRP++hUX2Gy/wCfO3/79ij7DZf8+dv/AN+xQBL5sf8Az0T/AL6Fct458CeEvGl3p134ghupbjTHZ7OW21O4tWhZhgsDDIvOOM9cE+prpPsNl/z52/8A37FH2Gy/587f/v2KLBc5zTPAvhWx0rUdKZb7ULHUo/LuoNU1a5v1deeAJ5H29e2O3pUfhT4f+DvDGprqWl21w14kJghmvdSnvGgjOMpF5zv5anAyFxnArp/sNl/z52//AH7FH2Gy/wCfO3/79ijrcOljjZvhb8P5tYk1NtLYNLci7ltV1CdbOSYEESNbB/JZsgHJQ8gHrW4PDHhseMh4wFnGNbFmbIXImbiEkNs2529QOcZrW+w2X/Pnb/8AfsUfYbL/AJ87f/v2KFokl0/yt+WnoD1vfr/w/wCepxsnwt+H8msPqbaWwaS6F3JarqE62ckwORI1sH8lmyAclOoB61e8WeBPCPifUYNS1O2njv4YjCl1Y6jPZTGM9UZ4HRmXj7pJFdJ9hsv+fO3/AO/Yo+w2X/Pnb/8AfsUrKyXQd3dsq+HtL0fw/o9vpGjW1vZWNsu2KGLgKP6n3PJr5p/4KQsrfC3w5tYH/id9j/0wkr6g+w2X/Pnb/wDfsV8uf8FHbeCH4XeHDFDHGf7a/hUD/lhJVNtu7JSS0R9E6p4b0vxN4dsrTVvt3lRorr9k1C4tGzju0LoxHsTivLv2ffDOlz6XqviG+vNfur3TNe1CG3afXr2RFihndUUxtKUYBQB8wOe+a9p0n/kFWv8A1xX+Vcj8H/Cup+FdA1ew1Y25kvNavr2PyXLDyppmdc5AwcEZFSrpy5d7fjdDlrFJ9/ws/wBbHG/C7w9F8UPC48d+LtV1u4n1WWSSytrPVbmyhsrfeRHGqwOm44AJZ9xJ9uKX4a2c3imPxP4D8Zajqmqjwnqv2azv4r+e0nmhZA8fmvbuhdlVgpJ64yeav+EtC+JHw7sLnw14d0nRfE2hpcSS6bNd6m1jNbRuxYQuoikEm0nAYFcjsK6f4V+D73wvp2pXes38V/r2tXj32pTwx+XEJG4CRqSSEVQFGSScZpq2tvhtt53X4rW7693cJX+d/wANfwemn4aHCfs5+FtMvNMvNevLvXrq/sde1C3t3n169kRY4rl0jUxtKUYBVA+YHPfNY/xA8Q68/jTWfiHpupX/APYPgzULewktIZmWC5jGDeOyjhmXcVyc4K16N8MvC/iDwj4J1uxdbKXUrjU9QvbRRMfLImmeSMM23I4YZ4OPeuZ8K/Abw7/wgQ0/xWl9da3fxSS6tJb6zeR28tzKS0hEayKhXcx6ryByKOZpqS+yl9+n+TT9UFo+8n1b+67/AOBbyua3jnUrofG/4cwWl/cLZXcN80kUczCOYCJSpZQcNjqM16hXhNh4H+Jmk2/w5v8A7Ho+t6n4Vt7qzuUl1R4BPGyiOJxJ5TfNsVSQR17969h8MXWu3mm+d4h0e00m83keRbXxuk29jvMafliqsuWyezf5u34E6815dl99tT5/sNT8A3HxM8eW3j/xHrkd3DrixWEEWr6jCiQmCIgKtu4QDcW967L4yXV58OLnRviXpl5fTaFplutjrGmvdvIJbY/clQO2DKp7nlgeScVPoOk/Ejwj4v8AGF3pXhfRNZsNc1UX0Ekuutaug8mOPaU+zvz8mc571q+KfB2r+OPGGiN4ps9OXwtpkAupNO84z/ar4jGJAVCtHH2yPmJJwKhX5IcujSj/AOk63X3rzb6bly5eefNtr+eln9z/AOGPP/Ev/CQH4Ga5451jWL21v/EtzBdpFBfyIlhaEqIokKsAp2YLMuCWZq1tIe10D426boPgfXNQv9HvNGuJtYtpNSl1CKB0P7mQSyu7RsSWG0MAQo470+++GHipfh/4j+Htr/ZtzoJvkn0Jric7kgZw8lvIu0gKjFgvXK4GBivWNH8O6HodlcW2g6JpmlLOMyLZ2qQK7YwCQgGaelm1t0XlypJP0/NfMWt7P7/+3r3XqvuWnkfP3wRvPh1rVjaR+JPEWv3Hi2XVbtDGda1NVLLdSiNdqSCLGwLx09asfEfVvF2k/HvXPE+j6pqNxp/hnSrGa80ZZSYbi2leUTME6b12qwOM4BrsfhbpvxO8E+HoPDLeD9Bv7WK+uZfto8QNGxSa4eXPl/ZzyA+Mbucda6PSfCOoQ/F/xP4nvFtZNK1XSrSzjTcS5aMy7wy4xjDjue9N9HHpf027fgDt76fX8ubv6fcc7aeIG1b48LNpuqTz6Pd+Cor23RJm8li80uJAucbiMc4zxXN/CXwTD4q+Eo8Rtr/ia28SyXN80OoJrl0wjeO5lWP9y8hhIAUDaUIx781r/DX4Ta94P+Ket6mNQt7jwy2nG00eJnPnW6vK8rREYxsV5G289CB2pPA+gfFrw34DPgiz0Pw5bhprrZrL6s8vlLNNJJv+zCFdxAfGPMHIzntU6ci5d7ad170nv80U99drr5pRS27X6GO3jfXfEng34WavdXU1pfz+KfsOo/ZpDGlw0XnxtkKcFWKBtvT8qvfG7wfpNj4l8HzWd54htm1rxGlvqAi8Q3ypLG0cjFQomwgyo+6B0rbvPhVcad4d+H+heH5opofDusrf3s1y5R5srIZHAAPzM8hOOgB68V0XxS8K6p4k1Twdc6abYJo+uJfXXmyFT5QjdTtwDk5YccVo+XmT/vfh7t/luZO9n/hf3+9b56o53x5p0XhLUvh3pOg3eqW9pP4mxMsupXE7SqbeUlWeV2ZlyoO0nGR0q5+0HfX1jYeD2sb25tTN4otIpTDKyb0KS5VsHlTgcHjitr4s+E9R8TadpV1ol1Bb6xomoJqNj9oBMUrqrKY3wcgMrkZHQ44PSsK/0Dxx4517QJPFuk6R4e0rRL1dQMNpqLX0l5MqMqLuMcYjVdxJ4YnjpjmYyvKN+kk/krP9Grf5lyVk7dYtfP3v81qcF4y1jwXH8cPGNr8QvEes2Nlb6bYvp8Vvqt9bojN53mEC3cLk4T73+NReKtS8V2f7L0N74m1TUrWRtZgWK5E7RXP9nG4UJveI5LGPqQckEd69V0jwXdr8S/GutapHaT6Pr1hZ2scW7czeWJhIHUjAGJBjk964vUPhv45/4U1P4JhfTbyfTtbiuNHaW6ZA9nHMsqpI2w7WHzKMAjAFTDSyf930+JX07/mrly1m2v6938r/AI2Oq+Ei/De41C7uvBOqarfXEMQS4+1anqFwqqxyMLcuVzleoGa9IrmPCepeNry9eLxJ4T0vSLVY8pNba0btmfI+UqYI8DGecnp0rp6uXQyiFFFFSUFFFFABRRRQAUUUUAFFFFABRRRQAUUUUAFFFFABRRRQAUUUUAFFFFABRRRQAUUUUAFFFFAHhevf8nxeHf8AsSpv/SiSvdK8L17/AJPi8O/9iVN/6USV7pQB4T+zrq2q3/xe+LFrfane3dvaarGltFPcM6Qrg8ICcKPpXKaHrfjyfxV8ebfwzqF/eatZGAaTbyTGRYWKHIjRyVU4z0HWuj1X4dfFjwX8TPEXir4U33hm9svEjLNeWeuCRfIlUYyjRnJzyecdcYNXvh78K/Hnhfwj4q1ZPFFgPiB4kuVu57r7NvtYWXpEoPJXqN3oRxWcVemr9Icvnf3f8mU3abt1nfytq/1Ssee/s2X+iXvi3SZv+FqeN4vFQUjVfD/iKbdFcNt+cQoQNoDdDknHGK5bxA0OqfGbWZPi/wCNfF3gzXLDUmbwxcxbRp0UPGw/dPLADOCMjqeK9Tg+F/xU8bfErw74q+JUng3S08PymaJ9BgkM90cAAO8hyAMcdQOeOawPiRo3xt8ceJdQ+D+rDwje6PPF9uXXJbCTz4LdpmCqpzsEoAxgDOBnPNa3vKDS110/G6fR2v30uQtIyu9NNevVW81t6u3Y+ndILtpNmZLxb1zAm65UACY7RlwBwAev41arL8I6Onh7wtpehRzPOmn2kVsJXGC4RQufbpWpTnbmdhQvyq4UUUVJQUUUUAFFFFABRRRQAUUUUAFcp8TvC+peLtCh0mx8Val4bhM4e8uNP2rPJCFbKK7A7OSp3AZ4966uvM/2j/D3xE8VeAToXw51Kz068upgt7NPM0RNvtOVRlBIJO38M81E9trlw+Lex5X+y9ceK1+Knj/w5pfi3VfEXhDTkaGz1LVJjclbvIC4fjdgb8gYHHbitD4RHxRpn7WXibw9r3jHVfECR6AtwftD7IRI0kfKQrhEwOBgZ6810XwL8OfF/wAHacPDupaB8PdN0G2spPsw0p7kzPc4+VpC7HcCfvHrXKeGPAv7Qdj8bZ/iNe2vgDzdQgjsb6OOe4KJbCRSxjB58zC8ZJHtW0X+9hre0Wr/ACaX4/hYylrCbta7Tt939etz3L4satq2hfDTxHrGhR+Zqdnp001qNm751QkHHfHXHfFfGnh7x2ugz+AvFei/FzxBr3ibVNUgh8QaHe3ReCNJWxIFjK7Ux0HJxnjFfSXgzVfiH4k+IPxAuba+MXhyzibT9EhvbVVja8UcyD5Q7Rg8HJ5zxXHaN8HviB4n8b6LqXxB0/wDoukaPfLqH2fw3YlHv50+6ZWbnAOD3B5471FG6qRn0fK/Ra3+9br0LqW9nKPVXXztp9z697md+1d4b1jQfDGq+P3+Knim21Z7uNdF0uzuRBb4ZxiHy0GZGAJO7PbkV3Oq+EPFHjL4aeHb7xt4/wBc8Ji00kTawmlyJbSPPtB3vLg7QBnKjrXG+Nvhz8dNR+NE3ja2g8E61ZWUjDQ7TWLicxWa5+WQRptHmY7kn164NaXxv8D/AB1+IPhbw7pizeFoVRfM16xS6nitrqQMMR5HzmMjORuB96hXdHl7tfLT+m/O3XUtv94nfZPXvt/S+ZZ/Yh1bxhq3gDVZvEWpXuqaXHftHpF5eMWlmiGdx3HlhnHJrtfjV8PdN8UxjxBqnjrxh4ZtdLtJGm/sbUhbRsg+ZmcbTkgDrWHo2l/HZfhnrOiGHwP4d1aGCOLQG0YSCGEAjcHEoYDjpwfpVv4z+E/iR4v+Dln4P0u/01NVv0ig1u9klMYEeB5pjCr8245GOODV1253cd1ZL7rXf5v1M6Vk/e0Tve3TrZfp6Hz74Y8S+N/CX7OXibxrp/iTXZn13Vo7LQpdVuzcywW+/YZDu4DEdwAPau/0Sw8RfCT49eCdBj8ceJPEOk+KLZ0vodXuvtG2YA4KZHyDODxz2JNem/FH4RWPib4HD4c6NMmm/Y4Ihp8m3KpJFgrnvgkYJ681y3gj4bfE7XPihoXjb4q33h6M+HLZodPtdIEjCZmBBkkL9COvHX2q4Ne18k/vjy2++936tP0iV3T82np2k3+SWnyZ71J9xvoa8O/YY/5Nz0f/AK/Lz/0e9e4yfcb6GvDv2GP+Tc9H/wCvy8/9HvUFm/8AtX39/pnwG8R32m31zY3UcKmOe3laORDuHRlIIrE+KWqapbfsgyarbalew6gPD9vJ9rjnZZt5jXLbwd2ffNejfFbwfb+Pvh/q/hO4untFv4DGs6ruMbfwtjvg44rwy++Gv7QPiPwTafDLxBrPg608LxpHbTalaJK17LBHwAVJCZIAzjH1rJxcozh1drfK9/zLTUZQn0V7/O1vyZz/AMV9a8UJ4X+GM2ta14xsfA9xocD6rqGgSf6X9qMeQXcgtjoTn3710t5e67Z/sz67P8J/Hmq+N3Fx/o93KwkvrWA48xCxALOoyQcA+ld5400H4uaH/Ztj8MLnwteaHb6dHYtpuvQvhdg27w8ZBYkYBB49q5XwR8K/iR4A8D+INU0HXNBg8W6rqQ1Oa1S0K6cqjloFA+YKemRggce9aVZRl7R7Jt/+lflb8NDOnzR9n3SWnTbv3v8AjqY/7JcHgqHxFNP4S+IniO5vbyFpta0DXdpna4PWYfKpBz1PJIxmvpyvm/4E+E/G/jf4hab8bPHFtoeiyiyeC1sdMtXieYMSC828k5+pPGOlfSFa1NlfR9u2r/T7tiIbvr599P69QooorM0CiiigAooooAKKKKACiiigAooooAKKKKACiiigAooooA+a/wBqtfGGjeK/BmtQeNtSh0678SWlnFpdp+4jVCSXMjL80hOAME4x2qX9q3xJeWvjnwV4W1bxZqfhDwdqQnk1PVNPcxTb0UFF8wAlRn65zyOKtftF+BPjP498SaZHoEPg9dD0bUYdSsHuZpkuHlQHiTGVK89Bg+9dJ440v4y614M0KNND+G2pauBJ/a1nqlvLNZh8jy2hycggZznPWoj/AA15Sbt5NJfnr93QuXx+sbfm/wAtDlP2QfFtxqHiXxt4Qg8WXvizQtKmil0rUryQvM0b7twLEAtzj8uOtemfGHwXdeLrW3M/j3W/Cui2UUst6NKlWCSUjBVjKQSqqA2QOufavNdO8H+JPhD8KfGfiiS6hu/HfiGSMRDSbIeXDMxCRRxJgjaC5JJAGB04pfjH4B+N3jX4c+E/D9prGkXDrAJPEa3U7W4vZeCI28pQdmMghSuaqpeUUt2rJvzs/vt187PqTT0k3sndr00/Pp8+xwfwt1z4gXn7NPxMnfW9a1OytXMfh/UWlc3UmG+cq4+cj7vOe5xWj+zX4g8EQ+K4C3jz4mXHiRNNkkbS/El0fss7BCz+WhGSRgkZPQV6h4M0j4323gm/0S5h8BeGp7OGEaGNIhmkhGxstHKjt91gNuRyNxNY/hr4Z/EnxT8WdJ8e/Fe48M250S3lhsrLRI5Cs3mIVJkaQ54yTjn8OaqV3Ubi90lf0T19W90Tpyarq3b1a09F3PIJpfHfiD4Na/8AHj/hYniO01zT9SY2mnwXISwEKSqu1ocYJwx6+nOa+u/DGvNqPw/sfEcy5aXTlunGMZOzca+dpvgZ8Wbfw5q3wt0zW/DqeANT1E3L30iyG/jjLhygUHZ1UD+texWfhnxxYfEDSrOz1SzHw9tdHNnPYsq+c823aG+7n/x7HtSf8Nxjpe1vK0Xe/q7L1H/y8Upa2vfzTkrW9Fd+SPmqabx5rnwW1r49f8LE8R2uu2WpFrXT4bkLYCFJVTaYcYJwT1445BrtftniH43/ABdl8MSeMNf8N6JpmgQX4XR7gW8slxIFBLNg5XJPFMl+BfxZh8M6l8KtP1zw6ngDUNRNw186yHUI4i4coEB2dVA/rXV+KfhZ8QvC/wARk8Z/CO60B5LnSU0y8tdYDrGFQDbIuzq3APP60rK22nRdU+Xr87fPUbbu9dddfLmVvwv8tDX/AGQfFWu+I/hxeWfiPUJdRv8ARtRlsTdS4LyIp+XJ7nHc81wP/BSP/kl3hv8A7Df/ALQkr2H9n34czfDTwJ/ZF9qC6hqd1cPd3s6JtUyOckDuQPU149/wUj/5Jd4b/wCw3/7QkrSpv8lf1tr+JEettru3pfT8DU13x58frHW76z0Kx+HzaVBO8dm12LnzjCDhC+1wN2MZwMZql/wsb9pT/oH/AAz/ACuv/jlafj3XLPw3ZaprV+k721q7M6wqGcjPYEgfrWdomv3WpXi28nhbX9ORlLCe8ihWP6fJIxyfpXs08DQkktbnlzxdZX7Df+FjftKf9A/4Z/ldf/HKP+FjftKf9A/4Z/ldf/HK3sHOMHPpShWYZCkj2Faf2bQ8yPr1UwP+FjftKf8AQP8Ahn+V1/8AHKP+FjftKf8AQP8Ahn+V1/8AHK3grHoCfoKq6xqFlo+nT6jqdwLW0gXdLKwJCD1OBmh5dQWrv941jaz0Rl/8LG/aU/6B/wAM/wArr/45R/wsb9pT/oH/AAz/ACuv/jlbq8qGHRhkcdq5C+8fWVrcamv9ha9cWuly+XeXkNvG0MRABJ/1gYgAjotTLAYeHxXHHGVpbGl/wsb9pT/oH/DP8rr/AOOUf8LG/aU/6B/wz/K6/wDjlbFhcwahZQ3tlKtxbToskUidHUjII/CpwrEkBScegq/7Mo+ZP16r5GB/wsb9pT/oH/DP8rr/AOOUf8LG/aU/6B/wz/K6/wDjlXvEuqw6DoF9rF1G7xWcRldVHJx2/M1ladrHieaHSZbnwrGi30gM7W9/5otIioKu2UXJOSNoHbrUfUMPfl16fiV9crWvp/wxP/wsb9pT/oH/AAz/ACuv/jlH/Cxv2lP+gf8ADP8AK6/+OVp2GpWN/cXlvZ3AmlspRDcqFI8p9obacj0YHj1q3VLLaDV1cn67VMH/AIWN+0p/0D/hn+V1/wDHKP8AhY37Sn/QP+Gf5XX/AMcreoo/s2h5h9eqmD/wsb9pT/oH/DP8rr/45R/wsb9pT/oH/DP8rr/45W9RR/ZtDzD69VMH/hY37Sn/AED/AIZ/ldf/AByj/hY37Sn/AED/AIZ/ldf/AByt6ij+zaHmH16qYP8Awsb9pT/oH/DP8rr/AOOUf8LG/aU/6B/wz/K6/wDjlb1FH9m0PMPr1Uwf+FjftKf9A/4Z/ldf/HKP+FjftKf9A/4Z/ldf/HK3qKP7NoeYfXqpg/8ACxv2lP8AoH/DP8rr/wCOUf8ACxv2lP8AoH/DP8rr/wCOVvUUf2bQ8w+vVTB/4WN+0p/0D/hn+V1/8co/4WN+0p/0D/hn+V1/8creoo/s2h5h9eqmD/wsb9pT/oH/AAz/ACuv/jlH/Cxv2lP+gf8ADP8AK6/+OVvUUf2bQ8w+vVTB/wCFjftKf9A/4Z/ldf8Axyj/AIWN+0p/0D/hn+V1/wDHK3qKP7NoeYfXqpg/8LG/aU/6B/wz/K6/+OUf8LG/aU/6B/wz/K6/+OVvUUf2bQ8w+vVTB/4WN+0p/wBA/wCGf5XX/wAco/4WN+0p/wBA/wCGf5XX/wAcreoo/s2h5h9eqmD/AMLG/aU/6B/wz/K6/wDjlH/Cxv2lP+gf8M/yuv8A45W9RR/ZtDzD69VMH/hY37Sn/QP+Gf5XX/xyj/hY37Sn/QP+Gf5XX/xyt6ij+zaHmH16qYP/AAsb9pT/AKB/wz/K6/8AjlH/AAsb9pT/AKB/wz/K6/8Ajlb1FH9m0PMPr1Uwf+FjftKf9A/4Z/ldf/HKP+FjftKf9A/4Z/ldf/HK3qKP7NoeYfXqpg/8LG/aU/6B/wAM/wArr/45R/wsb9pT/oH/AAz/ACuv/jlb1FH9m0PMPr1Uwf8AhY37Sn/QP+Gf5XX/AMco/wCFjftKf9A/4Z/ldf8Axyt6ij+zaHmH16qYP/Cxv2lP+gf8M/yuv/jlH/Cxv2lP+gf8M/yuv/jlb1FH9m0PMPr1Uwf+FjftKf8AQP8Ahn+V1/8AHKP+FjftKf8AQP8Ahn+V1/8AHK3qKP7NoeYfXqp45qHjH41SftFaVq81n4H/AOEnj8OyQwIon+xm281yS3z7vM3Zxg4xjivRf+FjftKf9A/4Z/ldf/HK5DUf+TnNH/7FmX/0bJXptZ08voy5r30ZpPGVI29DB/4WN+0p/wBA/wCGf5XX/wAco/4WN+0p/wBA/wCGf5XX/wAcq5o2tWerXWpW9qswfTrn7NPvUAF9iv8ALzyMOPTvVN/Fujxza6lxJLAuh7ftkkifL8yBhtwSTwwHQc1TwGGSu3579CVi67drB/wsb9pT/oH/AAz/ACuv/jlH/Cxv2lP+gf8ADP8AK6/+OU3QfFEWqSBZdG1jS0eD7RFJfQIqSxgZJUo7YwCDhsHn61kWfji4vtctpbLQ9Tm8NzAxLqS26lHl3EZHz7hHwRnb19qX1HD3S11/r/geofW61m9NDZ/4WN+0p/0D/hn+V1/8co/4WN+0p/0D/hn+V1/8creNFX/ZtDzJ+vVTB/4WN+0p/wBA/wCGf5XX/wAco/4WN+0p/wBA/wCGf5XX/wAcreoo/s2h5h9eqmD/AMLG/aU/6B/wz/K6/wDjlH/Cxv2lP+gf8M/yuv8A45W9RR/ZtDzD69VMH/hY37Sn/QP+Gf5XX/xyj/hY37Sn/QP+Gf5XX/xyt6ij+zaHmH16qYP/AAsb9pT/AKB/wz/K6/8AjlH/AAsb9pT/AKB/wz/K6/8Ajlb1FH9m0PMPr1Uwf+FjftKf9A/4Z/ldf/HKP+FjftKf9A/4Z/ldf/HK3qKP7NoeYfXqpg/8LG/aU/6B/wAM/wArr/45R/wsb9pT/oH/AAz/ACuv/jlb1QX11bWNnNeXk8dvbQIZJZXOFRQMkmh5dQSu/wAxrG1nojI/4WN+0p/0D/hn+V1/8co/4WN+0p/0D/hn+V1/8cpngrxfpHi8XzaP9qMdlOIXeaLyw5IyGUHnHHcCqWleOY9Wkf8As3wv4kurdLhrdrpIIREGU4Y8yg4H0qPqOG031/4H+Y/rdfXyND/hY37Sn/QP+Gf5XX/xyj/hY37Sn/QP+Gf5XX/xytqaVIYHmlJVEUsxwTgAZPA5NczY+NrKbWbPS77R9Z0mS/3fY5b6BEjnIGdqlXYg4BOCBTeX4dPl1BYys1cuf8LG/aU/6B/wz/K6/wDjlH/Cxv2lP+gf8M/yuv8A45VfVvFk+mvdeb4Q8Sy29tuL3MUUHlFVGSwJmBxj1AqIeO9Lk0fSb+3sNUuZ9XTzLOwihU3LoBksVLBQAO5al9Sw3mP61XLv/Cxv2lP+gf8ADP8AK6/+OUf8LG/aU/6B/wAM/wArr/45U3hjxDZa/Dcm2iuba4tJjDdWtygWWB/RgCRz2IJFR+JPEtnol3Z2JtL7UNQvNxt7OyjVpXVRlm+ZlUAY7mm8Bh0k9RLGVm7Df+FjftKf9A/4Z/ldf/HKP+FjftKf9A/4Z/ldf/HKl8LeI7HxDHd/ZYrq2ubOYwXVrdRhJYH9GAJHPUEE1W8P+MdI1zxDqGiaet001ipZ5mjAhkAbadjZy2D7AULAYe6V9/MPrlZX8h7fEb9pPaf+Jf8ADPp6XX/xyvPP2c/GXxr0f4UWFj4Ns/A8mjrcXBibUhP55YyEvnY4GNxOOOlewt91voa80/Zi/wCSOab/ANfNz/6NNS8voqoo66p/oUsZU5HL0/U67/hY37Sn/QP+Gf5XX/xyj/hY37Sn/QP+Gf5XX/xyrviXWLTw/oV3rN8srW1rGZJBEoZyB6Akfzp2u6ra6PoV3rN2sptrSBp5BGoLlQMnAJHP41UsBh4pt9CVjKzaS6lD/hY37Sn/AED/AIZ/ldf/AByj/hY37Sn/AED/AIZ/ldf/AByodT8YWFo+n29vYalqV7qEH2iGzs4laURY++25lUDt1p194u06z0a0v5bW/E95Kbe2sfJH2mSbODGFJ25B77se9DwGHV730/r89PUFjKzt5kn/AAsb9pT/AKB/wz/K6/8AjlH/AAsb9pT/AKB/wz/K6/8AjlR+B9c1LVrOWLW9HvNK1KBsyxTRBVKk5UqQzA8YB5654roqccuoNJ6ieNqp20MH/hY37Sn/AED/AIZ/ldf/AByj/hY37Sn/AED/AIZ/ldf/AByt6in/AGbQ8xfXqpg/8LG/aU/6B/wz/K6/+OUf8LG/aU/6B/wz/K6/+OVvUUf2bQ8w+vVTB/4WN+0p/wBA/wCGf5XX/wAco/4WN+0p/wBA/wCGf5XX/wAcreoo/s2h5h9eqmD/AMLG/aU/6B/wz/K6/wDjlH/Cxv2lP+gf8M/yuv8A45W9RR/ZtDzD69VMH/hY37Sn/QP+Gf5XX/xyj/hY37Sn/QP+Gf5XX/xyt6ij+zaHmH16qYP/AAsb9pT/AKB/wz/K6/8AjlH/AAsb9pT/AKB/wz/K6/8Ajlb1FH9m0PMPr1Uwf+FjftKf9A/4Z/ldf/HKP+FjftKf9A/4Z/ldf/HK3qKP7NoeYfXqpg/8LG/aU/6B/wAM/wArr/45R/wsb9pT/oH/AAz/ACuv/jlb1FH9m0PMPr1Uwf8AhY37Sn/QP+Gf5XX/AMco/wCFjftKf9A/4Z/ldf8Axyt6ij+zaHmH16qYP/Cxv2lP+gf8M/yuv/jlH/Cxv2lP+gf8M/yuv/jlb1I7KiM7sFVQSzE4AA6k0PLaC7h9eqmF/wALG/aU/wCgf8M/yuv/AI5R/wALG/aU/wCgf8M/yuv/AI5TPCHi/SvFM2oR6ZHdqLF1V3miCLIGzhk5JI+U9cVc1/Wl0poIo9L1LU7icnZBYxKz7R1YlmVQOnfPPSp+oYflUtbFfXK1+XqVv+FjftKf9A/4Z/ldf/HKP+FjftKf9A/4Z/ldf/HKh0jxfZavodzqemadql1LaymGewWJBdRyA8qVZguR1+90qvD44j/t7TtFvPDPiHTrnUWZbc3MMIU7VLMTtlYgADriksDhnbV6/qP63X18v0L3/Cxv2lP+gf8ADP8AK6/+OUf8LG/aU/6B/wAM/wArr/45VaHx14euPGieErWaa51BhJveKPMMbIMsrOf4vYZ/CumPAPBPtTjl+HkuZPT1JeMrJ2Zhf8LG/aU/6B/wz/K6/wDjlH/Cxv2lP+gf8M/yuv8A45WXrXj3+xrC41DUvB3im3s7cZkmaC32gZxn/XZ5+lbOv+I9P0Pw8Nbv0uFhZV2QogMzs3RAueW59fxqfqWGs229CvrVe6Xci/4WN+0p/wBA/wCGf5XX/wAcrxr9rLxT8WNe8F6Tb+P7XwjDYx6jvgOkCbzTL5bDDb2I24J6d6910HU7fWtFtNWtFlWC7iEsYkUBgD6gE4P4147+2P8A8iJo3/YTP/opqnE4ClTpSkr3RVDF1JzUWehftD5/4V54mx1w2P8Avqr+maX4jeyng1/WLG8tp7fy1W0057V0JHXeZX/QCrPjO98IajNqeja3qujSQvK8dxbTXyIcg8hhuBBrC0S2+HGi3ovdM1TSYJwpUMdaMgwevDykfpXVTimtdml18uxz1G9lum+np/kcvYXN/qOgaJ4Fe7uvt0OpNa38okIl+z27ZLFuvzqOvvVSKx8Q+L7zxHcPplpdT2l/PawTy69PZvZIjEJiKOMr0AbLE5zngcV39vc+A7fXrjXodU0BNTuY1jmuBqEe51AwBjfj8hVLVrT4aarqJ1G+vtCkumADSLqoj346bgkgDfiDSdJyS5pa9fw1X3fi9Rqoley/rX/P8FoYc2n32reKvCel+INUluC+jO98bG6ZYbtwDk5XBKn1GDXO+JLWK4+F3jfTLhp57bRtSkSxDzuWiQ4bBbOWAzxuzxXqH9o+Cf7Qt9QGr6AtzbRGGCRb+IeXGeqgBsY/CoRP4BFtqNv/AGn4f8nUnaS9Q6hGROxGCT83p6YonSUlLVa3/Fpr7vw6ChUcWtNmvyszV8M6TY6PpMNrp8LxQlQ+15nkOSOuXJP6159pcXii+vvG2l6LZ6WLe61Jo3vLm7YPCTEgJEQQh+P9sV2Giah4J0SwWw0vXNGt7ZSSqf2oj4z7s5P61JYar4MsZbqWz1vQoXu5fOnK6hH+8fAG45b0ArepGM5avSzVvW2npp5GUHKC21uv1ONufC8KeM/CvhSTUL1tLstFZZYo5miFzs4G7aQR07HPvVyy02x8TePtb0PVnuns9FhgjsbBLmSLCNGCZiVYM+SSuST931zXTPqngx9Vi1V9a0I3sURhjm/tCPcqHqv3sVQ1+P4da9PHcarqOhTzRqVWRdUWJ8HsWRwSPY1m4LfR6tvzve33XLUnrvsv0OE1mH7d8KvHGn3dzNqFho948WmztM24KoQ7SwI37GZl5z05rd1Gyg0dvh7Y6aZ7e3nvQZUFxI2/dGpIJZiSPboK6Uz+AToDaD/aXh/+zGj8trYX8YVl9zuyfrnJqS5vvA9y9g8+r6DI2nsHtCdQj/csBjI+b0HelGml1V/c/wDJXr9//DjlNtWt/N+K0+45b4W+HNJt/Gni+8itZVmtNVCQsbmUhVaGNjkFsHknkg16bXKpJ4ATxA+vpquhpqbrteddTUbhjHKh9p4A5IzWp/wk3hr/AKGTRf8AwPi/+KrWio06ahpoRUvObl3Naisn/hJvDX/QyaL/AOB8X/xVH/CTeGv+hk0X/wAD4v8A4qtOePcjlfY1qKyf+Em8Nf8AQyaL/wCB8X/xVH/CTeGv+hk0X/wPi/8AiqOePcOV9jWorJ/4Sbw1/wBDJov/AIHxf/FUf8JN4a/6GTRf/A+L/wCKo549w5X2Naisn/hJvDX/AEMmi/8AgfF/8VR/wk3hr/oZNF/8D4v/AIqjnj3DlfY1qKyf+Em8Nf8AQyaL/wCB8X/xVH/CTeGv+hk0X/wPi/8AiqOePcOV9jWorJ/4Sbw1/wBDJov/AIHxf/FUf8JN4a/6GTRf/A+L/wCKo549w5X2Naisn/hJvDX/AEMmi/8AgfF/8VR/wk3hr/oZNF/8D4v/AIqjnj3DlfY1qKyf+Em8Nf8AQyaL/wCB8X/xVH/CTeGv+hk0X/wPi/8AiqOePcOV9jWorJ/4Sbw1/wBDJov/AIHxf/FUf8JN4a/6GTRf/A+L/wCKo549w5X2Naisn/hJvDX/AEMmi/8AgfF/8VR/wk3hr/oZNF/8D4v/AIqjnj3DlfY1qKyf+Em8Nf8AQyaL/wCB8X/xVH/CTeGv+hk0X/wPi/8AiqOePcOV9jWorJ/4Sbw1/wBDJov/AIHxf/FUf8JN4a/6GTRf/A+L/wCKo549w5X2Naisn/hJvDX/AEMmi/8AgfF/8VR/wk3hr/oZNF/8D4v/AIqjnj3DlfY1qKyf+Em8Nf8AQyaL/wCB8X/xVH/CTeGv+hk0X/wPi/8AiqOePcOV9jWorJ/4Sbw1/wBDJov/AIHxf/FUf8JN4a/6GTRf/A+L/wCKo549w5X2Naisn/hJvDX/AEMmi/8AgfF/8VR/wk3hr/oZNF/8D4v/AIqjnj3DlfY1qKyf+Em8Nf8AQyaL/wCB8X/xVH/CTeGv+hk0X/wPi/8AiqOePcOV9jWorJ/4Sbw1/wBDJov/AIHxf/FUf8JN4a/6GTRf/A+L/wCKo549w5X2Naisn/hJvDX/AEMmi/8AgfF/8VR/wk3hr/oZNF/8D4v/AIqjnj3DlfY4jUf+TnNH/wCxZl/9GyV6bXkeoa3ojftIaTerrWmG1Xw3LG04u4/LDea/yls4z7da9G/4Sbw1/wBDJov/AIHxf/FVjRkry16mtWLtHToYHw5dR4q8a2Z4uBqyzeX/ABbGt4gGx6ZB59qydEsdM17WviHDqEqf2VeXkNq8olCgssMYIDdMhuPqMVt67D8ONculutU1DQ5rhV2CVNVWJyvoSkgJH1zVmK58BRaKdFj1Lw8unldpgF9Fgj1J3ZJ98596nkukpW0VvXb7tF5j5rNyV7v8Ov5mFo11r3hnxTaeCPEGpw6zpl5YzPbXToIriFEOCswBwy7WADjb0PFUdQTXfhlpUF9pWrQat4Xe8RI7G5jxPFHKeFhmU4cZJIBXp3NdDosHw30d5306/wBBjeePypXk1NZWZOfly7kgcngVl+H9C+HOkazc6kmtaJNmYSWcMmpho7RQoG1VaUqeQTnAxnAotK611736X289OrC610+Vv6seiA5APIz60tZP/CTeGv8AoZNF/wDBhF/8VR/wk3hr/oZNF/8AA+L/AOKro549zDll2Naisn/hJvDX/QyaL/4Hxf8AxVH/AAk3hr/oZNF/8D4v/iqOePcfK+xrUVk/8JN4a/6GTRf/AAPi/wDiqP8AhJvDX/QyaL/4Hxf/ABVHPHuHK+xrUVk/8JN4a/6GTRf/AAPi/wDiqP8AhJvDX/QyaL/4Hxf/ABVHPHuHK+xrUVk/8JN4a/6GTRf/AAPi/wDiqP8AhJvDX/QyaL/4Hxf/ABVHPHuHK+xrUVk/8JN4a/6GTRf/AAPi/wDiqP8AhJvDX/QyaL/4Hxf/ABVHPHuHK+xrUyaGK4iaCaGOaNxho3QMrD0IPBrM/wCEm8Nf9DJov/gfF/8AFVBf614SvrOWzuvEGjSQSrtdRqUa5H1Dgj8DSclYFF3MX4cKY/FvjjCbVTU0GMYCjYfyrF8VaVN4E8KXPiLw34o1MQJdC4WxmeKW2uWkcBkXCBsnPGGPNbGi6X8L9F1Iajpd7ottdgk+YNZLbiQRkhpSG4J6g0WWl/C2zv4763utBWeNy8e7VQ6Kx7hGkKjr6cdq51B8sVdXSte/p9+3X8TbmXM3Z27W9fuOvjv7YRRtcXEEEpgE7I8gVlXAJYgngDPXpXnnjMaxpni/wrqXiG7tdYs5NQ8iyt7W3Ns0UsikLKcs/m7VJ6FcZzzjFaKf8I1c+NtQ1/VPEXh6WGSxFhbQDUIiPKPMm/J7kDj0zU+kWPwz0m/W+sL3Qo7lAQkj6sJdmf7oeQhfqKtvncZbWd9+z7ea+6/dExXImt9O3l/n95F8WLiW/XTPBVmxFxrs2ydh/wAs7VPmlPHqoK/VqjlhhsfjRo1vtWOE6FLDZqOBlXUlR74Brb/tDwR/bZ1r+2NCOo+T9n+0HUIywjyDtHzYHIHaodfn8A6/BHDrGqaFdLE2+MnUkRkPqGVww/Oly2fNdXvf5Wat9zv6tjvpy2drfjv+iXoZPhKa2j+JHjjUGnihs0a2illeQKgkCHdknjIqLx8ZtU+IHh/SNDuDYa5HDJdx6iSGRYBw8Zj/AOWobPQFcZznjFaoj+HH/CPSeH/t3h/+y5f9ZbnUUIc5zlm37ic9yc07Wx8O9ahtodT1HQZ1tf8Aj3I1NEaPjGAyOGxjtnFJw9yMbrTz9b+mv4aD5vecrb/5JL1/rc4jSpfEVho3ibw3Z2N7qXiUXqLqWpWkkbPIkoyZVDbArKhOI88Hv3q94IuPsXxNOmWvhXW9Pto9Git1S4WHMShx877ZDwfUZOe1dhoN34F0Gza00jVtCtYWcyOBqMbMzHqWZnLE/U1Mmq+DE1WTVV1vQxeyRCF5v7Qj3FAchfvY60Qp8ri+bb9E1+v9aBOfMpK2/wDmn+hvt91voa80/Zi/5I5pv/Xzc/8Ao012zeJvDW0/8VHovQ/8v8X/AMVXnP7N2t6JZfCPT7e81rTLWYXNwTHNdxo4BkOOCc1UpL20dej/AEFGL9m9Oq/U674yI8nwv19Y0Z2Fm5woycAVF8T761b4P6xeLMjQXWmssDhgRIXX5Qp7k+1bj+I/C8iMkniHRHRhhla+hII9CN1c7ZaX8LbO+S8t7jQFlRi6BtVDxqfURtIUHtxx2pVY86lG6tL8AhLlcZW1i7/l/kJfeFLm/TRtR0fWjpPiPTLGOPOwSo8PdJY8g7Sc8gjFUNN874keEbOS+vl0bxHYXsq211ZOHUXELFWkjVvvoduSPTv3rb18fDzXpo5tW1TRLiWNdquuqrE2PQlJASPY1S8R2Hw/1bwyuhw61oNitvGVspYb9FNqxGNy7ZFJ98nnvSqK7k+j1tfre9/J/m9Qhoort1t0tb5r9Cfwdruv/wDCX6p4R8RPZXlxYwR3EV5aRtGHRuAJEJO1+/U5BrtK5Xw3N4F8P2ZttL1nQ4d2DLIdRR3kOOrMzkn8+K1P+Em8Nf8AQyaL/wCB8X/xVbxdkk3dmcld3Ssa1FZP/CTeGv8AoZNF/wDA+L/4qj/hJvDX/QyaL/4Hxf8AxVPnj3Fyvsa1FZP/AAk3hr/oZNF/8D4v/iqP+Em8Nf8AQyaL/wCB8X/xVHPHuHK+xrUVk/8ACTeGv+hk0X/wPi/+Ko/4Sbw1/wBDJov/AIHxf/FUc8e4cr7GtRWT/wAJN4a/6GTRf/A+L/4qj/hJvDX/AEMmi/8AgfF/8VRzx7hyvsa1FZP/AAk3hr/oZNF/8D4v/iqP+Em8Nf8AQyaL/wCB8X/xVHPHuHK+xrUVk/8ACTeGv+hk0X/wPi/+Ko/4Sbw1/wBDJov/AIHxf/FUc8e4cr7GtRWT/wAJN4a/6GTRf/A+L/4qj/hJvDX/AEMmi/8AgfF/8VRzx7hyvsa1FZP/AAk3hr/oZNF/8D4v/iqP+Em8Nf8AQyaL/wCB8X/xVHPHuHK+xrUVk/8ACTeGv+hk0X/wPi/+Ko/4Sbw1/wBDJov/AIHxf/FUc8e4cr7GtXH/ABSXWLrSLfS9N0rUb21vJgmoNYmPzUgHLKA7KMtwvXgE1tf8JN4a/wChk0X/AMD4v/iqP+Em8Nf9DJov/gfF/wDFVFTlnHluVDmi72OL+G1+/wDwnviW1Xw5qumwbLZR9oWILAqK4AfbIeT2xnoc4rrvEvijTdD0Uai0n20zP5dpBasJHupT0RMdfc9Bg1n6lqHhlLTV59H1zw7DqmoQlGmk1GMBmCkKW+Y9NxPArGstB+Gn/CPaPpep6pod82lxlYZTqioVZuXI2SDqayvNR5U/n+ZdouXM18vkbfw18P6joumXl5rWwarq9215dImdkZbogz6DqfWsrwQ3/CTeONX8YMA1nZk6ZpmfRSDLIPqQo/A1paN/wr/R4bmHTdX0iFLldswbWPM3DBH8chx1PTFXdI1TwXpGnQ6dpmtaFa2kAxHEl/FhR17tn86uKinHXSK0/L8Ff7yW21Lu3/wfzMXxBaxwfFvwitvbJCrwXjkRxhQzFOScdT712v2i3+1fZftEP2jbv8nzBv2+u3rj3rhr3Q/hTe37X91daNLdMxbzTrbBgT1xiXjPtithLrwImtLrS6toI1Fbf7MLj+0Y93lcHb9/GOB70U7x3tv3Cavtcx/Grf8ACSeOtH8HRgNaWmNU1PuCqEeVGfq5U89gao+M21aXxVeXt74W1u803TbORNNNqIWiMjIQ8zbpFIwCQBg8EmupstQ8EWWo3mo2usaFFd3xU3Mw1CMtJt6Zy3GM9BirU3iHwtNC8MviHRHjdSrKdQi5B6j71ZTpc0GubV3f36L7lb89y4z5ZLTTT/g/fr8tDK+D13JdfDvR/MsLuz8u2VB9oCjzB/eXax4+uD7V57+2P/yImjf9hM/+imr1PTtZ8IadYw2NjruhwW0CBIo11CLCqOwy1eP/ALXGraTqHgjR49P1WwvJF1IsyW9ykhA8puSFJwKrGzToy1DCxaqx0Pq2T4F/CXWpG1jVPA+nXN9ek3FzMzSAySP8zMcNjJJJpP8Ahnj4Lf8ARP8ATP8AvuX/AOKr0jSP+QXa/wDXJf5Var5k90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lm/Z9+DK31vGPh/pe11fPzy9sf7dWP+GePgt/0T/TP++5f/iq9HuP+Qnaf7sn9Kt0AeW/8M8fBb/on+mf99y//FUf8M8fBb/on+mf99y//FV6lRQB5b/wzx8Fv+if6Z/33L/8VR/wzx8Fv+if6Z/33L/8VXqVFAHlv/DPHwW/6J/pn/fcv/xVH/DPHwW/6J/pn/fcv/xVepUUAeW/8M8fBb/on+mf99y//FUf8M8fBb/on+mf99y//FV6lRQB5b/wzx8Fv+if6Z/33L/8VR/wzx8Fv+if6Z/33L/8VXqVFAHlv/DPHwW/6J/pn/fcv/xVH/DPHwW/6J/pn/fcv/xVepUUAeW/8M8fBb/on+mf99y//FUf8M8fBb/on+mf99y//FV6lRQB5b/wzx8Fv+if6Z/33L/8VR/wzx8Fv+if6Z/33L/8VXqVFAHlv/DPHwW/6J/pn/fcv/xVH/DPHwW/6J/pn/fcv/xVepUUAeW/8M8fBb/on+mf99y//FUf8M8fBb/on+mf99y//FV6lRQB5b/wzx8Fv+if6Z/33L/8VR/wzx8Fv+if6Z/33L/8VXqVFAHlv/DPHwW/6J/pn/fcv/xVH/DPHwW/6J/pn/fcv/xVepUUAeW/8M8fBb/on+mf99y//FUf8M8fBb/on+mf99y//FV6lRQB5b/wzx8Fv+if6Z/33L/8VR/wzx8Fv+if6Z/33L/8VXqVFAHlv/DPHwW/6J/pn/fcv/xVV7H9nz4MyRyFvh/peVldR88vQMcfx161VXTP9VN/13k/9CNAHm//AAzx8Fv+if6Z/wB9y/8AxVH/AAzx8Fv+if6Z/wB9y/8AxVepUUAeW/8ADPHwW/6J/pn/AH3L/wDFUf8ADPHwW/6J/pn/AH3L/wDFV6lRQB5b/wAM8fBb/on+mf8Afcv/AMVR/wAM8fBb/on+mf8Afcv/AMVXqVFAHlv/AAzx8Fv+if6Z/wB9y/8AxVH/AAzx8Fv+if6Z/wB9y/8AxVepUUAeW/8ADPHwW/6J/pn/AH3L/wDFUf8ADPHwW/6J/pn/AH3L/wDFV6lRQB5b/wAM8fBb/on+mf8Afcv/AMVR/wAM8fBb/on+mf8Afcv/AMVXqVFAHlv/AAzx8Fv+if6Z/wB9y/8AxVH/AAzx8Fv+if6Z/wB9y/8AxVepUUAeW/8ADPHwW/6J/pn/AH3L/wDFUf8ADPHwW/6J/pn/AH3L/wDFV6lRQB5b/wAM8fBb/on+mf8Afcv/AMVR/wAM8fBb/on+mf8Afcv/AMVXqVFAHlv/AAzx8Fv+if6Z/wB9y/8AxVH/AAzx8Fv+if6Z/wB9y/8AxVepUUAeW/8ADPHwW/6J/pn/AH3L/wDFUf8ADPHwW/6J/pn/AH3L/wDFV6lRQB5b/wAM8fBb/on+mf8Afcv/AMVR/wAM8fBb/on+mf8Afcv/AMVXqVFAHlv/AAzx8Fv+if6Z/wB9y/8AxVH/AAzx8Fv+if6Z/wB9y/8AxVepUUAeW/8ADPHwW/6J/pn/AH3L/wDFUf8ADPHwW/6J/pn/AH3L/wDFV6lRQB5b/wAM8fBb/on+mf8Afcv/AMVR/wAM8fBb/on+mf8Afcv/AMVXqVFAHlv/AAzx8Fv+if6Z/wB9y/8AxVH/AAzx8Fv+if6Z/wB9y/8AxVepUUAeW/8ADPHwW/6J/pn/AH3L/wDFUf8ADPHwW/6J/pn/AH3L/wDFV6lRQB5b/wAM8fBb/on+mf8Afcv/AMVXz1+3R8MPAPgX4e6HqHhLwzZ6TdXGreTLLCzksnlOdvJPGQD+Ffa9fLP/AAUj/wCSXeG/+w3/AO0JKAPpzSP+QXa/9cl/lVqvjvxj+2FqfhLxZq3hePwJZ3SaTeS2SznUWUyiNioYjyzjOM4zWV/w3Fq3/RO7L/waN/8AG6APtmivib/huLVv+id2X/g0b/43R/w3Fq3/AETuy/8ABo3/AMboA+2aK+Jv+G4tW/6J3Zf+DRv/AI3R/wANxat/0Tuy/wDBo3/xugD7Zor4m/4bi1b/AKJ3Zf8Ag0b/AON0f8Nxat/0Tuy/8Gjf/G6APtmivib/AIbi1b/ondl/4NG/+N0f8Nxat/0Tuy/8Gjf/ABugD7Zor4m/4bi1b/ondl/4NG/+N0f8Nxat/wBE7sv/AAaN/wDG6APtmivib/huLVv+id2X/g0b/wCN0f8ADcWrf9E7sv8AwaN/8boA+2aK+Jv+G4tW/wCid2X/AING/wDjdH/DcWrf9E7sv/Bo3/xugD7Zor4m/wCG4tW/6J3Zf+DRv/jdH/DcWrf9E7sv/Bo3/wAboA+2aK+Jv+G4tW/6J3Zf+DRv/jdH/DcWrf8ARO7L/wAGjf8AxugD7Zor4m/4bi1b/ondl/4NG/8AjdH/AA3Fq3/RO7L/AMGjf/G6APtmivib/huLVv8Aondl/wCDRv8A43R/w3Fq3/RO7L/waN/8boA+2aK+Jv8AhuLVv+id2X/g0b/43R/w3Fq3/RO7L/waN/8AG6APtmivib/huLVv+id2X/g0b/43R/w3Fq3/AETuy/8ABo3/AMboA+2aK+Jv+G4tW/6J3Zf+DRv/AI3R/wANxat/0Tuy/wDBo3/xugD7Zor4m/4bi1b/AKJ3Zf8Ag0b/AON0f8Nxat/0Tuy/8Gjf/G6APtmivib/AIbi1b/ondl/4NG/+N0f8Nxat/0Tuy/8Gjf/ABugD7Zor4m/4bi1b/ondl/4NG/+N0f8Nxat/wBE7sv/AAaN/wDG6APtmivib/huLVv+id2X/g0b/wCN0f8ADcWrf9E7sv8AwaN/8boA+2aK+Jv+G4tW/wCid2X/AING/wDjdH/DcWrf9E7sv/Bo3/xugD7Zor4m/wCG4tW/6J3Zf+DRv/jdH/DcWrf9E7sv/Bo3/wAboA+2aK+Jv+G4tW/6J3Zf+DRv/jdH/DcWrf8ARO7L/wAGjf8AxugD7Zor4m/4bi1b/ondl/4NG/8AjdH/AA3Fq3/RO7L/AMGjf/G6APtmivib/huLVv8Aondl/wCDRv8A43R/w3Fq3/RO7L/waN/8boA+2aK+Jv8AhuLVv+id2X/g0b/43R/w3Fq3/RO7L/waN/8AG6APtmivib/huLVv+id2X/g0b/43R/w3Fq3/AETuy/8ABo3/AMboA+zrj/kJ2n+7J/SrdfET/tu6o1xFN/wruyzGGAH9qP3x/wBM/apP+G4tW/6J3Zf+DRv/AI3QB9s0V8Tf8Nxat/0Tuy/8Gjf/ABuj/huLVv8Aondl/wCDRv8A43QB9s0V8Tf8Nxat/wBE7sv/AAaN/wDG6P8AhuLVv+id2X/g0b/43QB9s0V8Tf8ADcWrf9E7sv8AwaN/8bo/4bi1b/ondl/4NG/+N0AfbNFfE3/DcWrf9E7sv/Bo3/xuj/huLVv+id2X/g0b/wCN0AfbNFfE3/DcWrf9E7sv/Bo3/wAbo/4bi1b/AKJ3Zf8Ag0b/AON0AfbNFfE3/DcWrf8ARO7L/wAGjf8Axuj/AIbi1b/ondl/4NG/+N0AfbNFfE3/AA3Fq3/RO7L/AMGjf/G6P+G4tW/6J3Zf+DRv/jdAH2zRXxN/w3Fq3/RO7L/waN/8bo/4bi1b/ondl/4NG/8AjdAH2zRXxN/w3Fq3/RO7L/waN/8AG6P+G4tW/wCid2X/AING/wDjdAH2zRXxN/w3Fq3/AETuy/8ABo3/AMbo/wCG4tW/6J3Zf+DRv/jdAH2zRXxN/wANxat/0Tuy/wDBo3/xuj/huLVv+id2X/g0b/43QB9s0V8Tf8Nxat/0Tuy/8Gjf/G6P+G4tW/6J3Zf+DRv/AI3QB9s0V8Tf8Nxat/0Tuy/8Gjf/ABuj/huLVv8Aondl/wCDRv8A43QB9s0V8Tf8Nxat/wBE7sv/AAaN/wDG6P8AhuLVv+id2X/g0b/43QB9s1V0z/VTf9d5P/QjXxh/w3Fq3/RO7L/waN/8bqO3/bd1SFWUfDuyO52f/kKP3Of+edAH27RXxN/w3Fq3/RO7L/waN/8AG6P+G4tW/wCid2X/AING/wDjdAH2zRXxN/w3Fq3/AETuy/8ABo3/AMbo/wCG4tW/6J3Zf+DRv/jdAH2zRXxN/wANxat/0Tuy/wDBo3/xuj/huLVv+id2X/g0b/43QB9s0V8Tf8Nxat/0Tuy/8Gjf/G6P+G4tW/6J3Zf+DRv/AI3QB9s0V8Tf8Nxat/0Tuy/8Gjf/ABuj/huLVv8Aondl/wCDRv8A43QB9s0V8Tf8Nxat/wBE7sv/AAaN/wDG6P8AhuLVv+id2X/g0b/43QB9s0V8Tf8ADcWrf9E7sv8AwaN/8bo/4bi1b/ondl/4NG/+N0AfbNFfE3/DcWrf9E7sv/Bo3/xuj/huLVv+id2X/g0b/wCN0AfbNFfE3/DcWrf9E7sv/Bo3/wAbo/4bi1b/AKJ3Zf8Ag0b/AON0AfbNFfE3/DcWrf8ARO7L/wAGjf8Axuj/AIbi1b/ondl/4NG/+N0AfbNFfE3/AA3Fq3/RO7L/AMGjf/G6P+G4tW/6J3Zf+DRv/jdAH2zRXxN/w3Fq3/RO7L/waN/8bo/4bi1b/ondl/4NG/8AjdAH2zRXxN/w3Fq3/RO7L/waN/8AG6P+G4tW/wCid2X/AING/wDjdAH2zRXxN/w3Fq3/AETuy/8ABo3/AMbo/wCG4tW/6J3Zf+DRv/jdAH2zRXxN/wANxat/0Tuy/wDBo3/xuj/huLVv+id2X/g0b/43QB9s0V8Tf8Nxat/0Tuy/8Gjf/G6P+G4tW/6J3Zf+DRv/AI3QB9s0V8Tf8Nxat/0Tuy/8Gjf/ABuj/huLVv8Aondl/wCDRv8A43QB9s18s/8ABSP/AJJd4b/7Df8A7QkrjP8AhuLVv+id2X/g0b/43XmX7RH7Q158YfDGnaHc+FrfSBZXv2oSx3hlLnYybcFRj72c+1AH/9k=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676775" y="600075"/>
          <a:ext cx="3048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38100</xdr:colOff>
      <xdr:row>3</xdr:row>
      <xdr:rowOff>160020</xdr:rowOff>
    </xdr:from>
    <xdr:to>
      <xdr:col>4</xdr:col>
      <xdr:colOff>342900</xdr:colOff>
      <xdr:row>5</xdr:row>
      <xdr:rowOff>62865</xdr:rowOff>
    </xdr:to>
    <xdr:sp macro="" textlink="">
      <xdr:nvSpPr>
        <xdr:cNvPr id="6" name="AutoShape 2" descr="data:image/jpg;base64,%20/9j/4AAQSkZJRgABAQEAYABgAAD/2wBDAAUDBAQEAwUEBAQFBQUGBwwIBwcHBw8LCwkMEQ8SEhEPERETFhwXExQaFRERGCEYGh0dHx8fExciJCIeJBweHx7/2wBDAQUFBQcGBw4ICA4eFBEUHh4eHh4eHh4eHh4eHh4eHh4eHh4eHh4eHh4eHh4eHh4eHh4eHh4eHh4eHh4eHh4eHh7/wAARCAF1A7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NUDaOB0pcD0FIn3R9KWgAwPQUYHoKKKADA9BRgegoooAMD0FGB6CivLPj78Q/EXgafw1aeG7LSbm51m7a2J1BZCiEbcH5GB7+9HVLvoPo321PU8D0FGB6CvK7m+/aBsUM7aD4A1RUzm2s7m5ilf2VpDtz9a0fhX8VNO8aaheeH77Tbnw/wCJ7DP2vSro5YAdWRsDcPwH5c00r6IT0V2eh4HoKMD0FeZ+I/iHq2m/HjQfAENnYvp2pWf2iWd1fzlbcwwpDbcfL3Br0t2VEZ3YKigsxPYDqaX2ebpr+AP4uXr/AJi4HoKMD0FfO2n/ALQuryfECFLzQrKHwNdapJptvqoVzIzpgFs7tpGSD93ofY19FfkfpTSvFS6MHpJx7CYHoKMD0FfOvxH+PXi7wx8TNa0Wy8N6Xe6FoskH2yY+Z56xuoJbIbA5J/hPb1r6A0fUbPV9JtNU0+YTWl3Cs0LjurDIpR96Cmtgl7suV7lrA9BRgegrg/jZ4/bwF4ahnsLOPUNb1CcW2m2Tk4lkPUkDnaB15HUVjfs6/EjxB8Q7DXP+Ei03T7C80u9+zFLMOFJxznczcgg9DRH3r26f8D/NBL3bX6/1+h6rgegowPQV5X43+Lk1r4ybwN4E8OS+KfEka7rhRL5VvaD1kfHuOOOvWq1xrX7QljB9tm8H+CtRjUbns7K8lW4x6BmYqT9AaSel+g2rO3U9dwPQUYHoK4H4P/FHSviJbXsEdlc6TrOnP5d/p1zy8R5GQeNwyCOgIxyOlcN8bvjV4p8C/EZPD+jeHLHVLCHT0vrwuJPOEZcqxUhgBjjqD1py91pPqJap26Hu+B6CjA9BWR4L8SaX4u8M2XiDR7hZrS7jDDB5Rv4kPuDxXF+A/iHq3iD4xeLvBl1Z2MVjoiobeWJX8184++SxHfsBT5Xz8nXX8BXXLz9NPxPS8D0FGB6CvHPHfxE8eQfGmD4d+D7Dw07S6eLsTaqJ+uTkZjb2HarGqeIvjp4et31DUvBvhTxBZxDdLFot3NHOqjqQJc7voBUpq3N0Ks+bl6/0z1vA9BRgegrk/hf8QNA+IegNqmiSSI8L+Xd2k42zW0n91h+Bwe+DXWjrVNNOzJTT2EwPQUYHoK8Nh+I/xT8QfE/xP4S8IaV4QMOhy7fM1H7QrupwByj4J/AV23g2b4wSa7Gvi+y8FxaTtbzG017gz7sfLjeSMZxmlH3kpdHqOXutrsd5gegowPQV4D8avjV4x8GfEW58O+H/AA7pWpWdlYJfXJn8zzjHn58FWAGB7HHWvaPBviCw8U+F9P8AEGmyB7a9hWRcHO091PuDRH3o8y/r+rMJe7Llf9bf5o1sD0FGB6CuQ+L3je38AeCbrXZIVubskQ2Nrk5uJ2OFXjk+px2BrjP2fvih4q8da94h0XxVo+mabdaTtytmH4JOCG3M2fwxRH3m0ugS91JvqexYHoKMD0FLXmmtXHx1XV7tdH0/wA+nCVvsrXMl0JTH234bGfpSvqB6VgegowPQV89fET4m/GrwRc6VZ6lo/gO8vtVnENnaWX2qSWQk4zguOM8Zr0rxfP8AF1b6D/hErHwbJZmBTN/aUlwJBLj5gNhA256d6fS/nYOtvmd3gegowPQV89WfxM+NV18Tbr4ex6P4DGrWsHnyOTdeSV254bfnPPpXqXgm4+Jm6+k8c2vhaGBId1t/ZLTFi/ff5hIxj0pXXLzdLXDry9djs8D0FGB6CvN/2e/H+rfEXwfdazrFnY2s8N40CpaK4UqO53Mxz+NaHx08Y6h4C+Gt/wCJ9LtrS5uraSJVjuVYxkM4BztIPT3pz9zfy/H/AIccFzuy9PuO4wPQUYHoKx/A+rTa94N0fW7iOOKa/soriRI87VZlBIGecc1sVUouMnF9CIyUkpIMD0FGB6CvMvjr8RtX8Fro2k+FdLttX8SavOUtrSYMV2DqxCsp65HWtD4F/EFfiN4HTV54YrXU4JWt9QtYwQsUg9ASTgjB5J61MfeTa6FS921+p3uB6CjA9BXA/HzxxqXw9+Hk3iLSbO1u7tbiKFI7kMY/mOMkKQf1rM+BHxVfx7FfaTr1hDo/ifTnIubJCQrp/fQMSce2T69KI+82l0CXupN9T1HA9BRgegrzP42/EPVvA2p+FLXTLOxuF1m/NtOblXJRfl5Xaw5575q78f8AxxqXw88ASa/o9laXl59qjgSO6DFPmJ5IUg/rScko83S9vnp/mNK8uXra/wCf+R3+B6CjA9BXmHwJ+KjePre+0vXLGLSPE+myFbuxUkBl7OgbJx7ZP5U/40/EPVvBGt+ErDTbOxuE1q+a3uGuFclFG3ldrDn5u+atxalGPe1vmSpJpy7Xv8j0zA9BRgegrz79oDxzqfw88DrrukWtndXBvorfZdKxTa2cn5WU549ayfjN8SPEngXwx4c8T2Ol6dd6ZdvGuqear7od6qQUIYAfxdc9KhNP70vmymne3k39x6vgegowPQVBpt7bajp1tqFnIJba5iWaJx/EjDIP5GvNfix8SNY8P+OvDHgnwrY2F9rGrybpxdK7LBBnAbCsOTh+vpVWfMo9W7EppxculrnqOB6CjA9BXlPx3+InibwXrHhfSPDNno9zc65cSQF9QWTYhXbgjYwIHzH1qZpP2ggSPsvwyyP9u9/xpLVXXp9w3o7fM9QwPQUYHoK4z4leJta8HfCfUPEz2+nz6vY2qSSRAObcyEgNjkNt5OOc1xnhjxF8efEPhex8Q6fpnw7e3vIBPFCz3aSkH+HltoP44o6vyDovP+v1PZsD0FGB6CvNvg18Uv8AhOr7VtB1TRJNE8Q6O4S8tTKJEOSRuRuOMjp7jk1neIPif4j1L4jXvgH4c6BYahqOnRh7+/1Odo7aAnHy7U+ZjyOh/Dijqkuuq9O4d79Nz1rA9BRgegrz3wxrXxXh8TWumeL/AAnoc2n3OQdT0a6fZAQM/PHJlsHpnivQJpY4IZJ5nEcUal5HPRVAyT+VD0VwWrsOwPQUYHoK+d/DP7QWs33xBsbfVdBsrPwZql/NY6fqQV/Md0wASdxUglh/CPvD0NfRPfFOz5VLuD0k49hMD0FGB6CvEI/iJ8T9f+Knifwd4R0/wesWiMv7zUxcBnU47o2M5PoKk1P4q+OPAniPStN+J3hnSBYarOIbfU9EuHMaOSBhkkye/qOM4zilF8yi++wS91tdtz2vA9BRgegrzT44+O/Evw/tdK8RafpdjqXhszrHqrMj/aIEYjbIhDBcdeo64Heu1PiXRF8Jf8JWb+L+x/sv2v7QDkeXjP59sevFK65XLotx2d0u+xrYHoKMD0FebfAzxx4m+INlqfiDUdJstO0E3Bj0nYr+fMo6s5LEEdOgHX2r0mqaa3JTTvYMD0FGB6CkkbbGzegJrzb9n/4g6t8Q9D1a/wBXs7G1ksr9raMWquAVGeTuY88Ulq2l0V/xsN6JPvp+v6HpWB6CjA9BXzprP7QuuaF8U9T0jVfD1kfCmnakLC4v4RJ50O7O12O4qehJG0dPWvoSG6guLBL20lSeCSPzIpFOVdSMgg0k17NVOg2rT5OpPgegowPQV5t+z98QNW+InhzUtT1azsbWW1vmtkW1VwpUZ5O5jzWf4u+Ll6/jKbwR8OfDn/CUa9bg/a5Xm8q0tMdd798HjqPrTas0ur1/C4ujfbT8bHrOB6CjA9BXkj+IPjzpMYvdU8D+FtatVG6W30i+kjuFHfHmEhj7Ac13HiXxno/hnwQfFniHz9OtFhWR4ZU/fBm6R7f7+eMUNpK4JNtI6PA9BRgegrxrRfHPxk8ZWqat4T8CaFpGjzDdbza9dyGWZezBIyCAfxHuar33xe8YeBdTs7b4seDLbT9Ou5PLTWNJuDLbq3+0hyR69c47GnZ3s9GHS61PbcD0FGB6Cuf8eeIW0H4f6v4n09IbtrOwkuoAxPlyYUkZxzg+1eUfAv43654u8UQ6B4y0fTtLl1G0+1aVNabwk46lTuZucZ79eMURXNJx6r/g/wCTBu0VLp/w3+aPd8D0FGB6Civnv41fHvX/AAv4k1DT/B+iaZqVho5jj1O8u97KkznAjXay8joevNS5JNIai2mz6EwPQUYHoK5HxZ4qvNJ+Et54xtraBruHS/tqQyZMe7ZuwcEHH41wfgfxR8dPF3hSw8SabY/DqK0vo/MjSc3gcD3AYj9appqTj2/r9CU04qXf/gf5ntWB6CjA9BXOeBW8ctaXB8cR+HUufMH2caOZimzHO7zOc5z0rfupo7a2luJmCRRIXdj2AGTSlaOrGtSTA9BRgegrxbwx8SviP8Rlu9S+HXhvw9a6FbztBHea5cS7rkjuqRYK/jn612PhLWviPfWWr2XiHwnpul6taxBrK5juzJZXbHp0+dcdxyaNlf5h1t8juMD0FGB6CvEPGviz48eEfCt94j1TSfh69pYx+ZKsL3TOR7AuKf4N8U/HnxV4ZsPEGnaV8PEtL6MSxCZ7oOFz3AY80LW/kD0se2YHoKMD0FV7FrldNhk1PyEuVhVrnyc+WrhcvtzztznGe1fP1h+0Lq8nxAhS80Kyh8C3OqSabb6qFcyM6YBbO7aRyD93ofY00rz5FuH2OfofROB6CjA9BVTWTqK6VdNo62smoCM/ZhcsRCX7bivOPpXjPjnxh8d/B3hS98SatpPw9e0s0DSrA10zkE44BcevrUOSW40m9j3HA9BRgegrxbwj4m+PXibw5p+vWGlfDxLS+iEsYle6DhSe4DHmrvxo+InjDwbfeENI0ax0KfU9ddoZ2vBKYY5AEzt2sDtyx65OMVbi01Hre3zJTTV+lr/I9cwPQUYHoK8vaT9oIEj7L8Msj/bvf8a3fiV4o1jwb8KNQ8TSW1hcatY2qPJEN/2cyEqGxyG28nHOamTUY8zKinKSijs8D0FGB6CvFfgL8Y9Y8Z+ILjw54w0mw0nVGtUvbD7KWCXMLdeGZuRx0PrxxXtY61couJKknsJgegowPQV85/E79oLxBovjC5s/Cuh6XfaDY30On3N/c+YS9w+SVTayjgKexwRzXrHxZ8X33hH4V6h4u0+2tpru3t4pUinDGMlyoIO0g/xetRzLk5+hfK+f2fU7TA9BRgegrx7wzrnx48QeHrDXLOz+G6W17CJolkN4GCn1AJ5r0PwS3jA6TI3jWPQk1ASHYNIMvleXjjPmc7s59qqS5b36ERalZrqb2B6CjA9BXzh4J/aL1a58dDTfF2h2Gn+H7m/lsLbUrfzB5cqHgSFmIOcjoB1z0zXvXi7VJNH8J6rrNsscslnZS3MSvko5VCwzjscdqmT5Yc72KSvPk6mrgegowPQV5b4E8Z+PPHHwesvE+g2Hh1NeuJ2VobszJahFPJGGLZ/GuO+JnxK+Nfw/tNOudb0fwHImoXa2kItjdMQ5BIJy4wOKck4y5X/VyU01zI+g8D0FGB6CvM9CuvjrNqFk2q6f8P0053RrhreS680RnBO3LY3Y6Z4r0002guJgegowPQUUUhhgegowPQUUUAGB6CvAv23dZ1jQ/h7oVxouq32mTSasUeSzuHhZl8pjglSCRntXvtfOn7fP/JNfD/8A2GD/AOiXoA+ik+6PpS0ifdH0paACiiigAooooAK8C/ay/wCRk+G//YYb/wBkr32vKP2g/h/4n8bT+GLzwvLpa3GjXjXLLfyuit93AG1T6e1CdqkJdmmDV4Tj3T/I9Zf75+tfOPjlwP20PCo0kJ9p+xIL/Z1K5bO7/gO38MV29yv7Ql4BEsvgHSwx+aeIzzsB7KygZq78KfhVb+D9YvvFGs6xceIvFOoE/adRnG0Kp/hRf4R/TAGAKcFacZPp/lb9Qm7wlFdf87nFeOv+TxvBv/YL/wDZ5K3v2rfHKeEvhy2m29yINR1xzawvnHlR8eZJxzwCPzq/4l+H+ual8f8Aw/48t5rEaVp1l5EyPKwmLbmPyrtwR8w7imS/D3XtY+PieOfEVxYSaJpduI9HtY5GaRXxku4KgA7i3c9vSoUeanGm+8r+l2/x2KcuWpKa7K3rZL8DyzxL4g+Cd18BIfANj4uslvbG3Wa1mFtMM3YGWfOz+Ji35j0r1b9mPx1/wnHwusZrmdZNT07/AEO8GeSV+62PddvPrmvUAFznaPyryjwn8OvEHhX45a14o0ebTh4X1yMNd2pkZZkmA+8q7cHnceo+97VrGV5yv9rX5r/NafcZuNoRt9n8nv8A5/ecV4V0mz179p34m6LqEYktb3TY4ZVIzwY05/A81qfs2a7c+GNW1/4R+JbnZc6DK8+nySt9+0PzdfYHd/wLHaup8HfD/WtI+O3irx1dT2R03VYI47aOORjKCqqDuBUAdOxNYv7Q3wi1rxxrGmeIPB+pW+l6zDE1pdyyzNGJLc84BUHkZb6g1lBuEIW/ls/vbX3P8GzSaUpz9br7kn9/5pGd8Pt3xV+MmqfEKfL+HvDe6w0RCflkmAJeYdu457gj0qt+x1u3/EDbnd/bcmPrlq9i+HvhWx8G+CdO8M6eoEVrBsZ/78h5dj9WJ/CuO+AHw81vwC/idtYuLGX+1dTa6t/s0jNhCTjdlRg89OavlUW4J6ctr93dNv56shtySk1re/orNJHEfsf+TL4m+I1xckvqv9q7ZmflvL3ybf1z+VfRVeQeKPhLrVj46uvHfwz8Rx6Hq94uL2yu4vMtLo+pA5X8j7dTUk9t+0NfQpZtqHgXSQwKy3tsJppAPVUZQAfxpJ3jFdUkvuG1aUnfRtv7zjvBYi/4bX8T/wBl7jB/Zp+2bPuB/wB317en61p6vDFcftmWsE8ayxSeGmR0YZDKXIIIru/hB8MtO+H1te3Bvp9W1zU3EmoajPw0rc8Afwrkn8/pVG68B61L+0PbfEFZrL+yYtJ+xMhkbzvM3E527cY/GiKSdOL6J3+af4a2CTbU5d7W+Tj/AJXPPtLaf4B/FgaXcPK3gDxPPm1cnIsbnPQ+g5x7jH901e+DRVv2n/iUysGUpGQQcgj5ea9d+IvhHS/HHhC98N6sv7i5X5JAMtDIPuuvuD+mRXmH7PHwn8XeAPFuuat4l1ax1GO8gS3t5IZXaRlU8FgyjHAHGTRSfvrm6Jq/k1p81t6WFV1i+Xq1f1T3+f5+pS1L/k9nT/8AsBf1avflzuGOua8W8eeAfiC/xwt/iJ4PPh2VYdPFoIdSnkTnJycIh9R3q3qWk/HzX4ZNPute8IeG7SaMpJPp0cs84B67S4G04zz2pRb9nFW1V/zbKklzt9Hb8kcf+z9IrftI/EcaSEGkHlvL+55m9cY/8f8A1r6OHWuN+E/w70T4daA+m6U81zcXD+be3k5zJcSep9BycD3NdkOtXZRjGC+yrE3vKU+7ufMHgS88ZWn7Q/xIPg/Q9L1WZph56318bcIuRgggHJzXtvg/UfiTdasY/FfhfQtNsPLJE1nqhnff2G0qOOvNYHw3+H+ueHfi54z8WX81i9hrbA2qxSM0i4IPzgqAPwJr1Cpp6UoLyHPWpN+Z8+31tb3v7Z0tndRLLbz+HjHKjdGVkII/I0/4GXlx8O/ijrfwg1advsUzte6FI5+8h5KD6jnH+zXYf8K/1o/tFf8ACw/PshpI0z7KI/Mbzi+Mfd24x75qt+0R8MNU8e2mlan4WvoNO8SaXKfs9zLK0Y8pvvLuUEg9COO3vUxbhGDt0afzbt92j9LjkueUlfs18or89Uc7auvxf+PguEcTeEvBTgxlTlLq9zw3uAQSD/s471U/Zw/5Ll8UP+vs/wDoyvVvg74Jt/h/4FstBjZZbkZlvJxk+dM33myecelc38Jfh1rfhP4keNPEeo3FjJZ63cGS1WF2Lgbs/OCAB+BNaRShNRvolLXu3b8/yRE25wcrbuOnZK/9PzZ6nVfU72103TrjUL6ZYLW2iaWaRjgIijJJ/AVYrzf4/wDhLxf458KQeGfDV7YWNndTqdTmuJWVzCDnagCnPOD1GcYrOV7WjuaRtf3tjhPghZ3XxO+J+qfF/WYXXTrV2tNBgkXhVHG/6gd/U5r6DrL8J6Fp/hnw3YaDpcIhtLKFYo1HfA5J9SfWtStJWSUY7L+r/MzV23KW7/q3yPnvw5/yexrv/YLH/osV79ff8eNx/wBc2/lXmOkfDvXLX9onU/iFLPY/2Tc2QgjjWRjNu2gcrtwB+NeoXKNJbSxrjcyFRn3FZSV8PGPXlf5stfxpS6X/AER8sfsuaf8AE668C30ng/xB4b0+w/tBw0eoWckshfnkFeMVp/tJab8Wbf4RanL4o8SeFr3ShLD5sNlYyxysd424ZuOtemfs6eA9a+Hvgy70fXJrKW4mvXnU2sjOu0+pKjmtL48+D9T8d/DHUPDWjy2sV7cSRMjXLlY/lcE5IBP6VVfZcuvw/pcdF+/d93+bNH4Q/wDJKvC3/YKt/wD0WK6eWRIonkkYKiKWYk4AArI8CaVcaF4K0XRbto3uLGyit5WjJKllUAkZ7cVk/GLR/FHiD4f6jofhG4s7bUb5RC01zIyKkR4fBVSc46cVeJl78pR11Znh4+7FS02PBfA3xR8A6p8a9f8AiB4u1+Czjtl+w6FbyRSOViHBl+VSBuGT65NJ4D8feEPDv7SVyvhXXILrwx4rIMwVXRbe6Y9TvAxl+eOMGvob4ZeE7XwV4E0rwzbhG+xwBZXUcSSnl3/FsmsD4+/D6X4h+BTpenSW1vq1tOtxYzzEqqOOoJAJGRxnFLSlKNtVHT1T3/z9R/xFK+l9fRrb/L0Ob/bK/wCSLTf9hC3/APQqzPjJ4N1Wws9E+LPghTH4g0a0ia9hTpeW4UZBA+8QOCO4x6V0fxT8DeMfHHwVsvDNxPpS+IVe3e6kMz+Q7IfmYNtzz16V6dplu1vpVraTbWaOBY3xyCQuD+FSouPPyvXmTT+VvuHzc3JdaWd18z5n+NfjDS/Hen/CvxJpLYhudWPmRE5aGQbAyN7g5+vWu6/bN/5JB/3FLf8A9CNcr4q/Z51pfiZa6x4T1Sxg8OHUV1CewuJGUwS5G/ywFIIOOORjp2r0/wDaD8Fav4+8Bf2FoktpFdfbYp83UhRNqnJ5AJz+FKWtJWVvevbtrH/JjhpUd39m1/8AwL/NHD/Gfwfqulx6N8XPBKlNd0i1i/tCBOl5bhRnIH3iBwfUY9K5r40eLtL8cj4T+JNIb9xc6m++Mn5oZAUDI3uDn69a+l9PtzBplvazBWKQrG4HIOFwfwr528R/s861F8T7TWfCuqWMPhr+0RqEthcSMpglJG/y1CkEHAxyMcDtWyaVdfy8115a6/J7+vqZtXovvy29dNPmvy9Dpv20/wDkkcf/AGFrf+bV6Dqfh6z8V/CweHr5A0N7pccf+63ljaR6c4rF/aH8Eax8QPAi6HoctnFdC+iuCbqRkTauc8gE559K7rR7eSz0iytJSpkgt443KnIyqgHH5VjGKdOcZdWvyNJSanCS6L9Txf8AZa8Vy23hXWPA3iSQxap4Rlkjl8zjdbgkqwz1xhgPbb61X/Z3tZPG3xA8U/F3UY90dxcGw0YOPuQIACy59ePxDUfGv4N+LfEHjufxJ4F1XT9M/tWw+xaus8rIZFyASu1TklQo7dPevYfBHh6y8KeEtM8PafGqQWNusXyjG5v4m+pYk/jWkZOX7yXxWt8+r+aX4smUVH3I7Xv8ui+/8keIftbLfN41+G66ZJbxXpv5hA86lo1f93gsByR9K9Bg0344LdobrxN4EeESDzVTTrkMVzyAS3XFZvx7+H/inxhrfhTV/C76T52h3Ek7x38zxq5O3AG1Sf4T6Vea7+PRJP8AY3w8yf8Ap+uv/iKmm7Qt1u3+RU1eV/JfqSftN/8AJC/FH/Xsv/oa1554Ql+Oun/BXSb7wtL4QurSPTg9vD9ml+1rGMnOWbYzj0xg16n8TfDniDxl8IdR8On+zrfW761VHAlb7OsgYE4bG7HHpWt8M9EvPDfgHRdB1BoXurG1WGUxMWQsCehIBI/Ckou01fW6/JivrDTv+h5n+yfY+GbnQNT8WWN/fah4k1G4Ka1LeoqSxSrzsCLwq8kgjr+GBe8e/CHVpfHM3j/4d+KX8O+IZ1Auo5U8y2usAD5hzjIA4wRwDweam8HfDjxB4P8AjdrHiPQ59OHhPW0D3lk0jLLHN/eVQuDzk9R94+lWdR03436ZrNzJoev+F9b0yWVnih1WF4JYVPRN8YO4CqbvyyWmn3dGvT9AStzJ66/f5/L/AIYwdL+LXi7wn4t03wp8W/DtpZPqT+XZ6vpsha3lbgYKnJHJGcH+IcVL+1x42j8N+BYvDkN4trfeIJPs/nZP7mAEeY5xz3A98mj/AIVb4x8aeMdI8R/FLXNKeDR3MlnpWkxN5YckHLSNgn7ozx2Fa1l8Pte1D4+XPxB8TXFhLptlbeRoltDIzPET1dgVAB5boT19qTjzqMZed/RbL1ezGpcjco/L1/4G55X8QvEfwW1D4HW3g3RfFlomoaREk+nSLbzKftKcsc7P4st19R6V7H+zr44Xx38MNO1GWZX1G1H2W9XuJFHDY91x+Oa9EAAOdoz9K8o8AfDrxB4M+MfiHW9Mm07/AIRLWwJJLXzGE0Uw5BC7cEct3/i9qqMrzlzfa1+a/wA1p8kQ42jG3TT5P/Lf7zzfwhH42k/aS+I3/CFXWg29wGTz/wC1YZZFK8Y27CMHPrSTprXiX466R4a+OF2ls9qftOiWunRBLC6kHOWkJL546H0xxnB9Q+Hvw/1zw/8AGTxj4wvprFtP1oL9lSKRjKuMfeBUAdOxNP8A2gPhxfePdE0648P3NtZeI9Iu1ubG5nJVQM/MpYAkDoeh5UVFP3IUr9Er+X/BW5c/elUtpfb7l+ex6FrOl2GsaPdaPqVsk1ldQtDNERwUIxgemO3pgV8kJ4b8WSeM/wDhnWTVYh4dW9/tE3OT5jWg+byvxIHHYjNfW2hf2l/YtmNZEA1EQqLryGLRmQDBKkgEg9elebj4d65/w0efiIZ7EaR/Z32YR+Y3nl8Y+7txj8aailV126/LVfiS5N0tN9LeV9H+B6Vo+nWej6Va6Xp0CQWlrEsUMajAVRVqiim227sEklZDZv8AUv8A7p/lXg/7Fn/Io+JP+wy/9a95kBaNlHUgivMv2ePAOt/D/QdXsdcmsZZbzUGuYjayM4CHPXKjnmlT0lP0/VDnrGPr+jOE+FugaZ4o+Jfxi0HWIBPZXl2I5F7jJOGHowPIPqKtfBnXNU+Hniy7+DXjC4aRNry+H71z8s0WCfLz9Og7EY712nwu8B614Z+I3jfxDqEtk9prt0JrRYZGZ1UE/fBUAHnsTVv44/DiL4h+G4orW6Gn67p0ouNLvuQYpByASOdp/Q4Pas9VSiv7qTX9dV/wCnrOfrdf12ZwH7HRmX4beJjbjM41KXyx0y2Gx+tVv2HzBJ4d8UzykNqb6kPtLNy5GGxk9cZruP2bvAGvfDvwhe6Z4iurK4vLm8NxutZGdcY7kqOfwrJ1z4ReINC8a3njL4VeI7fRby+JN7pt7EXtJyTknjleeenHat5SUajfRxS9LW/4ZmduaP8A28363b/4dHs1fPX7bbf8SHwlHdO66Y+rr9qAPylcd/wrr2sfj7qqCzu9Z8G+H4mXEl3YRS3M31VXACn866jxt4C0zxp4A/4RLxJdXF4PKUfbsBZhKvSXjjOeo6HpWburS7NO3ezLi1rHumvQ6q0WNLSFIVVYljUIFHAGOMV5Z+1r9h/4URrn24qOYvIz18zeNuPxqnofh346+ErWLR9J8QeFvEml26bLeTVVlhnVR0BZAd2Pc1BffCvxt8QNQspvix4m0+TSrSXzV0bR42SKRs8b5GwT+WaKkPaaJ6f1+IUpezs2tv6+4ePtX/DHTfbBIJv+EWOd4+bHlcZrzqXwtfXv7Mfg/wAb+H90ev8AhhPtkLp1aJWy498cnHevon4h6BPrvw61rw3pYghmvLCS1txISsakqQMkA4H4VS+D/ha88J/DHSfC+rtbT3NrAY5zCS0bZ6gEgZH4VU5OUqko6NtNfK/9MmC5YwjLVap/OxyniT4y6Xb/AALg8d6e8b32oQiCztc5P2sjBTHfaevsK8r+K3gmXwV+ywsWos0ut6lqUF7qkznLNM7ZIJ74zj3xmuo8F/s+X2jfFRdRvtSt7jwdYXj3ul6eJnZklJyu5SMDBxzk5xXoX7Q/gfV/iF8O38P6JNZxXZuopgbp2RMKcnkAnP4VFSzjzRWsmtOyTTt9/wCSLhpLlb0V9e7s1f7vxbK3xG/5Nm1L/sXR/wCihXF/Aqx+L0vwm0CTQPEHg220w2/+jxXdjO8yrn+Iq2CfpXqPi7wvqGq/B+88IWstuL+bSvsaPIxEe/ZtyTgnGfauH8AaJ8cPB/g/TvDVnp3gK4gsYvLSWW+ud7D1OI8VpNp1aj7tW/EzgmqdNdr/AKHqvhSLxBDokMfii70671QFvNlsImjhIyduFYkjjGfetKaOOaF4ZVDRyKVZT3BHNc/4Il8byQXH/Ca2eg20oYfZ/wCyp5ZFK453b1GDn0rX1q3vLvSLu10++awu5YmWG5VAxhc9GweDipns9LlQ3PE7b4T/ABA+Hd/eXfwj8UWr6ZcSmZ9C1dS0Qb0V/wBM5U9Mk10nwp+LFx4j8VXngfxZoD+H/Fdim94A++KZQMlkPbgg454I5NQw237QthG9omoeBdXUALHeXCzQSfVkVSCfxqb4Y/C3UNG8cah8QfGOuRaz4nvk8vNvD5UFum0LtUdTwAM+gqob2k9LfPy8/vFLZtLX+r3Lv7S//JDPFH/Xp/WrH7O3/JE/C3/XiP5mtL4w+G7/AMXfDXWvDmlvbpeX0HlxNOxVAc9yASPyqX4U+H7zwr8O9E8PajJDJd2NsIpWhYlC2exIBI/Cphop+bX5Mc9XH0f6HD/tW+OU8JfDltNt7kQajrjG0hfOPKj48yTjngEfnXnHiTxB8E7n4CQ+AbHxdZre2Nus1rMLaYZuwMs+dn8TFvzHpXqc3w917WPj5H458RXFhJoml24j0e1jkZpFfGS7gqADuLHqe3pXqYC5ztH5VCjem77y/C23+ZTlaat0/G+/+R5f+zH46/4Tj4W2UtzOJNT07/Q7wZ5JUfI2PddvPrmpP2o/+SE+Jf8Argv/AKGKp+FPh14g8K/HLWvFOjTacPC+uRhru1MjLMk2PvKu3B53HqPvV1Hxo8Maj4y+GmseG9Kkt47y9jCxNcOVQEMDyQCe3pTxDdSHMlq9159QoJU58t9Ft6f1oV/gH/yRrwt/14L/ADNeX/tZrfv46+Gy6XJbxXpvphA9wpaNX/d4LAckfSvZfhjoV34Z+H+i6BfyQyXVjarFK0JJQsM9CQCRz6VxHx68AeKvF2veE9Z8LvpPnaHcSTPHfzPGrk7MAbVJ/hPpWtVp4hS6c1/kZUk1QcevLb52NSDTfjgt5G114m8CPCJB5qx6dchiueQCW64pn7T3/JCvFH/Xuv8A6MWmtd/Hokn+xvh5k/8AT9df/EVp/FDw34g8ZfCHUfDv/Eut9bvrZEcCVvs6yBgThtpbHHpWNVN07I2pNKomzxbxdoN9p/wc+H/xU8PKy6t4btYzcbODLasx3A+uCf8Ax416J8UfixZ2/wAHrHW/DkyTar4lRbXSoVb5hK/yucf7BJHsStdv4G8NNpXw103wnrPk3BhsPsl15ZJRgQQ2CQPX0ryP4T/APVPDPxIGsa7qlvfaDpTyyaFaLM7GJpD1ZSABgDsTk4PatqiU6k4P4W27/mvn0+ZjTvCnCdveSSt+T+XXyOS+N/guPwJ8DPB2jMTJfSa7Fc38x5Mlw6MWJ+nA/CvWP2kv+TcdY/68bb/0KOrP7RHw/wBa+IXh3SdP0W4soZrPU47qQ3TsqlAGBwQDzz0rX+LvhLUvFnwl1Dwnpktsl9cW0USPOxWPKMpOSAT/AAntWVRuVOfdyX3WRrSSjUh5L9WcN8LtP+M0nw60B9J8ReCYbA2SG3juLC4aRU7BiGwT9K9g8Px6xFoVvH4guLK41QRn7RLZxskLNz90NyBjHWvMPClj8c/DvhrT9DttL8ASw2MCwo8l9c7mA7nEdeg+DJPGEumzf8Jla6Jb3u8iIaXNJJGUx3LgHOa0rvm5+XzMqScYxT8jwP4GeC9L8ffC3xx4d1RQFm16doJgPmglH3XH49fUEir/AII8Zapb+BfGPwq8asy+I9D0q5FvLI2ftdsIyAQe5HH1B9jXoPwD8Ca14E0rXLXWpbKR7/VJLuI20jOAjdAcqMGqP7QXwnm+IFpa6r4fvYtM8TWKtHBcOSqyxONrRuQCQME4OD3Hesqq92y2cUn62Sv8uvkawfvXe6k2vvvb0f5jf2Rf+SF6R/11l/mK5n9tT/kA+Dv+w/F/6C1ej/Arwjqfgb4a2HhzWJraW9gd2ka3YsnzHsSAT+VY/wC0P8Pdb+IOm+H7XRZ7GFtP1RLuc3UjKCgBB24U5PPTitqzvUTXeP5oyppqm15P9T0yy/48rf8A64p/6CKlpluhjt4ozyURVP4DFPqZbsqOyCiiikMKKKKACvnT9vn/AJJr4f8A+wwf/RL19F186ft8/wDJNfD/AP2GD/6JegD07VfiFqlhqdzYxfC/x1fpbytGtza2cTRTAHG9CZASp6jgVW/4Wdq//RIfiJ/4Aw//AB2vS4v9Wv0FOry5Y+abVj044GLSdzzL/hZ2r/8ARIfiJ/4Aw/8Ax2j/AIWdq/8A0SH4if8AgDD/APHa9Nopf2hPsP6hHueZf8LO1f8A6JD8RP8AwBh/+O0f8LO1f/okPxE/8AYf/jtem0Uf2hPsH1CPc8y/4Wdq/wD0SH4if+AMP/x2j/hZ2r/9Eh+In/gDD/8AHa9Noo/tCfYPqEe55l/ws7V/+iQ/ET/wBh/+O0f8LO1f/okPxE/8AYf/AI7XptFH9oT7B9Qj3PMv+Fnav/0SH4if+AMP/wAdo/4Wdq//AESH4if+AMP/AMdr02ij+0J9g+oR7nmX/CztX/6JD8RP/AGH/wCO0f8ACztX/wCiQ/ET/wAAYf8A47XptFH9oT7B9Qj3PMv+Fnav/wBEh+In/gDD/wDHaP8AhZ2r/wDRIfiJ/wCAMP8A8dr02ij+0J9g+oR7nmX/AAs7V/8AokPxE/8AAGH/AOO0f8LO1f8A6JD8RP8AwBh/+O16bRR/aE+wfUI9zzL/AIWdq/8A0SH4if8AgDD/APHaP+Fnav8A9Eh+In/gDD/8dr02ij+0J9g+oR7nmX/CztX/AOiQ/ET/AMAYf/jtH/CztX/6JD8RP/AGH/47XptFH9oT7B9Qj3PMv+Fnav8A9Eh+In/gDD/8do/4Wdq//RIfiJ/4Aw//AB2vTaKP7Qn2D6hHueZf8LO1f/okPxE/8AYf/jtH/CztX/6JD8RP/AGH/wCO16bRR/aE+wfUI9zzL/hZ2r/9Eh+In/gDD/8AHaP+Fnav/wBEh+In/gDD/wDHa9Noo/tCfYPqEe55l/ws7V/+iQ/ET/wBh/8AjtH/AAs7V/8AokPxE/8AAGH/AOO16bRR/aE+wfUI9zzL/hZ2r/8ARIfiJ/4Aw/8Ax2j/AIWdq/8A0SH4if8AgDD/APHa9Noo/tCfYPqEe55l/wALO1f/AKJD8RP/AABh/wDjtH/CztX/AOiQ/ET/AMAYf/jtem0Uf2hPsH1CPc8y/wCFnav/ANEh+In/AIAw/wDx2j/hZ2r/APRIfiJ/4Aw//Ha9Noo/tCfYPqEe55l/ws7V/wDokPxE/wDAGH/47R/ws7V/+iQ/ET/wBh/+O16bRR/aE+wfUI9zzL/hZ2r/APRIfiJ/4Aw//HaP+Fnav/0SH4if+AMP/wAdr02ij+0J9g+oR7nmX/CztX/6JD8RP/AGH/47R/ws7V/+iQ/ET/wBh/8Ajtem0Uf2hPsH1CPc8y/4Wdq//RIfiJ/4Aw//AB2j/hZ2r/8ARIfiJ/4Aw/8Ax2vTaKP7Qn2D6hHueZf8LO1f/okPxE/8AYf/AI7R/wALO1f/AKJD8RP/AABh/wDjtem0Uf2hPsH1CPc8y/4Wdq//AESH4if+AMP/AMdo/wCFnav/ANEh+In/AIAw/wDx2vTaKP7Qn2D6hHueZf8ACztX/wCiQ/ET/wAAYf8A47R/ws7V/wDokPxE/wDAGH/47XptFH9oT7B9Qj3PMv8AhZ2r/wDRIfiJ/wCAMP8A8do/4Wdq/wD0SH4if+AMP/x2vTaKP7Qn2D6hHueQSfGsR+JIvDcnwz8eLq81sbqOzNnB5jQgkFwPN6ZBH4Vpf8LO1f8A6JD8RP8AwBh/+O1lav8A8ni6D/2J83/o+SvYqueOnG2m5EMFGV9djzL/AIWdq/8A0SH4if8AgDD/APHaP+Fnav8A9Eh+In/gDD/8dr02io/tCfYv6hHueZf8LO1f/okPxE/8AYf/AI7R/wALO1f/AKJD8RP/AABh/wDjtem0Uf2hPsH1CPc8y/4Wdq//AESH4if+AMP/AMdo/wCFnav/ANEh+In/AIAw/wDx2vTaKP7Qn2D6hHueZf8ACztX/wCiQ/ET/wAAYf8A47R/ws7V/wDokPxE/wDAGH/47XptFH9oT7B9Qj3PMv8AhZ2r/wDRIfiJ/wCAMP8A8do/4Wdq/wD0SH4if+AMP/x2vTaBS/tCfZB9Qj3PMv8AhZ2r/wDRIfiJ/wCAMP8A8do/4Wdq/wD0SH4if+AMP/x2m+H/AI0+H9Y+IK+E49N1CCOa4ntbPU5Nv2e6mhCl0Xvkbu/pWx8QfiVo/hHWLHw+lhqGt+IL9S1rpenoGlZR/ExJAUdeT6H0rR4yr7vu77EfVKXve9tuZP8Aws7V/wDokPxE/wDAGH/47R/ws7V/+iQ/ET/wBh/+O1ftvH3iCewumHwv8UpqNu8Y+wu8AMiNn50k3bDjGCM5GRWL4K+MV94s1m403TPht4h/0O7S1v5Wubfbasx6t82TjBPGelNYqs3pFff/AF3JeGpJayf3Fv8A4Wdq/wD0SH4if+AMP/x2j/hZ2r/9Eh+In/gDD/8AHa3fhz49sfG2oa/Z2Vhc2raLeC0laZlIkY55XHbjvR4A8fWHjHWvEel2lhc2r6DdrazPMylZCQTlcdBx3qfrtT+Xpf5O2v4ov6nT/m62+ev+TML/AIWdq/8A0SH4if8AgDD/APHaP+Fnav8A9Eh+In/gDD/8dpvhb40+H9f8er4Wh0zULeO4lnhsdSl2/Z7ySHG9UxzkA9/Sug1Lx7Y2PxT034fvYXL3moWr3KXIZfLVVBJBHXPFP63W093dX/X9GL6pS197Z2f32/NmD/ws7V/+iQ/ET/wBh/8AjtH/AAs7V/8AokPxE/8AAGH/AOO16bRUf2hPsX9Qj3PMv+Fnav8A9Eh+In/gDD/8do/4Wdq//RIfiJ/4Aw//AB2vTaKP7Qn2D6hHueZf8LO1f/okPxE/8AYf/jtH/CztX/6JD8RP/AGH/wCO16bRR/aE+wfUI9zzL/hZ2r/9Eh+In/gDD/8AHaP+Fnav/wBEh+In/gDD/wDHa9Noo/tCfYPqEe55l/ws7V/+iQ/ET/wBh/8AjtH/AAs7V/8AokPxE/8AAGH/AOO16bRR/aE+wfUI9zzL/hZ2r4/5JF8RP/AGH/47Wb4b+NQ8SaRHq2g/DPx5qNhIzKk8FnAyMVOGAPm9jxXrzfcb6H+VeP8A7G//ACQLSf8Ar7u//RzVax0nByt2IeCipqN+5qf8LO1f/okPxE/8AYf/AI7R/wALO1f/AKJD8RP/AABh/wDjtem0VH9oT7F/UI9zzL/hZ2r/APRIfiJ/4Aw//HaP+Fnav/0SH4if+AMP/wAdr02ij+0J9g+oR7nmX/CztX/6JD8RP/AGH/47R/ws7V/+iQ/ET/wBh/8Ajtem0Uf2hPsH1CPc8y/4Wdq//RIfiJ/4Aw//AB2j/hZ2r/8ARIfiJ/4Aw/8Ax2vTaKP7Qn2D6hHueZf8LO1f/okPxE/8AYf/AI7R/wALO1f/AKJD8RP/AABh/wDjtem0Uf2hPsH1CPc8y/4Wdq//AESH4if+AMP/AMdo/wCFnav/ANEh+In/AIAw/wDx2vTay/FutW/hvwxqOvXUUk0FhA07xx43MB2GaTzCa6Iay+LdrnDf8LO1f/okPxE/8AYf/jtH/CztX/6JD8RP/AGH/wCO1maR8dbO4/sG41bwXr2j6Zr0nl6ffSvFLHI3+6jFh+VdjaePbG5+K158PVsLlby0sheNcll8tlPYDrmtXiqydnHv+G/3GMcNRkrqXb8dF95g/wDCztX/AOiQ/ET/AMAYf/jtH/CztX/6JD8RP/AGH/47WzL8Q9Pj+Jl54EOnXRu7XS21Jrjcvlsgz8oHXPFcho/x0fVNCl8RW3w38US6FBI6TX0DQyhNpwx2BtxA+lJYyq1flX9O35op4Smnbmfb8L/ka3/CztX/AOiQ/ET/AMAYf/jtH/CztX/6JD8RP/AGH/47V7Vvi94MsfCOleJILq51GLWGKabaWkJe5uXHBUJ2IPBz0p/h/wAe65f6zY2GqfDPxRosF6+yO7m8qWOM4yPMCMSg46kdeKPrdbX3RfVaWnveZnf8LO1f/okPxE/8AYf/AI7R/wALO1f/AKJD8RP/AABh/wDjtVrX4w3mp+Ita0bw/wDDvX9abR7n7PdTW9zAqhj0OHYHnBqf4i/Fi+8D27X2qfDzXpNNXygb2O4g2b3A+TG7dkHI6dRQsXV091a7fPYf1Snr7z03+W47/hZ2r/8ARIfiJ/4Aw/8Ax2j/AIWdq/8A0SH4if8AgDD/APHaZq/xcuNE8D3XizXvAWuaZaxvAsEUtxAzXIlzgrtYgAYGc46itnwv441jVobm61LwBreh2UVk14lzdXEDrKAu4IAjEgkcjIxQ8XVSbcVp/lcSwtJtJSev/DGT/wALO1f/AKJD8RP/AABh/wDjtH/CztX/AOiQ/ET/AMAYf/jtZOk/HU6h4ebxNH8OPFB8Pxuyy6hC0MoQKcM2wNuIHfivUPC2vaX4m0Cz13RbkXNheR+ZDJjBI6YI7EHtRLF1oq7iEcLSk7KRwv8Aws7V/wDokPxE/wDAGH/47R/ws7V/+iQ/ET/wBh/+O16bRUf2hPsafUI9zzL/AIWdq/8A0SH4if8AgDD/APHaP+Fnav8A9Eh+In/gDD/8dr02ij+0J9g+oR7nmX/CztX/AOiQ/ET/AMAYf/jtH/CztX/6JD8RP/AGH/47XptFH9oT7B9Qj3PMv+Fnav8A9Eh+In/gDD/8do/4Wdq//RIfiJ/4Aw//AB2vTaKP7Qn2D6hHueZf8LO1f/okPxE/8AYf/jtH/CztX/6JD8RP/AGH/wCO16bRR/aE+wfUI9zzL/hZ2r/9Eh+In/gDD/8AHa8Q/bG8XX3iHwJo1rdeB/FHh9YtTMgn1W3jjjkPlMNqlXY7u/ToK+vK+cP2/f8Akmvh/wD7DB/9EvWlHGynNRaM62DjCDkmfRsX+rX6CnV55qnhr4qXGpXNxpnxTsbCxklZre1bwzFMYYyflQuZAWwOMkc1W/4RT4xf9Fh0/wD8JOH/AOO1xThHmfvL8f8AI7YTlyr3X+H+Z6ZRXmf/AAinxi/6LDp//hJw/wDx2j/hFPjF/wBFh0//AMJOH/47Uckf5l+P+RXPL+V/h/memUV5n/winxi/6LDp/wD4ScP/AMdo/wCEU+MX/RYdP/8ACTh/+O0ckf5l+P8AkHPL+V/h/memUV5n/wAIp8Yv+iw6f/4ScP8A8do/4RT4xf8ARYdP/wDCTh/+O0ckf5l+P+Qc8v5X+H+Z6ZRXmf8Awinxi/6LDp//AIScP/x2j/hFPjF/0WHT/wDwk4f/AI7RyR/mX4/5Bzy/lf4f5nplFeZ/8Ip8Yv8AosOn/wDhJw//AB2j/hFPjF/0WHT/APwk4f8A47RyR/mX4/5Bzy/lf4f5nplFeZ/8Ip8Yv+iw6f8A+EnD/wDHaP8AhFPjF/0WHT//AAk4f/jtHJH+Zfj/AJBzy/lf4f5nplFeZ/8ACKfGL/osOn/+EnD/APHaP+EU+MX/AEWHT/8Awk4f/jtHJH+Zfj/kHPL+V/h/memUV5n/AMIp8Yv+iw6f/wCEnD/8do/4RT4xf9Fh0/8A8JOH/wCO0ckf5l+P+Qc8v5X+H+Z6ZRXmf/CKfGL/AKLDp/8A4ScP/wAdo/4RT4xf9Fh0/wD8JOH/AOO0ckf5l+P+Qc8v5X+H+Z6ZRXmf/CKfGL/osOn/APhJw/8Ax2j/AIRT4xf9Fh0//wAJOH/47RyR/mX4/wCQc8v5X+H+Z6ZRXmf/AAinxi/6LDp//hJw/wDx2j/hFPjF/wBFh0//AMJOH/47RyR/mX4/5Bzy/lf4f5nplFeZ/wDCKfGL/osOn/8AhJw//HaP+EU+MX/RYdP/APCTh/8AjtHJH+Zfj/kHPL+V/h/memUV5n/winxi/wCiw6f/AOEnD/8AHaP+EU+MX/RYdP8A/CTh/wDjtHJH+Zfj/kHPL+V/h/memUV5n/winxi/6LDp/wD4ScP/AMdo/wCEU+MX/RYdP/8ACTh/+O0ckf5l+P8AkHPL+V/h/memUV5n/wAIp8Yv+iw6f/4ScP8A8do/4RT4xf8ARYdP/wDCTh/+O0ckf5l+P+Qc8v5X+H+Z6ZRXmf8Awinxi/6LDp//AIScP/x2j/hFPjF/0WHT/wDwk4f/AI7RyR/mX4/5Bzy/lf4f5nplFeZ/8Ip8Yv8AosOn/wDhJw//AB2j/hFPjF/0WHT/APwk4f8A47RyR/mX4/5Bzy/lf4f5nplFeZ/8Ip8Yv+iw6f8A+EnD/wDHaP8AhFPjF/0WHT//AAk4f/jtHJH+Zfj/AJBzy/lf4f5nplFeZ/8ACKfGL/osOn/+EnD/APHaP+EU+MX/AEWHT/8Awk4f/jtHJH+Zfj/kHPL+V/h/memUV5n/AMIp8Yv+iw6f/wCEnD/8do/4RT4xf9Fh0/8A8JOH/wCO0ckf5l+P+Qc8v5X+H+Z6ZRXmf/CKfGL/AKLDp/8A4ScP/wAdo/4RT4xf9Fh0/wD8JOH/AOO0ckf5l+P+Qc8v5X+H+Z6ZRXmf/CKfGL/osOn/APhJw/8Ax2j/AIRT4xf9Fh0//wAJOH/47RyR/mX4/wCQc8v5X+H+Z6ZRXmf/AAinxi/6LDp//hJw/wDx2j/hFPjF/wBFh0//AMJOH/47RyR/mX4/5Bzy/lf4f5nplFeZ/wDCKfGL/osOn/8AhJw//HaP+EU+MX/RYdP/APCTh/8AjtHJH+Zfj/kHPL+V/h/memUV5n/winxi/wCiw6f/AOEnD/8AHaP+EU+MX/RYdP8A/CTh/wDjtHJH+Zfj/kHPL+V/h/mZOr/8ni6D/wBifN/6Pkr2KvmfUtA+Iy/tN6PYyfEazfWm8MyyRakPD8QWOHzXBi8nfgknJ3ZzzjFemf8ACKfGL/osOn/+EnD/APHa1qQVo+8tvP8AyMqc5Xl7vXy/zPTKK8z/AOEU+MX/AEWHT/8Awk4f/jtH/CKfGL/osOn/APhJw/8Ax2suSP8AMvx/yNeeX8r/AA/zPTKK8z/4RT4xf9Fh0/8A8JOH/wCO0f8ACKfGL/osOn/+EnD/APHaOSP8y/H/ACDnl/K/w/zPTKK8z/4RT4xf9Fh0/wD8JOH/AOO0f8Ip8Yv+iw6f/wCEnD/8do5I/wAy/H/IOeX8r/D/ADPTKK8z/wCEU+MX/RYdP/8ACTh/+O0f8Ip8Yv8AosOn/wDhJw//AB2jkj/Mvx/yDnl/K/w/zPTK5f4qHxKfAWqQeELE3mtXEXkW6iVI9m/hnLMQOFJPXOcVzf8Awinxi/6LDp//AIScP/x2j/hFPjF/0WHT/wDwk4f/AI7R7OL3kvx/yBVJLaL/AA/zPM9c+C/xPs/h1o+n6V4g0S8utBuF1CxtobDybiS4Jy4adpMHO45JwDgV1HiXwv8AEGD4h+H/AIraJoNvqGpDSlsdW0Sa7jilB6kxyZKdeevHvnjpP+EU+MX/AEWHT/8Awk4f/jtH/CKfGL/osOn/APhJw/8Ax2uh1m3fmW7ez6qz6dUc6opK3K9rbro7rr0Z0vgTWPF+rz3M3iXwjH4at02C3ibUEuppDzuLGP5QOmOc9a5H4CeE/EHhjX/HF1rmn/ZYtT1VbizbzkfzYwG5+UnHUdcGrP8Awinxi/6LDp//AIScP/x2j/hFPjF/0WHT/wDwk4f/AI7WaaV7Naq3Xun+hpaTSum7O/Ts1+pzHhbRfiL8MvF3iqXSPBUfi7TdbvBeQTW+qQ2rwkZ+V1lx69qr6D4J+I3h74e+Nr+1sbZ/Fviy6DJaW1yoSyRsqWMjEAkKzHjPIGM11/8Awinxi/6LDp//AIScP/x2j/hFPjF/0WHT/wDwk4f/AI7TuuXlbWyXXZW0/BeYuV83Mk92+m7vr+L8jzXxB8GvihYeBNCtdF1/Q7678Nzpeafa29h9nnklz8waZpMHOTnOAcV0HjHSfiEvxh8L/EHTfAs+rC10hoby0XUraBo5mXBXczYOCc8ZHvXVf8Ip8Yv+iw6f/wCEnD/8do/4RT4xf9Fh0/8A8JOH/wCO1ftm3dyW7ez6qz6diPYpKyi+nVdGmuvdfidt4U1DVtU0aO81vQJNBvWYhrKS6juCgHQ70+U5rWrzP/hFPjF/0WHT/wDwk4f/AI7R/wAIp8Yv+iw6f/4ScP8A8drFxi3e6/H/ACN4yklazf3HplFeZ/8ACKfGL/osOn/+EnD/APHaP+EU+MX/AEWHT/8Awk4f/jtTyR/mX4/5D55fyv8AD/M9MorzP/hFPjF/0WHT/wDwk4f/AI7R/wAIp8Yv+iw6f/4ScP8A8do5I/zL8f8AIOeX8r/D/M9MorzP/hFPjF/0WHT/APwk4f8A47R/winxi/6LDp//AIScP/x2jkj/ADL8f8g55fyv8P8AM9MorzP/AIRT4xf9Fh0//wAJOH/47R/winxi/wCiw6f/AOEnD/8AHaOSP8y/H/IOeX8r/D/M9Lb7jfQ/yrx/9jf/AJIFpP8A193f/o5q1W8KfGHaf+Lwaf0P/Mpw/wDx2vM/2YtA+I1/8HdNufD3xGs9F09rm5CWcnh+K5ZCJTuPmM4JyecY4rWMF7N+8t138/IylOXtI+737eXmfTFFeZ/8Ip8Yv+iw6f8A+EnD/wDHaP8AhFPjF/0WHT//AAk4f/jtZckf5l+P+Rrzy/lf4f5nplFeZ/8ACKfGL/osOn/+EnD/APHaP+EU+MX/AEWHT/8Awk4f/jtHJH+Zfj/kHPL+V/h/memUV5n/AMIp8Yv+iw6f/wCEnD/8do/4RT4xf9Fh0/8A8JOH/wCO0ckf5l+P+Qc8v5X+H+Z6ZRXmf/CKfGL/AKLDp/8A4ScP/wAdo/4RT4xf9Fh0/wD8JOH/AOO0ckf5l+P+Qc8v5X+H+Z6ZRXmf/CKfGL/osOn/APhJw/8Ax2j/AIRT4xf9Fh0//wAJOH/47RyR/mX4/wCQc8v5X+H+Z6ZXN/FHS77XPh1r+kabEJb27snigQsF3MegyeB+Ncv/AMIp8Yv+iw6f/wCEnD/8do/4RT4xf9Fh0/8A8JOH/wCO0OnFq3Mvx/yHGpJNPl/L/M8U8P8Awg8YJpfh600j4a/8Ij4isZ45LvxI2vo/mKD8w8qN26jtjtXqPifwz438OfGpviJ4d0GHxVbXmmrZXNot4lpNGy/xgyfKQcVtf8Ip8Yv+iw6f/wCEnD/8do/4RT4xf9Fh0/8A8JOH/wCO10zrOcuZyXXv1Vn8vQ5YUFFcvK+nbo7r537mN4O8I+MtW+JuvfEbxPo9voL3Oktptjpa3a3EuCD8zuvydemD37Yrmfhjp/xe8I/Dq88F23w0Rri5muCmo3Os2wgRZT1aNSWOAe1d/wD8Ip8Yv+iw6f8A+EnD/wDHaP8AhFPjF/0WHT//AAk4f/jtRzKzjdWta2ve/ruy+R3vZ3ve+na3pscQnwX8UeGfDvgfUfDt5p+peIfC881xLbXBMcF0ZTllRv4cdASBn26VJoXh34oah8YtF8QyaR4l8OaNFcPNqtvfeKUvLeUEcLHFGflAOeCPT0rs/wDhFPjF/wBFh0//AMJOH/47R/winxi/6LDp/wD4ScP/AMdq1Wd7uSe/frv0JdG6tZ9Oq6Hk8fwz1q0+InijWdb+DD+LorzURcabcjXYLXylH+z5mTk46jtXqnx+8N+IPGHwfXSdE0ctqckttKbI3EYMQXll3sQp29M55qT/AIRT4xf9Fh0//wAJOH/47R/winxi/wCiw6f/AOEnD/8AHahyuoLmXu279LfLpqWotSlLlfvXvt1/4fQp/Hrwj4g8TfBCDw5oumm91NRa7rbzkjzsXDjczBf1rL+E/ha40S11XT7X4NyeEJLvSXilvzrcV0LiUJhU2ByVyWJzwBXQf8Ip8Yv+iw6f/wCEnD/8do/4RT4xf9Fh0/8A8JOH/wCO0ub3ZR5l73r1VhcmsZcr93Tp6nn/AMOtN+L/AIZ+Ftx4Ct/htGtxcG4Qand6zb+RGsvBJjQsxwDXr3we8ISeBfh5pnhqe7W7uLZGaaVBhS7HJ2j0GcVg/wDCKfGL/osOn/8AhJw//HaP+EU+MX/RYdP/APCTh/8AjtVOfPfVa2vv0CEHFrR6Xtt1PTKK8z/4RT4xf9Fh0/8A8JOH/wCO0f8ACKfGL/osOn/+EnD/APHaw5I/zL8f8jbnl/K/w/zPTKK8z/4RT4xf9Fh0/wD8JOH/AOO0f8Ip8Yv+iw6f/wCEnD/8do5I/wAy/H/IOeX8r/D/ADPTKK8z/wCEU+MX/RYdP/8ACTh/+O0f8Ip8Yv8AosOn/wDhJw//AB2jkj/Mvx/yDnl/K/w/zPTKK8z/AOEU+MX/AEWHT/8Awk4f/jtH/CKfGL/osOn/APhJw/8Ax2jkj/Mvx/yDnl/K/wAP8z0yivM/+EU+MX/RYdP/APCTh/8AjtH/AAinxi/6LDp//hJw/wDx2jkj/Mvx/wAg55fyv8P8z0yvnD9v3/kmvh//ALDB/wDRL16H/wAIp8Yv+iw6f/4ScP8A8drw/wDbH0Xx1pvgTRpvFXjq18Q2r6mVigi0WOzMb+U3zbldieMjHvW+GglVj7y/H/IwxMpOm/d/I+h/jRrep+HPhRretaPdfZb+1td8Mvlq+w+u1gQfxBrmtF8T6tN470XSPD/ibU/EMcymTWLfV9PjtTawY4ljxDC5JbjGHH0rsfHumaN4r8Iah4YvtagskvIvKkdJU3x/gT1qHxHo2h6xquhatH4hhsdQ0abfFPDPGTLGRh4nBPKsM5+tSnFSfMur/r7y5KTiuV9P8v6/M4y18U3t54+8X6ZqnjLxHplvpt/HDZQaZpEdwgjMSsdzfZZTncT1YfSuj1fXNa8N/ETw9bX2oSXnhvWYBZCSaFFeG9H3GJVV/wBZwMYwD0ApLXw9/ZviLXNY0Px/bWP9s3K3NxDJbwTBXVAg2ksDjArT8YaVovirwi+g6p4gt1lIRkvYZY0kimXlZVGcAg84qeaKUNOiv91n/nvuNqTc9ert991/VtjGu/EevX/ibxVNpd35GiaBp7QDESMJ77buY5IJwgIGBxkHNUPhBrtx4i0bw9fX3jbxRd6jdWUVxc2smkRxWruUBZRJ9kUbck4xJz2JrpNA0Pw/o/giTwvFr0MwnjlFxeS3EZlmlkJMkrc43FiTVbwbpFx4a0zS9Ii+IVndaZp0MdukD2sCs8aAAAuHznA64pxcUnH0t+N/xa+Vl0FLmdn6/pb8n879zjk8e+LdJ8f+KNU1S6S88GaXqaafcW6WyiSwVokcXAZRudcsdwOcDpXSaf4p1a58W/EC0TUElstKtLebTtsaEJvt1csGA+YEnPJNbPh/RfDuk3/iS5Os2l2mv3X2m4hmlj2p+7WPaOeRhe/rWR8PvAvhLwZLrYstfF3a6rtT7Pc3SFbeJV2rEpzkqBwM9ABUtxcLdeVL52V/xvr5lq6qc3Tm/C+n4aW/4JueAtW1DVPhVouuX0/m6hc6NFdTS7FXdK0IYtgDA55wBivN7nx14kb4U/D7WLjXrq0udZ1GKDUru1so5JWjYnOyPy3GeB0Q/SussfCyadoQ8N6b8RTbaEqGGK22W7zRQn/lmsxOcAcAkEgetTa54R8O3Wg+HNI0nxFb6RH4duIriwZZI5sGMYUMGPze9W5U+dyto2n6K7v+a27GaU1T5b6qLV/O2hr+D7kSWV7d22veINeCDAj1GwS1YMBnCDyISc+pyK29CvLnUNJt7y80y40ueVNz2lwytJEfRipIz9DWTpclxDDcpqXjayv2kTbE6QwwGE/3hhju/H0q1oVxa6fpFtZ3viaDVLiJNsl3PLEryn1IXAH4CspW1+X9dP6+ZrBvT5mzRVP+1NL/AOgnY/8AgQn+NH9qaX/0E7H/AMCE/wAaixpdFyiqf9qaX/0E7H/wIT/Gj+1NL/6Cdj/4EJ/jRYLouUVT/tTS/wDoJ2P/AIEJ/jR/aml/9BOx/wDAhP8AGiwXRcoqn/aml/8AQTsf/AhP8aP7U0v/AKCdj/4EJ/jRYLouUVT/ALU0v/oJ2P8A4EJ/jR/aml/9BOx/8CE/xosF0XKKp/2ppf8A0E7H/wACE/xo/tTS/wDoJ2P/AIEJ/jRYLouUVT/tTS/+gnY/+BCf40f2ppf/AEE7H/wIT/GiwXRcoqn/AGppf/QTsf8AwIT/ABo/tTS/+gnY/wDgQn+NFgui5RVP+1NL/wCgnY/+BCf40f2ppf8A0E7H/wACE/xosF0XKKp/2ppf/QTsf/AhP8aP7U0v/oJ2P/gQn+NFgui5RVP+1NL/AOgnY/8AgQn+NH9qaX/0E7H/AMCE/wAaLBdFyiqf9qaX/wBBOx/8CE/xo/tTS/8AoJ2P/gQn+NFgui5RVP8AtTS/+gnY/wDgQn+NH9qaX/0E7H/wIT/GiwXRcoqn/aml/wDQTsf/AAIT/Gj+1NL/AOgnY/8AgQn+NFgui5RVP+1NL/6Cdj/4EJ/jR/aml/8AQTsf/AhP8aLBdFyiqf8Aaml/9BOx/wDAhP8AGj+1NL/6Cdj/AOBCf40WC6LlFU/7U0v/AKCdj/4EJ/jR/aml/wDQTsf/AAIT/GiwXRcoqn/aml/9BOx/8CE/xo/tTS/+gnY/+BCf40WC6LlFU/7U0v8A6Cdj/wCBCf40f2ppf/QTsf8AwIT/ABosF0XKKp/2ppf/AEE7H/wIT/Gj+1NL/wCgnY/+BCf40WC6PKdX/wCTxdB/7E+b/wBHyV7FXjN/cW9x+2FoT29xFMo8ITAtG4YA+dJxxXsua1q7R9DKlvL1FopM0ZrE1FopM0ZoAWikzRmgBaKTNGaAFopM0ZoAWuV+LmrahoPwz8QaxpVx9nvrSzaSCXYrbGBHOGBB/EV1Oapa9pdhrmjXmj6nCJ7O8iaGZM4yp9+xpSvZ2Ki0mmzz+y8Va9J+zaPF732db/sV7r7T5Sf60Zw2zG3t0xiuK1bxx8TpvhT4F1vTZbzydSgaTXNXsdKS8ubcgnaVg4XBxzxxjtXSj4JP/YA8LN8SPFDeF/u/2V+5A8vOfL83bv25rp9Y8ASNaaXbeFvF2t+FI9NtzbRR2RSSJ04+8kgILcfe68n1rrnOlzSkurul2Wun4rbsccIVVCMX0TTfd6a/g9+555F8QdVT4K+L9d0n4j2nibUNNjR7a6GmJa3NqSwBWaEjb9DjHWql/rfxa8L/AAotPia3ju08Q24t4rm70u90iG3Xy3YKQkkWDuGe/wCXauzg+C2ijw74nsLvXtVvtS8TKq6jqk+wysFbI2oAFFVE+CMd5pVjoXiTx94j1vQLLZ5elssUELhTlVcxruYexNVz07u3ePTp1W3+QlCpZXv9rrr0t19e/p0PTvDupJrGg2GqxxmNbu3SYIf4dwzir9RWsMNrbRW1vGsUMSBI0XoqgYAFSZrlm05Pl2OmCkopS3FopM0ZqShaKTNGaAFopM0ZoAWikzRmgBaKTNGaABvuN9D/ACrx/wDY3/5IFpP/AF93f/o5q9gY/K30P8q8f/Y4/wCSBaT/ANfd3/6OatY/w5eq/Uyl/Fj6P9D2GikzRmsjUWikzRmgBaKTNGaAFopM0ZoAWikzRmgBaKTNGaAFopM0ZoAWvK/HPi3xBpvx98F+F7K/8rSNSt5Xu7fyUbzCM4O4jcPwIr1PNcV8Rvh1pvjHUdM1hdU1DRdc0sk2eo2LDegPVSrZDD6+9XTkozTltr+TX56kVYylTajv/wAFGF8Q/FviDSfjl4D8N2F/5OlasJvtsHko3m7Rx8xBZfwIrgNb8feP7HxfqcPi/wAZXHgGGO9MemxyeHEudOuYgflLXPLAkdQDx7V6d4b+FtvZeMI/F3iLxRrHijWreEw2k95sjS2U9diRgDPXmqOu/CS91q0utJ1H4meKrjQbqQtNp0nktuUtu2eaV37c9OeK2hKnHlT13v8Afft0WmqMZqpLmaur2/Bfq/MwPHviTxtqHxf8K+D/AA142j0ay1TR/tU11a6fBdJI4z8yCQH5T25rT8H+K/GmhfGIfDbxhqVjr8V1pxvrHU4bYW82A20rIinb+QH49r3iL4P2t54g0PWtA8U6n4cudEsBYWn2aKObEYzyfMByTmtXwN8M9M8N+JLrxTfavqfiHxFcxeS+o6g4LJHnOxEUBUGfT/HLU6aj/wCBdNd3b9OvkS4VW/P3eui0V/Xqd3RSZozXKdYtFJmjNAC0UmaM0ALRSZozQAtFJmjNAC0UmaM0ALRSZozQAtfOH7fv/JNfD/8A2GD/AOiXr6OzXzj+37/yTXw//wBhg/8Aol66ML/FiYYr+Ez6Q1PRfh5pnh5/EPiTQvDkMCRCa7vLqxiPJHLMxXJJPes/Qv8AhTOuaiunaXpfhOe8ZN6QHTIkd19VDIN34ZrM/aRz/wAM3+IMcH+zhj9KxvEsGqWPxO8CXXxC1C01DSVnK6TdWFobRYL9lwonVnkLBhgKQyjPUGvdhrJJ97f1+h4c9I3XZv7rf0+250uo3fwS0/VbrS7rTfCi3to4S4hXSkdomIyA21Dg4rV07R/hZqGpf2ZZ6B4VlvfsyXf2cadCJPJf7r7SucGvL/DOv/2P8W/iXEfiB4U8MCTWIW8nWIVeSX9wnzITcRYHboeR17V1fxkSPR7vw78YNLlF2ujAJqMlr863Gmyf6xhjO4KCXHNEWuWEpbO1/K6/z/C45J80orpf52/4H4nTaho3ws0/U/7MvdB8KQXv2ZrvyX0+EOIV+9Jjb90YPNZGi3fwT1q5trfStM8LXcl0R5Hl6QhWTPQhvLxj3zWF4cg/4SLwx41+KFwkoOu2UsOlrIpBTT41IiIB6eZjzP8AgdRfs6eJ4T4H8G6bP8SvBtyP7Jtol0iGNEvVbylAjLfaGJYdD+7GcdBTgm21LdW/Hm/Ky+dyZWSuttfwt+rfysdpp+n/AAj1DxJe+G7LSPCE+sWKhrqySxgMsQPQldtTLovwta91KxXQPChudLVWvov7Ph3W4ZdwLfLxlSDXlGk+ELvXfGnxH1zw5NHY+K9G8SrNpt0Rw4+yw7oJMcmN+hH41Y+FGr3HjXxX8VtQh0u6sby5gtreaynXDw3CWqo8RPQ4YEA9xg96jmfJdb8vN96TX52/4dF8q9o4t6Xt+Nv+D/wzPV7Dwv8ADm/0iDV7Pwx4YnsJ4FuIrhNOhKPGRuDA7ehHNY97/wAKYs9AsdeuNN8IJpmoMEs7kafCVnY9AmEyTx2rnvh9498JaT8ENI0TVNcs7PW9P0WOxuNJlkC3y3EcQQxiD/WM24cYU5GCMiuH8Q2WoeF/g38G7bVLq20K8tNXtXlm1BP3doSGb96pZemcEbl571pNJTai9LxSfq2vyIhrG8t7N29Ff8z2Pw3pvwq8RNMui+HfDd2YceZjSI1256feQVH4mtfhF4au7e01zRfC1ncXKs8ETaXEzyKvUgKhOBWr8Pteh1iC6j/4Tbw34oniYEto6qgiUjgMoml6kHnI+lch8QIdYuPj34Tj0TUrPT7r+x70mW6s2uU27kyNokQ598/hSa96MV1v+Cb/AED7Lfb/ADS/U0bqX4L2uj2+sXWl+FYbK5n+zwSSaVGvmSf3VBTJP4Vc8NWHwl8SNOmiaL4UvJLcgTRrpsIkTPQlSgIHvjFch8crbX1m+G1vcatYSat/wk8e27TT2WEHY+CYfNJPHH3xTNJt9St/jRrtv4quYpfFt3oJj0G9tIvItZrUFiyiMlmEqyMS2524ZcYqb7/P8Ip/1tp6FNWt8vxk1/XmdHqtz8E9Lv57C90/wilzb/69E02KTyj6MVQhT7Gr2o2Xwh0/wuPFF5pXg6LRCocX32KAwkHoQwXFcn8DfFvgzwr8MrXQfEurab4f12yaZdWs9SkW2uJJy7F5Nr4MgfIIYZBBAB7V5/r+lzW/wG8YXv2Gez0TV/FkV3pVnPCYsWzSRKWEbcqrsHYAgcHOOaqzcuVPtr01aX63XowSXX7uuzf6W+Z79pnhT4d6npsGpaf4X8MXVncRiWGaPToCjoRkEHb0rO8M6f8ACTxM96nh/R/COptYTGC6FvYQN5Mg/hb5evBrzK9v9d8HalqPwZ0aGUPr9x9o8PXYBKW1nMSboMR08tg2PaVPSul+AGjWPh7x98RtE02Ly7WzvbKKMdzi0jyx9STkk+pNEfeba2tp96v917evoRraz3/Tp9+/l8ztNe8OfDTQdIuNW1nw54WsLC2XdNcT6fAqIM45O2o10T4XN4d/4SJdA8KHSPJ8/wC2DT4PL8v+9nb0rkPivqOoeKPiTo/grRdI/tq00Yrq2uW4nSIEnctvEzNwQSHYr/srXHNqOo6D4P8AiV8ONb02TTCdNuNZ0WB7hZv9Flz5sYZePkl3HHYSCs3L3JS8m18t/wBfkmaxinOMfNX8r7fp967Ho2l33wO1O6trazs/CDyXWBb79NiQSk8gKWQBiewB5rdtPD3wzu9YvNHtvDvhaXULJUa5tl0+HzIlfO0kbehwcH2rzPxD4o8H69+zpZeGLDUdP8Q65c6NbQWem6dMtzcrchF2ttTJj2NglzgLjkirfjG3vfhyfB3xQ1Vpnk0/TY9I8UsgMhaBlBEpx94pKuM/9NDWs0ozaeydr/fb8bX9UzKLcoprdq9vS36N281Y7jUtN+E+m3l3Z3+i+Ere4s7T7bcxvYQAxQZx5jfLwuc81R0KT4M65ewWek6R4Yu5pxmJU0hMOMZyCY8dPeuKvtOnu/gh8Q/H2pQyJqPiexlmRJBhobRFKwRgduCz/wDA66b4J+J4brSNB06b4k+DtWZtNiSPTLKNEugwjXgn7Q5JAByNg/ClFO7Ut0l+N/ytb1uVJqycdm3+Fvzu/lYmudT+Bdte3FnNaeD0ltpvIn/4lse2KTj5WbZtU8jqe9W/EP8Awprw/sOsaT4UtEeHz1kbS4yhj/vbghGPfNeW6BY+M7rwV8UT4evrB7E+IL1brT2sibmeIxReaIpi5VXKZ2gxtz9eO71ibQZ/2UdRfwu0h0geG5kthI2XUCNgVY/3gQQfes3Jqlz9bRf3q/8AX6F8q9rydLtfc7Gppk3wW1Kxu76z0vwpJa2dubm4nOlRqiRDq+4oBiresWfwi0jTrPUNR0fwnb217j7K506EmfIyNgC5bjngVj+Kv+TU7/P/AEKh/wDSesjWLHw6/hvwFrF144h8GeIdO0tG02/uhGbd0dIxLG6y4R9wA4DK46g8GtZrllKPZpfn/l/w+xjTlzRjJ9U3/wCk/wCZ1Vwnwbt/Da+I59L8Ix6U0ghFy2nQhfMJwExsyGyQMYzTtCt/hFrck8el6F4auGt4jLL/AMShFCoOpJZBXk/jzxdrHiT4JJqesDS7GS08X2UUWrwQsljeIlzGRdqrsDs9fmwdpw3ceteHvEUOraPrVs3j7wr4nnWykdYtHRUaJdpBLATykjJHPFRJ2hKfa/8A6Sn+vkaRV5Rj3/za/QzdN1P4FajcW8Nna+DpGuX8uBjp0SpI3orlApPHrzWj4jt/hB4duo7TWdH8KWtxIhkSE6bEzlB/FtVCQOevSvFNKtNcH7NXhW5169tb3wMkkMmq2lpZmK8ht1n3K/ms7h1VwpfCISoOCK9B8fP4c0nxbL4w8O/EnSvC3iH+zEjlttWVJLTUbcKWiGxirnBx80LZ7EHOKuouRtPo2vw/ra5Mdfu0++39fLuehWPg/wCH19ZxXln4V8M3FvMoeOWPToGVlPcELU3/AAgvgj/oTfDv/gsh/wDiai+Fet6j4i8AaRrOq6KdFvLmAPLZ7SoQ+oBAIB6gEA8109E1yyaFF3Vznf8AhBfBH/Qm+Hf/AAWQ/wDxNH/CC+CP+hN8O/8Agsh/+JroqKko53/hBfBH/Qm+Hf8AwWQ//E0f8IL4I/6E3w7/AOCyH/4muiooA53/AIQXwR/0Jvh3/wAFkP8A8TR/wgvgj/oTfDv/AILIf/ia6KigDnf+EF8Ef9Cb4d/8FkP/AMTR/wAIL4I/6E3w7/4LIf8A4muiooA53/hBfBH/AEJvh3/wWQ//ABNH/CC+CP8AoTfDv/gsh/8Aia6KigDnf+EF8Ef9Cb4d/wDBZD/8TR/wgvgj/oTfDv8A4LIf/ia6KigDnf8AhBfBH/Qm+Hf/AAWQ/wDxNH/CC+CP+hN8O/8Agsh/+JroqKAOd/4QXwR/0Jvh3/wWQ/8AxNH/AAgvgj/oTfDv/gsh/wDia6KigDnf+EF8Ef8AQm+Hf/BZD/8AE0f8IL4I/wChN8O/+CyH/wCJroqKAPn240bSNJ/bZ0C10rSrGwgfwZM7RW1ukSs3nyDJCgAnAAz7V795EH/PGP8A75FeH69/yfF4d/7Eqb/0okr3Sk0mNNoxNE1/wzrepajpuk6hYXt5pkgivYYiC0DnoGHY1FZeKPCN5e6tZW2r6ZJcaPj+0UDqDa5GRvz93gV8/eAfF+g/Cf42/EtfiHdTaBHrN9HdadPcW0hiuY9pyUZVIPWs7wPZ6T4g0/4y+MPEVlrlt4K8STxR29zDaP580SjBljTBYrnBzjGKhWcFJL7N/npp+L+4ptqTi39q3y11+5Hv3hr4kfDXxLrP9jaD4r0LUdQwSLeCdWdsdcDv+FZHjL4yfDfwr4y0zwpqerWZ1C+mMMnlvGUsyACDOSw2A5wOteHfDDxa2l+PvCvhXwnq2jfE/RY5DGLhfD7W19o8argMZQoXpxk8nHOOKxfFOt+GPBOt+Jbz4feLbTV9Q1PUXe98GeIPD7zyzzl8MEfaGGeoGcYweavljeOmjv8Ap/V9SVOTUu/r69fls7H2hHHayRrJHHC6MAysqggg9xTvIg/54x/98is/whPPc+FNJuLrTRpc8llE0lkBgW5KDMeO2OmPatSnKCjJqwozcop3I/Ig/wCeMf8A3yKPIg/54x/98ipKKXKuw+Z9yPyIP+eMf/fIo8iD/njH/wB8ipKKOVdg5n3I/Ig/54x/98ijyIP+eMf/AHyKkoo5V2Dmfcj8iD/njH/3yKPIg/54x/8AfIqSijlXYOZ9yPyIP+eMf/fIo8iD/njH/wB8ipKKOVdg5n3I/Ig/54x/98iszxLrPhzwzpb6p4g1DTtLskODPdOsa59MnqfatevOf2gPHHg34f8Ag+DxB4w0pNVEd0Bp9sYFkZrja2CpYYQ7d3zdhmplyxRUOaTsdB4O8ZeCPGEU8nhfXtI1dbf/AF32aVWMfuR1Ap2i+L/BWteILrw/o+uaTf6paxmSe2t5VkeNQQCTj3IH4189/sx3Xw/1Lxz4p8Z33ifRrnxHrlnLJcaPp0MgtrKzGGdWLKA7cDP49c1kfDX4gfDHTv2t9Yv9H1fTbPQ77R4tPsDb2zRxSXBlj/dqoUYOR1IA960jBOpGFt1f566ffp6kSm1GUk9n+Gn9fifXMsdrFG0kiQoiAszMAAoHUk1yGifEr4Z63rw0HSfFugXmpliq20VwhdmHUD1P0rH8ceKPC3jK18cfDU39/Z3Vlo8j6hdR2zMkEbJ1BH3iM529TzXy3p8GpeJb74e+BvCOueGfEg0PWLeVbvRdFubee2gjOWkuJnwo47AcmppxUppW0dvxbTfy/HvoVNuMHK+qv+Cvb5n154i+Jfwz8O6wdH1vxdoFhfg4a3luEDqfQjt+NTeKviD8PPCptB4i8TaNpv2yLzrYzSqBKn95T3FfNf7T+o+H5z4l0nTfHMOn3srqJfCp8Kr5uo3CkZYXIQStvP8AEG/GvTdZ8cWfgT9mzRte1vwnbabrbafHaaXo0kXmMLhlwkYV8tgHkg84BqFb2bnbt873287+b+Q237RRvvf5bb/1956f4M8Z+CPGf2j/AIRXXNL1j7NjzvsrB9memam8YeKvB/g+0juvFGs6XpEMjbY2upFTefYHk15n8KNH0/4H/Bq/8WeMmlbU7wjUdcnhj8xzI54QKOy7sdq4T9pbxBpN347+HniSC4l8NxNbNcQ+J76xNxaRROufIaAowZ2zxnaRn8aucYqSivJP1s35dnbv+BNOTknJ+bXnb7+6PoLR/GXgbWPD0/iHTPEOi3Wk2+fPu450McWP7x/h/GqvhL4hfDrxbqLad4b8UaHql4qljBbzKz4HUgdT+FfJWk3NpdfAf4ni58Maj4nS81NZn17To3t4L5t/yzpHsHlrH1IVSCBzitv4L6tFqHx/8JzLrVp8Qzb6Y1ut7pWmGxTSCVwzSgRqJAeRliOvAzxVwpxlPl9P/Sb/AJ90vXoE5uMG79/waX9b+h9ivBBsb9zH0P8ACK8Q/Yaijb9nTRy0aMftl51XP/Ld69zk+430NeHfsMf8m56P/wBfl5/6Peo5V2Dmfc9e8RapoXh3SJ9X1y6s9PsIBmW4nwqIPc1FqGueG9P8Nf8ACS3t/YwaP5Kz/bHIEXlkZDZ9CDXF/tR6NqmvfAvxLpuj2U17ePbbkghXc77TkhR1JwOgrxrxx8VfBniP9myL4f6DeXepeLLjSoNPXSIbKU3CzKqqwZduBgg55rN7T5VqrWXe9y1vG70d7vta3/B+4+h9e8deAdB0ey1jWfEWjWFhfIslpNNKqrMrDIZe5GKn0vxf4J1TwzL4m0/XtHuNFi3ebepMnlJjrubt+NfPPxK0rwr4ei8CTeIfGt14I8YaFoENvDdXOlG8sZRsw0RBUqWznocgVXsda0vx18DfE9v8SNOXQNEOrJHH4h0HSpYIb0gjZdGIqSU4GSRjHpWk4x9/l1s3b77f1tr95EJyfJzdbX+6+2/5nuHww+KvgP4jajq2n+G7yCWfTbhoSjmMGdB/y2jAJLRnsePpXfeRB/zxj/75FfMnwB8YXl98WLPw3pt1oXjzRbXT3C+JrPRDZ3FngcRSNgKc4HA656k19P1UoRSTS/rYmNSTbTI/Ig/54x/98ijyIP8AnjH/AN8ipKKnlXYrmfcj8iD/AJ4x/wDfIo8iD/njH/3yKkoo5V2Dmfcj8iD/AJ4x/wDfIo8iD/njH/3yKkoo5V2Dmfcj8iD/AJ4x/wDfIo8iD/njH/3yKkoo5V2Dmfcj8iD/AJ4x/wDfIo8iD/njH/3yKkoo5V2Dmfcj8iD/AJ4x/wDfIo8iD/njH/3yKkoo5V2Dmfcj8iD/AJ4x/wDfIo8iD/njH/3yKkoo5V2Dmfcj8iD/AJ4x/wDfIo8iD/njH/3yKkoo5V2Dmfcj8iD/AJ4x/wDfIo8iD/njH/3yKkoo5V2Dmfcj8iD/AJ4x/wDfIrF8XeJPCfhGwW+8TatpmkWzttSS6kVAx9BnrW9XzX+2DdWlr4z8BXU7SaFLa3E0ieJbi2NxZ2alRujki2MHZ8DGcYxkHrUtK6Xd/wBf1/wxcW3d32R7r4Q8T+EfF9lJe+F9Y0vV7eNtsj2sivsPoccj8ah8Z+L/AAX4Mit5fFWtaZo6XLFYWumCByOoFfP37MvirTNCHxL8U6or6pZQypeXPii0tTBb36KCAkcO1QpXJ+7nOee2dz49ar4N8V6Z4G8XXfja+8Fwp5l9pt/c6CbqIll27JFYFFbBJAYHIye1VUio2sv5b/P7uzt3sTFtuSb2vb5ff3R7BoXjnwFrmhXmu6T4i0a60uyOLm7WVRFCf9pjwKi8JfED4eeLdQk0/wANeJtE1W7jUs0NvMrPgdTjv+FeK/Cr4jTf8Ky8aax8Tre11zwfpVzF9g1T+xFtv7VG/wCU+RtCHDhMHAwTya534MeI/AHj/wDaAsviFqGuaTo+qNG1poPh2zjfzcbGXfcOFCbtpb5QcdOeMGowjKfLbS3z1Wnzb6dCXNqm5X1T+W/+XU+lm8YeCV8Vw+FP7e0htdm3eXYLKrTHaCT8o6YAJ59K6BobdVLNFEABknaK+QvH3jr4WaN+1Z4L1bTNS0ux07Skvk1ea3tWQRzvGyjfhMsxJxkZr6UT4ieGZfHtj4JjmuZNUv7E38BWA+U0OM539uO1RCKnTjJbu/4X/RX9CpycajjfRW/H/gtIxZfjV8G4pHjk8eeHFdCVYGcZBHUdK6zWfEPhbRvDn/CR6tqenWWkbVb7ZMyrHhiAvPvkV4P8UoLL4tfGaw+FOiWtsmgaLIt/4ouIYVXzCpGy33AdS2Mjr37VT+Pdn4x1HxXqf9q/D3V9U8GaDpcv9jx2c0CwfaPKZftMwZwzBBkqoHHXmok0qalbe/3Lr83ovv2KV3U5b9vvey+S1f8AnofRvh/UtD8QaRBq+iXNpf2Fwu6G4hwyOPUGvmn/AIKQRxp8LvDmxFX/AInfYY/5YSV6F+xlf3d58CdFguNIurGO2j8uGaVkK3K8/Om0kgducVwH/BSP/kl3hv8A7Df/ALQkrepTUJNIxp1HON2fSumNc/2ZbKLaNl8pcEy4yMemKsF7s9bWI/8AbX/7GuO+KHiq+8E/B/UPFGmwW091YWQkjS4DGMnA+9tIOPxFYen/ABA1+HxloGjNqHhrxZbauzJM+hwvFJp+Fz5smZpVZO3VDnpnpUx1dipe6rvz/A9Mb7Qxy1lAT7yf/Y0u+6xt+yxY9PN/+xryq3+IWvah468V6GPE3gvw9b6JfJawLqdq8ktwrRq+/P2mMdTjhe1dBc+MtX0f4n6L4V1yCxk03WrAmz1G3Row14gy8ZBZgAw5UZzzjJojqo+e33X/ACCXut36f52O233eMfZYsf8AXX/7GmD7QDuFlAD6+Z/9jXDar471X/hMvEml6TZ2kum+HdK8+8uZVYk3bKXSEEEDAXaT35xxVH4UeMvEHi7StB1S58YeCGfUbSK6n0q0sn+0xhkDMgY3TYK5xkp26UR97by/G9vyYS93f+tv80elB7sf8usX/f3/AOxpA92Cf9Fi5/6a/wD2NeRWnxf1i1+Ket6T4g0qwt/CNnqaaTDqkTP5kFy0aOvn5O0I28AMMYI5rpLfx1qcni3x9o5tbPyPDcEElq4DbpC9ush3846nHGOKTa5efpa/ysn+TRSi3Nw67fjb8zuD9o3bvscG7183n/0GlZrphhrSEj3l/wDsawfBXiK71z4X6P4quYYI7u+0iK+kjjB8tXeIOQMnOMn1rzq6+LXiA/DDwH4kVdC0+78TXsVtdTXUTtbWqsWy4XzFPGO71couMnF7ppfe7L8iIvmjzLa1/uVz2JTcr92zhX6S4/8AZadvu85+yxZ/66//AGNYfgi/1LUI7ia88TeG9diUhUbR7VohG3cMTPLnjHHFc78RvGmraL490Tw1Y6r4d0e3v7Oe4lvdXhaRQ0ZACKBNEOc+p6VL3S7/AOV/yQ+jfb/hjvi92f8Al1i/7+//AGNJvu85+yxZ/wCuv/2NeYeOvH2veHNE8MSQa94SvZNa1cWMmqC1cWcMZBO4KLg5IIx/rMVd8JePtUm8YapoWqSaRrWn2WnC/Ot6NG8dunLAwOrPIN4C7shzwRkDuaa/1srv8Aelv63dvzPQW+0MctZwE+pl/wDsaUvdkYNrEf8Atr/9jXn/AIR8Q+P/ABxoS+JtCbw5ouk3W9tOgvrSa7nnjDELI7JLGse7GQoD4BByTwOe1z4xa5D8KNe1uz0SwtvFOh6ouk3dlcSNLbeeSmHVl2sUZXVh0IyQemSPTTr2+aX5teg0r7f1u/0Z7Dvu85+yxZ/66/8A2NLvu8/8esX/AH9/+xri/CPxEtr74b3nibXo49PvNJMsGr2yk4huIjgquecN8pXPJDrWZ8C/H3ifxpeeJLbxNpNhpkum3MIt4rYPu8mWMSp5m4n59rLnAAzmnb3muyv8v+CSnon/AF5/cejb7vJP2WLP/XX/AOxoLXRPNrEf+2v/ANjXn3xq8SeNvBfh278SaRe+HpbKKWCJLS60yZpP3kioSZVuFHBbP3Pb3p3j3xR4w8EfDu78Rahc6Dql2txaxwpBp8tvGqySqjbgZ3LHDcYI6dDSWq+dvnp/mN6O3zO+X7QpytnAD6iX/wCxpxe7IwbWIj/rr/8AY1xfiXxnqzeNbLwL4Ws7OTWZ7D+0Lq7vdxt7KDcFUlFw0rMdwChl+6ST2Mfi7XfG/g/wRr+u6pJ4d1NrG08+1kt7aa3BfOCjxNI+Rg53CQem3vSckouT21/DccVzNJb6fjsdxvu8Y+yxY/66/wD2NNX7Qp3LZQA+ok/+xrzzwd8RNW8dalp0fg+0sJ9IgjjbW9Xl3NAJSgY21sAwLuCRuYnaowPmJ4yvDXxD8ReIdZ1+1/4SrwPoI03WZNOgtL6zkknlVVQh8/akySXxwvaq5Xzcv9Wul+un37E305vT8U3+n9M9ZD3Y6WsQ/wC2v/2NG+6xj7LFj083/wCxrzv4xeJPHfgzw+3iDTtQ8NXFr9ptbZbafSpy+ZZUjLeYtwBgFs429sZ712/hqPxDHbOfEGoaXeyNgxGxsZLZVGOQQ8smT75FJapv5fl/mNuzS7l7fd4x9lix/wBdf/saaxuWGGs4SPQy/wD2NeY3PxE1y5+I+r+FYb/w14dksHQWVvrUMpl1VT954nEiKq5IXhZCCc47HpPiZ4q1bQNM0uw0K1sbrxNrN0trYW9w7GENtLyO+3DFFRWOeMnA4zSv7ql3/r+u3Ww7atdv6/r8Dqy10V2/ZIcenm//AGNIv2hfu2cC/SX/AOxrz+H4k3Nz8Eta8awWdvHrGkWtz9qspA2yK6hB3IwznHQ9eh612Gl6vcXfgi312SOJbiXTxdFFzsDGPdj1xmnNqKk3sv1v/kKPvNLq7/ha/wCZo77rGPssWPTzf/saRvtDY3WcBx0zL0/8dry34TePPEfjTR9G1W48W+B7aW++eTSYrKQ3KgMcoGN197A67Pwp7fETXb34iax4XhvvDXh6bT5lSzs9Zhl87VU7yRSCRFVSSFGFkIJyQehpxalyvf8Ay/roK+lz1HzLz/n1i/7/AH/2NHmXn/PrF/3+/wDsanj3GNS4UNgbgpyAfY0tSMr+Zef8+sX/AH+/+xo8y8/59Yv+/wB/9jViigCv5l5/z6xf9/v/ALGjzLz/AJ9Yv+/3/wBjViigCv5l5/z6xf8Af7/7GjzLz/n1i/7/AH/2NWKKAK/mXn/PrF/3+/8AsaPMvP8An1i/7/f/AGNWKKAK/mXn/PrF/wB/v/saPMvP+fWL/v8Af/Y1YooAr+Zef8+sX/f7/wCxo8y8/wCfWL/v9/8AY1YooAr+Zef8+sX/AH+/+xo8y8/59Yv+/wB/9jViigCv5l5/z6xf9/v/ALGjzLz/AJ9Yv+/3/wBjViigCv5l5/z6xf8Af7/7GjzLz/n1i/7/AH/2NWKKAPBtdaf/AIbe8PEwoH/4Qqb5fM4/4+JO+K9x8y8/59Yv+/3/ANjXievf8nxeHf8AsSpv/SiSvdKAKzNdN960hP1l/wDsaXfd4x9lix/11/8Asa84+EfxF1fxh4/8d+HtQs7GC28O3yW1q8CuHkUgnL5YjPHYCuftPjNr/wDa3xThk8OwahH4N8r7Fb2YcTXO5cneSWHHsOlTzKyf93m+Wn+aHZ3t58vz1/yPZg10v3bSEfSX/wCxrKGgWA8VHxT/AGNb/wBsm1Fn9qNwxbyQxYIBjAGST0zXlPwU+KnjnxzqdhcXE3w7vdKulJuLbStQmGoWJxnEkcowxHQhe9chqvxb+IHij4sT6b4e1Hwv4Zh8N6g8R0XWb6S2udZTgbslNu3qVwR15zV2fOl11/yf5kppxbvp/TX5H035l5/z6xf9/v8A7GjzLz/n1i/7/f8A2NOsZJprKCW4hEMzxq0kYfeEYjldw64PfvU1DVmCd1cr+Zef8+sX/f7/AOxo8y8/59Yv+/3/ANjViikMr+Zef8+sX/f7/wCxo8y8/wCfWL/v9/8AY1YooAr+Zef8+sX/AH+/+xo8y8/59Yv+/wB/9jViigCv5l5/z6xf9/v/ALGjzLz/AJ9Yv+/3/wBjViigCv5l5/z6xf8Af7/7GjzLz/n1i/7/AH/2NWKKAK/mXn/PrF/3+/8AsaRmum+9aRH6y/8A2NWaxfGuoa7pugy3Ph3RoNWvxwsU92LeNBjl2bBOB6AEn9amUlFXY4pydkaANyOlnCP+2v8A9jR/pH/PnB/39/8Asa8u+B3xO13xz8INV8YaxY6bbahZTXcaxWocRHylyM7mJ+vI/CuJ+C/xu8ZeOta0qO9134WWkN3KRNpqXF0mpKoJ4VWJTf7ZNXZ8/J10f3kt2jzdNV9x7l4f8PafoE+oT6RottbTalcG6vZROzPPKf4mZgSfYdB2rWDXS/dtIR9Jf/saTVprq30q7uLG1S6u4oXeCB5RGsrhSVUuc7QTgZ7V87+FPjx4y1D4p6L4XeLwFr9rqczJMmgX8zz2Cjq0jyAI2PRRzjjFKPvSUF/Xb+ug5aRc2fRJa6JybSEn183/AOxoLXRxm1iOPWX/AOxr528Z/HPxfYfFXxB4R0/VfhroltpciRwyeIprqKS43D+Exkg478Ct/wCN/wAXPEvgdfB1vp914MSXXFb7TqGoyTfYYiqZ3K8Z3bSeASD1FSpJxUujt+I3FqTj1X6HtZe7IwbWIj/rr/8AY0ha6IwbSEj/AK6//Y1x/wAF/E2seK/C76lrOr+D9Ul84qkvhueWSAL6N5nzBq5n4/fGJvh9qmj+HNKj0j+2dWV5FuNXujBZWkSjmSQr8x9lHJ7elVL3Wk+oo+8m10PVg10BgWsQHp5v/wBjQrXS/dtIR9Jf/sa8TPxe8SWnwN8S+OJNQ8B67qGlEeQdDuJ5bUjIGJA+11bn15q38CviZ4n8b635Oq+I/hlfWv2bzDbaDc3LXiMRxuWXjA74ppXk49tfv1E3aKl3PYXkvNjf6NF0P/Lb/wCxrxH9h1rhf2ddH8uFHH2y85MmP+W7+1e7Sfcb6GvDv2GP+Tc9H/6/Lz/0e9IZ7V5l5/z6xf8Af7/7GkDXIORZw59fN/8Asa5D46+MdQ8A/C7WPFWl21rc3djGGjjuQxjYkgc7SD+tZvjf4g6toX7P7/EO1s7KTUhpMV75EisYd7oGIwGDY59alzSjKXa1/nf/ACKUW5Rj3v8Ahb/M9BZrpvvWkJ+sv/2NNlFxLC8MlpEUdSrDziMg/hXg/j345+JdF07wPHZ6f4d06bxJpcd9Nq2tSTR6bbuy5MWYwWz6ZPcVva38UfF/hn4K6n4z1jQ9C1nUbWURwHQbx57OdT0lzguijuDzx2pzXKpc3TR/fb+v8iYPmcbddf1PSvC+iWfhjQ7bRNB0i3sdPtgVhgSdiFBOTyQSeT3NafmXn/PrF/3+/wDsa8V/Zx8UeO9e1K+utd8SeEvE+lamzXkUukaizyaaT0tzE6htg6DqQc5Jr3KtJxkvi3ZMZJ3sV/MvP+fWL/v9/wDY0eZef8+sX/f7/wCxqxRUFFfzLz/n1i/7/f8A2NHmXn/PrF/3+/8AsasUUAV/MvP+fWL/AL/f/Y0eZef8+sX/AH+/+xqxRQBX8y8/59Yv+/3/ANjR5l5/z6xf9/v/ALGrFFAFfzLz/n1i/wC/3/2NHmXn/PrF/wB/v/sasUUAV/MvP+fWL/v9/wDY0eZef8+sX/f7/wCxqxRQBX8y8/59Yv8Av9/9jR5l5/z6xf8Af7/7GrFFAFfzLz/n1i/7/f8A2NHmXn/PrF/3+/8AsasUUAV/MvP+fWL/AL/f/Y0eZef8+sX/AH+/+xqxRQBX8y8/59Yv+/3/ANjSF7phhrWIj3l/+xryL45fFDxt4D8ReHrex8M6T/Y2p6xb6cby7umkll8w/MUiTGzAB5Zjk/w1L+0f8Udd+HT+GYdFbw5AdYupIZrrWzKLeAKm7cTGcgduh6ip5lyqXnb56f5ofK728r/L+keieJ9BsfE2jvo+uaPb3unu6SSW7XDKjlGDLuCgbhkA4PBxyK0oxPHCkMdjAsaAKqCTAUDoANtcZ8EvFWteLfD1xqGs6z4L1V1m2xSeGZ5ZIVXHR/N+YNWR8XviT4g0Lxv4c+H/AIL0nTb3xHrwlkjm1OV0tbaOMbmZwg3HIzjFU/daj3/y/wAvyEnzJy6I9M3XWNv2SHHp5v8A9jSA3IORZwg/9df/ALGvAP8AhobWPDug+Nrfxt4csD4l8LSwxCHTLh/s96ZWCqVLjcoBIznJPtWhp3xa+IXhzxz4Y0X4l6H4Zi07xPDI9nc6PPMWtWVN+2USDDEjA+XHrntQtbef+Vwen9dj2/8A0j/nzg/7+/8A2NLuus5+yxZ/66//AGNfONx8d/iVc+CtU+J+j+E/DbeCdMvTbyW1xdTf2jMiuEZ1IHlgZYdQcc9a+hNG1u01PwxbeII8raz2ouhnqFK7qNouT6fqr/kH2uX+tNy0GugTi1iGev73/wCxpfMu/wDn1i/7/f8A2NfN8/x5+JVx4H1D4paT4S8Nt4IsLwwPaz3U39oyoJAjOpA8sckHkHHvXTah8XPGXinx4fB/ws0fQJJ7bS49Su7zXJpRFtcDEaLEM7skck4pf1+F/wAh/wBfjb83/SPag92BgWsQH/XX/wCxr5c/4KOtM3wu8OebEif8Tvs+7/lhJ7V7P8APiRN8S/BkuqX2mR6ZqdndPZ3tvHIXQSIcEqTzg+h6eteO/wDBSP8A5Jd4b/7Df/tCSqasSnf+ux7d8S/Ct142+Ed94XsrmC2nv7NY0lmBKKcDrjmoNa8ASQ+LtB8UeE5LDSb+zYQakgh2R31ofvIwUcsOqk9DXU2gsYNKtZbq48gNGvL3DIM47c4qSKbSJZVij1CN5G+6q3hJP0G6ktHdDlqrP+r/APDHnVn4E8T6R438Va3Zaf4T1a3129S6j/tGSRJYNsapt4icHpnr3roviX4Rv/GHguC1hubXTfEFnJFeWFyoLxW91GQVPQEpng8DI7V0ty2mWrhLm9WFiMgSXZUkfi1OnGn28ayT3XlI33We6ZQfoS1L7KXa1vlsO/vN97/jucl4W8D3mlfDfUdDvdQhu9c1ZZ5tRvghCS3M2SxA67ATgDsoFZ/wu8KeLPCej6Dot1o/g94dNtIrSW+t5pRcSKiBS4BhAycZwW/Gu5im0iWVYo9QjeRvuqt4ST9BuqdobNZViaZxIwyqm4bJ+gzVJ2bfe34Xt+ZL1VvX8d/yOJ0L4cwpc+O4vEH2TUdN8U6h9p8gKfkj8lI9rZ75TOR7Vk/Cz4Wat4XuvFY1/wARf21BrCR21vMVInW3jiESeaejOFABYdcZ716a1vaq6xtJIHb7qm4bJ+nNO+xw+s3/AH+f/GpsrW8rfJaFXd79b3/U850Pwt8RdC8GQeCdP1Dw5Np9rbCxtdTn84XCQBdqloQNrOq4H3wDjPHSqviX4U3I8E+CfD3h24sZ18LXkFxt1LcEuxGuCG2q2CxJPQ16PLJpMMvlS36RydNjXhB/LdUtxHY28fmXFwYU/vPcso/Mmqbb1b1un81sJK2i21X37/10Mvwfa65ai4j1bSfD2nRkgxjSpXbce+4NGnt61neIPBv9r/EvRvE9x9imstPsLi2e3mi3szSFSGGRjjFdBFJpUys0V8kgXG4rdkgZ6fxVYe1t0Qu7yqo6kzuAP1o6qXb/ACt+TDo13/zucd8RPAY8SXXhT7CLC1s9F1db6a3eL5ZUCkFVUDGcnPNR2fgGTSvHuoalos1paeHNasjHqulrHtBuB8onjAG0Eqdreu1a62eTSoCBPfJESMgPdkZHry1Pxp/krN9q/dOcK/2ptrH2O7mpt+v4q39eY27/ANdnf9TgvCPhj4geCdAHhjQbzw9qulWzONPn1BpYZ4ImYlY3WNWWTbkgEFcjAwOtZ2rfCG8uPhlqXh2PWoZ9a1bVk1XUb+aEpHJKHQkKi5KqFRVAyenJr1KS3tYwDJJIgJwN1wwyfTrQLa1MhjEkhcAEr575A+mapN35uv8Ak0/zSv36hf8Ar8P1Z5l4o+Etxq3xKj1uDV1t/Dt60FxrmlYb/TbiAMIn9ACCu4d/LT0rpvBXhG70Hxt4x16e6glh167gngjQHdEI4VjIbPHVc8V0/wBntfM8vzJN+N237Q2ceuM1W8/R/M8v+0Yt+cbftpzn0xupR0Vl5/jb/JfJWE+/p+Bh/GDwnd+NvAtz4fsrqC1mlngkEkwJUCOVXI455C0z4teEbzxl4Bl8OWd1BbTvNbyCWUEriOVXPTnkLXVfY4fWb/v8/wDjR9jh9Zv+/wA/+NC0++/z0/yDrfyscR4q8E6ufG1h458KajZ2+s29j/Z91bXqMba8g3BgCy/NGynJDAHqQRS+K/D/AI08XeCNe0HV5tAsGv7XyLdbVpZgrZB3u7BeMDG0L+Pau2+xw+s3/f5/8aPscPrN/wB/n/xpOKcXF7a/juOL5Wmt9Pw2PPtH+HmpeF9c0vVvCN/Z2Qkhht9f090Itr0Im0TxhR8kw9ejDhugNZ3hjwH4s8M6rr81ppvg/VotT1iTUYpr2WVJogyoAnETdNmcg969S+xw+s3/AH+f/Gj7HD6zf9/n/wAaq7vf1/Fp/mibK1vT8Lr9Tlfix4Tv/GvgddDt7m2tLk3dpcM77ig8qZJGAwM87SBxXYRrtjVfQAVD9jh9Zv8Av8/+NH2OH1m/7/P/AI0lomvO/wCS/QLap/I8++J3hDxX4z0jU/Dlzb+ErjTL0FIb25ilNxaKcfMseCGdcZDB15xwMc17X4VTXnjC31XxDrl9c2ek6XHp+jizv7i1nTp50srxMpLNtTjJGBXpP2OH1m/7/P8A40fY4fWb/v8AP/jSSt/Xlb8mxvX+vNP9EeTXnwh1C1PjnT9A1rZovirSmiaC/uZ7mWK+IK+dvcsSrKeec/KK6rwtpnja30CLw/rFv4eS0i082ontLuZ5CwTaDtaNRj15rr/scPrN/wB/n/xo+xw+s3/f5/8AGhq8XF7NW/P8rjv7yl1X/A/yR5l8K/Bfi7wXoej6HLpPg66isP3b36TSrcOpYksB5P3sHpu/GrPxP8G+K/G2j6l4bvIfCUum3mUhv54pTc2iEj5kjwQZFxkMJF5wcDFeifY4fWb/AL/P/jR9jh9Zv+/z/wCNVN87vIUfd2GaNZf2bpNpp/2iW4+zwrF5spy77RjJ96t1X+xw+s3/AH+f/Gj7HD6zf9/n/wAaG23diilFWRYoqv8AY4fWb/v8/wDjR9jh9Zv+/wA/+NIZYoqv9jh9Zv8Av8/+NH2OH1m/7/P/AI0AWKKr/Y4fWb/v8/8AjR9jh9Zv+/z/AONAFiiq/wBjh9Zv+/z/AONH2OH1m/7/AD/40AWKKr/Y4fWb/v8AP/jR9jh9Zv8Av8/+NAFiiq/2OH1m/wC/z/40fY4fWb/v8/8AjQBYoqv9jh9Zv+/z/wCNH2OH1m/7/P8A40AWKKr/AGOH1m/7/P8A40fY4fWb/v8AP/jQBYoqv9jh9Zv+/wA/+NH2OH1m/wC/z/40AeJ69/yfF4d/7Eqb/wBKJK90rwbXbeMftveHo8ybf+EKm/5aNn/j4k75zXuP2OH1m/7/AD/40AeOSfC/x/4V+IXiLxT8NfEugRweIpFmvbLXLOSQRygY3RtEwPrwat+BPhR4n8LaN4o1ODxjbv438SXC3NzqRsFa2iK/djWInlRyMk5xXqscNnI7pHM7shwwW4YlfrzxQkNm7uiTMzJ99RcMSv154pRVo8q7W+Wmn4Ibd3d97/PueH23wY8Xa58SdD8ZeMdU8I2M2jSmVG8OaW9vNdkjgSyOxyB6c9T61lfEv4cfFjx9rt34L11/B914clT7RH4jk0fF7ADIcQph8CRVAG4KARjnOa+goV0+aQxw3XmOOqrdMSPw3Vla54h8L6JrelaJqmqm21HV5GisYDLKzTMoBI4yF4I5bFNJe6unYWur69/Q0vDGlLoXhzTdFjuJblbG1jtxLL99wihcn3OK0ar/AGOH1m/7/P8A40fY4fWb/v8AP/jTlJybbFFKKSRYoqv9jh9Zv+/z/wCNH2OH1m/7/P8A40hliiq/2OH1m/7/AD/40fY4fWb/AL/P/jQBYoqv9jh9Zv8Av8/+NH2OH1m/7/P/AI0AWKKr/Y4fWb/v8/8AjR9jh9Zv+/z/AONAFiiq/wBjh9Zv+/z/AONH2OH1m/7/AD/40AWKwPH1v4suvD0lv4NudGt9SdgpfVYpJIfLIIbiMg59K1/scPrN/wB/n/xpsltbRoXkkkRRyWadwB+tTKKkrMcW07o8a+BHwx+JHw+8Oal4YvfEfhptNuRcTwXFrZyvcRXMmMMRIdjIOflxz61S1L4M+NvF/inw/e+Oda8IxafoN8l7D/YekvBc3LocgSM7EKDjkLx/Ovb4lsJYmljuS8a/eZbliB9TuqJZdJZgq6hGSTgAXh5/8eq7vmUuqt+GxNvdcejv+O5w/h2L4n6p4u8YXF9qX9jaB5ZtNAt5rWGR1kH/AC8nAyV9FZufauI1X4K+N/GHjHw9qvjbXvCltaaDdrdRNoGlvBc3LKwIEjsx2g4528e1e8/Y4fWb/v8AP/jUMa6fJKYY7rfIOqLdMSPw3Uo+64vqv06jlqmuj/qx5J8T/hx8SPFi6vocOveDG0DVMq095ojNf20bfwoytsYgdGIzWlP8PfGPh3wj4d0DwHrfh6a30izFrJB4h0xp0mI/5aho2DK3bb05r0mZdPhkEc115bnor3TAn82p88NnAnmTTNEn957hgP1NJKyt/Wn/AA/9Mbd3f+tTx7wB8IPFXgfwX4p/4R/xVp9t4w8QXAujdx2CrZ2r5+7HEQw24J6j8Kk+JHwm8UeIdd8JeM9N13RT4s0K3MFwdRsTJZ3m4YclFII5Jxj9K9eit7WZBJFK8iHoy3DEH9aZcJYW+PtFyYs9N9yy5/M07arytbysrflv36iXXzvfzv8A18jyDwP8IPFPhvTvFGrReJNFj8V+IbpbiXytLzpsYVs+UISclW6Fs7hn1pfBvwi8SN8WrL4keNtU8Oi+063e3tbPQNPa3hYMpUtIzksxwen/AOqvX4IrK4TfBO0q5xlLlmH6GhI7F5mhS4LSr95BcsWH1GaadpJ9tvLS35f57ieqafXfzLcn3G+hrw79hj/k3PR/+vy8/wDR717S9nDsbmbof+Wz/wCNeI/sO28cn7Oujsxkz9svOkjD/lu/oaQz1H4o+D7Px94E1TwnfXMtrDfwmPzogC0bdmweuD2ryXUfhT8YNe8C2/w613xx4Xj8MpEltLdWemyi+lgTACnc3lgkAAkAV7tLb2sUZklkkjQdWa4YAfrSNDZrD5zTOseM7zcMFx65zS5Vr52v8th3enked+LPBfjqGx0/SPBGq+FX0G0sI7I6Z4h0xrhMINocPGwJOBjB4rnPAXwf8X+APBeuJ4Z8UaTDr2qX/wBveAaZ/wAS1B3t0i3ZVCOMgggV7LJHYxxCaS4KRno7XLAH8c06OGzki82OZ3j/AL63DEfnmm7+876vr87/AJ/5bCSVkraL/K39ffueF/Bn4X+Lbj4hWnxX8cW+heHtW+yPAdI0Wy8hX3ZG+dt7bm+hPavf653wxr/hjxNNqcOhaob59Lums7wJJKPKmXquTjP1GR71tfY4fWb/AL/P/jVN6JLbp89f1FbVvr/loWKKr/Y4fWb/AL/P/jR9jh9Zv+/z/wCNSMsUVX+xw+s3/f5/8aPscPrN/wB/n/xoAsUVX+xw+s3/AH+f/Gj7HD6zf9/n/wAaALFFV/scPrN/3+f/ABo+xw+s3/f5/wDGgCxRVf7HD6zf9/n/AMaPscPrN/3+f/GgCxRVf7HD6zf9/n/xo+xw+s3/AH+f/GgCxRVf7HD6zf8Af5/8aPscPrN/3+f/ABoAsUVX+xw+s3/f5/8AGj7HD6zf9/n/AMaALFFV/scPrN/3+f8Axo+xw+s3/f5/8aAPF/j18NfiZ8Q9b0v+zda8J2ekaPqMWo2KXFvOZzKgPEhU7SvPQAH3rqPEOh/FW+0PSZrXWPBR1iBHW+trvSpZbGUkjDxnf5qEAYxkg5PoK7uddPgYLNc+Ux6B7pgT+bU6aGzhj8yaZ40/vNcMB+eaSVo287/Mbd3f5HiHhz4a+MPhp4O8Z65oNzDq3jjxJJG0cenWscFpaybiAyI+RtXcWJOenStDxZ8LfG+rXfgrxnZeKdNHjvw9bvFc3F5aH7JeeYuHDJHtIxnjbj8K9fhgtJoxJDK8iHoy3DEfzptxHY24BuLgxA9N9yy5/M09reVreVlay+T179Rd/O9/O9t/u07Hhcn7PN5r3hzxnJ4w8SQT+JvFMkUz3VjbFLezaJtyBFYliuQM5OcVf0n4ReNtd8ZeG9c+JniTRL618MwvHY2mlWkkYnZk2b5jIx5AwflFeywx2MyF4bgyKOrJcsQPyNEC2E7FYLkyleoS5Zsfk1C06f1awPX+u589t8A/HkHhHVPhrp/jTRovA2pXxuJHkspG1GNC4cxqd3l4yoHSvVrHwr4p0/xPp1nZ69Zr4FtdKNnLpTWymaSTbtD+ZjIHtnHtXXtDZrMsLTMJW+6huG3H6DNSfY4fWb/v8/8AjR0t/T0tr6Lb79w63/rdPT1t+mx86n4BePIfB2o/DOx8aaNF4Fv703Du9lI2oxoXDmNTu8vGVA6V0ep/CHxZ4d8f/wDCYfC7XtFsZrjS0027tdXtpJIiqY2uvlkHdx34/lXrpm0gHnUIx/2+H/4qp3hs0i815nWPGd5uGA/PNHT+u1tfkH9fjf8AM4v4FfDhPhn4Pk0mTUjqd9dXL3d7dGPYJJXOTgZOAK8Y/wCCkf8AyS7w3/2G/wD2hJX05Fb2ssYkikkkQ9GW4Yg/rXy9/wAFHYUi+F3hzYX/AOQ3/FIzf8sJPU05NtiSsfSb6PpOs6FZ2+saXY6jCkassd1brKoOOoDAjNeV/s4eG/D6eHNd1GHw9pH2+28SamttOLOMSRhbhwoVtuVA4Ax0rTuPjZ4d0aeTSbjw342nms2MDyW3h+eWJyvBKOBhl44I61Q0n40+BdJhlh0vwL42sopZnnkSDwtOgeRzuZyAOSSSSe9Z80bvXdW/Ff5FuMmkrdb/AIP/ADG/s/6H4Y8VeBH1zxNpum634knupxrMuoRLcSwTh2Biw4JjVegUYGMUfBDSdL1b/hMtJltLTWvB+n648egrdot1FEgUeYkRcH5FfcBjpjA4rJ1n4g/CLWb+TUNV+Ffii8u5P9ZNL4QmLv8AU7efxrdsPjl4M0+yisrHwX45tbaJQscMPhedERfQADAqlOOvpa3Tda/hp679yUZPp1v+f+ZD+zX4e8NQ+F9V1RtB0iO6tfEWqCO5+xxiSJVupAAGxkAAYHoBXBeIdUu/FVxrnxN0vR/EE+s2F6p8LyQaXPLA1pbn5gJFXbtmYOxPowHau5tfjB8PbXTbnTLX4f8AjOGyunkeeBPCkypK0hJcsAuCWJJPrmrGnfG7wTpumwabp/gnxxa2VvEIYbeLwtOscaAYChQMAAdqXPs09Ulb101/D7mw5Hrpu3f0ben4/giDVNf0/wAVfFf4R+ItKk8yz1CxvriI9wGhU4PoR0PuK9sr58u/HnweurG0sbj4T+JpLWzeSS2iPg6XbCzklyg2/LuJJOOta+g/GPwBoNj9h0XwH420+13FvKg8LTquT1OAKrnhay8/xdyfZzvf0/A48afeS618XL+1+H/hzxOIdZIaW8lH2qIfZYc+XGYiHAHzY81MnPTrVjxlZ2svws+EFnpt9D4vhfWLURTamxRLvKk4lyJCgHTBDkYxziursPjR4DsJr2ay8C+NraW+l867eLwrOpnk2hdz4HzHAAyewrKuviL8JbrR49HuPhb4ol06KdriO1bwfL5aSsxZnC7cBiSTkdzURlGMYq+3J/5L/Wn436XKLcpStvzf+Tf1/XXubz4f22u+A9c8P6h4T8N+HJNQj2I2iy+byBlHLGCIhg3Tg/XmvPl8SX3xD8IeH/hbdXRTxBJcPaeJgp+eOC1bbI5HbzcKy+oJrS8OfFX4aeHGmbQfh14y00zYEpt/Cs6b8dM4HvU1l8X/AId2Wt3uuWfw+8ZW+qXyqt3dx+E5llnCjCh2C5bA9apShzavTT71t8u/cXLK2i11/Hf/AIHZlC40Nrz9ozxNa2Pg/wAMa7FbaBpyrDq8/kpAu6YDy8W8vYYPC9B17Wv2gfDmnalY/Dfwxf6XaWVjda+kU9nYOVijJjcnYQqdG5B2j6VU134ifCXXdTbU9Y+F3iq+vmQRtcTeEZmkKjopbbkgZNW4viv8NY7XTrVPh14wEGmS+dYp/wAInMRbPz8yfL8p5PI9aSlFpKT6p/jcbjK7cVurf+S2OV+Iuuarptn4e+HHi6czaxpviWxk069f/mJ2P7wJL/10TGxx1yA38VenaFLHB+0t4ngmYRy3Xh3T2gVuDKElud5X1xuXPpkVgaz8X/h3rVxZXGr/AA+8Y381jL51pJceE5naB/7yEr8p9xUXiP4sfDXxIkSa98OvGGpCE7ovtPhOZyh9iV4pxqpLV3d3f5pL79Lvv5dFKDd0lpZfhK/3du356xZLz9pXXZbZlmSy8IwQXLKciKRpp2Cn0JXnHpiuc/Zt8PPdeBtKvZvAXg26tjf3jHU57jN7xdS/N5f2UjIIwP3vQdR0rS0L4v8Aw70Kwax0b4f+M9PtmJLRW/hSZFYnrnC81i23jT4L210t1b/CTxLDMsnmq8fg+ZSHzndwvXPNEJxjZX/q7f69wnGUk9Ov5RUf0PoiivI/+F/eF/8AoVfH/wD4TVx/hR/wv7wv/wBCr4//APCauP8AClzx7hyS7HrlFeR/8L+8L/8AQq+P/wDwmrj/AAo/4X94X/6FXx//AOE1cf4Uc8e4ckux65RXkf8Awv7wv/0Kvj//AMJq4/wo/wCF/eF/+hV8f/8AhNXH+FHPHuHJLseuUV5H/wAL+8L/APQq+P8A/wAJq4/wo/4X94X/AOhV8f8A/hNXH+FHPHuHJLseuUV5H/wv7wv/ANCr4/8A/CauP8KP+F/eF/8AoVfH/wD4TVx/hRzx7hyS7HrlFeR/8L+8L/8AQq+P/wDwmrj/AAo/4X94X/6FXx//AOE1cf4Uc8e4ckux65RXkf8Awv7wv/0Kvj//AMJq4/wo/wCF/eF/+hV8f/8AhNXH+FHPHuHJLseuUV5H/wAL+8L/APQq+P8A/wAJq4/wo/4X94X/AOhV8f8A/hNXH+FHPHuHJLseuUV5H/wv7wv/ANCr4/8A/CauP8KP+F/eF/8AoVfH/wD4TVx/hRzx7hyS7HrlFeR/8L+8L/8AQq+P/wDwmrj/AAo/4X94X/6FXx//AOE1cf4Uc8e4ckux65RXkf8Awv7wv/0Kvj//AMJq4/wo/wCF/eF/+hV8f/8AhNXH+FHPHuHJLseuUV5H/wAL+8L/APQq+P8A/wAJq4/wo/4X94X/AOhV8f8A/hNXH+FHPHuHJLseuUV5H/wv7wv/ANCr4/8A/CauP8KP+F/eF/8AoVfH/wD4TVx/hRzx7hyS7HrlFeR/8L+8L/8AQq+P/wDwmrj/AAo/4X94X/6FXx//AOE1cf4Uc8e4ckux65RXkf8Awv7wv/0Kvj//AMJq4/wo/wCF/eF/+hV8f/8AhNXH+FHPHuHJLseuUV5H/wAL+8L/APQq+P8A/wAJq4/wo/4X94X/AOhV8f8A/hNXH+FHPHuHJLseuUV5H/wv7wv/ANCr4/8A/CauP8KP+F/eF/8AoVfH/wD4TVx/hRzx7hyS7GPr3/J8Xh3/ALEqb/0okr3SvkrV/izoc37V+i+Kl0HxaLSDwrLaNbtokwumYzO25YsbimD97pnNes/8L+8L/wDQq+P/APwmrj/Cjmj3Dll2OK+AWsaRoXxz+LtprWpWemXEupxSxx3cywl02n5huIyOR+dc34GXT/EOs/HfUIfFUWg6PqV1Dawa8r7Yo3C4OHyM88HB7123ij4hfCLxTcpdeJPhT4l1eeNdqSXng2SVgPTLLmr1v8Wvhtb6AfD8Hw58XRaSU2GyXwjKISvps24qE48iTe0eX8tfwKalzNpby5vz/Vnl3w2XQ/ht8S/CWh674U8KX2pXbtBZeIvC2ru8kpCjJuYCcnPUk8Z6A4rM8faHo/hXWPEvjvVz4N+J2i3V+0zSPrDW+r2BD7THHyQQhGAF547V6p4a8ffB7wzete+HvhN4j0q5YYM1p4MkifH1C5rDl1n4JzfEN/HE3wy8Yyak0IjMTeEXMG8MW87b5eTKc43E9AK09ouaLvtf/Pb5bqxCptJq3b+r/PzPofwbfW+peEtI1CziuIre4soZYkuCTIqlAQGJ5Jx1PetavIl+PvhVVCr4T8fAAYAHhm44/Sl/4X94X/6FXx//AOE1cf4U5VIuTdxRpyUUrHrlFeR/8L+8L/8AQq+P/wDwmrj/AAo/4X94X/6FXx//AOE1cf4VPPHuVyS7HrlFeR/8L+8L/wDQq+P/APwmrj/Cj/hf3hf/AKFXx/8A+E1cf4Uc8e4ckux65RXkf/C/vC//AEKvj/8A8Jq4/wAKP+F/eF/+hV8f/wDhNXH+FHPHuHJLseuUV5H/AML+8L/9Cr4//wDCauP8KP8Ahf3hf/oVfH//AITVx/hRzx7hyS7HrlFeR/8AC/vC/wD0Kvj/AP8ACauP8KP+F/eF/wDoVfH/AP4TVx/hRzx7hyS7HrledftAabpmseDYtPvZvDoupLpTYwa9fS29lPIAcrJ5RDONm8heRkA9qyP+F/eF/wDoVfH/AP4TVx/hWd4i+MHw88R6c2m6/wDD7xjqtmxDGC78JzSpkd8MpGamTi1uVFSTvY8z/ZgstLtfjF468Darpumym+sCZrfQbpptFEJKhlCt8ysc4yT3I4zTv+Fc+BPGn7Rll4e8EeF9N0zw/wCEJFvNav7RDme5BzHb7iemRz6gH0r0Lwx8VPhj4XtXtfDnw18WaRDIculn4RliDH32qM0/w38WPht4biuIvD/w68X6UlzJ5s4tPCU0fmP/AHmwvJ9zWiqRUoyv8K+99PkvzM3Tk4yVvif4dfvt8j0zVPEPhDUH1rwrc69aJcWti76jAlz5cttblcFyQQUGD97PFfMHh/w/4G8W/G/w9rXwtksvC/h7QLn/AE7V2vfLl1aUMD5MaO2+QHG0seCGPXgHutD8cfDHTNR8R6jL4M+IeqXfiN2/tGW/8NTSmSMjHkgBABGB/Dj65qva+IPgJa3MVzbfBHWIZ4nEkcieB3DIwOQQdnBBqac1GcZt6r8/1S/PyLnFuEoJb/l/wfy8zzf4w+HZ9I1j4i6p4s0jw34s+1tLJp2sT+J0hudJAU7I0gILlwSuFUAZGM12raHdeJfg34Aj19vBt34nTTd5tPGWo3EUb25HDiONhukztGWHAJror3xz8Gr3Xjr158IvENxqrP5hvJfBcjSlvUsVyTVzxR8TvhZ4phhh8SfDHxVq8cP+qW88HyyhPpuU4qYuKp8t+34X/HXf797jkpOfNbv+Nvw0OX/Yz8TaB4d8AeLYdWvDYQaPqJN7dveCTTkySALdv4V9uc8cmtr9pLw1Z+Ptf8H3+l654CnW0hku1svEV68cF5C4wGAjGWXJB6jtV8fE/wCFq+G38NL8MfFS6LIu17AeD5RAw9024NQ678RvhLr2nWuna18K/E2o2dmoW2gufB0siQgDACgr8ox6VVScZtNva34K3+RMIyjfTe/4/wBM4jwD8V5PDPwa8UDwt8P9L0/VtP1Qacj6GJbiwlmfj7QMBnKqOcDOcds1ifADU/C+i/tPCKyvtb1GbUtISO4vbzT7hJbm9cgySOrqCik55IAHrXs2ifGfwFoenR6do3gPxpp1nEMJBbeFJo0X6BVxUSfGD4eJ4gfxCvw/8Zrq8kIge9HhSbzmjHRC+3OPaqjUipqTd+n/AJLb89fu3siZU5ODilb/APaT/wCB9/c9tk+430NeHfsMf8m56P8A9fl5/wCj3rVf4/eFyhH/AAivj/of+ZauP8K8o/ZM+LWheFPglpmjX2geLryaO5uWMthok1xCQ0zMMOowTzz6Gp5l3K5Zdj1v9ruGWf8AZ78UrDE8hW3DEKucAMCT9AK4L4qeLvCs/wCxulnb+INMmuZ9DtreKCO5VpGl2KNgQHOc+3FdxL8evCksbRyeEfHrowwyt4ZuCCPQjFcnYeMPgjYasurWXwb123v1cutxH4JdXDHuCE61D5ZKUW9JW/C/+ZS5k4yS1jf8bf5HOeO/BT61ofw9Da/4VfUNG8O24ufCfiW6aG3nBjA8z5WBDg8DIxx1qHw3deGfGvwP8VeDdFmtfhhPFq4tJm/tP7Rp8lwSP3cUoIAjfuF9e9dx4q+JPwn8VPE/ib4W+KNYeIYja98HSylB6AspxRN8SvhXJ4Yk8Mf8Ky8VLozrg2S+DpPJHvs27c/hVzqKXPf7Tbt87/1uvyIhTlHkt9m2vorbf0zlfgFc6H4W+Mdn4MufBfh6x16XTXZNX8L6q09ndRrnJliPKnjgtznsBX1LXzl8L/Gfwo+HGix6b4Z8A+OomVcSXknhWX7TPznMjqg3V2P/AAv7wv8A9Cr4/wD/AAmrj/CrnVi7a7f5kxpSTen9WPXKK8j/AOF/eF/+hV8f/wDhNXH+FH/C/vC//Qq+P/8Awmrj/Co549y+SXY9coryP/hf3hf/AKFXx/8A+E1cf4Uf8L+8L/8AQq+P/wDwmrj/AAo549w5Jdj1yivI/wDhf3hf/oVfH/8A4TVx/hR/wv7wv/0Kvj//AMJq4/wo549w5Jdj1yivI/8Ahf3hf/oVfH//AITVx/hR/wAL+8L/APQq+P8A/wAJq4/wo549w5Jdj1yivI/+F/eF/wDoVfH/AP4TVx/hR/wv7wv/ANCr4/8A/CauP8KOePcOSXY9coryP/hf3hf/AKFXx/8A+E1cf4Uf8L+8L/8AQq+P/wDwmrj/AAo549w5Jdj1yivI/wDhf3hf/oVfH/8A4TVx/hR/wv7wv/0Kvj//AMJq4/wo549w5Jdj1yivI/8Ahf3hf/oVfH//AITVx/hR/wAL+8L/APQq+P8A/wAJq4/wo549w5Jdj1yivI/+F/eF/wDoVfH/AP4TVx/hR/wv7wv/ANCr4/8A/CauP8KOePcOSXY8w/ab0/4aa3repeE9D0601b4jao6M95c35SPSUBXMjyO22MAD7i8ndnHr0fjLwdYSfDPwb4dl8QeCfE2s2Fuyo/ifVJltLmPje6rE37xlbYAWzgZ6ZqPWPFnwP1nU59T1b4Na7fX1w26a4uPBUjySN6liuTVi78dfBu70O20K6+EfiGfS7Ulre0k8FyNFET1KqVwM+1TFpU+W/VP7u39a/dapKTmnbo/x/r5GF+xfrmj6DonjvT9QmFomkXomvbmG783S4kO7/j3P8K8HOck8c8Vu/tG6LpnxLPgq/wBD8ReBbiGFpr6G31+8eO3v4SoQldgywBI6Edqh13xz8L9S8DXHgu18E+P9E0W5KieDSvC8tv5iBgxQ4Q4VsYOMHBPIq3qXxD+EmqaFZaHqnws8UX+m2KhbW2ufB8siRADA2hl4qpzjO13ty/h1/L8SYxlFvTfm/H+n+Bg/BDXfBOo/D7x34e8TeHNA8MaPo11Guq3uhXsi2N382RsfO/qoGATuBx3xWX8CvDvh3WPjynj7wObPwl4Qht2trSwF2qz6w5VlLmDdlU53fMM5UcdSO3b4lfClvDLeGD8LvFH9iNjdp/8Awh0vkNggjKbcHkA/hWbo3i34H6LqkGqaR8G9dsL63bdDcW/gqRJIzjGVYLkVUakVPmv0t+Fm/wDJbL8k6cvZuKW7v+N/+He5heMLfwnoH7YvgK+sdWgPmxX8moXFxqRm2v5LABmdiE64C8D2r6RfxN4cbxFF4ZbWLI6vcQGeOy80eZJFjlgO4xXgt74j+A97dy3l58E9ZnuJnLySyeCHZnY9SSU5NdBF8WPhrFrVvrUfw58XpqdtB9mgux4SmEscWMbFbbkLjtUwlFU4wb2v+N3+bS9BzjJ1HNLt+H/Av8zzn40/Db4f+I/ilovwq8C+EtKstRuJRf6/qVvGfMs7VTkgHOAz9PxA71P+0L4msb/WL74eatBrOl+ENA01mVbbT7iUapdLGfKRnRSqxI2GJJ5IHSu/0v4sfDXS9ZvdZ034c+L7TUr85u7uHwlMss/OfnYLlvxrRu/jt4PvLSa0uvB/jye3mRo5Y38MXBV1IwQRjkEVDs6ajfu369Pu6eepST5+a3ZL03f39fLQg/Yx1mx1P4E6LaWnn+ZYR+TP5kDou7k/KWADD3Ga4H/gpH/yS7w3/wBhv/2hJXfaJ8afAmiaZDpmj+BfG1hYwDbFb2/hadI0HoFAwK8L/bh+JWj+Nvh/odjp2jeJbCSDVfOZ9T0mW1Rh5TjCs4wTz09K3qVYzldGMKcoRs0fRvi7xHY+E/Cl54h1Nbh7Oyi8yVYFDOR7AkD9RUekeIb6/nCSeE9fsIyhcTXLWuw8ZA/dzs2T24/KsL46aZqGs/CDXtM0qznvLye12xQQrudz6AetO8FXFrb3JWNfHkz+RyurW9yYhtGcLvUDd2HrXz8op8z63Z73M1yJdV/kSxfE3wy3g+78SvJeQx2lw1pPYyRgXi3Ibb5HlhuZCegzg8HOKnvfHKw682h23hvxBf38dkl5PFbrbjyUY4AYvMoLZ4wua83vPCniq68SH4vpoirqUFwHh8OPAokktVG3e3/T2VGQe3C9q6f+xPEGrfFa+1qyvtW8P2NzocCCYWcRZ335MZEqttYA8gYNPkjZd+vlpt/Xp01TnLX8PPX9F/mbE/xO8Pjw3pmuWcOp38epXw0+G2ghVZ1uS20xusjIFIYEHJxxWza+Ipmsr281Lw/rOkQWkRlZrs27bwOoURSvz9cV538SPA66R4S8MaX4fs9aure08QxX19NaF5bvBk3yzZX5txJJ4H0FdLbBbvwlr2n6fH4uuJpLR9g1qGcMzFcBYzIBn6CoqKPs5Sh5/kv+CXBv2sYy2dvzf6WND4d/ELQPHXh+bWdFa8iSDma2u4vLnjG3cpK5IwykMCCQQRUEXxK0Kfw7oWsWtvqdy2vOY9Nso4l+0TMOowWCLjuSwFcTZ+D/ABFovw+8L+JfD2nSL4n07QoLLU9Mf5DfwiIBomH/AD0U52k9+Kl8M+HLWP4NeFdF8Y+E9dmlt4i26yhc3VhLnII8s+YjHjlQQO9a1KdNSlyvRNL87/fpb7jKnUqOK5t2r/l+XXy1O61rxzZ6L4RvvEmsaRrdjFZOEmtZYU84k4xtw5jYHI5Dkdjggir2leILy8mZbvwxrmlQJG0jXF41sYwAM4/dTO2fwryTxJo/jnVvhF4w0ua313UraS7T+w0vox/aLQAqW3KPmwG3bdw3YxmvQfCE1qlxPFDH45uneA5TWYZxEcdlMoChjnHXmolBKLa3/wCAn/n+Ram+aK/rct+G/HFv4gFrc6boevPpd27JbamYI/s8mCRuwHMiqSDhmQD1I4rqVkVmZVkBZfvANkj6143a6Xf6f4l0hvh1pPirQ45b7zNX0++hePTEhI/eYEhKhs9PJJycnpXougQ6fH4o16S18N3WnXTyRfab+WIKl+dgwyNuJbaMKeByKU4R3X9bf57r7hwm72f9b/5bfidDuPqaNx9TSUVibC7j6mjcfU0lFAC7j6mjcfU0lFAC7j6mjcfU0lFAC7j6mjcfU0lFAC7j6mjcfU0lFAC7j6mjcfU0lFAC7j6mjcfU0lFAC7j6mjcfU0lFAC7j6mjcfU0lFAC7j6mjcfU0lFAC7j6mjcfU0lFAC7j6mjcfU0lFAC7j6mjcfU0lFAC7j6mjcfU0lFAC7j6mjcfU0lFAC7j6mjcfU0lFAC7j6mjcfU0lFAC7j6mjcfU0lFAC7j6mjcfU0lFAHj2rk/8ADYug8n/kT5v/AEfJXsW4+prxzV/+TxdB/wCxPm/9HyV7FW1XaPoY0t5eou4+po3H1NJRWJsLuPqaNx9TSUUALuPqaNx9TSUUALuPqaNx9TSUUALuPqaNx9TSUUALuPqaNx9TSUUALuPqaNx9TSUUALuPqaNx9TSUUALuPqaNx9TSUUALuPqaNx9TSUUALuPqaNx9TSUUALuPqaNx9TSUUALuPqaNx9TSUUALuPqaNx9TSUUADMdjcnof5V49+xuT/wAKC0nk/wDH3d/+jmr2BvuN9D/KvH/2N/8AkgWk/wDX3d/+jmrWP8OXqv1MpfxY+j/Q9i3H1NG4+ppKKyNRdx9TRuPqaSigBdx9TRuPqaSigBdx9TRuPqaSigBdx9TRuPqaSigBdx9TRuPqaSigBdx9TRuPqaSigBdx9TRuPqaSigBdx9TRuPqaSigBdx9TRuPqaSigBdx9TRuPqaSigBdx9TRuPqaSigBdx9TRuPqaSigBdx9TRuPqaSigBdx9TRuPqaSigBdx9TRuPqaSigBdx9TRuPqaSigBdx9TXzf+36T/AMK18P8AP/MYP/ol6+j6+cP2/f8Akmvh/wD7DB/9EvXRhf4sTDFfwmev3vh/433F5NNour/D+PTXctaJdWd20yxE/KHKuAWxjOOM1D/wjX7QP/Qb+Gn/AIA3n/xyu2+Iet+IfD/wxfVPDGlPqepRxxBYliaUohIDSCNfmfaMttHJxis7wDrt54u0i8fQfiVo+s5RCk8OmhJ7RjztkhL5GR2YKwr1/q9KV/dPJ9vUSXvHNf8ACNftA/8AQb+Gn/gDef8Axyj/AIRr9oH/AKDfw0/8Abz/AOOVoeCNS+IGt+O/Feg3PjCzSDw/dwQq6aOm6dXiWQ5+fj72OKn+KfjbxZa+I5tF8CW9nd3Gj2B1PVlmiMhdOdlumCNsjYzk5wCDik8PRSTaWuvyte/3DWIrNtJ7fntb7zI/4Rr9oH/oN/DT/wAAbz/45R/wjX7QP/Qb+Gn/AIA3n/xyum8T/EkNpfhL/hEYIL698XOv9nPclhDFGUDtJJt5O1T90YyeM1HY69eaf4vs9F1L4reF72+Mwin0qS2jgnckdIwJSwb0BBzTWFp8zjy9bfMn61Utfm6XOd/4Rr9oH/oN/DT/AMAbz/45R/wjX7QP/Qb+Gn/gDef/ABymQ/ES/vPHni7RtT+I/h/wtFpOpraWVtc20RkmjMSNuJeQE/MxHA7V7TZCRbOFZrhbiQRrvlVdokOOWAHTPXFJYak4qXLvZ/erjeIqqTjzbHjP/CNftA/9Bv4af+AN5/8AHKP+Ea/aB/6Dfw0/8Abz/wCOV1Pxs8Wa74Ts9JuNOja10ye5K6rqwsnuxp0IAw5iTkgnjd0GOaz9X+IkugfDU6/aa5o3jK4ur5LHTLizxFFLLIdoWTazAbW3Zx2A4zQsNSa0j5fPT/MbxFVW97+v6Rjf8I1+0D/0G/hp/wCAN5/8co/4Rr9oH/oN/DT/AMAbz/45XQeK2+J3hrwrdeJF8R6Nq09jEbi405tNMMUqDl0SQOWU46Eg9ORTtP8AiDd6x4v8Aw6dGkWk+JdGuNRlSVMyoVWJkAOeMbyDxzTjhaUnZRV/+A3+jE8TVSvzf1p/mjnf+Ea/aB/6Dfw0/wDAG8/+OUf8I1+0D/0G/hp/4A3n/wAcrsvHfirVdG+I3gjQbPyPsetS3S3e+PLYjRCu0545Y+tcRpXxY8SWPxE1/wD4SWCx/wCELtta/saO7hjKyWM3lRurzEnBjcyEbuNpA9aI4alJpKPf8Gl+bVhyxFWKvzf1r/kyX/hGv2gf+g38NP8AwBvP/jlH/CNftA/9Bv4af+AN5/8AHK1rnx9r0d58UY0+yFPDKRNp37o/xWyyHfz83zE+nFVYtb+JFn8LLD4grrmmavnTYdRutLk07yA8bIHdUkVyQwBOMgg45qfq9G3M46WT++/+Q/b1rpJ6u/4W/wA0U/8AhGv2gf8AoN/DT/wBvP8A45R/wjX7QP8A0G/hp/4A3n/xyvWvC2sW3iHw1puvWaulvqFrHcxq4+ZVdQwB9+a8t1z4na9a+LLrWbSO0k8B6XqkWj38oiLStM65edXzjy0Zo0Ix1Lc8VbwtNT5HHX/g2/NpELFVHHmUtP6f5alf/hGv2gf+g38NP/AG8/8AjlH/AAjX7QP/AEG/hp/4A3n/AMcq98XfHXjbQfiHomkeErKx1C0Ol3GqX9rIhM1zFE8alYmBwGw5Ycc4xWjL8SDqfi/4fReHLi3n0TxJBeyzs8eZAYRHhevysGZgw55GO1THDUpWtHe/4X/yf3DeIqp25vP8L/kzA/4Rr9oH/oN/DT/wBvP/AI5R/wAI1+0D/wBBv4af+AN5/wDHK0vBer+PvGV94sks/E+n6ZHpGtS6fawHShKrKkcbguxcHkuQcV03wl8Y3fi3StSi1axjs9Y0bUJNO1COFiYmkUKweMnnayspweRyPeiOGpNJ8vRP5O3+a+8csRVi2ubrb5q/+TOH/wCEa/aB/wCg38NP/AG8/wDjlH/CNftA/wDQb+Gn/gDef/HKk134g30fxY8R+Gb7x9oXhOw021tJbT7Zbxs9wZfM38u6527F6f3qu/FfxZ420Gy8F6f4QvtJ1XVNavXja4uYNsVyiQvLhQrYXcEwDk4zmj6vS5VLlB16qk4823+VzO/4Rr9oH/oN/DT/AMAbz/45R/wjX7QP/Qb+Gn/gDef/ABytHVfitNeeGvCOraDHHBNqPiKLSNVtLqPMlq3lyGSIjI2sCi4PoQe9L8R9T8e+H/FPhewsvFtmbfxBqzWREmkKTbp5MkgIO/5j+7A59af1Wl/L1t+T/VC+s1LX5ul/lr/kzN/4Rr9oH/oN/DT/AMAbz/45R/wjX7QP/Qb+Gn/gDef/ABytD4o+KvEfgufwfpd34v0y0XV9RmgvtWu7FESKNYXdcKXCg7lAyT3q5rPi3UNK+EXijxZpPjLSfFU1havJbT29sgijdByrbHO7qO4qXh6Ki5cuxSr1nKMb6v8Ar9DD/wCEa/aB/wCg38NP/AG8/wDjlH/CNftA/wDQb+Gn/gDef/HKZ4d+ImvXWseF7fRvFejeN5NUZBqljY2qq+nQsm5p2kjdggVsLhwMlgBzWr8QNS8faD4v8LaVZ+LrNrfxBqclod+jqWt1EEkoIO/5j+7A59at4WndLl62+f8AXyIWKqNN83S/y1/yM3/hGv2gf+g38NP/AABvP/jlH/CNftA/9Bv4af8AgDef/HK7Txvr+reC/AZkmv4dY8QXU6WenZtxEJriVgqDYpPyrks2D91WNVvht4s1q/tfEGheJzbf8JLoDlbhoYjHFPGyloplUkkKcHjPaodCilJ8u36Wv+a+8pV6unvbnKf8I1+0D/0G/hp/4A3n/wAco/4Rr9oH/oN/DT/wBvP/AI5Ve9+JfjSf4AeG/FWmyaXF4i1q/tbISTW5MCGa4EedgOcYPrV/W/ixqkfwp1LVIrW307xbo1/aWOqWE671heS4jjLKMgsjKzFW7/hVvC0rtcuzt+X+a+8SxNV297f/AIP+TIP+Ea/aB/6Dfw0/8Abz/wCOUf8ACNftA/8AQb+Gn/gDef8Axyk+J/xN8V+FvidZ2dnDZT+HLPSk1LWUMJM4hMyRPIjA8BA+88dFNbHx2+ImreHfDyweCfsdxrc9jNqSyTr5kUFpDGZHkYAjIbAQc/eYVDoUVDncdLtfd+mj+5lKvVc+Tm10/H/h196Mj/hGv2gf+g38NP8AwBvP/jlH/CNftA/9Bv4af+AN5/8AHKXxd8R9asYvh0sviDSfD8HiKF31C/urdWSIrAZBt3MAMsAOT3rW8VeMdT0L4LeJPGGkeLtJ8U3FnbvJaXUNughR1GNpCOQ2D7iqnhacea8dv0diYYmrPltLe34mR/wjX7QP/Qb+Gn/gDef/AByj/hGv2gf+g38NP/AG8/8AjlWbP4m69a+APFlpr8Vna+N/DukTXwVUP2e8jEZaO4jUnJQnAYfwnip/H/iLxtp/wem+IOl+ILO3kt9FW9ayfTRIkkgj3H5t4IBP5UnhqSu+XRW/G/8AkxxxFWVrS3v+Fv8ANGf/AMI1+0D/ANBv4af+AN5/8co/4Rr9oH/oN/DT/wAAbz/45XpXgm38QrZJea54gi1QXEKOiJYLb+WSMnkMc10VVLC0ou3KTHFVJK6keJ/8I1+0D/0G/hp/4A3n/wAco/4Rr9oH/oN/DT/wBvP/AI5XtlFT9Wpfyj+sVf5jxP8A4Rr9oH/oN/DT/wAAbz/45R/wjX7QP/Qb+Gn/AIA3n/xyvbKKPq1L+UPrFX+Y8T/4Rr9oH/oN/DT/AMAbz/45R/wjX7QP/Qb+Gn/gDef/AByvbKKPq1L+UPrFX+Y8T/4Rr9oH/oN/DT/wBvP/AI5R/wAI1+0D/wBBv4af+AN5/wDHK9soo+rUv5Q+sVf5jxP/AIRr9oH/AKDfw0/8Abz/AOOUf8I1+0D/ANBv4af+AN5/8cr2yij6tS/lD6xV/mPkDVdG+Lq/tT6NZzan4JPiJvC8rwyra3P2QW/nOCGXfv35zyDjGOK9T/4Rr9oH/oN/DT/wBvP/AI5VfXv+T4vDv/YlTf8ApRJXulN4em94iVeotmeJ/wDCNftA/wDQb+Gn/gDef/HKP+Ea/aB/6Dfw0/8AAG8/+OV3Xw78Salruv8AjOxvvJ8rR9ZFla+Wm0+X9mhk+bnk7pG59MVzs3jnxYdW+Jdnpelw6rceHTbjSrSNCHlLwI7Bjn5uWJAGOmKl4eklfl6c3y0/zLVeq5OPN1t+NjH/AOEa/aB/6Dfw0/8AAG8/+OUf8I1+0D/0G/hp/wCAN5/8crc+FPjK78SW8k8fjPSteu47QvdaR9gNld2k4yNhjZt6jcGX517Ag1zHgbxdqviLxba3esePrTw94jile0uPCN9ZtAoG4kBA7K0rldrCRdwweKv6pT5lHl/r9fkR9aq8rlzf1+nzLf8AwjX7QP8A0G/hp/4A3n/xyj/hGv2gf+g38NP/AABvP/jle2UVP1al/KP6xV/mPE/+Ea/aB/6Dfw0/8Abz/wCOUf8ACNftA/8AQb+Gn/gDef8AxyvbKKPq1L+UPrFX+Y8T/wCEa/aB/wCg38NP/AG8/wDjlH/CNftA/wDQb+Gn/gDef/HK9soo+rUv5Q+sVf5jxP8A4Rr9oH/oN/DT/wAAbz/45R/wjX7QP/Qb+Gn/AIA3n/xyvbKKPq1L+UPrFX+Y8T/4Rr9oH/oN/DT/AMAbz/45R/wjX7QP/Qb+Gn/gDef/AByvbKKPq1L+UPrFX+Y8T/4Rr9oH/oN/DT/wBvP/AI5R/wAI1+0D/wBBv4af+AN5/wDHK9soo+rUv5Q+sVf5jxP/AIRr9oH/AKDfw0/8Abz/AOOUf8I1+0D/ANBv4af+AN5/8cr2yij6tS/lD6xV/mPE/wDhGv2gf+g38NP/AABvP/jlH/CNftA/9Bv4af8AgDef/HK9srw7Q/HfihLmaXxt4jufCqjVmtoYrnwpcLbPFvAjzdMPLG/pkt1oWHpOSjy/1ov1G8RVUebm/r+kS/8ACNftA/8AQb+Gn/gDef8Axyj/AIRr9oH/AKDfw0/8Abz/AOOV7NcXNvbWcl3cTxx28UZkklZgFVQMliewxzXk+k/EHxVq/wASPDfkWsFl4T1qW5htYri3YXVwsULuJySfkViowpGcZzimsNSbty/1/X9bieJqqPNzFH/hGv2gf+g38NP/AABvP/jlH/CNftA/9Bv4af8AgDef/HKl1f4nXt/4q8RWNnqk+h6X4fmNvPcQeHrrU5JJFGXZzEhSJAOmTk9eAKveMPF/iXzvCEnhjU5r3QdSgkkvta07QZdRHCZjYRw7toZsDoetSsPSaT5d7fjsN16qdnL+kZn/AAjX7QP/AEG/hp/4A3n/AMco/wCEa/aB/wCg38NP/AG8/wDjlehfDLXrfXtDluIfE0WvyRTtFLILE2ckLD/lnJC3zIw9GANZHi/xLr1x8StO8BeHLm10+WWwk1G8v5oPOMcasFCImQCSxHJPA7U3hqV0uXf/ACv+Qlialm+bb/O35nKf8I1+0D/0G/hp/wCAN5/8co/4Rr9oH/oN/DT/AMAbz/45TdT+Kfibw6vifw/qEFjqOvabqNlY6fdCMxQ3Au2VY3kQE4K7hkA844xXQz+IPF3hPx/4X0TX9Us9c0/xC8tuJYrIW0ltOkZcEAMQyEDHPIprDUnayVnt62vb8geJqq93t+Xc59vDX7QO051v4a4wf+XG8/8AjleW/sq6L8Xb34LabN4T1TwTBpRubny01K1uXnDeawbJRwuMg446V9fSfcb6GvDv2GP+Tc9H/wCvy8/9HvR9Xp2tyi9vUve5N/wjX7QP/Qb+Gn/gDef/AByj/hGv2gf+g38NP/AG8/8Ajld78ZvEWo+E/hhr/iLSfJ+22Fm80PmpuTcBxkZGam+JuvX/AIe+F+veItP8r7dY6ZLcw+Yu5N6oSMjuM1MqFGMXJx0Rca1aUoxUtX/wP8zzz/hGv2gf+g38NP8AwBvP/jlH/CNftA/9Bv4af+AN5/8AHKs+M/iF4h0xvCbXd5D4f0PVNPSa9199Pa5hiuWA2wsAdsSnOd7nHbNXvHXjXxBofgDRtY07ULHV7K6uAuoeINPs3uYbW1P/AC8iGMsW464JUcnpVSwtKN7xWjt+Nvl8+muxMMTVla0t1f8AC/8AVvTcyP8AhGv2gf8AoN/DT/wBvP8A45R/wjX7QP8A0G/hp/4A3n/xyuu+DFys2kXMdr8QrHxrZxyZS5jwZ4mb5ikhDt68AgEDjHFd9Q8LSX2RLFVX9o8T/wCEa/aB/wCg38NP/AG8/wDjlH/CNftA/wDQb+Gn/gDef/HK9sopfVqX8o/rFX+Y8T/4Rr9oH/oN/DT/AMAbz/45R/wjX7QP/Qb+Gn/gDef/AByvbKKPq1L+UPrFX+Y8T/4Rr9oH/oN/DT/wBvP/AI5R/wAI1+0D/wBBv4af+AN5/wDHK9soo+rUv5Q+sVf5jxP/AIRr9oH/AKDfw0/8Abz/AOOUf8I1+0D/ANBv4af+AN5/8cr2yij6tS/lD6xV/mPE/wDhGv2gf+g38NP/AABvP/jlH/CNftA/9Bv4af8AgDef/HK9soo+rUv5Q+sVf5jxP/hGv2gf+g38NP8AwBvP/jlH/CNftA/9Bv4af+AN5/8AHK9soo+rUv5Q+sVf5jxP/hGv2gf+g38NP/AG8/8AjlH/AAjX7QP/AEG/hp/4A3n/AMcr2yij6tS/lD6xV/mPE/8AhGv2gf8AoN/DT/wBvP8A45R/wjX7QP8A0G/hp/4A3n/xyvbKKPq1L+UPrFX+Y8T/AOEa/aB/6Dfw0/8AAG8/+OUf8I1+0D/0G/hp/wCAN5/8cr2yij6tS/lD6xV/mPE/+Ea/aB/6Dfw0/wDAG8/+OUf8I1+0D/0G/hp/4A3n/wAcr2ysbxpcXNp4fmubfW7DQxGVMt9eRh44UzycFlGeg5OOaTw9JfZGsRVb+I8s/wCEa/aB/wCg38NP/AG8/wDjlH/CNftA/wDQb+Gn/gDef/HK6D4ReMNY8ReJ/EOmSapp/iLRdP8AK+y63Zw+SkkrZ3w4BKuVwDuU45xVj4t694t0jW/DltoK3kOmXcsy6neWuiTak9uqoSnyRAkZbAzjvTeGpJJ8u4liKrv72xy//CNftA/9Bv4af+AN5/8AHKP+Ea/aB/6Dfw0/8Abz/wCOVp3vxJ/sv4Zalrun69b+J9SivodPjSWxaxaCeaVIlSaJvnTBfccgEgVPqXiPxh4M8UeFrfxFqtlrWm69O9nMYrH7PJazCF5VZcMdy/IVIPPIPtR9Xo/y/wDD2v8AqvvQfWKvfv8Ah/X4GL/wjX7QP/Qb+Gn/AIA3n/xyj/hGv2gf+g38NP8AwBvP/jlJF428fal8LNR+KVhfaXb2VvHNeW+jPZ7/ADbeInIabcCHZVbkDAOODXreiatDqfhu01tUaOK4tVuNp6qCucUPDUkm3Hbfy/qz+4PrNW6Slvf8N/zR5L/wjX7QP/Qb+Gn/AIA3n/xyj/hGv2gf+g38NP8AwBvP/jlNj8b+P9Q+FF98VbG90uCyghlvbfRXs93mW0RJKtNuBDsqtyBgHHFbel+MPEfjjxld6N4avrbQ7HTtPtrq4uJbQXEssk67lQKWAVQAcnnJxT+q0725devl/VvvB4mpa/Np/wAFL9UY3/CNftA/9Bv4af8AgDef/HK8G/bW0r4maf4B0R/G+oeE7mzbVMQrpFtPHIJPKfljIxG3APTnOK+rfg74s1PxRo+pw63DAmq6PqU2m3T24IimaM48xQSSMjtnivEf+Ckf/JLvDf8A2G//AGhJTVCnFqUV5r5idepJOMn5fcfRlzbatdeG7VNF1OLTrxUjZJJrbz42AxlWTKkg9OGU+hrn/C/gS8tPiDeeO9e1azvNXuLJbEJp9ibSARKc5cF3aR89y2AOAK6FX0fT9Aj1DVJbO0to4VeW4uHWNEGOrM2APxqLQdY8H+IGlXQdY0XVWhAMosruOYoD0zsJxWq3utzJ7Wf9dSl4T8HtoPjHxX4h/tAXH9v3MM4h8nb5HlxLHjduO7O3PQVhaB8I9EjvNW1XxNM+uazqt5JcXF2jy2w2E4jiCJJ91EwvJOcZrfj8WfD2TUhpkfijw098ZfJFsuowmUyZxs27s7s8YxmtjU20XS7GW+1KWysrSIbpJ7h1jjQepZiAKWlk/K3y0/yQdWvO/wAzzfTPgra2GjJplt4gubZdL1eTUvDk0EA8zS1c7jB85YSx5JGCB8vHvWrf+B/FHiDW/D974q8TaVcQaJeLexR6bpT2zzSqONzPPINvqAoPuK6bQNY8IeIDKug6vourGHHmiyu459memdhOKqal4r+H2mX8lhqXijw1ZXkR2yQXGowxyIfQqzAiqu018vw6/lr94b3+f47/AJswtJ8EeLdA8UeJtW8P+JtDSDXr8Xrw32jyzPEwjSPaGS4QEYQH7vetWW58aS/ETStPhWJNDtrBpdWufs21LmduESLJJGMFjycAgZNb91Jodppx1K6msYLIIHNxJIqxBT0O4nGPen3q6TY2cl7etaW1rEu+SaZgiIvqWPAFL4beWn3Ky+4H71/P/O5V8SWniO4MEvh7WbKwdCRLHeWJuYpQfZXRgR7Nj1BrhYfg1YXOgeIrTWNWkbUde1FdSmutPt1tY7a4QARvDHlsEBQSWLFiSSea9BvJNDs9NfU7yaxt7FI/Ma5lkVYlT+8XJwB75rKg8UeAZ9On1KDxL4clsbdgs9ymoQtFET0DMGwpPvS2v/XW/wCaQ73sYms+EPHXiDQz4f1zxxpw02ZBFdzafo7QXc8fcb2mdELdyqfTFWvEXw/jmm8OX/hnUF0TUfDcLW2nl4PPgMDKqmKSPcpZcIvIZSMdatQeNfhrcTpBB4w8KSyyMFRE1SBmYnoAA3JretTo13PcQWsllPNauI7iON1ZoXwDtYD7pwQcHsRVf1/X3/j5k6bf1r/w34eRy9n4L1W+8Z6b4q8W65aahdaVFLHp9tYWJtoIzJjfIweSRmf5QB8wAA6d6Xw98O7Gxh8Y2uqzx6pZeJ9Se8lgeDaI1aKOPZ1O7/V53cdenFaNz4n8BWuqnSbnxJ4ch1BXEZtZNQhWYMei7C2c+2K0NYuvDujQRz6xeabp0Ukgije6mSJWc9FBYjJPpStdeT0+9p/nYd9fPf7r/wDBPO/B3wbl8P8Ah/xlpMniu51EeIlEUM1xb5ktYViEcaMd37wqoAz8uQB9atRfDvxZdeBrLwPq3jLTxoUFpFZzHTdJeC6niRQu0ySTSKoYDnC59CK7+/bRdPjikvpbK1SWQRRtNIqB3PRQSeSewqz9hs/+feP8qN9/Jfdt+fz6gna1v6v/AMN8uhQn0drXwi2g+Hpo9K8qz+y2UhiMi24C7VO3I3YHvXCWHwN8FReBz4cvbea8nmt2W6vDPKvnTtlmmMYfaDvO7HbivSvsNn/z7x/lWJrniHwPoN2LPXNf0DS7koHEN5fRQuVPAbazA44PPtSlq3fd/wBf1/wBx0St0Oc8J/DfUNJ8ReGNb1PxMNUuNC0WfSWJs/LNyrujK5O84KrGFPXJ546VUtvg/aWPxdtPG+l61LaafB58zaMIAYhcTBVeVGyNm4IuVwQSM8ZNdpqureEtJ0+DUdU1bRrCyuMeRcXN1HHHLkZG1mIByOeKl0K+8M69avdaHqGl6pbo+xpbO4SZFbrglSQDyOKu75ubqr/i7v8AF/1oTZWt3t+Ct+Whxvh/wJ4x8N3viFtB8WaLFa61qcmoMLnRZJZoGdEQhWFwqnAQEZXqeQa6X4d+DtP8F6NPY2dxcXlxd3L3l9eXJBluZ3xudsAAcAAAAAACtGS48Px6tHpEl1pyajJGZY7RpVEzoDgsEzuI98VU17W/Bvh+SOLXta0PSZJQWjW9vI4C4HUgORmpTskl2t8l0/D8PIb1bb73+b6/j+JzjeCfE+n/ABD17xb4d8RaPANagtopba/0qSfy/J8zBVknj6+Yc5HYVf8AEPg3UNf1fwfq+pavbLd+Hr17uYW9myx3JaJ49qhpCY/v55LdK2ze+GhpcOqG+0safOVWK689PKkLHChXzg5PAweTU98dFsRCb2SytRPKIYfOdU8yQgkIuerEA8Dng01dWXYG73fdfha35Hn/AI1+D9prvxC0nxdp2tS6T9nvYrzUbJIA8V/JErLG55GxwHYFucg4I4FdP448IHxLrvhbUxqAtf7B1I3xj8nf5+YZI9mcjb/rM556dK2Yjos1/NYRSWUl3AqvNArqZI1bO0svUA4OCeuDWdq/iDwRo+oLp2ra9oGn3rBStvdXsUUhBOAQrMDyelKPupJd7r10/wAgl7zbfaz9P6ZmfEbwbqXiTW/DOtaRrFpp15oF5Jcxi6smuI5d8TxlSFkQjhyevajxJ4W8SeKfAOv+F/EGu6T5mp2rW8NzY6ZJEIQw5LI8z7+3QrWxrur+EdBjhl1zV9G0tJ8+S15dRwiTHXaWIz+FaUFvp9xCk0EcEsUihkdMMrA9CCOooto0NSakpdUchr/w+a+Xwte6bqy6drXh541jvhbb/PgC7ZYXXcPlce/BAPOKv+M/CDeIvEnhXWP7QFt/YGoPeGPyd/n7oZItudw2/wCsznB6Yq5r+teD/D7xJr2s6JpLTAmIXt3HAXA6kbyM4yOlXJJtBj0o6tJcWCaeI/NN00qiEJ/e35xj3zT5vted/n/SJ5dOXyt8v6ZzXjT4e2/jDxnpWq69fG40fS4ZDBpao0ebluBMZVcHhdwAAH3s5qjB8KdO0vx7beKPDV6+lq1jNY6lat5k4vY2HyEs75UowBHXjI75rptB1zwb4gmkh0HWtD1WSJd0iWV5FOyL6kITgVaiuvDsusS6NFeabJqcUYlks1mQzohOAxTO4DPfGKnl0t6/je/9f5Fc2t/T8Nv67nCQfCVovhh4Z8Ff28CdD1G1vjdfZP8AXeTOJduzf8ucYzk464PSnfGD4Q2vjy9tNRstZl0K/V4VvZIoBIt7bxyLIIpFyOQyKVbOV9xxXeq+iNfTWKzWJu4IxJNAJF8yND0ZlzkA+ppmj3Ph7WbM3mj3enajbByhmtZklTcOo3KSMjuKptt83nzfPRX/AAsTa2nlb9f1uc/c+Abe7+Is3im8u47i0n0J9HmsHgyHRnVixbd0IUjbjv1rmfCvwXXRfCPijRbjxLPqV1rOnyaXaXlxb5axtCjJHEBu+YLkE8jcQOld7cax4Qt9HGs3GsaLDphbYLx7uNYS2cY3k7c54603Qdc8Ga/PJBoOt6Hqssa7pEsryKZkX1IQnAqeW6cfJr73f9X8m+jL5mmn5p/dovyXzS6o5XVfhvqrTeCbzR/ENlbXvhWJ40a705po7jfCYiSqyoV4Yn7xrR8YeEPEPjD4c654U1/XtLWfUoDDHdWOmyRrCD3KPM5Y/wDAhWtqfiHwPpeqDS9S8QaBZX524tbi+ijlO77vyMwPPbjmoNR8WfD3Tb2Wx1HxT4Zs7qI7ZIJ9RhjkQ+hUtkVTk5Xb6/8ADkxXJa3S3/AMP4u/Cy28e+GYrKDVpNG1i3tntoNThhDnynQpJG6ZG9GUn5c98jmtPxR4G/tr4Q3XgBNT+z+fpf2AXhh3bfk279m4Z9cZ/GtKx17wXf2X26x1zQrq185bfz4b2J4/NY4VNwbG4kgAdTWhaHRbue4gtZLK4ltn8udInVmib+6wH3T7GlbRrvr/AF9/4hF25Wum39fL8Czptv8AY9Pt7Tfv8mJY92MZwMZxVise7vfDVm90l3faXbtZxCa6WWdFMEZ6O+T8q+54qjq/ibwHo90LXVvEfh3T7goHEV1fwxOVPQ4ZgcH1puV3dijFRVl0OmormLDxR4B1D/jw8TeHLv8AeLH+51CF/nY4VeG6k8Ad61rt9Es7m2truaxt57pilvHLIqtMwGSEBOWOOwpDuaNFV/sNn/z7x/lR9hs/+feP8qALFFV/sNn/AM+8f5UfYbP/AJ94/wAqALFFV/sNn/z7x/lR9hs/+feP8qALFFV/sNn/AM+8f5UfYbP/AJ94/wAqAPE9e/5Pi8O/9iVN/wClEle6V4NrtvAv7b3h2MQoE/4QqbjHH/HxJXuP2Gz/AOfeP8qAOM/4QvXtH8UazrfhDxBY2Sa1Ktxe2mpae11GJlRY/MjKSxsuVRQQSw44xUvhvwRe6HZ67eQeIWfxHrlyLq61FrRfLV1RUVFizxGFUDBYnqd2ea6a1/se7luIrV7OeS2k8qdY3VjE+A21gPunBBwexFNifQ5ri6t4prGSa0x9pjWRS0GRuG8ZyvHPPaktF8vw0/DYHq/63OPh8A6xfeO7Txn4h17T5NT0+xls7L+zNMNsq+ZglpS8sjSYIGFyFHPBzWPrXgXxt46ik0Dx3qmjf2LY3sMtvdWWm+Xd3uwK28M0zrD82QcLk4OMA13mh6x4P16aaHQ9Y0XVJYMeclndxzNHngbgpOOh6+lZj+NPASeNY/Bx1jSjrLoW+ziePIIP3Dzneeu3rjmmt4pfL87/AKg3ZN/f+R2CqFUKM4AwMnNLVf7DZ/8APvH+VH2Gz/594/yoAsUVX+w2f/PvH+VH2Gz/AOfeP8qALFFV/sNn/wA+8f5UfYbP/n3j/KgCxRVf7DZ/8+8f5UfYbP8A594/yoAsUVX+w2f/AD7x/lR9hs/+feP8qALFFV/sNn/z7x/lR9hs/wDn3j/KgCxRVf7DZ/8APvH+VH2Gz/594/yoAsHkHnHvXnPifwP4v8WaDN4Z8S+L9Nl0S5IW7+xaQ0F3NGG3BPMMzIucAEiPpnGDzXffYbP/AJ94/wAqPsNn/wA+8f5UWHdnE3Gmatr3i6/8M6lpyN4Dg0pbaSG5i5vZ2I+633iiqpB7Ekdap6j8GvC03ivw/rVpHJaw6TJI7W/nzv526MqoDGT5MEg8A5xivQvsNn/z7x/lWNo+veCtZv30/SNd0HUbxAS9va3sUsigcElVYkYoW67/APD/AOfyJa0fb/hl+hzbeAfEGla34hvPCHiiy0218QSGe6gvdMa6MM5GGkiYSoBnOcMGGQO3FW9E8Ga54S8P6RoPgrXtPtdPsLYwvHqenNdGV858zdHLGVPXjkc9K2ta1zwbol5FZ6zreh6bcyjMcN3eRQu4zjIViCa0b1dIsbKW+vWtLa1iQySTzMqRoo5LFjwB70lpHy/y6fIp6y8/8zjtD8AatoeleIrnTPFAj8U6/OLm51SSxDwxyDgCO3LcIBkAFifUmrHiTwTqd54r0nxfouvQWOvWNo9nM9xZedb3ULckNGrowO4Agh+PeurtItLvLWK6tBbXFvKoeOWIhkdT0II4IqtrV14d0OyN7rV5pumWoYL513MkKZPQbmIGab0a8v8Ahvy0Fv8AP/h/67dDhLz4Qx6ppGvNrGvyS+INZvIL19St7YRpbSwEGARRMWwilRwWJPc1q2ngnWtQ8X6R4j8X+ILLUZNFVzYW1hp7WsQkdSjSyb5ZCzbSQACoHXFdPp1x4f1LTBqmnXWnXlgQWFzBMkkRA6neDjj61W0HWfB+vySx6DrGi6q8IzKtldxzFB7hCcU1o9On+VvyE7Na9Tdk+430NeHfsMf8m56P/wBfl5/6PevaXsbTY3+jx9D/AA14j+w7bW8v7OujtJCjH7Zeckf9N3pDPX/Gnh2w8WeFNS8N6p5os9Qt2glMbYdQwxkH1rj9Y8C+Mte8LyeEte8aWEuizw/Z7qW10gxXs8OMFTIZmjBYcEiMewFdzfrpGn2ct5ftaWltEu6SadlREHqWPAFLeJpNnZyXl4bW3tYkLyTSsERFHVix4A96VlqPXQyNX0jxLF9nh8Ma1pdjZR24gNpf6Y1ygA4BUpLGwOOMEke1crpfgfxR4D8BfYvAmrWd1qUc9xezW13YqLe8llYuY0VXTyFDE7cMQB1zXZ6vqnhPR7GG/wBW1TR9PtJ8eVPdXUcUcmRkbWYgHj0qSa+8NQ6J/bkt9piaV5Yl+2mdBAUPRt+duPfNNt6u/r+Yo20VtP6RzngbwLdaZ4x1Lxxrt9az69qlrFbzx2Fr9mto0Tn7pZmds5y7MfYAV3dcx4G8SeEfGuknVPDd3Z31usjRv5bqzIQcfMATjPUZ6gg1v/YbP/n3j/Km+wl3LFFV/sNn/wA+8f5UfYbP/n3j/KkMsUVX+w2f/PvH+VH2Gz/594/yoAsUVX+w2f8Az7x/lR9hs/8An3j/ACoAsUVX+w2f/PvH+VH2Gz/594/yoAsUVX+w2f8Az7x/lR9hs/8An3j/ACoAsUVX+w2f/PvH+VH2Gz/594/yoAsUVX+w2f8Az7x/lR9hs/8An3j/ACoAsUVX+w2f/PvH+VH2Gz/594/yoAsUVX+w2f8Az7x/lR9hs/8An3j/ACoAsVl+JLbXLmzi/sDVbXTrtJQxa6tDcRSLggoyh0buDkMDkDtkVc+w2f8Az7x/lR9hs/8An3j/ACoA8+tPB2paD4l134k6leJrPiKTSjZw2ul2Bt4nVTuUbC7s7lgBuZsAdhzV/QrP4nTeGdGnvPEGi22r/Z2/tGG50ozRs7MCu3y5YypUfKeSDk12X2Gz/wCfeP8AKoryPS7K0lu7z7LbW8Kl5ZZWCIijqSTwB7mjZeX/AA/531Dd/wBeS/Q88k+EFtf6D4li1jXLi41rxFcQXVzfwQiNIJoGDQmGIltqqwHDMxPOTWjD4F1zVPEWiat4y8Q2Opx6GXksray05rZHmaMx+ZKWlkLEKzYA2jJz6V1sUmhy6X/akU1i9h5Rm+1LIpi8sDJffnG3HOc4qnoGseEPEDSroOsaLqxhx5osruOfZnpu2E4/Gi1nb+u39f8AABu6v3/U4aL4U65beD73wHZ+L4I/CV20imJtNLXsdvIcvCs3mhMEEjcYyQCe+DXb2GiapY6xAlvq8K+HILAWqaUbMFt4wBJ52c4wCNuO/Wi51zwZba0uiXGuaFDqjkKtlJeRLOxPQCMncc/Stj7DZ/8APvH+VG68v+Bb5/09we/9d7/oeXxfCnW7fwbd+AbXxhAnhG5Z4zE2mk30du5y8KzeaEwQSu4xkgE9+a138AalpHi2fxF4L1yy0x7uyis7u1v7BrqFxEMRuuySNlYDIPJBz0robjXPBlvrS6Hca5oUWqswVbJ7yJZyT0AjJ3ZP0qXX9U8KeH445Ne1TSNJSU7Y2vbmOAOfQFyM0ul/67Dera/re/6FP4ceEIfB2iz2YvZdQvLy6kvb67kQKZp5DlmCjhR6DnHrXgH/AAUj/wCSXeG/+w3/AO0JK+mbOLS7y1iurQW1xbyqHjliIZHU9CCOCK+Yf+CjsEMPwu8OeVEqf8TvsP8AphJVO5KsetftAkj9n7WSqhj9iTAJwCeO9Fv4T8Sa58SdA8Y6vpulaDDolrNEsdpdG5mu/MUjazbECoM5xg8+ld3bxx3miQ2t3pYu7dolDJIsbI4x3DH+dXvOmxj7DNj/AHk/+KpLR3/raw5a6HyzpsHiKX4A+JF+x6XdeGZNZ1NdQMUDPfw2/wBqk8yWMH5GZRkgcdBXda7LoY+K/wAORql5He+EDpH/ABJ7i6bfby3uP3bMx+UyFNpUnnPTmvY7e2tra1e0t9FSG3kLM8UaRKjFjliQDg5JJPrmopdO06bSRpEvh63k04IEFo0MRhCjoNmduPbFEfdd/T8E1+t12YS95vzv+LT/AOA+67Hl3xg/s29+JPw/HhiW3fxTFqiO72ZBkTT8/vvMK/8ALIjPDcE5xzU3wmn0uLx78Vl1KazRDr67hOygFfssWc57da9I0TSNJ0NZF0XwzaaYJTmQWlvDDvPvtxmquoeFvC+o3r32oeCdJu7pzl557G3eRj6ljyaI+7dd0/xcX/7b97bHJ834fhf/AD/A8DmtLi6+CXxVj8O2s8vhU6hK/h+OJMxmEBTKYB/zy8zzCMcenFekfHPxFoeofAPWXsNVtLr+09OEVksMqu07yAbFQA5JPoK9OWSRUCLYSqoGAoKAAen3qybLw74esdTOp2Xg/Tba/JZjcw2kCSknqd455780pLmjyPbT10SX42+XmOMnGamt02/LV3/D8fI8o8Sxw6f8Wvh5a+NAkfh6DRBHaC6x9lXU1AHzZ+XftC7c++K9fibwzPrimE6TLqvkEKU8tp/KyeMj5tuc+2an1GCDUrOSz1DR1vLWQYkhnWORHHoVJwaraJpOk6GkiaL4ZtNMWU5kFpBDCHPqdpGatyb37t/fr/wPSyM1GyVuyX3f1f1uzgfg1DD/AMLI+KX7qPjXocfKOP8AQ4K5QHWhp/x1Ph3zf7UGpL5Hkgl8/Y7fO3HOcZ6V7nbRQ20081vpAhluHDzvGsatK2AMsQeTgAZPpRbRQ20081vpAhkuH3zPGsatK2AMsQeTgAZPpWbjePL/AHeX/wBJ1/A0TtLm/vc356fied+Fbr4Yr8CLVVl0NfDr6UPtCSlNrHb+8EgPJk35zn5t3vXlU+hy6n8K/hHoPiy3murS78RPGkF2G3/YyZjArbueI9mM8gY9K+h5PDPhuTVP7Uk8GaW9/v8AM+1NZ25l3f3t/XPvmtK6hhunhkutHE7wP5kLSLGxjf8AvLk8H3FaSalJya3advR3IiuWPKuievqrf8F9/kfNvxI1DVPDcfhr4Y+JJZrmS18RWc+hag6ki9shvGxm6ebFwp9VKHua+nLu5t7O1lurueOC3iUvJLIwVUUdSSeAKp3ttbXzwPe6Kly1u/mQtMkTmNv7y5PB9xVHxlo//CUeG7vQbpb+1trtQkzW7xh2TOSuSTgHofY1PNLktu73v8ktfu1Ksue/S36t/roWdUvJL/wld33h24hupZ7J5LCaFwySMUJRlYcEE4wa8i+Ed9b2vwfjm0WTQI/EkRmfxGmsAm4a5BYyCXBDbuOC2RtxjivY9Mhj03TrbTrHS5ILW2iWGGJWTCIowAPm7AVQ1fw74f1i7F5q/g/TtQuQoUTXVpBK4UdBubJxyaUlrLl6/p/Wq8l2FFuy5un9f8M/XueHa7rF54j8OfBvVtL0rR9Ju7nX5mitUiItEISYEhVwcHBbjua6PwddxaR8ZfFmreOJbPStet9HjZI7PKWdzYIzsZwW5aQMSrA/dG3HWvXJLa2k+zeZoiP9kIa23JEfJIGAU5+XjjjtTL+wsNQl82+8PwXUnltFumiic7GwSuSfunAyOnAqpN3bj5/irf15X9Q0aSfZfhJv+vM+bbt/E2q6FffFa28Fa+2v/wBpJqunXsZtfJGnQgoIfmmEmxo2lfGzJZhxwDXazeJLjX/i/wCFfEfhPS7PWE1DwpcTRx3F59nCqZoc/NsfkHgjHrXssf7u2W2j0xkgVNixr5YULjGAM4xjtVeysLCxaJrLw/BbGFGjiMMUSFFY7ioweATyR60Kyatstv8AwFx/yf39xO7Tvu9//Ak/8/vXY8B+I3g3VPB/wX1IXUtgl9q3i6z1BLW3DfZbRnniAjXoSMrkkAZJPFb3xnXxkJ/An/CQS+H2s/8AhKrXaLKOZZN3lTY++xGMZ/SvZb6KG+hEN7pAuogyuEmWN13A5BwT1B5Bou4obwRfa9HFx5Mgli81Y22OMgMuTweTyPWiD5eXykn8lyq3/ko5e8n5pr5u+v4nlFp/aH/C6vil/Y+f7S/4Ryy+yY6+bi52f+PYqf8AZ3uPCH/CpoI55NPXUSJBr63hUTm5yfN88PyTj+9/D7V6hHFDHeS3kekBLmZVWWZVjDuFzgFs5IGTjPqaztS8OeHdTvxqGpeD9NvbwYxcXFnBJJx0+ZsnipjoreVvxf8AnqvJdglq7+d/wS/TT1Z594n0W1tvFjeNfAfibwtFd22kraz6ZqGw2htRudNjIQYcsPvAFSAeOK6j4W+NNG1rwF4f1KS1svDj6oWitNPMiIryDcSsPTeCFZhgcjJrc1fQtD1iSKXV/CdhqEkI2xNdWsEpjHopbOOnaqmpeGbLUfFmkeIby0u5JNHjkWxtt0YhidwFMuM53BcqOcAMeKa25en5bv8AG/yYnrr1/wCAkvu/I89/Z1uNLj/4SceJJbZPGn9rzf2p9sKrcGPP7nG7nytv3ccdai+Ib+GU+Ivw+E40seCDc3WREq/Yv7R2/ufM2/Ju+/jd/FjvivUta0LQ9clSXWvCdhqckYKo13awTFQeoBbOKty2lpLpp0yXQ43sSnlm2aOIxFf7uzOMe2KFpyvt/Xy7+T16FPVy87/j/X3aHlfx5/sq+1fwVD4dltX8Xprlu9g1oQZ47YN/pJO3kReXuDZ+U8DriuYfwlea78aPiHrvh2aO18WaJLYT6XcPwsmYpN9vJ/0zkHyn0OD1Fe5aJoui6G0jaL4VstMaUASG0toYS4HTO3GauQQwwXU91Bo4iuLjHnSosYeTHTcQcnGe9C91aPXX5N8v+XzuwburNdl9zb/U8G+HHii38XfFLx9q8dtPZ3C+GYILy0nQrJbToH3xsD6H86y/g/bXHw4+Gnhj4haTA7+HtQsY18T2cSljGSSBfIB3XPz+q5PavoqKzs4rm5uotDjSe6AFxKscQeYDs5zlvxp9vDBb2K2Fvo6w2ipsEEaxrGF9NoOMe1H2WlvZfnJtej5vwvuJ+89dv+Akvnp/SPlywlaT9mTwRPZyW29/Flk8Lz58rJvFILY52+vtXvF1N4ufwT4jFvdaDNrY0+Y6b/ZIbIl8ttmdxPO7GK6CbRtHm0ldIm8L2cmnLjbaPbwmEY6YQ/L+lM0XQtD0SZ5tF8J2GmySLtd7S1ghZh6ErjIon78ZR7/5JfoUpPnU+3+bf6nCfAe48C/8KdsI0k0wA2xGsJeFPNM+P332gPyWznO6ov2hY9O/4QTw22nx2v2U+I9J8kwquzZ9qjxtxxjHpXe33hvw7faj/aV94O026vsg/aZrOB5cjodx54rRvIYbyNI7zRxcIjrIiyrG4VlOVYAngggEHtVOV5qduqf3O9v8uxmo2i4+TX3q3/D9zzj9pBEj8JeHgiqo/wCEn0rgDH/L1HVHx5dWXww+K9v8QLycWvh7X7f7DrTt9yGZFzDMfrgJ+Neq3kUN7Gkd5pAuUR1kRZVjcK6nKsATwQRkHtTdSt7bU7NrPUtFS9tnILQ3CRSI2DkZViR1qFdLTe7fyaSa/D8uxWjeu1kvubd/xPBfFGlXD/s5/EPxxq0bpqvimxmvXSQfNBBsIgh9tqYB967T49Rxn9mrxC7Ihb+w2wSOf9XXpN3HHeWklnd6T9otpF2PDKsbIy+hUnBFJdRQ3Vk9ldaQJ7V12PDIsbIy+hUnBHtTkk04rbS3ohxbUoye6vf52/yMHW/CekeL/hx/wj2pwgW91aJiSMAPE4UFZEPZlOCD6iuB+AWn6l4o1S78beMb6LVNV0aefQ9OdYyqxLAxjkm25P7yUqST2BxXsSyyKoVbGVVAwACgAH/fVQ2UUNlG8dnpAtkd2kZYljQM7HLMQDySeSe9U377l3/Pv9118zOMbU4w7fl2++z+Rfoqv583/PlN/wB9J/8AFUefN/z5Tf8AfSf/ABVSWWKKr+fN/wA+U3/fSf8AxVHnzf8APlN/30n/AMVQBYoqv583/PlN/wB9J/8AFUefN/z5Tf8AfSf/ABVAFiiq/nzf8+U3/fSf/FUefN/z5Tf99J/8VQB4nr3/ACfF4d/7Eqb/ANKJK90rwfXZJD+294eb7PIG/wCEKm+XK5/4+JPfFe4efN/z5Tf99J/8VQB5n8Kr+z034h/EnTNQuIrO8k1uO8jimcI0kDWkCiRc9V3IwyO4Nc3pGn6N4r1P4wS3+rLY+HtVvbeyXU0lVE3R20Svtc/KcP8AL9civXdb0XRtcMZ1rwtZamYs+X9stoZtmeuN2cVbS3t49PGnR6Mq2Qj8sW4SMRhP7u3OMe1K3upP+Xl/L9EVzNScl1d/1/P+up5L4a1i90DxlpngHxL/AMI5q0TaNObTW9MQQz2kEeFYTISRGCu35lYKSp44rHa4vPhX4S02G2uPC/jXwi2oxiyhCAahtmcsrIV3JMwZiQcKSOc17Po2i6NoqSpo3hay01ZgBKLS2hiD46btuM9T1rM8P+CPCug67fa5pPhG1ttQvZfNknSGEMp2hcIc/KDtyQOpJPerTfMm/n563/p/PqRZcrX9bW/pfI61G3KGwRkZweopar+fN/z5Tf8AfSf/ABVHnzf8+U3/AH0n/wAVUjLFFV/Pm/58pv8AvpP/AIqjz5v+fKb/AL6T/wCKoAsUVX8+b/nym/76T/4qjz5v+fKb/vpP/iqALFFV/Pm/58pv++k/+Ko8+b/nym/76T/4qgCxRVfz5v8Anym/76T/AOKo8+b/AJ8pv++k/wDiqALFFV/Pm/58pv8AvpP/AIqjz5v+fKb/AL6T/wCKoAsUVX8+b/nym/76T/4qjz5v+fKb/vpP/iqALFFV/Pm/58pv++k/+Ko8+b/nym/76T/4qgA1OSyh065l1J4EskidrhpyBGIwDuLZ424znPGK8M8dTTWvxG+Ht9qY0K9sY9V8jTYPD/yXKtIjKHfJO6FVJLKuOx6cV7k8sjoUewlZWGCCUII/76rK0jw/oGj3bXmkeEdO0+5ZSrTWtpBE5B6gsuDiiOk1Ltb+v+D0CWsXHvf8f6+Z5Z8Orjw/CvxTXxfNYrff2tdjUPtjKGNntPlD5uTHszjtWdpPhzTNT/ZS05vGlmtxdWGh3E1jFfuRsbyXCExkgMwBGNwJHBHNezanoeiapexX2p+FbG+uoseXPcW0EkiYORhmyRT9Z0nSdaSJNZ8M2mpLEcxrd28MoQ+o3E4rOUL03DukvuTV/XX5Fxlaopebf39PT/gHNfCjWtH0v4KeHdR1HVbGzsrbSoDPcTzqkcQ2gfMxOB+Nc/4luLE/tIeGJ9Yntzpj6FcNpbysPJNyWGSpPG/y92Mc4zXf2nh3w/Z2NxYWnhDTre0usG4gitIFjmx03KOG/GrOqadp2q2S2OqeHbe+tVIKwXMMUkYI6YViRW9SfNV9p5t/emv10MacOSmqflb7rf5anzZ478trr4kXWmtnwm/iHSf7SaH/AFDgSJ9rORwRjdv7dc16P40bTbr41fDU+G5LeS8hNybk2hUhbIwtw+3ohbGM8ZxjmvULS0tLPThptpocdvZBSgtoo4liCnqNoOMe1V9F0fR9E8z+xfC9npvm/wCs+yW8MO/67cZqIe7yrt/lb7v0ui5e9fzv+PX1/WzNmT7jfQ14d+wx/wAm56P/ANfl5/6PevaXnm2N/oU3Q/xJ/wDFV4j+w5LIv7OujhbaSQfbLzlSv/Pd/U0Adv8AtGWtze/BDxZb2dvJcTNpsu2ONdzNhew71lfGXxNoN9+z9rtxZataXK6jpDxWaxSq7TySJhEUA5LEkDA5r03z5v8Anym/76T/AOKrItPDvh6z1Q6paeD9Nt9QLFjdRWkCy5PU7xzk9+amUeaLi9n/AE/66eZUZcsoyW6/4H+R55q3hSddS8La1pfiXSNN8U6Lo0dtJp+qKJYZICMPlQwdDnI3j6YNZVpJZfE7wLoWoJdaR4P1/TtZuJrCNSk1jd3UDsJJEU7fOjYgtuGDznOea9e1vR9I1wRjWvDFnqYiJMf2u3hm2H23ZxVTxR4Z0PxL4ak8O6v4djn01ovKWHZEBEMYGzn5CB0IxirlJybl539He/8ASIhFJKPlb5Wt/X3HL/DXxVqF78Q9e8L61o+iHUrG1hmfVtHyYZ0b7qSbhuRx12ljwRXplZGhabp+g6cmn6LoEWn2ifdito4o1z64Ujn3q/583/PlN/30n/xVDYK5Yoqv583/AD5Tf99J/wDFUefN/wA+U3/fSf8AxVIZYoqv583/AD5Tf99J/wDFUefN/wA+U3/fSf8AxVAFiiq/nzf8+U3/AH0n/wAVR583/PlN/wB9J/8AFUAWKKr+fN/z5Tf99J/8VR583/PlN/30n/xVAFiiq/nzf8+U3/fSf/FUefN/z5Tf99J/8VQBYoqv583/AD5Tf99J/wDFUefN/wA+U3/fSf8AxVAFiiq/nzf8+U3/AH0n/wAVR583/PlN/wB9J/8AFUAWKKr+fN/z5Tf99J/8VR583/PlN/30n/xVAFiiq/nzf8+U3/fSf/FUefN/z5Tf99J/8VQBYoqv583/AD5Tf99J/wDFUefN/wA+U3/fSf8AxVAFiuH+Neg+HNb8Cak3iK1t7pbOzuJ7WO4kPliUQuAxTO1yMnG4HB5HNdh583/PlN/30n/xVUNa0vS9biji1rw3a6lHG26NbuCGYKfUBicGoqQ54uJdOXLJM4f4S33h2D9nzQ7nXrjTv7KtNMSS7NyVaKNVOQWB44IGPcDFY3hCM+N/ilD8SLGCDSNMs9LmsdJikwl1qO8g+a6dVjG35Qeec4Fej23hrw5a2VzY23g3TIbS62/aII7OBY5tpyN6jhsHpmmad4V8L6bex32n+CdJs7qMkxzwWNvHIhIxww5HFa1H7SpKfe/4pp/np/VsoR5Kah2t+FrfitTwrR5vD7fskeIrfUntm1p47tbyNyDctqJc+XwfmMm/y9vfOMV7h4V1aNNC03QbvVLQ+JRpSTPZvOv2jhQN5TrjJAzjFXZND0OTWBrEnhSxfU1OReNbQGYH13/e/Wrn2e3/ALR/tL+xV+2+X5X2jZH5uzOdu7Oce1TL3k0+tvlZNaff9yRXVPtf8Wnr9x866VN4ff8AZC1231CS3bW5IblbqNyDdPqRc7OD8xl8zZjvnGK6r4aSLbfGfWl8XzQpqg0Cw+wtdsAfK2/vtm7/AG9u7HfrXqj6Hob6wNZfwpYtqYOReG2gM4Prv+9+tP1vSNJ1xY11rwzaamsZJjF3bwzBD7bicU7u7l3+7ZrT7/u08weq5f63T1+779Tgf2aEC+HPET2QI0WTxDePpQAxH5Bfgx9thPTHHpXmH/BSP/kl3hv/ALDf/tCSvpuBjbwpDBprxRIAqImxVUDsADxXy/8A8FHZHf4XeHN0Dx/8Tr+Iqf8AlhJ6E0PouyS+5WF1b7tv73c908f+MJvAvgSz8RnTDf2EDwLqBWQq8FuxAeUDB3bQckccDrVj4geNP+Edg0SLTLOPVNR1u+itLGDztiuGI3yFgD8qr8x46VuCxtdU8MDTb6FZra6tfKljYZDKy4Irzj4R/DzxToevQ3Xi/UbK/ttBtDpvh/ySzP8AZ8/62XcOJSuFOM8d6UPis+9/l1X5fe30HLa69Pn0f539F3NLTPGvjDXvF/ifRfD+haF5GgXiWjzX2oyxvMWjV8hUhYAfNjrVf4pfE7WPA+qeHdNTwr/bVxqEMtxfLaXJBgihXdK0QK5kIGcA7SaxB8N9QtviD4t12/8Ah74R8VwaxfJcWc2oXCCWBFjVSuHgfHIJ4Peus1vwprGqfEvwX4p8mytrXSbW5jvLcTFmVpY9oVPlAYA9+PpRHVQ9Ff15f8/+HKlbmn87ff8A5EmsfEayh1PwRHo8UOqaf4rmZYbtJtoRBGHDgYO7OenFafg/xW+veJvFWjtYrbjQb6O0WQSbvODQpLuIwNv38Y56V57N8JNc074saDqfh++sU8HWWoTam2nylhJaTyrh1hwCDGxy2CRgsccV0kHh/wAW+FvHPiLW/D9jputWHiCaK5lguLxrWW2mSJYzhgjh1IQHsQfWnFxtd9b/AC+G3/t2pMk9l0t89/8AgaFlviFKviLxxpX9lJjwvbxTLJ55/wBJ3wiXBG35cZx3pfh54j8ceKND0PxBcaL4dtNL1S1huyI9RmknjjkQMBtMIUsAfXFZ+k+BdcaDxxrGqy2Ka34pQKtvA7GG1RIRHGhcgFzxkttHJ4FZ3wg8E3/hGw0CyuPhn4Qtb6xs4rW61q0uk+0OVQK8g/0dWO4jJBbvyaKfaW9o/frf9P0Cb0XL5/pb9T1m7uIrW1luZ3CRRIXdj0AAyTXnfwz+J8nizXm03UdF/shby0/tHRXafeb6zLsokxtG1sKG284Vl5rT+Mfh7XvFvhMeGdFuIbS31CdItSuWlKyR2ufn8sAHLnoM4Fcv4q+FmuW9x4c1rwp4n1G71Xw/cILW31SWFLc2pAWWHMUIYZULjqOKUNZe9te3/B++33MJfDpvv/wPnr+BLo/xiE3xQ1Twrq+hHTtKg1H+y7PV/tG9Jrvy0k8p1wPLJDjbyQcGtib4iyx6p49s/wCyUI8KRROjeef9J3wLLgjb8mN2O9UNI+GK3kHj/TvFEVtPp/iTVze23lOS8S+TEitnA2uGQkY9uaw/Bfw08cWGmfECLxFqunalfa9ElvZ3SMymVI4BEjzDb8rkKN2M85NQ+b2fny/jZfinf+kzSPL7TXbm/C/5Nf1qjXt/iD42h8A2PjzUPCWkz6LPZRX08On6k73cMLqG3BXiVWKg8gN9M16LperWeq6Bba3psouLO6tlubdxxvRl3Kfbg15jY+HviVN8LdP+H507Q9HEemRadcaoNRe5IRYwjMkQjT5iAcZbA969H8PaFbaB4RsfDmns7W9hZJaQtIfmKqm0En14rWrb3+Xa+n4/8C3zMad/d5vn+H/B/AwfAfjiTxN8M5PGD6atq6fbP9GE28HyJZI/vYHXy89OM1i2vxWa68EeEtUtdBa513xUD9g0yO4AVSOXZ5SBhFGMnGeRgGs3wP8ABfQ7D4bT6T4h8K+Fr/xBK16xvHsY5WJlmkaMmRk3ZCso9scdKisfhh4k07wX8P5NPutMXxN4QjdfLlLNbXKPgSR7wAy5wuGxwR0pO13fa8fu1v8Ap+hfp/e/4Bu+I/HXijwWLHUPGnh7TF0W5uEtprzSr952tHcgIzpJGhKE8ZXJHHFJN8Q9Wv8A4iav4O8O6bozXWlJE7pqepNbzXYddxaBFjbcgBA3EgbuKh8Z+HfGnxDtrPQtd0zSdB0NbqO5vmhvmu57gRtuWNB5aBBkDLHPTgVH8WfCOteMbK70ebwV4X1JdpTTNVuL1op7HO351AjLqykZ+RxnAFK7tt1f3afrfsCtf+v62/rc1/Efi7xJB430rwnouiaXJd3umyX8r3188axbGRSg2RvuOX68dKwbj4wTW3gLXdcn8PqmqaDq8elXtmLvdE0jPGN6SBcldsgPKg5yDUx+GOoXnirwxea5q13f22k6A+n3N3DqNxaXM85aP58wspKkK2ct6detXPiP8N4b34WT+D/BtjY6f5l5BcbXYqrssyO7u2CzOQp+Y5JPU01ZWv3/APb/AP5H/Mm7f4f+k/8AyQ74r+NPF3gvRJvEFroeh32lpLBEgl1CWOcmV1TlRCygAt69BXS6fqus2OhX2reL4NJsYLWEz7rG6kmHlqpZi2+NMHjtmsj4y+FdT8XfDuTQNKa2W7a4tZAZ3KpiOZHbkA9lOOKZ8XvCuueMfDdh4X0+5hs9NurmP+2LjzSsq26fNtiG0gszBRzxjPWp15Wlvey9NNfzCO8W9rXfr2K/wt+I9z4s1S50vWNDGiXjWseoafEbjzDdWbsyrJ90YYbQSvOA6881r/D3xhJ4qvfEtu9gtp/YurPp6kS7/OCxo+/oNv38Y56da5PX/hnr1n4j8M+J/DXia/v9R0efyHg1SWJYnsZABLGDFCpz8sbDORlO2al8F6H458IeIPFTW+gaVqdlrOtNfxTHVjC6RtHGmCnktyNhPWrVm/k/vurf+S3+d/ITul8191nf8bfK3mb1v4x1LUPHnibwjpul2n2nSLK1uYJri5ZUmaYyDa21CVA8vqM5z0rD0bxt4/1Lx5rHhFfD3heO50m3t7ieY6rOUdZi+Av7jOR5Zzn1FbPhrwrqlh8W/E3iy5NsLHVdPsreBEkJkV4jKX3DGMfOMHPPNL4b8K6np/xd8U+K7hrY2Gq2NnBbqrkyBojLu3DGAPnGOT3qY/Zv219Ry+1burfhf9TOn+KlroereJNK8Y2KaTd6RbreWojmMi6jbsQoMWQMv5hCbOuWX1rrvBGpavrHhiz1PXNIXSL25TzGsxN5piU/dDNgfNjGR26VzXxS8DS+LfFHgnU0ttPmi0PVjd3P2gfN5fkuoCcHJ3mNscD5Qewrv6I/Drvt93X5/ppvZOXxabb/APA+Vr/Py1KKKKACiiigAooooAKKKKACiiigAooooAKKKKACiiigAooooAKKKKACiiigAooooA8L17/k+Lw7/wBiVN/6USV7pXhevf8AJ8Xh3/sSpv8A0okr3SgDmPBXip/EWseKNPaxW2Gh6oLBXEm7zh5EUu4jA2/6zGOelc/qPxQGn3Hj8T6JNLF4R8kj7PJvkuvMhWT7uBtxux1PAzRY6D4v8JeL/EmpaBYabrmna/dpfNFcXrWsttMIkiYZ8tw6kRqR0I561J4Q8K+JtFfxV4lm/subxFr90lx9k3v9mhRI0jSLfjLHCklto5PTFLeK/wAP/k2l/wBfL8CtFJ6XV/w/4bQu+BPFWva9o8Wu3Wn6FNpNxaG4hn0jUzdEEDJjYGNQW7fKTyCDXOeAvG3jLxxfW3iXQotBPhwM9tc6Ub/N9A4cqXlxGQjgL/q9w4PJzUfh3wDrdv8AEweMrHQND8HotjNFdWenXbSLqkztuRpgsaINpyd2Cx3nmsTxB4P8QeO9bZj4F0jwfr+nahBJP4ptrhhNKVVSxhKxo0qlSE+diByOcVas5p2/4Gtvnp6P5kNe61f5/L8NfX7j3iikQFVALFiB1PelqRhRRRQAUUUUAFFFFABRRRQAUUUUAFFFFABXnX/CxNXHxZ0zwbceD7ix0/UFufJ1C5ukDymFd25Ilydh9WIPtXoteU+LNH+IF/8AFTQPFVl4b0d7TREuolSTWWR7gSptDY8khcemTQvjXz/L/MH8Lt5Hqc7OkEjxxmV1UlUBA3HHAyeBmvPJ/HHijRfGXh7QfEnh/SlTXppIYDpuoPPNCyoX3SRtGvyYXBYE4JFaQ8Ua9fePNR8N6TpNq9vYaX5015NI3lpePjy4cgcjG4sRyMVx7/D/AF6/8W6Jq2m+GPD3gSWzvVudQv8ASLvdNfxA5a3ZUijDK5wTvLYxwM80Q1lF9H/nb+vK1twl8L7/APAv/X47G38WvigfB6XVtomkprmpWNt9tv4jceVHaW/ZncK3zMcBVxk5z0BNJ8SfiVP4W1vw1pcUOhwDW45XN3q+pG0t4NibsFtjZJ6DpWZ47+Ds974U8TWfh3xTrkd7rbPNLFc3EJhllbs7eSX2jsM8dsV1klv4u0Oy06w03T7TxLBHb7ZptR1AQTiQYx92Eqy4z2B6Ul8Kvv8A1p/X62G/i02/rX+v+Ca3gvVLzWNETULuXRJhIx8uXSb03UDr2IcquT+FY3i3xlf2fjLT/Bvh3S7fUNavLZ7x2urgw29vAhwWZlVmJJIAAXv1FYfgjwh4s8JaT4q1bT4dFbW9bvPttvpIlaOxtG6FN6rkk9SwUZParfibwz4nj+IekePdBt9NvLyLTn0/UNPnuWhV0Zg4aOTa2CGA4K8j0pveP4/dt9+jYuj/AA+//LYz5/i9/Zdh4httd0ExeINFvLez+xWtx5kd29wQIDHIwUhWLDOQCvvWrD428QaT4z0Tw54w0PTrQa6JEsrrTr150WZFLmOQPGhGVBwRkZrldX+FfiPX7TxJrt9dadZeJNT1Gyv7KBGaW3tvsjK0UbvgFt20bmCjGeBXQt4c8WeKPHfhzXvE1jpuj2Xh9pZ4re1vWunuZ3jKZLFECKAc9yTTh05t+va1vzvf526Cls7edvX/AC/S56RJ9xvoa8O/YY/5Nz0f/r8vP/R717jJ9xvoa8O/YY/5Nz0f/r8vP/R70hnpvxQ8UP4M8A6x4ojs1vW062acQNJsEmB03YOPyqXx54jbwz4A1fxQtoLptPsJLsQGTYHKru27sHH1xTfiX4ZXxl4D1nww10bT+0bV4BMF3eWSODjvXH+KNJ+JPirwNdeDL/S9B04X1qbO61WPUHmAQjazpB5anJGcAvxnqamV3FqO/QuPKpRctuv4f8Ek134oXVvrPhbQrHTtNh1DX7AXkcup3xt7YEj/AFKOEYvIT0UDpzVzx78QNQ8HeH9Im1jSbK21LU70WIeW+22Nu5OBJJMVyqHqPlz2xmrHi3Qb+TR7Tw9D4P8AD/inQ4rdI/s+p3HlsjoMK2GjdTwBgjBBrmNG8OeKfAPwjGkS6HYeMLRGuJLrRnmkl8q2clo7WDejmUIDtww5A4x0q5uPvW2v+F9u606699CKafup72/G2/nr007HcfDxvGi6e8HjE6XdTA74b7T59yTKxyBtKLtxnA65ABzmupry74R+BdQ8P+KtX8RDT7LwxpepwRCPw7YTNJBFKPvTNwqK56YRQMDvXqNOStb+v6/rqTFhRRRUlBRRRQAUUUUAFFFFABRRRQAUUUUAFFFFABRRRQAUUUUAFZnifUrzSdHkvLDRrzWbkMqx2lsyK7liBks5CqozkknoK06o65Pqdvp7y6Rp8GoXYI2wTXPkKR3+fa2PypS2Gtzmvg74zvPHXhOTWL/SY9JuYr2a1ktkuPOCmMgZ3YGevpW14luPEkX2ePw7pen3buSZZL67aGOMDt8qOxJ+mODzXn3wpsvFHw78Ha2virS9Ngs4pbvU/tFrqDTkliGEewxKc8HkHk4GOam1q9+LPij4faLLoemadod9qKl9U33pjntoSflWEmNwJGXHzMPl9M9HLZW3svvf/BTFFWbv3f3L/gWEsPjAkfg/xHq2s6G0Go6BqS6XNa2twJY7m5dlSMRSELwWdc5AxWj/AMJ14g0XxJoGl+MtC02ytted4bW5sL55xDMsZkEcoeNMZVW5GRke+axZvhzf3/wpuvBdloGm+GHt7iC8sJV1BrwTXEcqy75jsRiWZACeTz7YrRu/DPi7xf4m8M3niqw0vSdP0GZ7po7W9a5e7nMTxAZKJsQB2buTwKNem+npa2r9b309A6ff9/Rem34lJvil4huPBd/8QNN8K2c3hWzLyfvL9lvZreNsSSpGIynQEhS+TjtXp+maja6hpFvqlvJm1uIVmRjx8pGea8fs/Anj/T/hhf8AwutYdFk0y4Sa0h1lrtxJFayk7s2+w5cKzAfPgnFei6Rp+tadd2ugR2mnv4Zg00Q/aDO/2oygBcbMbdpGed2c0P4Xy/L7ne/4fO4fa187/erW/E4tvip4hn8EXvxC0/wrZzeFLXfL+8v2W9mt0OHlWMRlOgLBS+TjtWwPH2pa74ol0DwTpNjfNa2UN5eXWoXbQRIJhmNF2I7MxGScgAYrlrPwH4/sfhbe/Cu3h0V9Mnjls4tZa7cSR2shOSbfZzIFJA+fGcGtnT/B3ibwX42vdb8K2enaxYajp9taz2t1eNayRSQLtVw2xwwIJyMDBo0v5dO+3X8Pn5A7203/AA3VrfK//DnT/DHxkvjLRbq4lsH07ULC8lsb+1L7xFNGcNtbjcp7HA+leCf8FI/+SXeG/wDsN/8AtCSvc/hL4SvvCujag2rXME+qatqM2o3hgB8pHkOdiZ5IHTJxn0rwz/gpH/yS7w3/ANhv/wBoSU3072V/W2v4iXX1f3X0/A+ldLtt2m2zedOMxLwH46VZ+yj/AJ+Lj/v5XmP7Rks0H7OevywSSRyLpw2sjFT27iuQuIW8J/EXwTqy+FZfBGlXNx9ivJra6SZb6SQYiikjjJAG4g7zyKUfelbzt/X9XHL3Y39X9x779lH/AD8XH/fyj7KP+fi4/wC/lfNt5FFN42+K1/feAZfFqWWoIElW5RXtV+zqSEBO/j73yc+nNdZfeLL7wf8As56LJF4lbxJrmq20drp2oRq8xmll+7IAAXYIDk8bsDnmkneHN1tH/wAm2X9aDatPl9fw3PZvso/5+Lj/AL+UfZR/z8XH/fyvDvg3remeFPH9x4As9S1O70jU7NbvS59QtriN/tCIFnj3TKNxYqZeM/fNc18J73WfA+jT/EQ3l9qHh6/1rUIfEVvLI0htAl3IiXcYPQKoAcDsMiqsrrXR/ne356X/AE1U62vbW+3yv+XT5H0t9lH/AD8XH/fyj7KP+fi4/wC/lfMetajJd/s+fE29t7+SaN/E175EyTEgxm442kH7uD27V23xp0HR/APgVPGHgyFdB12znh+zCzLKt6zMB5EkYOJA3PBGR2xSWyb62/FJ/qU1rZf3v/JXb8T2b7KP+fi4/wC/lH2Uf8/Fx/38rzDTrm5f9pLWI5JJEX/hE7WQxbztVzNLnjpmvOPhDfax4F8Pj4gSXl7qHhvVNWv4vEEMsjSGyZbyVI7qMHooUKrgdlBHehdL/wBatfpv/wAOTfRteX4x5v6/pH0t9lH/AD8XH/fyj7KP+fi4/wC/lfNlt4q1bTvhHr99pOrzQRX/AI5ubSTU4n3m1tZLhgZEbkAYxg9Bmux+IGmeD/AMVtqkngC7vLWOeH/idW+pBboSu2NxcuJWOTknPOe9OKvZvrb72k/1XzHLRtLpf8G1+h7F9lH/AD8XH/fyj7KP+fi4/wC/lWB0FFI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DwfXIcftveHk8yU/8UVNyW5/4+JK9w+yj/n4uP+/leJ69/wAnxeHf+xKm/wDSiSvdKAK/2Uf8/Fx/38o+yj/n4uP+/lee/B64eTxl8SreWZ3aLxEu1HYnYhs7fGAegzmud0vT9a8SeLfjHpeja1Np1xNcWttaXgZisEn2SIsBg8decetK+ia6x5vy0/EaS5mm9nb8bHsn2Uf8/Fx/38qo8+nrqqaU2puL6SIzJB53zmMHBbHpmvJ/h0bTw14ns/B+seED4W8S32myrbajY3hntNQ8vCs5OQTIMq+JFyN5wetYMWlw/DkW2pfEjwWupywagE/4TKxvPMuH3udjzKSsqgbghUFl49Kqy5lro/8AO2nz727E68r01/p/1a/fyPoH7KP+fi4/7+UfZR/z8XH/AH8qdWDKGU5BGQfalpDuV/so/wCfi4/7+UfZR/z8XH/fyrFFAFf7KP8An4uP+/lH2Uf8/Fx/38qxRQBX+yj/AJ+Lj/v5R9lH/Pxcf9/KsUUAV/so/wCfi4/7+UfZR/z8XH/fyrFFAFf7KP8An4uP+/lH2Uf8/Fx/38qxRQBX+yj/AJ+Lj/v5R9lH/Pxcf9/KsUUAV/so/wCfi4/7+UfZR/z8XH/fyrFFAFf7KP8An4uP+/lH2Uf8/Fx/38qj4zvbXTvCOr317qTaXbwWUzyXqjLW4CH94B3K9R9K+atFtdR0m28Daxqmgy+H7FNSia58W29y8lzfq7bY1mi++qzFgreZuC59cEEPeny+n4/16vomEtI83r+C/r062PqP7KP+fi4/7+UfZR/z8XH/AH8r5u+O/io+JNH8TNfzazpWlaPE6aZajT7uNry5H/LxJIE2iMc7ATgnDHGMV2Pi+3vfEWv+E9bm0nVvEfglbCRbjTreFlb7UV+SWWGQoXUDIGehIOO9JO6TXX8v+D+q87D0dv6/r/g79fYPso/5+Lj/AL+UfZR/z8XH/fyvKP2fLq6/4SPxxpNvZ6hZaDY38X9nWt4+Wti6EyRqMttUH+HPy9K6/wCKFj4Hh0G78UeNdLsrq10u2eRpZ4t7Kg5Kr7k9B3NE3yxUulk/vVxxTlJx63sdR9lH/Pxcf9/KPso/5+Lj/v5Xzg+i6v4R+Ds+tkTaDe+LdcslvIbZzGNNs5p0Tykx9wiNsFgc5Oc12OvaNp/gn4ufD+LwhCNNTVZri11C0gZvLuYVhZw7rnBZSAdx5qktbPvb52T/AAva/r2Jvo2uzfy/4Nnp6dz117UbG/0i46H/AJaV4j+w7B5n7OujnzZV/wBMvPuvj/lu1e7Sfcb6GvDv2GP+Tc9H/wCvy8/9HvSGe1fZR/z8XH/fyj7KP+fi4/7+Vwn7SMk0PwO8WTW8kkciadIweMkMuB1yKk+Nt4sXwG8UXkVzszokzRyq+DkxnBBqZy5YOXYuEeacY9/+B/mdv9lH/Pxcf9/KDagAk3FwAP8AppXj3ifwh4m1S18Ha1Hptv4l0yx0qOG98PXl2YN8jKMzqTlGdRxh8dOCKhuLab4gfDLS38BWs1pBpOpSLqHhzVLl4hcGJyslnJIC2FBBAHKYwMYrSceVtdn+F7X/AF0v95lCXMlLuvxte3/D2+49d0uaw1SzW807UnurdmZVlimypKkg8+xBFWvso/5+Lj/v5XmvwgvvDVh4o1fwlZ+DJvB2tQQx3VxYLIr20sZ4EsRRinUEHhW45FepUmthplf7KP8An4uP+/lH2Uf8/Fx/38qxRSGV/so/5+Lj/v5R9lH/AD8XH/fyrFFAFf7KP+fi4/7+UfZR/wA/Fx/38qxRQBX+yj/n4uP+/lH2Uf8APxcf9/KsUUAV/so/5+Lj/v5R9lH/AD8XH/fyrFFAFf7KP+fi4/7+UfZR/wA/Fx/38qxRQBX+yj/n4uP+/lH2Uf8APxcf9/KsUUAV/so/5+Lj/v5R9lH/AD8XH/fyrFFAFf7KP+fi4/7+UfZR/wA/Fx/38qxRQBX+yj/n4uP+/lH2Uf8APxcf9/KsVmeJ9IOuaPLpv9qalpiysu+fT5hFNtBBKhyCVBxgkYOCcEUne2g0W/so/wCfi4/7+UfZR/z8XH/fyvL/ANliMw/Di8tvNnlSDWryNGmlaR9oYYyzEk/jV74xeKLy1u7HwnYtqNgmogvf6rDp9xOLa2BAZIzEjfvnztHTaNzdQAXKytbrb8VcUdb36X/B2PQvso/5+Lj/AL+UfZR/z8XH/fyvnDwdrui2/wABvG+l2fiLVdIWLVJ4LW7NvcmVd7xrGilgGLOx2kA7huJ4qx4Uh1DQPiV4SuNU8KjwMk9nLBGLK6NxHrNy0RYQzYACYClwXBbIxkc5Lr5WT+9Xt69O4dPv/B2/rofQ/wBlH/Pxcf8Afyj7KP8An4uP+/lfOen6ZY6t+zbrPxG1K5mbxcLW6vhqxmYT208TMY0RgflUFQNowMEjHNe9eF72/uvBWnahdpuvpLFJZFxjc5TP6miXuKTfS1/nfb7n+HcN2kut/wALf5ml9lH/AD8XH/fyj7KP+fi4/wC/lfONlptjqn7NGq/EjULqZvF/2O41AauZmFxb3EZLIiMD8qgqBsGBgkY5rpfBtuvj/wCJur2vjiEX8WmaPYSWlhOT5KtMhaSXZnBYkAZOSASBT5Xdx6r/ACf37fqDaS5un+TS/U9p+yj/AJ+Lj/v5Xy5/wUdi8v4XeHP3kj/8Tv8AibP/ACwkr1v9nS6vH0HxBpct5NeWOla9dWWnyzOXYQI2FTcSSQvQV5T/AMFI/wDkl3hv/sN/+0JKNLJrqk/vVw6tPo2vudj6D1PS9F8SeEDoOu2Mt5p91brHPDslUOMdNy4P4g1Q0/wP4Ps9TtNS+w6teXNkxe0bUL29vVgfGNyLM7qrY/iAB96ueI/FWleDfBEeu6wZjbxpFGqQpvklkchURR0ySQOSB6kUtl4quGsr+51bwtrejCytzcFbryHEqAc7Wildc8fdJB/Cpuo3l2/r8h2crRLOk6ToOlahqmoafp8sNzq0wnvnEUp85woUEg5A4AHGKydJ8C+B9Ku9NurDQZIZNLknlsRi4ZbdpiTIVUkqMkntx2xUfgvx5e+KtP0vVLHwL4ig0vU4o54by4nsQixOAQ7KtwXHB6BSfapr7x9af8JBeaDoGiat4k1CwIW+XTxEsdqSMhXlmkjTdgj5VYsO4FU04tJ7/wCX+RN1JN9P8zS17RfD+u3mmXmq6dLcXGl3AubKXy5VaGTpuBXH4g5B9KXQtG8PaHo0mj6XpjwWEsksskBhldWaVy8hO4HqzE46c1m6h49s9M0/TLnVdE1mwl1DVItLW2miQPHLI20MSHKsmf4kZvbNXvHvi3T/AAZo8GqanBdTQzXkNmq26qWDyttUncQMZ6/ypW0t3dvm7f5od9fx/P8A4P4mRZ/Dv4f2fgu68GWnhswaBdSNJNZxrOqszHJIYHcOfQjHarGneCfB9lqdvqX9najfXdqd1tJqVzd3xt2/vRidnEbe64PvUWr/ABAW18cXPg/TfC2t61qNrZx3kxtHtUjWNyQvM0yEnKngCq8nxW8Np8PtV8ZfZ9SNvpEz2+oWfkqLmCZG2vGQW2kg9wxB7E0J9V/XT/gA19n+tdfx3OhXSdBXxLP4kXT5Rqs9qtpLceXLloVJYLjp1Y84zzTdE0Xw7ouhPoem6W8Omu8rvbmGV1YyuzyZ3AnlmY/jWL8QPiGfBukXGtXvhHXr3SLeJJZL21ktNoDY42POr5GcfdpusfEb+wtB/t3xD4P8Q6Vpwmijknka1mESOf8AWsIpnIQcZPUZ6UWurfIL7P5/cv8AL/I0PDfhDwZ4d8MTeGNH8OxW+izM7S2TW0kkTlzlshwcg+nSs+H4c+BIvIj/ALJ1KW1t5RLDZT3l7LaRsDldtu7mIAZ4G3A7AVq3HjTSl8b2PhG0hur+/urQ3kklsqtDaw9FeViwxuOdoGScGulp6/F/Wmn4C02/rX/Mg+1xf3J/+/D/AOFH2uL+7P8A9+H/AMKnopDIPtcX92f/AL8P/hR9ri/uz/8Afh/8KnooAg+1xf3Z/wDvw/8AhR9ri/uz/wDfh/8ACp6KAIPtcX92f/vw/wDhR9ri/uz/APfh/wDCp6KAIPtcX92f/vw/+FH2uL+7P/34f/Cp6KAIPtcX92f/AL8P/hR9ri/uz/8Afh/8KnooAg+1xf3Z/wDvw/8AhR9ri/uz/wDfh/8ACp6KAIPtcX92f/vw/wDhR9ri/uz/APfh/wDCp6KAIPtcX92f/vw/+FH2uL+7P/34f/Cp6KAIPtcX92f/AL8P/hR9ri/uz/8Afh/8KnooAg+1xf3Z/wDvw/8AhR9ri/uz/wDfh/8ACp6KAIPtcX92f/vw/wDhR9ri/uz/APfh/wDCp6KAIPtcX92f/vw/+FH2uL+7P/34f/Cp6KAIPtcX92f/AL8P/hR9ri/uz/8Afh/8KnooAg+1xf3Z/wDvw/8AhR9ri/uz/wDfh/8ACp6KAIPtcX92f/vw/wDhR9ri/uz/APfh/wDCp6KAIPtcX92f/vw/+FH2uL+7P/34f/Cp6KAIPtcX92f/AL8P/hR9ri/uz/8Afh/8KnooAg+1xf3Z/wDvw/8AhR9ri/uz/wDfh/8ACp6KAIPtcX92f/vw/wDhR9ri/uz/APfh/wDCp6KAPB9dnQ/tveHpNsuP+EKmH+qbP/HxJ2xmvcftcX92f/vw/wDhXiWvf8nxeHf+xKm/9KJK90oA5PXPCPhTWNXbV7mw1C31F4xHLdWE93ZSyoOiyNAyFwO27OO1TWvhjwla+HJvD1voax6bOxeaIW8mZXPJkZ8bmckA7yd2ec1Z8MeKLHxBqWu2FnDcxyaJfCxuDKqhXfyo5cpgnK4kUc4OQeKybv4leHbKbxat8Ly2i8K+V9vmaIFW8yNXXywpJPDAcgc/nS0S8rX+W/6js3Lz2+e3/AJdK8GeENNvpr+PTL67vJbc2zXOoTXV7KIT96NXnZ2VTnkKQD3rI0X4Z+FLDUZbi6/tnVLRJ0m0/T7+4u7i1sNiBVEcUjMnBBIJGV3YGBW74c8XzapGtxeeFtc0a0ktftUVzeCB43jxnnyZXKHBBwwUnt0OMHQfiLq3iDVLHUdF8Hard+DrpWRNVUQ72kDld4iMokEXykZKbu+McmkmpJdfy/y1/EltcrfQ7/7XF/dn/wC/D/4Ufa4v7s//AH4f/Cp6KQyD7XF/dn/78P8A4Ufa4v7s/wD34f8AwqeigCD7XF/dn/78P/hR9ri/uz/9+H/wqeigCD7XF/dn/wC/D/4Ufa4v7s//AH4f/Cp6KAIPtcX92f8A78P/AIUfa4v7s/8A34f/AAqeigCD7XF/dn/78P8A4Ufa4v7s/wD34f8AwqeigCD7XF/dn/78P/hR9ri/uz/9+H/wqeigCD7XF/dn/wC/D/4Ufa4v7s//AH4f/Cp64a3+KHh+6+I1r4HtbLWJbu488LeGzKWm+FcugdyC5x3QMPehauwPRXOsvGsb20ms7y1a4tp0aOWGW1ZkkQjBVgVwQRwQa5LTvh34FsJLEw6TqMkWnyCWztbm7vZ7aBx91kgkdo1K9VwvynBGMV288ghheVldgiliEUsxwOwHJPsK4pPiNFb+IdJ0fXvC2v6CdYlaGwuLwW7RSyhS2w+VK7IxUEjcB09aI/Fpv/Vv+AD+HXb+r/8ABOi1+z0nXtGudH1azmurG6QxzQmKVQ6+mQAfyNVNd0PRdaS3S8OtxLbrtjFnfXtpx7+S67vxzWZ4x8fN4Zh1C+uvB/iS60nTVL3eowRwCNEHLsEeVZHVRySqHgcZqTVviFpFtJo1rpdnqGu6hrMBubKzsUQSPCBkyMZWREUZH3mHJAGTSVn/AF/Xn+I9v6+/9Cafwj4Om8GzeD30Lboc6lZbVIpkEmTklmXDFieSxOT3NWdd0Hw5rmmWml6tpst1ZWk0U0MDpMEDxkFCwH3gCAcNkccio/BXjLT/ABRPqdjHaXum6ppUwhvrC9VRLCSMqcozIysOQVYim+K/GdnoWs2GgwadqGsa1fo0kFhYiPf5a/ekZpHRFUdMlhk8DJpvdPvZ/qn+olt6X/4Jpa7Z6NrukXGkaxp326wuUMc1vNauyMv0x/8AqrJ8O+EfCmg6kNTsNPv3vli8mO4vJrq7kij/ALiNMzFF9lwKzo/ir4bj0TWtQ1OHUdLudEuEtr7T7iENcpK5AjVRGWV95I2lWIOetWdL+IFvL4nsPDuteHtZ8O32pRvJYC/8hkudgyyhoZJArAAna2DgU0tdP60/y/AHtqdU93Fsb5Z+h/5YP/hXiP7DlxHH+zro6sspP2y8+7EzD/Xv6CvdpPuN9DXh37DH/Juej/8AX5ef+j3pAezXT2d3bSWt1bPPBKpSSOS1ZldT1BBXBFcjb/DrwHCIY/7HvprSBw8NjcXN5NZxkcrttnYxADsAuB2xW/468S2Pg/wlqXiXUobia00+BppUt1BkZR2UMQM/UipPFniCz8N+EdR8TXsU8tpYWj3UqQgGRkVdxCgkDP1IpNqK5uw0nJqPcoeIfDfhzXb1L2+ttTjulj8rz7K4u7SRk67WaFkLLns2RWVrnw/8K3nhSDQdKtbzQfsayf2fdaaJ4JrV3GGkV0KszHq24nceual1H4jadDf6Npem6Pqur6rq1j9vgsbUQo6QY++7SyIg9Mbic1Nrvj+x0XSdMuL7R9Xj1LVbn7HZaUYkFxJPnGzJbywP9vftxyCRTcbKzXX8b2/PT1FGW0l/St/l+Bb8J+HPD3hnzpNNs7try4Ci5vbnz7i5uNowN8sm5yBjgZwOwFb32uL+7P8A9+H/AMK5/wCH+t+ItWspY/FPhi60LUoWJZWaN4ZEJO0o6SOCQMA5wc54xXT022xRsloQfa4v7s//AH4f/Cj7XF/dn/78P/hU9FIZB9ri/uz/APfh/wDCj7XF/dn/AO/D/wCFT0UAQfa4v7s//fh/8KPtcX92f/vw/wDhU9FAEH2uL+7P/wB+H/wo+1xf3Z/+/D/4VPRQBB9ri/uz/wDfh/8ACj7XF/dn/wC/D/4VPRQBB9ri/uz/APfh/wDCj7XF/dn/AO/D/wCFT0UAQfa4v7s//fh/8KPtcX92f/vw/wDhU9FAEH2uL+7P/wB+H/wo+1xf3Z/+/D/4VPRQBB9ri/uz/wDfh/8ACj7XF/dn/wC/D/4VPRQBB9ri/uz/APfh/wDCqWtW1hrFg1jef2mkTEEm1kuLaTI9HiKsPwNalFDVwOD03wLoPhvR9St/Bqalpl1dwSohnur25gSSTrIYpHKlsgHOATjGea1/h/omn+D/AAfp3hyza8mis49plkhcs7Eksx47kmulrG8RavqWmPCth4V1XWw4JZrOa1QR47HzpYyc+2elF7f12v8A5ha5Rbwr4RfQNR0GXQxNpmpzPPeW8sErrLIxBLc5IOQCCMYIBGDVbRvBXhHStVtdUgsNTuLyzQpayX93eXn2cEYPliZnEZxxlQDgkdCaxYvjBpf9k+LNRu/DevWieFti3yv9mk3u3/LONo5mUsOMgkYyK6fwz4j1PWZIzceDda0i2kiEqXN3PZshBAIGIp3bJB9MULTbsvu6fgDffz/4P/BMqX4d+AZL2W5bQbgJNcC6ltFkultJJgQd7WwbyWbIByU6gGtldD8Or4rXxSumyjWFtPsYuBHNxDkHZt+71A5xmuYuPi5pKaTeeILfw/r134ZspTHca1DHD9nUK215AhkEzIvdljIwCRnFeg2txDdWsV1byLJDKgkRx0ZSMg0LRJrZf5f5fgD3af8AVn+j/E4x/h34Ba8kuDoNwEluRdSWiyXS2ckwOd7WwbyS2QDkp1ANXfEPhHwnrupx6pfabex6hHEYFu7KW6s5jGf4C8JRmXj7pJFYk/xd0lNIu/EUHh/XrrwxaSmOfW4o4fs6qG2tIEMgmZF7ssZGASM4rV1Lx/ZJr40HQtH1TxHqK2qXc0Wn+SqwRP8AcZ3mkjXLdlBJ74pWVkraf8D/AC/Abbu/66/5/ibegWOi6BpMOlaNpxsbKAYjhitnCj36cn1J5NfNf/BR6ZJPhd4cCrIP+J1/FGy/8sJPUV9GeBfFmleMdEOqaX58YSZ7e4t7iPZNbzIcPG69mB9CR6Gvnf8A4KR/8ku8N/8AYb/9oSVUr31JVuh774ogs7rwKlrqPhqTxHZSxRrcWSIjsycZYKxAYjrgHPpXnPhHw/4otbzxHZaJaeJLXwbJoxgs9O1y582VLrbgCDezOseMAhmxnpXr2lx3J022K3KqPKXA8vOOPrVnyrr/AJ+l/wC/X/16zlBSUl3Vvwt/w3mWpNNPt/nf/h/I8c+BWmv4e8P+F9N1Hw/8QLbVLaxhtrn7TeTyWMcgQK3yGYxhQc4wuB2FX/CNrr/w58WeK4bnw3qOs6Rreqy6paXumIkjo0nLRSoSGGDnDcgjHSvVPKuv+fpf+/X/ANejyrr/AJ+l/wC/X/161lNym59Xf8Wn+aRmopR5fT8L/o2edfEux8QeLvC2k6ppWgXMF3pOtW2pR2F26Ry3EcT7iBgkKxHQE/XFUfiIutfEi00fQNP8La1pcEeqW17e3epxpCkUUT7iFAYl3OMYHHvXqflXX/P0v/fr/wCvR5V1/wA/S/8Afr/69StGvW/z0/yRT1+63y1/zZ5VqngK/wBc+OmvatdtrenaZNoNvb219p+oyWpMwdyw/dsN2AQcMCOa5/UfCfitv2e/FXgX/hGj/attNJDbTQLGg1VS+5bjgj52B+fOMtuNe6+Vdf8AP0v/AH6/+vR5V1/z9L/36/8Ar0krK39b3/r/AIYpy97m/raxwfx00PVtd+Ceq6JpNjJd6jNaxpHAhG5mBXI5OO1drNYW994fOm6haxzwS23lTQyKGVgVwQRU/lXX/P0v/fr/AOvR5V1/z9L/AN+v/r05aqSfUiK5eW3Q83/Zy8Gz+EfCd+upafPa6jc6lcAm4lMkhto5GjtlDEk7BCsYAzwK9Qqv5V1/z9L/AN+v/r0eVdf8/S/9+v8A69NtuwJWuWKKr+Vdf8/S/wDfr/69HlXX/P0v/fr/AOvSGWKKr+Vdf8/S/wDfr/69HlXX/P0v/fr/AOvQBYoqv5V1/wA/S/8Afr/69HlXX/P0v/fr/wCvQBYoqv5V1/z9L/36/wDr0eVdf8/S/wDfr/69AFiiq/lXX/P0v/fr/wCvR5V1/wA/S/8Afr/69AFiiq/lXX/P0v8A36/+vR5V1/z9L/36/wDr0AWKKr+Vdf8AP0v/AH6/+vR5V1/z9L/36/8Ar0AWKKr+Vdf8/S/9+v8A69HlXX/P0v8A36/+vQBYoqv5V1/z9L/36/8Ar0eVdf8AP0v/AH6/+vQBYoqv5V1/z9L/AN+v/r0eVdf8/S/9+v8A69AFiiq/lXX/AD9L/wB+v/r0eVdf8/S/9+v/AK9AFiiq/lXX/P0v/fr/AOvR5V1/z9L/AN+v/r0AWKKr+Vdf8/S/9+v/AK9HlXX/AD9L/wB+v/r0AWKKr+Vdf8/S/wDfr/69HlXX/P0v/fr/AOvQBYoqv5V1/wA/S/8Afr/69HlXX/P0v/fr/wCvQBYoqv5V1/z9L/36/wDr0eVdf8/S/wDfr/69AFiiq/lXX/P0v/fr/wCvR5V1/wA/S/8Afr/69AFiiq/lXX/P0v8A36/+vR5V1/z9L/36/wDr0AWKKr+Vdf8AP0v/AH6/+vR5V1/z9L/36/8Ar0AWKKr+Vdf8/S/9+v8A69HlXX/P0v8A36/+vQB4nr3/ACfF4d/7Eqb/ANKJK90rwfXEmH7b3h5TMpf/AIQqb5tn/TxJ2zXuHlXX/P0v/fr/AOvQB5roS634G8beL5brw3qmrabruoJqFpc6ZGspU+RFE0cilgVIMeQeQQaj8KaDqkcnjzxVrvhZ7mPxHdRPFortG8r28cKRjeCdm47WO3Pp3r07yrr/AJ+l/wC/X/16PKuv+fpf+/X/ANeklpbyt8tP8kh31b87/P8A4fU8c8D6HrWkeO4W8H6P4m0rwamnzC+0nWJ8wNMW3Rrao7s0Z5YHBCYKjFYD2bXeqSx/CTQvFfhXxHb6nE+qWzzeVpcTMqtIssRdomyrA/u1BJYHNfQXlXX/AD9L/wB+v/r00Rzq+37XGGbnHlDJ9+tUnZp9v87/AHdLdhdH5/8ADff+pZXdtG7BbHOOmaWq/lXX/P0v/fr/AOvR5V1/z9L/AN+v/r0gLFFV/Kuv+fpf+/X/ANejyrr/AJ+l/wC/X/16ALFFV/Kuv+fpf+/X/wBejyrr/n6X/v1/9egCxRVfyrr/AJ+l/wC/X/16PKuv+fpf+/X/ANegCxRVfyrr/n6X/v1/9ejyrr/n6X/v1/8AXoAsUVX8q6/5+l/79f8A16PKuv8An6X/AL9f/XoAsUVX8q6/5+l/79f/AF6PKuv+fpf+/X/16ALFeOeNbzWJ/jR4W1628G+JrjTtFivIbmaO0QhjIm1SgL5YZ71635V1/wA/S/8Afr/69HlXX/P0v/fr/wCvQt0w6WObn8axf8Jlc+FbHR769vrfSm1GQoUVVOQEhYk/K754zxwea85vtF1nUvH/AIZ1rwtoXiqzvLS+3ahP4jmNxbRWrZ81YllkcpIegMW04JycZFexW+mrbXNxdW4tYZ7kgzyx2yq0pHALEctj3qx5V1/z9L/36/8Ar0R0al1X+f5dPP5g9U49/wDL+n5XPIPileeJ/Feu3XhC88L+JLPwYmFvrmwt1kn1UZ5iQ7x5UR6MT8zDIGM5q3qWn6lpPxG8N+OtJ8LancaOuiyaXPYQxoLqzBZWRvKLDI+XBwSRmvVPKuv+fpf+/X/16PKuv+fpf+/X/wBelFctrb/8Br8n8gl72+3/AAz/ADVzy7wtb+IdM8QeN/iPP4V1F21P7PHYaQjRi7ljiXbuYFtqk5zgt0qfxRY63pfxc0bx/baBf6lp8mjyadeW9rse4tmZw6tsJG4ZGDgnFeleVdf8/S/9+v8A69HlXX/P0v8A36/+vTWlrdNvuaf33B63v1/4Fvut/meCeI/Ani3xH/wlfjKDRXtbu71bTb3TtLuJFSaaKzdGIfkqrPt4BP1xXW6hb6145+I/g/U18N6no2meH5Zru5m1JEjeSRoiixxqGbPJyTwMCvTvKuv+fpf+/X/16PKuv+fpf+/X/wBeiPu2S2W3ra1/wXzCXvXv10+XYnk+430NeHfsMf8AJuej/wDX5ef+j3r2l47rY3+lL0P/ACy/+vXiP7DqTt+zro/lzKg+2XnBTP8Ay3b3oA9L+MPhy98XfDLxB4c014kvL6ykigMhwu8jgE9hXIeOdT8TeLvhrqPhCz8Da3aazqdi1k73SxpawMy7WcyhzuUckYBJ9K9T8q6/5+l/79f/AF6PKuv+fpf+/X/16TimmnsylJpqS3W34f5Hm3jfw3ov2HRNN1jwdruryaZaxrZato7bLiCRBjCujpInTP8AdPeueeC8sfg3DB8YfD+q+IrGKeeU3DGOS9sLZWJgkmdGU+cF2gvGcgjOe9e1eVdf8/S/9+v/AK9I0NywIa6QjuDF/wDXpybldvr/AJ3JglGy6L/Kx5r8HrLxRB4o1a5WXX08FzW8Tadba/cGa6SbHzFCxLrFjGA7E5ya9TqsiXDLlbyNh6iMf40vlXX/AD9L/wB+v/r1TdxJWLFFV/Kuv+fpf+/X/wBejyrr/n6X/v1/9epGWKKr+Vdf8/S/9+v/AK9HlXX/AD9L/wB+v/r0AWKKr+Vdf8/S/wDfr/69HlXX/P0v/fr/AOvQBYoqv5V1/wA/S/8Afr/69HlXX/P0v/fr/wCvQBYoqv5V1/z9L/36/wDr0eVdf8/S/wDfr/69AFiiq/lXX/P0v/fr/wCvR5V1/wA/S/8Afr/69AFiiq/lXX/P0v8A36/+vR5V1/z9L/36/wDr0AWKKr+Vdf8AP0v/AH6/+vR5V1/z9L/36/8Ar0AWKKr+Vdf8/S/9+v8A69HlXX/P0v8A36/+vQBYoqv5V1/z9L/36/8Ar0eVdf8AP0v/AH6/+vQBYrmviZfeIrDwbet4T017/W5wLezUY2xO52+a+SPkTO4/TGK3fKuv+fpf+/X/ANejyrr/AJ+l/wC/X/16UldWGnZ3OH0vwjpvhD4Tf8I9caFN4njcBtStgqSyXsjsPNchyA3POPReK5fw/wCF7iT4laXqHg7wvqPhHQYbWaHWVuR5CXgZCIkSEMQSrYbfgYxjnNeweVdf8/S/9+v/AK9HlXX/AD9L/wB+v/r05e823/WlvuEtI8v9f8P5nhOmaV4v0z4Ial8KD4P1GbVpILjTre9XYbF45SQJmk3ZAAYkjbnjGOa9S8Pi901bLwW2j37WkGlKrasCnkbwApjAzu3dT93HFdJ5V1/z9L/36/8Ar0eVdf8AP0v/AH6/+vQ/eTUuu/no1+rYbNNdL28rtN/lY8I07SvGGn/Ay/8AhOfB+oy6u9tPpsF6uw2LxyEgTtJuyAFYkjbnjGK3PDmj618OfiBqd8dA1PW9J1PS7OFJ9ORZZIpoEKlWQlSFOSQRnpXrflXX/P0v/fr/AOvR5V1/z9L/AN+v/r0Xd3K+r38/6vf1BpWtbT/gp/ojh/gh4d1bQ9H1m/1u1Wyvdb1e41I2gcMYEkbKoxHG7HXBIrxn/gpH/wAku8N/9hv/ANoSV9PeVdf8/S/9+v8A69fLn/BR1Zl+F3hzzJQ//E77Jj/lhJT7JdLL7tBd331+/U+j9S1vT/DfgmXXtVmEFlY2XnzOeyquTXkHwy8eazaeMtCXxR4otdRg8ZQPLFaLdRP/AGXdZLrbqF527CF56sK9K8UeG9F8Y+GdO0nWNRnis4pYLia3hmRVuPLIYRyZBJQkcgYz61D4y8B+CvE2kLYSR2umSRzx3EF5pwihuIZI2DKyttOOR3BpQ0ld/wBLr+enp5jlrGy/p9P+D6+R5Zqni1o/GPxGbxD4i8cW9po96kdl/ZEcpgt0MKthmVCi/MSfnIGOvFd5p2m+J9Y+FGn6v4o8Q39pr0WmtLM+j3qxwyNgsrHZlGOMcrx6cV0eg+F/Dukan4jv4r1rh/ENwJ72O4lRkyIxHhQAMAgdDmk8J+GND8N+C/8AhErPVrmfTlWSOH7RcI7wxsTiNSAPlUHC5BwAOTUSi/ZOK35V96Wv49epaa9qpPa7+4474SR6nP8ABnTPGl74m16+1S80IXEv2m83xCRo8llTGBz0rHi1b4har8EPh/r2nSavqaTWsFx4hOmtGNRniMYJMO7ALZzkAgkdK9P8OeH9C0HwHZ+DbPUHfT7SyWyjklmQymMLtySABnHt+FZ+neENP0nwponh7Q/F2saTFo1uttb3EFzA0kiKoXEiyRtGxwOuzI7Yrao05za2urfJy/zRlTTUY331v80v+DYzPBbaL4w8P3drpPjPxVIbC8aOdJ5mtr21kAGYpdyB8dxuB4PBxisb4EWur614du9d1DxT4gvr211bULWGO4viYGSG4kjjDIBzwq59a7jwb4Z0LwzJqV3Dqc+oalqs3n39/e3CNNcMFCrkKFRQFAAVVUADpTvBvh3QvCuhXWj6bqMzwXN3c3bvLcL5geeRpH2soGACxx3Axyal9fT8dB9EvP8ADX/gHmvgPXtS0vX9N074k614r0XxRcXjxAXAVtI1BidwSBlBjA2kAAlXBB7161418Q2HhXwrqPiHU5RFa2MDSuT7dB+JxXMTeBNLv7zTZNf8Y63r1pplwtzaWV7cW4iWVfuMxjiSSQr23s2epya1vHfhvQfGdpY2Wr6lKLK1u0untoZ0EdyU6JKCCWT2GM0pXcbLR/p/nvpsUn713/T1/DY8y+FfjjV7LxppGm+KPFVtqy+LbE3kES3MT/2ddhizWoCfwiNowM9WVqoWHjXxponj/wAY+Kb/AFK51Xwjpmu/2Zfaf5YJsIPJidbmPAyQGdtw9MGvTvF/gPwX4ksraBlt9LntbuO8t7vTfKhnikQ5BDbTx2IxzV7w54Z8PaHc+IZoLw3A1+9a8vI7iVGTeY0jKqABhdqDg56nmnfXmS2Tt23i1+F1367k20s+rX5O/wCNn9/Q8+Hi/WLi/wDi3LZ63JNaaZbW8uktGyskIezSTch7gk579aZa2fiS1+COnePNO8b65/bSaNBqUq39yJ7WdjErujRsOAeeQQR2rovCnwp8EeGdK8S6XpWoXqWniEkXEb3aMLdNu0JDlflUDoDux06cUtv8NdIbw7Z+GdU8b6/q3h+0hjgXTZ7i1iikjjACK7QQxyOoAHBfB7g1Nvdajo7Rs+1r3/NepaavHmV7Xv57f5P0udX4R12TxF8P9M8SeQbWTUNNju/Kznyy8YbAPfBNeBaR4t1q68EafqXhzxl4g1fxzJqkkZ0vcZ4HjFy6Mrx7dqIIwPmyMYHPNfR6NpsdiLKGW2ht1j8pEjZVCLjAAHQACs3wZpOj+FPDtvoWnX5ltoHldWnmRnJkkaQ5IAHVjjjpirbXtHJbXX57GaTUFF7/APAPK9c128uPjd4j0XVNV8Zpp9npdjNbW2gwzSCOSQy+YW8pGIztXGfQ4q78YtWvtDsfh/Y2GseJ4bLUdW8m8aESNfzRGJ32kBS+7IHAGRiurv8AwVYyeNNQ8WaX411jRb/UbeG3ultGs3jdYixTiaGQg/O3Q1b1bwrpOsS+HLjVvEF5e3WgXhvILhpIEaaQqy/vAiBcYY8KF6CpWyXmvzLe79Hb/wABt+f+Zx3wy1vWL/xd4ng0vWNWvPDOn2aoU1sbb6G+wSwCsBKsezYRvXBOdves34L6o+u6ZpV9q2sfEK41Ka5n8xzBcCwbbNIAC4j8vbtUDrivR5vC+gP44l8XRalNbX09gbC6ihnQQ3MeSVZ1IJLLltpyPvHrV3wZpOjeFPDdtoOnXxktbYuUaeZGc73ZzkgAdWPaiO13v/wX/wAD8uhMlul/Wi/4P59Tg/h4+s/EqPV/EWqeJNY0yzh1OexsdP02YW4iSI7S0jAbndjk8nAGMDrWHe+K/FmiaX8UfC8+tT303hzTY73S9WdFWdVlWTEchA2symPhsZIPNd2vgfSrDVtR1Dwz4t1bw1/aUvn3lvYS20kEsuMGQJPFIEYjGdm3OBkGlg8AeE4vCmuaB9vupW19WGp6hNdrJd3DMNu4uwIGBwAFCjsBUtN02l/Lb59/v1vuaRa9pd7Xv8r7fdp+J5p4Z8R6zNqXga08O6/4qk1nUUjn1OHxAjx2s1r5YMzRecq733FNvlZOCSeKf4o8aeLdA+OGv6qdYuJvCeh/2fFqOnMAY44brzVM44zuV0j/AOAs1en654L8N6t4f0HSJNTuLc6DLBNp95BcItxG0S7R8xUjDLkMMcgnpTx4O8LtrXiXVJ7trh/ElpFaX8MsyGLy41cDaMZBIkbOSe2MVpJ+85R6N2/DTyW68tX10yivd5ZdUl+Ovz/4bpr5p+0L438RSQ3dv4H1qXT7bQI7a91O9tsHzXmmSOK3BIIwUaRz3G1fWuo+LPiuaC08M+EbDxEmiar4gZWm1AyIjWtrGm6WVS/y7idiD/fJ7VY034U+CtP+Gl54Cg1O+bT724W4uLqS7ja6kdXRly5XGB5ar93oPxrZtvBXhNfFl34kvZl1S7uLSKzjjvnilitoo88RLt+XcTliSc4HSpsrcvS9/wANvv09PMq7367flr+b9dNjgLX4iapdfALxnMurxP4n8MRXFrcXcEqvudRmOYEcfMpHPqDUGh+NPE/h7wTq3hnxXq01xq7+Hp9T0DWmUK16ogLsh7edGcHHdeexrtNb+GPgvUr/AF26jvJtNTXdK/su+t7GWKOF0DZWQLsOJBlgG6YY5Bq7438B+EfGHgWHwhq9zJ9lt40S3uYbhUuYCq7N6PjAYqSDxghiMc1NS8ou27Vvzu126P8AAqFoyj2Tb/Kyf4r8TiLfxh4m1Ow+GnhS21Z7O88S2MlzqGqlVaYRxR5ZYwRgOxYfNg4AJxXoMfhy60C2vL+28U6/dqlpLuhvrkTqWCkqwJXKkH0OD3qnqXgHwjfeGtF0Zr24t5NCCnTNQt7sR3dswXbuVwMHIJBBBU55Bq9p2giF5DqfjnWtZV4XhVLqW2jRAwwTtgijDHH9/djtVV/e5+TS97fPb09Pn1Ipe7yc3S1/1/r5HmnwG1OXxJ4c8Pajq+tfEG41W5BkmkaK4Wwdgzfx7PL2YGOuDU3ivWNd0Hxprd54+1PxXo+geaj6PqmkAPp9vDkDFyFDMr7iMmRdhAPIrsfBngiPwlpthpOk/ETX/wCy7E4ispRp7IUznYW+zb8c9d2fepvEnguz16G/sL3xz4gGj6gSLrTEurfypEb70YkaIzKjDghZBwSBjNXNpzvHz/T7vxCO1pHa2csc9pDNDMs8boGWUEYcEcHjjmpao6f/AGXp9jBY2cltDbwRiOKNZBhVAwB1qf7Zaf8AP1B/38FS7X0CN7K+5PRUH2y0/wCfqD/v4KPtlp/z9Qf9/BSGT0VB9stP+fqD/v4KPtlp/wA/UH/fwUAT0VB9stP+fqD/AL+Cj7Zaf8/UH/fwUAT0VB9stP8An6g/7+Cj7Zaf8/UH/fwUAT0VB9stP+fqD/v4KPtlp/z9Qf8AfwUAT0VB9stP+fqD/v4KPtlp/wA/UH/fwUAT0VB9stP+fqD/AL+Cj7Zaf8/UH/fwUAT0VB9stP8An6g/7+Cj7Zaf8/UH/fwUAT0VB9stP+fqD/v4KPtlp/z9Qf8AfwUAeJa9/wAnxeHf+xKm/wDSiSvdK8H124gP7b3h6QTRlP8AhCphu3DH/HxJXuP2y0/5+oP+/goA4n4WaxqWp+J/H1rf3slxFp+vC3tEfGIYvssD7R7bmY/ia5yLWPHGpeI/ivpfh3UFlv8AT3to9GiuCPKhZraNmAOO5JPPc11N74O0z/hIr7XtC8Van4cvNR2m/wD7Plt3juWVQquyTxyKGCgDcoUkAZziptG8I+H9J0bUrGx1i/ju9Tm+03up/bh9rmmwB5hfoMBVAUKFAGNuOKW8Vf8Alt89Nfwb+ZV7SbXe/wAt7focj8L9fRtTXRL3WPF1h4sbT2eXSPEajbK6/KZYmAKMoYH/AFbEYYZA4rmdCvF0vxFY6r8UNR8Y+HvFsd0bP+0HXOk3Cs5ZI43QNEsbKVGG2tuHrXpdp4K0o+IItf1rxXq2u6nbW0ltZT3k9vH9kWT77RrBHGu84X5iCRtGMVkL8P5tWefTvGfjzUdf8PQ3MUljp80tum9UVSPtEkcSSSEPk43YIA3ZNWn76l/W/T5fLpsRb3XH+tuvz+fXc9RHIoqBbqzVQq3NuABgAOOKPtlp/wA/UH/fwVIyeioPtlp/z9Qf9/BR9stP+fqD/v4KAJ6Kg+2Wn/P1B/38FH2y0/5+oP8Av4KAJ6Kg+2Wn/P1B/wB/BR9stP8An6g/7+CgCeioPtlp/wA/UH/fwUfbLT/n6g/7+CgCeioPtlp/z9Qf9/BR9stP+fqD/v4KAJ6q6xHfzaXcxaXdQ2l88TLBPNCZUjcjhigK7gPTIp/2y0/5+oP+/gqDUJYbmylt4dW+xSOpVbiFoy8Z9VDhlz9QR7UnsNbnnPwMv/EUniXx3pHiDxFda42manHFDNNGke0FCSFVRhRntWX8WW1nw3d6Unhvxlr1/wCLtR1OH7NprSpJDLCXHnF4QuEiWPcd3GCBzmup8G+B7Pwx4j1DW7fx1rd7Lqcwnv4bo2Xl3DhSoJ2QKy4znClenOaoaP8ADWz0jXdT1zTviN4ji1HU5C9zcyf2dNIR2QNJbMyoOyg4FP7UH2Sv8rfnb7vUVvdku9/xv+R6V++Nv1RZtnUjKhsencZryb4eXfi60+OeveHvEXiubW4U0aG6VBbLBBFIzgHy0GSBj1Yn3rprGz16X4jXeq3niFodDg04WlpbLcoftEzEF7h1A2hl24HH8R4HSqWm+Abey8bSeLx8Q/EE+pTRJbz+Z/Z/lywqwYRkLbDA4xlSG96cfjUvX9Uv0f8AwdBS+Fx9P0b/AFRw2qeIdSm1rxlF4s8Zaz4X1OyuXTQrS0UrC0IUmKQDYROWOMg59MDNdLoWu3fiz4S+FvFOtXviezku7ZJLiHQbaRpJJCPvERozhe/YdK6fxD4bXXZbiK+8d64umXJxNptvLaxRMnePzFhEwU9DiQHB61PqWg2skdlHonirUPDkVnD5EcWmyW5iKcYBjmjkXIxwwAPvzUxVoWfl+F7v56XKlrK68/xtZfL+upz37PWvaprfhnUl1bV21CS01GWGFLor9ut4c/Il0q/dlx1BGfWk8Yalq2s/GLTPAdtq15pOmf2VLqV3LZsI552DhFQPg7VBOTjk4xmr+n+AtA07QNa0+w8R6ta6hrcvn3+sw3qJfSS/3wwXYh7AKgAHQVa8R+EdG1fVNL1mLxDqGma1pkTQwalaXERlaNh8yOsiPG4PXlevIxTe8fK1/ut+evmLpK3W/wCd/wAtPI8t13xx4u8Lz+LvCNtrMt3JbatptnpupXQWSa2jvHRW3nGHKbjtJz0Gc11mqSa14H+JfgvT7bxFqurabr8s1neW+pTiYqyxM6yocZU5GCOhFbB+G/g6bw9q+k6jfXWoTazOtzfajPdqLqSZCDHIGQKqFCBtCqAMdKt6R4O0q28R2fiDV/FGp+IdQsImisX1Ga3C2wYYYqsMcaliMjcwJwetODta+/XzVrW+++vnfcJa3t528n3/AOB5W6nayfcb6GvDv2GP+Tc9H/6/Lz/0e9e1PeWmxv8ASoOh/wCWgrxH9hy4t4/2ddHWSeJD9svOGcD/AJbvSA734+atqWhfB/xLq2kXklnfWti8kE8eNyMBwRmpvi7ql9pPwd8R6xp129tfW2kzTQToRuRxGSGHvmt7X7TQ9e0W80bVvst1YXkTQzwvIMOjDBHBzXH3Hw90y+0hdB1fxz4h1TQQoRtMuLq2EckY6RvKkSzOvbmQ5/izUyTlFx2v1/r+vQuMlGUZWvbp32Od8WX3jYw+ENSkHiO68LyaZGdUbQNpvluWUYkdfvtGM5ITJzng1Jr+ta3rHwz0bVfh5rGseJdJW7I1SS22Lqj2oJDxxhwmJV5BBw/HrXea5oyX1zFPpvjLVdB2RCEx2Etu0TKOnyTxyKpHqoB965+48Cw6R4R/s3wP4svtF1SKSa5S8e6jl+13MuS73IkR1fLEnhRjPy4q5yT5nbrf8b29Pu00M6aa5U30t+Fvvv8A5kPwRufCdu+peH/Dus6+ZbQrJPpGtI6XFoX5LASKHKsSTnLLnODXptcd4R8K6Tous3PiK+1ufWvEN5AlvcaheSxBvLXpGiRqiIucnhcnPJNdV9stP+fqD/v4Kcugok9FQfbLT/n6g/7+Cj7Zaf8AP1B/38FSUT0VB9stP+fqD/v4KPtlp/z9Qf8AfwUAT0VB9stP+fqD/v4KPtlp/wA/UH/fwUAT0VB9stP+fqD/AL+Cj7Zaf8/UH/fwUAT0VB9stP8An6g/7+Cj7Zaf8/UH/fwUAT0VB9stP+fqD/v4KPtlp/z9Qf8AfwUAT0VB9stP+fqD/v4KPtlp/wA/UH/fwUAT0VB9stP+fqD/AL+Cj7Zaf8/UH/fwUAT0VB9stP8An6g/7+Cj7Zaf8/UH/fwUAeaftHy+LtO8B32u+HvFT6Lb2ESvJFb2qtNO5ljA/esTtXBbIC5OevY9pcWVxrnhOyjbWb7TTJDFJPcWjqkrDaCRuIO3J6kc1l/EfwrZeONIl0e88XanpunToEuLexa1xLhgwJaWJ2BBA+6RVPX/AARaa54EPhDUPHmvtbF133MU1pFO8SjiFtsIQx8DI25PQkjIpK/K15j+0mYvwd1TV77x94qtbHWtQ1zwdZrFHZ3t6wkJu8nzUjlwDIijbzyAT1q9481PVtS+K3h/wHZ6pd6TYXWn3Oo3s9owSeXymjVY1cg7RmTJxycYz1q/p2hXvhjw/cW+h+LLzUzBZPDp+nXK2EFuj4+Q5hgjYYPvjrwTWfp3gOOfQvDk2t+MNR/4SrR43261bXMZmJk/1kZEiujp0GGU/dBGKel49Uvx3/J2fpZak6693+G357et2cP4n8b+K/Bd5418L2usTagbWTTBpd9e4lltReTiJg5wN+37y579c10niKbW/h/4u8Ftb+JNX1iz1m7ksdQttQnEu4+RJKssfyjYQ0fQcEE10C/DrwhNouuafqt/datPrrI2o391dKLmRozmIqYwqpsPKhFAB7VNpPgrSbfXNO1jV/FWq+IbnSkZdOGozW4S2LLtLhYY49z7SV3PuOCfWkr2Svr38rbf8H57jdrvTTXTz7/r5fM85tNS8V6x8DdU+Kv/AAl2p2usx29xqFraxSKtlEkJJWFosfMCFIJJJ5617R4d1aTUfCFjrU0OySezW4eNexK5IFcUfhd4aXTLrQofFGsweGruczT6Gl1B9mYM25o95jMyxk9VEgGMjoSK6u30mxt/EkesQ+IL6OCKz+yJpYu1+xAZGH8vGd4AxnPQnim9YtLS+3lo/vu7fdcPtX33+d2rfcr/AJHkFrqfivVfgTqPxX/4S7U7bWktZtStrWORRZRJESwhMWMMCFIJJJ5zmt3wzrGtfEXx5qOnXOs6loumaVplnMtvp03kyTTToWZmfGSowQAMDnmtf/hVvhpdLudBh8UazD4ZuZjLNoaXUH2ZgW3NHvMZmEZPVBIBjI6EitTVPBWjTeIz4h0XxJqPhzUntVtJ5NOmgKzxL9wMk0ciZXswAPvRddtOi7afj0+6+4PZ669++q+7S/322KfwK17WdX0fW9O1y8N/c6JrFxpyXjABriONsKzYAG7HUjrXjv8AwUj/AOSXeG/+w3/7Qkr6E8F6H4f8I6KNK0mceWZXmmmnuBJLPK5y8jserE9a+d/+Cj00Mvwu8OCOaNz/AG1/CwP/ACwkpvp6L77av5sS6+r+6+h9HX+taV4c8HNrmtXK2mn2dqJbiYoz7FA5OFBJ/AVqNdWq2BvmcC3Efml9p+7jOcdeledfH2Ga4/Z38SQ28Mk0raO4VI1LMx2dgOTWxofijw94l8OvouiavbXd+dPK+SuQQdmOcj1rOTfJNx3W33MtJc0E9nv+H+Z0uh6vpet6Daa7pdwtxp15brcW8wRl3xsNwbBAI4PQjNc3qvxQ8A6X4JtPGl/r0UOg3jrHb3ZtpTvZjgDYE3Dn1Fcd8MPG2ieGvhFo3hnXGurPxBpWmR2M+ltayG4aZE2bUUL8+4jgjIIIrlpvC+raT8H/AISaHqumy/aoNdsGvLcx7/KDSbmVwMjjODW0or2jUHpeKT8m7fkRB+7eW9m7eiv+Z7nrXijw7o+iWut6hqUMenXckUdvcIpkSRpSBHjYDkNkc9Kb4l8WeHfDs9va6pfbby5/497O3gkubmYdykMStIwHchcDvXgHxa0XXvBlpZ+BrLT77UvC1/rtndaLLChk/s4iYNJavjkRjqhPAB29q7mW4XwX8fvEHiLxRBcR6RrVhbQ6dqnlNJDbmNcPA7DPl5bLDOAc1Cs0n3b/AASdvW7a7dul201ddUl+dr+ltfzO4m+IXg+30O/1m71CaztdPKi7F1YTwTQ7sbS0LoJADkYO3BrV8SeIdE8OWEF/rV4tpbTzx28bmNm3SSHCLhQTye/SvL/2gdc0/wAW/A3xInhuS41DasaiSG2cqzbh9wlcMR3xnHes/wCOfh3xPF4T0SW48VanrcS65Ys1qdPgUY8z7xMcYbj604q7SfdL77f5g9Ffyb+4912r/dH5Vz9j4z8K33jC78I2uqwy63ZoHntRG3yjAON2NpIBBIBJGRkCnfEPxEnhXwbqWuGCa4kt4T5MMUZd5JDwqgD3xXhWo+GPiR4Y8C6L4sbw7pEuuaLeyazfz22ryyXN357brmLyvswHIIULvOAgAJqYtc2uy3+f+W7/AOCNp203e3y/z2X/AAD2288eeDrPx3b+BrrWreHxDcw+fDZujgunbD42ZOOFzk+laMniHRI/E3/CNPeKNW+x/bfs/ltnydxXfuxt6qRjOeOleM3Hhqx+Inxb8TySR3dvbXvhvS7rTb8RskltNulZHRiOHXIyPwNRfD298Van8ebmPxVpFzb6ppPhj+z7y6EJFvduJpGWaNhxh0ZW2/wkkdqdmmovf3vwUv1ST9dPJO2rW3u/jy/o3b018/R4viv4Flsn1Bb7Uf7PjleJ79tEvVtEZHKNunMPlgBgQWLYyOtdraTW13axXVrLDcW8yCSKWJgyOpGQwI4II7ivC/gt4y8O6B8I20PVZZX1VbzUlOlpbSPcSl7uYqojC5O4MD9DXdfs+6Dq/hv4V6ZputQG1uvMnnW0LbjaxyTPJHEfdVZRjtjHanbf5Cej+bX3dS3dfE7wZb3epWzXWpSnS5jBfy2+i3k0Ns4UMQ8qRFFwGUk7sAHJq9rfjrwno+maXqV1qgmtdWkEenPZW0t4bpiMgIIVctwCeBXj2i+HfGl7F8VZPD2uXOnPJr8pSxks0Md4v2aDdhyN6lhlQynAIqp4um0xvh98I7rQYb7wzptlq6rIXgMkmnFY5FfeHUg4fI3MMHOe9TF3jFvd8n/k2/8AwPx6XqStKSWy5v8AyXb+vuPcbbxhoM2l3+qOuqWdpYR+ZcSX2j3VrtXnlRLGpfp/CDUOgeOPD2uNF/Z8WtGOaLzo559BvYIWTGd3mSQqmCORzz2rkdX1S31j4T+LLax8XSeKrhLOTLi2RGTcvChY0UHoexNafw30XX7LwNpU+oeKb++g/sWJfsMtlBGEJhXAyqB8jpyfrRJ25n2S/G/+QLXl82/wt/mWbX4r+A7i2jvF1K8jsJJjAt/PpF3FZ7wxQg3DxCIfMCuS2M8Vp+IfHHhnQtXtNIvri7lv7yBri3t7LTbi8d4lIDPiCN8AFl5PqK8B0fw74oX9nW0uri6v9R0OK/uJdU8OG0SOSW2F5ISI5FAkyOHwSdwBFdP48vbWH4xeDNYtNeuPDWlN4ZuVhvhZq4UM8JSIiRGCkgdCM/LVWXNy+b/9Jb/NW69eons3/XxJfk/yPWbnxp4bs/Dx16/uLrT7HzhAv23Tri3mkkPREhkQSOT2Cqc846Gkh8b+GZNH1LVpLm6tLbTI/NvReadcW0sKYJDGKRFcqcHBCkHBx0Ncn4qbwb4m+HNoPEHii+1C1hvQ0Ot2sRie2uVBKyExptTAbGSNpzg9a4281vxRrHw/+JGiS6jN4q0K10gf2ZrRsfIknkZGDwHaAspXCnegH3sGpk7KXdf5L+unTW5UEpSiujav99v6+eh7Tqnijw/pnhQeKb6+WHRzFHKLnynI2SFQh2gbuSy9u9Z+t/EHwXoniPR/D2q61Fa6nrS7tPheGTEw/wB4LtXqPvEV5F8QvDfipf2bYmfxVql6gsNPzpv9nW4yPMh+XKx7+Prnjmrnj3wifF/xT0nSZoZY0k8F3Ahudh2wXKz2zxNu7EMoOOuAauSSm10TfrZRb+/QiL5qal1a+W8V+p7D4z8TeH/Bvh648QeJdQi07TbfHmzOjNgk4ACqCxPsAaztR+IPhCx0zRtRmv55YNbONNFtp9xcSXJ2lsLHGjP90E8gdK8bW48TfErQNTPibR7qzi8IaNdRTQyIcX2qGGSMSIMfMqx5I95R6VBraXNn4Q+CdxNfXOiLaTubi9+zBza5tZRlldSBkkL8w70kt9esbejv/ldeTQ3+kr+qS0/Gz8z3NPGXh/8AsLUdcuDqNjp+nRmW6lv9JurTaoBJIWWNWfp/CDRoPjbwnr3gt/GWkavBd6EkLzvdIjfIiDLZQjcCAM7SM+1cD471KHW/gJ42t9P8US+K7hdPlBlW2RHXcvCBY1UHoe2a5bxxomr+B/AF54l8O6dc3eka74fNrrulW8eXina3Kx3cadc7iFcDqGDfw1FR8sZPyVvXXfydvl6aqoRUnHzbv6K346/0z1vVfiN4R0zR4tZup9TOmS2v2sXkGi3k8Cw4zuZ44iqcdQxBFSWfxA8KXOkXOsNc31npttALiS7v9KurOEocYKvNGocnIwFJJzwK4nUrS6H7I13ZfZpvtP8Awi8ieT5Z37vKPG3rn2roL/T9BvfgjY6b4tguv7Lk0+1W58lJPMiI2FX+Qbl2sAc9sZPFaVY8kpxXR/5/5GdOXMoPvv8AK3+Z0fhzxZoXiC5a109r1J1j84R3mm3Fozx5A3oJkTevI5XIGR61u7V/uj8q8g+FWu69/wAJ63hvT/Edx4y8Jx6cZDqlzaCOWzmDALE0yqqzblJPTcNvJr2ChpWTQ03dpibV/uj8qNq/3R+VLRUjE2r/AHR+VG1f7o/KlooATav90flRtX+6PypaKAE2r/dH5UbV/uj8qWigBNq/3R+VG1f7o/KlooATav8AdH5UbV/uj8qWigBNq/3R+VG1f7o/KlooATav90flRtX+6PypaKAE2r/dH5UbV/uj8qWigBNq/wB0flRtX+6PypaKAPC9eA/4bh8O8f8AMlTf+lEle57V/uj8q8M17/k+Lw7/ANiVN/6USV7pQBmaPrekaxd6laaddLPNplz9lvFEbL5UuxX28gZ+V1ORkc1UPi7wwtxrcEmrW8LaFt/tMygottuQOuWYAHKkHgnrjrXAeFNasPA3j3x1beLHfSo9V1ZNQ0+5ljbybmI20MZ2uBjcGjYFevT1rP8AD2mabrTfE7xF4j02/PhbX7qBIQbaUSXEEdvGhlVVG/buBwcdFz0pXvFNfy3+emn3t/cVZKTT72+X/DanpPh7xr4b16YQ2E92jND9ojN5ptxaLLF3eNpo1EigEElScAg9xWNB8UfDlz4jttOs4NQudMnDIutR6fO1iZg23yhOI/LbkH5g20EYzniuM8Da1qFn4vg8MaN4jvPG3gv+zJmu5rizJm07af3aeeigS7lJUIQX+TOeaxLfWo/CsFrafCDxlda6v2+P/ik7q084wRSHMihyqywBclvnJA6Yq0k5xts/87fL8fu0Id+V9/8AgX/rb79T6K2r/dH5UbV/uj8qELFQWXaccjOcUtSNCbV/uj8qNq/3R+VLRQAm1f7o/Kjav90flS0UAJtX+6Pyo2r/AHR+VLRQAm1f7o/Kjav90flS0UAJtX+6Pyo2r/dH5UtFACbV/uj8qNq/3R+VLRQAm1f7o/Kjav8AdH5UtFACbV/uj8q56bxp4Vh8aQeDX1SI67OhdLRYnbgKW+Zgu1TtUkAkEgHFaHiga43h6+Xw2bEaw0LCza9ZhCshHBfaCcDrwOa8MtfDvjHwz8QfANt/wjukz3H2u8nvL3+2552uZXt3Ekkrm0XaeTtGCM4HGc0R1lZ/1/XX+miWkW1/X9dP6T9l8beMfDHgvT4r/wATanHYQSv5cZMTyM7YycKgLHABJOMAAk0viHxd4d0E2UepXj+ff5+yW1tay3NxOANxKRRKzkAckhcDvXi/xf8ADPj7/hHfGviLV9H0PVLm5tHtrJ4NWnLWdpkEJFB9mwXOAWO/nHYcV0niq1/s3W/DHjbUPEGi+GPEcGnvZtb3SSX9rLCwBIBHkuGBAOeO4waSeib/AK0/Pv8A8DVvey/r/gf1pfT0vwr4k0HxRZS3eh3yXSQymGZDG0csMg6pJG4Dow9GANR+J/FOgeG2tY9WumS4u2KW1tb20lxcTEDJ2RRKztgckgYA615l8Lri78PHxz8R/FE039l6ncwywvBpksRlSNdhlW3+eQBieM5JHJq34svYdE+Omg+MtWWdPD9zoUtnHemFzHbTM6uA+BlNygjJA54pveK2va/k7Xt9+gukvw89Ur/K92dzY+OfCF5oN/rketW8Njpzsl81yjW72rL1WWOQK6N7MATTdA8deFtb1aPSbO7uYb+WEzw299p9xZyTRjq0YnRPMA7lc4rwvxbpWp6/J428aaPpd9c6HLrek3UcaQNuv4bWRDPIidWGFOOPmxxmu41vU7Hx18WPAdx4UaS+g0aae71C8jjdY4I2hZFjZiB8zEgbevcinDW1+vTtpe/p/k+opaJ+V/n5ev8Amj2GRV2N8o6HtXh/7DIB/Zz0fIH/AB+Xn/o969xk+430NeHfsMf8m56P/wBfl5/6PekM9g8SazpXhzQ7vW9auVtNPs4zLPMUZtijqcKCT+Ap2t6tpmi6Hda5qdwtvp9pA1xPMULbI1GS2ACTx6DNcx8eNG1LxB8IPE2kaRbNc31zp8iQQqeZGxwo9zXJfErxxonif4R6v4e0I3d7r+p6a9pBpSWsguVldNu11K/JtJ5JwBipk3yvl37f15lxS5o82z38tjv9W8ceFtMGnLcX0s02pQ+fZ21pZTXVxLHjO8RRIz7cdyuBS3vjbwrZ6Db61cakEtrqTybdPs8nnzS5x5Sw7fNMmRjZt3A8YrgfGWj+GtLfw5PqfijUfCnifS9Mjt7fU7aMmOWMD5omDK0cgyCSvXvxWU+pWvif4Z6PqHxVv7vw9qNvfzPpWvWtvJa48tj5d0VYFYd6AHbJwc4Aq52TfK9n+F7ffb018jOF2ldbr8bX+77/ALz0/wAAeMLPxZZzMNN1DSr6BiJ7HULOW3mjUk7WxIi5DDByMjnGciun2r/dH5V5d8IvEnibVPFmsabNqo8T+GIIIpLHXjZC3LyH70OVwkuBzuUDk4r1Km1a39f1/XQSe4m1f7o/Kjav90flS0VJQm1f7o/Kjav90flS0UAJtX+6Pyo2r/dH5UtFACbV/uj8qNq/3R+VLRQAm1f7o/Kjav8AdH5UtFACbV/uj8qNq/3R+VLRQAm1f7o/Kjav90flS0UAJtX+6Pyo2r/dH5UtFACbV/uj8qNq/wB0flS0UAJtX+6Pyo2r/dH5UtFACbV/uj8qyPEfiPR9ANumovctNcEiGC0sprqZ8DkiOFGfaO7YwMjnkVsVw/xc+Idp4D022C2cl9qmoOYrKDlYgR1eWTBEca5GTyT0AJqZOw4q5qaR448I6r4du/ENnrdr/ZtiWW8lmBhNsy/eWVJAGjYejAGotC8e+FNa1W30uzvLmK9uommtYr3Tri0Nyi/eaLzo0EgAIPyZ456V4xf6Db3Hwb8RPousr4q1651m01nXRYwsBJtuI3eONOu0IjYHJOPfFdN4p1Ox+IHjXwDF4QeW5bS72S+vbpInVbKL7NLHtckDDFnUbevXjAqvz00+V2/S9/uYun3/AIbL1en3o7i8+Jnge0uJ45tWfybacW9xeJYzvZwykhdj3KoYUOSAcuMEjNdgnlugdNrKwyCOQRXzbpOpWth+zlq/w2vLG7/4S1ra609dKNs/nXE8hYI68YKncDvzgAE54r2TwxqVvY2uneBbie5GuxaOsjE28hjAChSfNxsyCRxnND0i2te3no27elvxD7Vnpv8ALVJX9b/gNuviZ4HtbieObVn8m3uBbT3qWM72UMpYLse5VDCpyQDlxgnmtDXvGfhrRdRh027up57+aIzJa2FjPezeX/fMcCOyryPmIA5614ZpWpWtl+zZqfw0u7C7/wCEva0udNGlG2fzp55CwVxxgqSwbfnAAJzxXReD7iP4efFDWJfGUktrBqGjWCWd/LG7RM0KFZIt4BwwJBweuKNO+nfo9L6f1s+4O+umvbtql+v4HsHhvXNG8SaPDq+h30F9ZTZ2Sx+o6qQeVYdwQCO4r5r/AOCkQA+FvhvA/wCY3/7Qkr1r9nrTr220TxBqlzZ3Fjbaxrt1f2UE6FHEDt8rFTyu7rggGvJv+Ckf/JLvDf8A2G//AGhJTa20tovlpt8thJ7+r/Pf5n0rpbXf9m222OAr5S4y5zjH0qzuvf8Anlb/APfw/wCFZV5a6zd6BZJousQ6XMEUtJJZi4DDHTaWXH1zXDfCDW/G3iazvtY1nxLp/wBl07Vruykt4dKCeakErJu3+YdpIXPQ4qU979P6/Ub0Sfy/P/I9O3Xv/PK3/wC/h/wo3Xv/ADyt/wDv4f8ACvN/A2t+OPiHoY8VaXrOmaBpF1I/9nW5083UrxKxCySMXUAtjO0DjPWl8FeJvFvi2LXNAlvrDRfEPhzUPsd9cQ2n2i3ulKhkkRWYFMqQSCTg8c07Pbrv8v6a8wen5fP+l6Ho+69/55W//fw/4Ubr3/nlb/8Afw/4V5p8GdY8ceK7O41bVvEmnm3tNWu7F7WHSgnmrBM0Ybf5h2khc9OM1n+MPidr+neKtR1HTIbOXwZ4du4bLWpTEzTNI+DK8bA4CxBgGGDyCO1NLVLv+tv80Hfy/NdPwZ63uvf+eVv/AN/D/hRuvf8Anlb/APfw/wCFcb4q8Walp3xS8GeHbI2zadrUd09wzJuc+WgZdpzgdfQ13VLpf+tNBX1t/WpX3Xv/ADyt/wDv4f8ACjde/wDPK3/7+H/CvGbX4jX97448WaPqXxG8MeFk0nVBZ2dtd28ZlmjMSNvy8qk/MxHAxxXS/Ebxhr3w/uNM8RarJb6h4NEIh1eaG2IntZP4bgAE7oz0KgEjjk0k1yqT2dvxV0U0+Zx6r9D0Hde/88rf/v4f8KN17/zyt/8Av4f8K8j1vx543h+FmreOxFY6ZDdzxHQ7We3LyRWzEASzfMMs+d4XjaCAec1pWXi7xJpfxTsfBt9q2meIoL/TZrxp7a18mWxaM8eYqswKP0BODlT1p+T/AKsrtfcK+l/63t+Z6Vuvf+eVv/38P+FG69/55W//AH8P+FeL/C/4hal4ttreXUPid4W07U5tQuLf+xhaRefiOd0VQDNuyyoD071P41+J3izw98WtTs49PtLzwjolha3GqJHExu41naQGZTnDKmzlcdDntR2v1Dv5f52PYd17/wA8rf8A7+H/AAo3Xv8Azyt/+/h/wrhIfHF3efFkaBp81lcaHL4Zj1aCZF3NI7yyKCGzgqVVT0/GsH4f618TPFvw+/4S618Q6Klw010I9Pk0oiJhDPJGFMgk3DIQc44J6UbK72/4LX6Mdv0/FX/JnrO69/55W/8A38P+FG69/wCeVv8A9/D/AIV5Q3xX1DUvDfgLWtLsorM67rv9l6jbzrvMRTzVkVCCP44+D6dqn+KGrePfDeueHYdP8UacbfXdZWwCS6QGNujI7ZDeaNxG3HIHWnZ3t52+en+ZN1Z+Sv8ALX/JnqG69/55W/8A38P+FG69/wCeVv8A9/D/AIVwninXfE3hW88G6dcalZ6nLrGufY7qf7H5P7kwyPhVDHByg5yfpVr4weKtU8K2nhyXSxbltR123sJ/OQt+6dXLYwRg/KOaLXaXdpfN2/zH39L/AC1/yOx3Xv8Azyt/+/h/wo3Xv/PK3/7+H/CvH/EvxEv7b4p+I/Dd7488OeErDTLK1ntWv7ZHe4aXzN+N8q5xsXhRn5vpUev/ABM8YWHwJTxheWVpo2ptqUVqJbq3YRPbtMEFz5blSoZTuAJ6d8VKd1934uw2rO39bX/I9k3Xv/PK3/7+H/Cjde/88rf/AL+H/CuR+HesNrF7cND8RtB8VRQxjzIdOgiUxMTwWZJG9Dxiu2qmrEp3K+69/wCeVv8A9/D/AIUbr3/nlb/9/D/hViikMr7r3/nlb/8Afw/4Ubr3/nlb/wDfw/4VYooAr7r3/nlb/wDfw/4Ubr3/AJ5W/wD38P8AhViigCvuvf8Anlb/APfw/wCFG69/55W//fw/4VYooAr7r3/nlb/9/D/hRuvf+eVv/wB/D/hViigCvuvf+eVv/wB/D/hRuvf+eVv/AN/D/hViigCvuvf+eVv/AN/D/hRuvf8Anlb/APfw/wCFWKKAK+69/wCeVv8A9/D/AIUbr3/nlb/9/D/hViigCvuvf+eVv/38P+FG69/55W//AH8P+FWKKAK+69/55W//AH8P+FG69/55W/8A38P+FWKKAK+69/55W/8A38P+FG69/wCeVv8A9/D/AIVYooAr7r3/AJ5W/wD38P8AhRuvf+eVv/38P+FWKKAK+69/55W//fw/4Ubr3/nlb/8Afw/4VYooAr7r3/nlb/8Afw/4Ubr3/nlb/wDfw/4VYooA8H103H/Db3h3KRb/APhCpuA5x/x8Sd8V7huvf+eVv/38P+FeJ69/yfF4d/7Eqb/0okr3SgCvuvf+eVv/AN/D/hRuvf8Anlb/APfw/wCFeYfBr4ga94s+IvxB0HVVsxZ+H79Ley8mIq5Qgk7yScnj2rn9N+LHjSfXfizZ22jW+rv4T8r+yrK2hYSzFlJIYgkt68AdKnmVk/7vN8tP80Pl1a8+X56/5Ht+69/55W//AH8P+FVbOwFndXd1a6fYwz3kgkuZEJDSuFChmO3k7VA+gFeH/A/4qeKfGeu6et5418DXgmU/btEW0mstQtWxkhBIx83aeDgY965HxF8TvG2tfFyewu/F+jfD1/D+oOLDSNYS4gj1eI4AaWbIRlOMqO2c81dnzKPf+vn8rkqScXK+i/r+rn1Ruvf+eVv/AN/D/hRuvf8Anlb/APfw/wCFLp8ks1hbzT+SJXiVn8l9ybiBnae4z0NT0NWdgTurlfde/wDPK3/7+H/Cjde/88rf/v4f8KsUUhlfde/88rf/AL+H/Cjde/8APK3/AO/h/wAKsUUAV917/wA8rf8A7+H/AAo3Xv8Azyt/+/h/wqxRQBX3Xv8Azyt/+/h/wo3Xv/PK3/7+H/CrFFAFfde/88rf/v4f8KN17/zyt/8Av4f8KsUUAV917/zyt/8Av4f8KN17/wA8rf8A7+H/AAqxXP8AjoeMH0uKLwW+jw30kwWWfU1do4Y8HLBEwXbOBjIHJ5pNjSubG69/55W//fw/4Ubr3/nlb/8Afw/4V4l8DPiZ488TfEHxf4Q1y30bWIdCQ+VrGmI8NvJNkARHJbk5JyCcbT1q18OPiF491D9oHXPh/wCK4dDitrLSRfRpp6yMUYugAMjkbuGOflFUldpLqrr03FL3b36O39feex7r3/nlb/8Afw/4Ubr3/nlb/wDfw/4VlfELX5PC3gbWvEcNi99JptlLcrbqcGQopOM9hxXzbo/7Q/iq3bwjrWpeIvAus2Wv30VtdaJppYX+nLIcAtlyTt75UZNKPvS5V5fjt+X+Y5K0eb1/Dc+p917/AM8rf/v4f8KN17/zyt/+/h/wrxD4/eNfit4B0HUvF9rqXgy10i2nSOy0+eCWW5vFZgB825QH5ztAOADzXU3msfFHXPBWh61o6+HPCrz6eLvVG1lJZTavgHYEBUBcZJZjx6Ur+45dt/uv+QcuqXc9G3Xv/PK3/wC/h/wo3Xv/ADyt/wDv4f8ACvKP2W/iR4o+JPhPUdQ8TabawtaXht7e+tEZILxRnLIGJ6EY611HxMj8fxhdQ8K+JvDei6bbQPJetqtg8+Mc7gyuoAABzTqe5v8A1pcUVzNrrt+h1+69/wCeVv8A9/D/AIUbr3/nlb/9/D/hXzJoXx3+IFj8Gde+IOvWWlanEdRSw8P+TbPbLd5faZWBZiF744+tddpfxA+JHhf4s+GPB3j6Tw/qdp4lgdoLjTbaSBraVRnaQzNuGcDPFNRbko/1e17ethNpJv1+5O1/S57Y7Xuxv3Vv0P8Ay0P+FeI/sOm5/wCGddH8tIiPtl595yP+W7+1e7Sfcb6GvDv2GP8Ak3PR/wDr8vP/AEe9IZ7Vuvf+eVv/AN/D/hRuvf8Anlb/APfw/wCFcV+0B4t1bwP8J9a8T6ILc39lGGiFxGXTJIHIBH86y/HnjvXNF/Z0fx9ZraHVxo8N5h4iYvMZFJ+XOcZPrUuaUZS/lt+N/wDIpRblGPe/4W/zPSd17/zyt/8Av4f8Kr6nZnU9Pn0/ULGyurS4QxzQysWR1PUEbeRXgnxC+M3jPRdE8CXCrpmi2OvaVFd3/iG80+e5tbedkB8rZGcrn1J71u3/AMSvGml/A3VfF1g/hvxxqdtNttrjw/vkgaI9ZJIwSylOcqD27VU1yqV/s6fjb+r+uxMHzOPK9Xqj2SMXUcaxxwWyooAVQ5AA9Pu07de/88rf/v4f8K8I/Zl8Ua9rWs38tz8SvDvi+01IvezWqPNDeabIf+WSQyEkRDpjAA969/qpRcbX6kxkne2xX3Xv/PK3/wC/h/wo3Xv/ADyt/wDv4f8ACrFFSUV917/zyt/+/h/wo3Xv/PK3/wC/h/wqxRQBX3Xv/PK3/wC/h/wo3Xv/ADyt/wDv4f8ACrFFAFfde/8APK3/AO/h/wAKN17/AM8rf/v4f8KsUUAV917/AM8rf/v4f8KN17/zyt/+/h/wqxRQBX3Xv/PK3/7+H/Cjde/88rf/AL+H/CrFFAFfde/88rf/AL+H/Cjde/8APK3/AO/h/wAKsUUAV917/wA8rf8A7+H/AAo3Xv8Azyt/+/h/wqxRQBX3Xv8Azyt/+/h/wo3Xv/PK3/7+H/CrFFAFfde/88rf/v4f8KN17/zyt/8Av4f8K8Z+PvxD+IXgXxF4a/s210GPQ9U1q304tL5ktzIJM7jj5VQADjljzUvx9+KmteDvF3hfwppV1oehjWxK8uua3n7LbCMA7SAyjJzjJYdqSd0murt80r/kNqzfpc9h3Xv/ADyt/wDv4f8ACjde/wDPK3/7+H/CvIv2dvipqnjjXPFHhnW7rRNTu9Clj8vVNGYm1vI3z8y5JxgjsTXbfEY+PfLgHg2/8OaZbpHJJe3urRyS+WFxgKilRjG4liwxjpTl7qUuj1FHVuPVHT7r3/nlb/8Afw/4Ubr3/nlb/wDfw/4V86+BfjX4+1r4JeOvFV5pemtf+H3Men39vC/2W+IbDYQnJxx0P8Qq98DPi/f+K9bji1j4j+EtQYWT3E2k22j3Nndbgu4hGlbD7cHO0HgUOyk12Sfyab/QHdL5tfNWX6nvm69/55W//fw/4Ubr3/nlb/8Afw/4V8zy/Gb4r3/w21f4t6Tb+GYfDWm3phGkTQyNczRLIqM3nBgAfmz93tX0ToevW+qeELTxGqlLeezF0V7hdu4ih6Rcn038rq6D7Siut/w0Zf3Xv/PK3/7+H/Cjde/88rf/AL+H/CvmaX4z/Fe9+Gep/F3TLbwzF4asL0xDSJYZGuZYlkCM3nBgAfmz93tXTn4o+OfHXxFk8IfDk6HpUdppEWpXN7qkEk+8yAYjVFK4wT156Ua9tf8AgX/IHZen/Bt+bR7luvf+eVv/AN/D/hXy5/wUdM5+F3hzzUjX/id/wsT/AMsJPavX/wBnT4i6h8RvBdxfa1ZW9pq2n3klleJbk+Wzocblz0z6ZNeS/wDBSP8A5Jd4b/7Df/tCSm1b+u4k7/l92h9OaT/yCrX/AK4r/Kud+Gng8+D9H1LT5L8XwvdUu7/cIvL2ieVn2Yyc43Yz39BXgviX4d+GNQ8RajfXKaqZ7i5kkk8vVrlF3FiThVcAD2AxWf8A8Ku8Jf8APPWf/B1d/wDxyu+OWVWr3Wq/roccsdTWjT0f+a/U9w8NeB/Ffg6ym0fwj4o0xdE855bS21TTHuJLQOSTGjxzR5QEnG4Ejpk1vfD7wdD4Ts79pNQn1PVNUumvNRvplVWnlPHCrwqgAAKOgA5NfOP/AAq/wj/c1j/wdXf/AMco/wCFX+Ef7msf+Dq7/wDjlUssrLqu39aA8fTfR9z6E8BeDbzwj4V1TSbXVo5rm8v7y9iuGtiFiaeV5ACu75tu7HUZx2rB0D4I+EbXwgdG1lLnVry5R21G7N1PELueQkySGNZNoyxJxz+NeM/8Kv8ACP8Ac1j/AMHV3/8AHKP+FX+Ef7msf+Dq7/8AjlJ5VVfVbW+S+X9fIP7Qp3vru382euWvwt8TWMXgme18YWNzqPhSG4to577TXkW5icbUDBZlIZUCjOTkjOBXpWgx61HY7deu9PurvcfnsrZ4I9vYbXdzn8a+Wf8AhV/hH+5rH/g6u/8A45R/wq7wl/zz1n/wdXf/AMcqnltd7tf8Pr2J+vUuzPb9H8E+MPD3iXxLqegeI9CFvruoC+eG+0mWV4m8tI9oZLhARhAenetDxJ4Ek8WeIdLuvFd/a6ho2nxBxpC2hWCe67zSbmbeo/hQjjnJNeAf8Kv8I/3NY/8AB1d//HKP+FX+Ef7msf8Ag6u//jlSsrrWSutLfgrLp/W5TzCm23rqew3nwjnk8F614Jh8QRjw7d3Sz6bazWfmNYpu3PDnfh4y2dowNoOOQBXoOkeHtD0a1nt9E0fTdLWcfvBZ2qQhjjGSFAzXy4/wx8Hohd11dVUZJOt3YAH/AH8qja+CfhzdrG1rqlxcCVzHGYvElw4dxyVXEvJ9hzR/ZlW3Ldff6IPr1O97P+tT3z4f+C/G/gvRYtC0/wAS+HrjTo7uecGfR5vOKyzPKV3C4C5G8gHb26Vt6d4LW3+JOv8Ai6a8S4h1jT7ayazaDhBEZCSWz8wbzOmB07187/8ACr/CP9zWP/B1d/8Axyj/AIVf4R/uax/4Orv/AOOU/wCzKz3a/r5B9fp66PX/ADv+Z7J4G+EEXhLx/qfiCy16aXS57E2dhpkkORYo0jSMqvu5Tc7ELgYzjOMUnhP4feOPDnhA+EbDxlpEOmmW4YXKaO/2tFmleQ7WacpuG8gEoR7V45/wq/wj/c1j/wAHV3/8co/4Vf4R/uax/wCDq7/+OUv7LrW5bq3z7t9vNh/aFO97Pe/4W/I9wuPhTp0OieDdG0a+eztPDWqLqGZY/Ne6bD79xyMMzSFiefpW38QPB7eKr/wzdLqAtP7E1ZNQKmHf521HXZ1G372c89OlfOn/AAq/wj/c1j/wdXf/AMco/wCFX+Ef7msf+Dq7/wDjlV/Zta97re/z08vJE/XqXZ7W+Wv+bPo74i+EV8WWenNDqEmm6lpV6t9YXSoJBHKqsuGQ/eUhiCMg+hFZF74K8QeI9W0e68Z6/p11aaRdi9gtNM097dZZwrKrSNJLISAGOAu3k854rwj/AIVf4R/uax/4Orv/AOOUf8Kv8I/3NY/8HV3/APHKSyusndNd/n9w3j6T3T7fI+hNP8CwReOvFXiG+uYr218Q2dtaSWTwcIsXmg5JJ3BvN6YGMd65m++EupTfDCTwPH4qQwwapHeaXNPZF/s0KSiRIGAkBcAggHK8EDHFeQ/8Kv8ACP8Ac1j/AMHV3/8AHKP+FX+Ef7msf+Dq7/8AjlJZXWTumun4O66dH/Wo3mFNu9n/AErfkfTPh238Xw3Tf8JBqmhXdtswi2OnSwOG9SzzOCMZ4x+NbtfJP/Cr/CP9zWP/AAdXf/xyj/hV/hH+5rH/AIOrv/45T/syt3X9fISx1JdGfW1FfJP/AAq/wj/c1j/wdXf/AMco/wCFX+Ef7msf+Dq7/wDjlH9l1u6/r5D+v0+zPraivkn/AIVf4R/uax/4Orv/AOOUf8Kv8I/3NY/8HV3/APHKP7Lrd1/XyD6/T7M+tqK+Sf8AhV/hH+5rH/g6u/8A45R/wq/wj/c1j/wdXf8A8co/sut3X9fIPr9Psz62or5J/wCFX+Ef7msf+Dq7/wDjlH/Cr/CP9zWP/B1d/wDxyj+y63df18g+v0+zPraivkn/AIVf4R/uax/4Orv/AOOUf8Kv8I/3NY/8HV3/APHKP7Lrd1/XyD6/T7M+tqK+Sf8AhV/hH+5rH/g6u/8A45R/wq/wj/c1j/wdXf8A8co/sut3X9fIPr9Psz62or5J/wCFX+Ef7msf+Dq7/wDjlH/Cr/CP9zWP/B1d/wDxyj+y63df18g+v0+zPraivkn/AIVf4R/uax/4Orv/AOOUf8Kv8I/3NY/8HV3/APHKP7Lrd1/XyD6/T7M+tqK+Sf8AhV/hH+5rH/g6u/8A45R/wq/wj/c1j/wdXf8A8co/sut3X9fIPr9Psz62or5J/wCFX+Ef7msf+Dq7/wDjlH/Cr/CP9zWP/B1d/wDxyj+y63df18g+v0+zPraivkn/AIVf4R/uax/4Orv/AOOUf8Kv8I/3NY/8HV3/APHKP7Lrd1/XyD6/T7M+tqK+Sf8AhV/hH+5rH/g6u/8A45R/wq/wj/c1j/wdXf8A8co/sut3X9fIPr9Psz62or5J/wCFX+Ef7msf+Dq7/wDjlH/Cr/CP9zWP/B1d/wDxyj+y63df18g+v0+zPraivkn/AIVf4R/uax/4Orv/AOOUf8Kv8I/3NY/8HV3/APHKP7Lrd1/XyD6/T7M9C17/AJPi8O/9iVN/6USV7pXwXfeBfDyfH7TNEVdS+xy6BJcMDqdwZN4kccSb9wHHTOPau+/4Vf4R/uax/wCDq7/+OVEcuqyvZrQcsbTjbRnqt78IfEmkeOtb8VfDrx9/wjr68yyaja3elpexNIBgMmWUr+tWvBvwgu/DHh/xEbLxtqP/AAlniCcXN7rv2ePcJB0CRHKhBzxknB615B/wq/wl/wA89Z/8HV3/APHKP+FX+Ev+ees/+Dq7/wDjlNZVVUeVNbW3e3b8EJ5hTbu0+/z7npcfwV17WvHmi+LPHvjm31m40WQy2i2GiRWLuxGP3kgZmYDHA4/U1keO/hV8UPGmt3nhDXvGlvd+BZ0NwLybSbdrxHaQn7OjbtwKjGJMDg4wea4v/hV/hL/nnrP/AIOrv/45Vc/DzwONRXTjJq32tojMIv7au87Acbv9Z0zT/surom110/pfP5dg+v09Xr/X9fj3Pq/w5pNvoXh/T9Fs2ka3sbaO3iaRssVRQoJPrxV+vkn/AIVf4R/uax/4Orv/AOOUf8Kv8I/3NY/8HV3/APHKp5bWbu2v6+RMcdSirJM+tqK+Sf8AhV/hH+5rH/g6u/8A45R/wq/wj/c1j/wdXf8A8cpf2XW7r+vkV9fp9mfW1FfJP/Cr/CP9zWP/AAdXf/xyj/hV/hH+5rH/AIOrv/45R/Zdbuv6+QfX6fZn1tRXyT/wq/wj/c1j/wAHV3/8co/4Vf4R/uax/wCDq7/+OUf2XW7r+vkH1+n2Z9bUV8k/8Kv8I/3NY/8AB1d//HKP+FX+Ef7msf8Ag6u//jlH9l1u6/r5B9fp9mfW1FfJP/Cr/CP9zWP/AAdXf/xyj/hV/hH+5rH/AIOrv/45R/Zdbuv6+QfX6fZn1tXC/Gzwb4j8deEDoHh3xlL4VeWUfabmK2MryxYIMYw6lckjkHtjvXgf/Cr/AAj/AHNY/wDB1d//AByj/hV/hH+5rH/g6u//AI5UyymrJWbX4/5DjmNOLukz2H4S/Dnxp4Fsv7JPjPRJ9IS2dILW08OralZiOJWcSEuc8nPX1rntC+DfxF034rTfEOT4o6dPqF3ClreIPDiqsturqxQfvsKTtxuxXn//AAq/wl/zz1n/AMHV3/8AHKP+FXeE/wDnnrP/AIOrv/45V/2bX51O6v8A15EfXqXK42dj27wzo3xFvPGHjDVda1qXTNKuo2tNCsD5c4hwP+PpgOMk9EJ6ZziuU0v4CXV54p0zWPGfibS9TttMu1vYLPTPD0GnLNOv3XmZCS+DzjivPP8AhV/hH+5rH/g6u/8A45R/wq7wl/zz1n/wdXf/AMcpRyutFppq6/q+2/8AXYqWYU5Jpp6nf+Lfgp441v4nSeNl+JVg/kuTpdlf6ALqHT17eWplC7x/f25q/wDFX4TePfH3h/RdJvPidDbR2i51KNNHxDqL5BG9FlGExwUyQa8x/wCFXeEv+ees/wDg6u//AI5R/wAKv8Jf889Z/wDB1d//AByksqqqKjdWX9dh/wBo0+bm1uez6T4F+Iln4E1Lw23xE0+2nkiSLS7rTdAS1XTwp5xGJCGBHHbFWfif8P8AxF40+Gdt4LXxo1gZUji1W/FnvlvIwPnVQHATd368HGK8P/4Vf4S/556z/wCDq7/+OUf8Kv8ACX/PPWf/AAdXf/xyiWV1ZXu10/D5ff36kxx9ONrJ6fr/AFp26Hunj34TeHfFHwmX4dx79LsIIo1s5bcDdbvHgowHfkc+vPNYXhj4Q64fH+j+MvH3jg+Jr3Q4Gh0yKDTVs4o9wwWcBmLt78V5R/wq/wAJf889Z/8AB1d//HKP+FX+Ev8AnnrP/g6u/wD45VLLa6k5XV9/ntfbfzF9epcqjZ22+XY+tZPuN9DXh37DH/Juej/9fl5/6PevOm+F/hLafk1jof8AmNXf/wAcrgvgB4F8Pa38L7HUb9dSNw9xOreTqdxCuBIQPlRwo/Ks3l1VSUbrUtY2nyuVmfanxF8Jab458Gal4W1dpktL+Ixu8LYdD2Ydsg8815RefBPx1q3hODwPr/xae68JxIkLW1voscN1JCn3UabeewAJ281wH/Cr/CX/ADz1n/wdXf8A8co/4Vf4S/556z/4Orv/AOOU1lVW71Wv6fIX9oU/M9w8T+BfF2yytfA3juPw/plrYpZf2dd6THfQMijAYbmUg44OSQa57wj8F9W8F+FNZj8L+N7iz8SapfDUJ76PToVtzIOfKW34VYz0xn8a8w/4Vf4S/wCees/+Dq7/APjlB+F/hEA5TWeP+o1d/wDxym8rravmV31vrvft3EsfSVlZ2X+Vj0X4SfCnxQ3jWy+KPxK1S3bxUlq8AsbCzigiiDZBMjxk+a2D17dOcV7jXyDp3w88D6haLd2MmrTwOSFkXWrvBwcHrJ6irH/Cr/CP9zWP/B1d/wDxyn/ZtVpWat/T7B9ep3bs7n1tRXyT/wAKv8I/3NY/8HV3/wDHKP8AhV/hH+5rH/g6u/8A45R/Zdbuv6+Q/r9Psz62or5J/wCFX+Ef7msf+Dq7/wDjlH/Cr/CP9zWP/B1d/wDxyj+y63df18g+v0+zPraivkn/AIVf4R/uax/4Orv/AOOUf8Kv8I/3NY/8HV3/APHKP7Lrd1/XyD6/T7M+tqK+Sf8AhV/hH+5rH/g6u/8A45R/wq/wj/c1j/wdXf8A8co/sut3X9fIPr9Psz62or5J/wCFX+Ef7msf+Dq7/wDjlH/Cr/CP9zWP/B1d/wDxyj+y63df18g+v0+zPraivkn/AIVf4R/uax/4Orv/AOOUf8Kv8I/3NY/8HV3/APHKP7Lrd1/XyD6/T7M+tqK+Sf8AhV/hH+5rH/g6u/8A45R/wq/wj/c1j/wdXf8A8co/sut3X9fIPr9Psz62or5J/wCFX+Ef7msf+Dq7/wDjlH/Cr/CP9zWP/B1d/wDxyj+y63df18g+v0+zPraivkn/AIVf4R/uax/4Orv/AOOUf8Kv8I/3NY/8HV3/APHKP7Lrd1/XyD6/T7M9P+Nnwj8Z/EbW7CeL4g2Wl6Zpl9Ff2Fo2iCZopkBwWk81Sw56EVteL/AnjjxD4X0nTZvGmhyX1rv+2zXvhmG6gumP3WETviMqMjgnOa8W/wCFX+Ef7msf+Dq7/wDjlH/Cr/CP9zWP/B1d/wDxyksqqqPLdWvfruP+0Kd+az7HpenfCvXPh/4A8UP4NvH1fxx4gdPM1ErFaJE2QoZU+6iIpZtoyT05p/xL+Enjjxr4J8PeHZPidLaLZQj+1jJYeaNTk4P7zbInydRt6HPNeY/8Kv8ACX/PPWf/AAdXf/xyj/hV/hL/AJ56z/4Orv8A+OUPK6r3a6fht0/r5ISzCmtr9fxPafCvgTx9pPhS70Gb4hWMIWONdLk0vw/FaLZFGzjZuZXU4wRxwTzWZovwd1e8+I2neOfiD4zTxJqGlQyQ2MNtpaWUSh1KsXAZi/BPcV5T/wAKv8JZ/wBXrP8A4Orv/wCOUf8ACrvCX/PPWf8AwdXf/wAcp/2ZWbu2v607C+v0kuVJ2O0k/Z21hNA1HwRY/Eee28Cajem6n0z+zEa5ALhyi3G7gZUfw16Za+C9Xs/F2n3Fn4pli8KWmmmxbQPsylJTt2iQyZzn2xXz/wD8Kv8ACX/PPWf/AAdXf/xyj/hV/hH+5rH/AIOrv/45S/suta11/Strprp3G8fTvez/AKd/lqtTs3/Z11dPD1/4GtPiPcW/gO+vDcy6YNMQ3IBcOUW43cDIH8NdDrnwZ1Oy8bDxd8OfGI8LX0mnJp11HPpy3kUsSY2kKWXa3A55ryv/AIVd4T/556z/AODq7/8AjlH/AAq/wl/zz1n/AMHV3/8AHKP7LrWtdfj2tr30D6/S7P8Ap3/M+gPgz8OtP+GnhI6HZXtxqE0073N3dzgB5pWOScDoPQc/WvD/APgpH/yS7w3/ANhv/wBoSVn/APCr/CX/ADz1n/wdXf8A8cryT9qHwfonh3wfpV1pa34ll1Axt59/NONvlseBIxAPHUc1NbA1YRc5Naf12HTxdOUuVJ6nsX7QxI+Hnibb1w386Xw5oa2pkuLfwZomg3XkEQXduY5G3EdCFjU4/Gm+PPGPgyfUdX0DW7XVLqIXEkNxENJunRiGIOGVMEe4NYml+LPh7plyLmxtfEEcoBUFtP1CQYPswI/SvRp1KW7ktl112/rqcVSFS1lF7vp6f5Fq18X6zeaJpVhbpar4luL5rK7UxExwmI/vpNuc7cAkc81VXxX4t1i41htD065SPT7uW0iRLOGZZGjJGXZ50ZckdAvA9alg8ZfD6DW59bh0/VU1K4QJLcDRLzcygYA+5jp7VWvvEvw1vb6S+uNN1g3EuPNePSb6PzMdNwRQG/EGm6sXa9Rff6f8HTz8hKm1tB/d/X9LzNaXXPFF1r+gaRGllpE1/pzXN4ssf2gwSDqEIYBsfXFc74s8ReIrv4ceLNupraX+i3j2zXVrEUMyjBBGGzGcHnBNbK+OvAa3tvepY6qlxbRGGB10O7Xy4z/CAI8AVF/wmHw8+zahbf2bqhh1Fy94h0O7InYjBLfu6J1IST/eLW/XzTX4aBCEotPkelun3ncaFFfRabENQvlvZioPmLB5XGOmMn8815UNMt9U1DxrCvg+XVtRfUWjtr4LCnkN5a4/eswkTB5yoNdJpXj3wTpdmtnYQ67FAv3VOk3r4/FkJpbHx94HsZbmS0ttYhe6l86crol3+8fAG4/u+uAKurUo1JazVrNbrrb/AC33IpwqwXwvp0Eiu/F9lrPhzwiup2RnbSvMv72aEzOZE4JXkbskd/rV621XXNY8VanoOnalaWI0hIlnme082S4kdA24JuAROfU85qk/j7wO+px6m1trBvYozEk39iXe5UPVf9X0qnq3ir4c6rdrd32n6w9yq7BMmkX0UhX0LIgJHsc0OtDfnW76+tvuGqU/5X93oUvFut6zrHwv8ZW1xPbQXOkytay3FvHujulAQ5UE/IfmweTggitO5luNLXwJaTJpt9JdXKxiZ7BVaBfLXBj5O1u2e+Kb/wAJh8PP7EfRBpupjTZFKvbjQ7sK4Jyc/u8kk8k5yakuPHHgO4exeey1aRrBg9oTol3+5YDGR+79BUxnTTvzq/u9ez1+8bhNq3I/tdO60F+HL+ILjxX4qW919rq1tNTEYhe34wYYyApLHYOegHJye9eg15zF4x+H0WtSazFZazHfy48yZNIvV38AZZQm0nAAyRnitL/hZ3hX/qN/+CS7/wDjdaUq9KEFFzWnmTUpVJSclF/cdpRXF/8ACzvCv/Ub/wDBJd//ABuj/hZ3hX/qN/8Agku//jdafWaP86+8j2FT+V/cdpRXF/8ACzvCv/Ub/wDBJd//ABuj/hZ3hX/qN/8Agku//jdH1mj/ADr7w9hU/lf3HaUVxf8Aws7wr/1G/wDwSXf/AMbo/wCFneFf+o3/AOCS7/8AjdH1mj/OvvD2FT+V/cdpRXF/8LO8K/8AUb/8El3/APG6P+FneFf+o3/4JLv/AON0fWaP86+8PYVP5X9x2lFcX/ws7wr/ANRv/wAEl3/8bo/4Wd4V/wCo3/4JLv8A+N0fWaP86+8PYVP5X9x2lFcX/wALO8K/9Rv/AMEl3/8AG6P+FneFf+o3/wCCS7/+N0fWaP8AOvvD2FT+V/cdpRXF/wDCzvCv/Ub/APBJd/8Axuj/AIWd4V/6jf8A4JLv/wCN0fWaP86+8PYVP5X9x2lFcX/ws7wr/wBRv/wSXf8A8bo/4Wd4V/6jf/gku/8A43R9Zo/zr7w9hU/lf3HaUVxf/CzvCv8A1G//AASXf/xuj/hZ3hX/AKjf/gku/wD43R9Zo/zr7w9hU/lf3HaUVxf/AAs7wr/1G/8AwSXf/wAbo/4Wd4V/6jf/AIJLv/43R9Zo/wA6+8PYVP5X9x2lFcX/AMLO8K/9Rv8A8El3/wDG6P8AhZ3hX/qN/wDgku//AI3R9Zo/zr7w9hU/lf3HaUVxf/CzvCv/AFG//BJd/wDxuj/hZ3hX/qN/+CS7/wDjdH1mj/OvvD2FT+V/cdpRXF/8LO8K/wDUb/8ABJd//G6P+FneFf8AqN/+CS7/APjdH1mj/OvvD2FT+V/cdpRXF/8ACzvCv/Ub/wDBJd//ABuj/hZ3hX/qN/8Agku//jdH1mj/ADr7w9hU/lf3HaUVxf8Aws7wr/1G/wDwSXf/AMbo/wCFneFf+o3/AOCS7/8AjdH1mj/OvvD2FT+V/cdpRXF/8LO8K/8AUb/8El3/APG6P+FneFf+o3/4JLv/AON0fWaP86+8PYVP5X9x2lFcX/ws7wr/ANRv/wAEl3/8bo/4Wd4V/wCo3/4JLv8A+N0fWaP86+8PYVP5X9x2lFcX/wALO8K/9Rv/AMEl3/8AG6P+FneFf+o3/wCCS7/+N0fWaP8AOvvD2FT+V/cdpRXF/wDCzvCv/Ub/APBJd/8Axuj/AIWd4V/6jf8A4JLv/wCN0fWaP86+8PYVP5X9xjaj/wAnOaP/ANizL/6Nkr02vEr3xfpMnxz03xMtvrJ0uHQ5LR5v7JuciUyOQu3ZuPBHOMV3P/CzvCv/AFG//BJd/wDxusaOIpLmvJb9zSpRqPl917B8OHz4i8aQFiZF1gNsPUKbeHB+nWsjTbG41rXPiPZ2WovYtc3EMEV2hP7txBHkDBH0OPWjVPFPw41O8+23mn6y10V2GaPSb6J2XsGZEBYfXOKli8Y/DyLSG0mPTNSSxfO+EaFd4Y+p/d5Lf7Wc+9Rz0nFRlJaK2++y+WxXLUUnJRevl8xvhNYNB1+28N6j4Zs9E1a6sZBBqGmyZhugnBZxgMHGVb5weScHrWX/AGbF4Jt7a88VeGNP1WJLxQviG1k/0sl2O15A2HJ52/K54HTFaGn+J/htYTSz22mav50sRheSXSL2Zyh6rudCQDnoKoaVqnw00+/kulttfuB5qyW0FxpV7JDa4UACNGQqOhPTIycYFHtIXi+dXXmu99v8rD5J6+6/x/r8z1oHIyOQeaWuL/4Wd4V/6jf/AIJLv/43R/ws7wr/ANRv/wAEl3/8brp+s0f5l95h7Cr/ACv7jtKK4v8A4Wd4V/6jf/gku/8A43R/ws7wr/1G/wDwSXf/AMbo+s0f5194ewqfyv7jtKK4v/hZ3hX/AKjf/gku/wD43R/ws7wr/wBRv/wSXf8A8bo+s0f5194ewqfyv7jtKK4v/hZ3hX/qN/8Agku//jdH/CzvCv8A1G//AASXf/xuj6zR/nX3h7Cp/K/uO0ori/8AhZ3hX/qN/wDgku//AI3R/wALO8K/9Rv/AMEl3/8AG6PrNH+dfeHsKn8r+47SiuL/AOFneFf+o3/4JLv/AON0f8LO8K/9Rv8A8El3/wDG6PrNH+dfeHsKn8r+47SoNQtvtllNa/aLi381Cnm27bZEz3U4OD71yX/CzvCv/Ub/APBJd/8Axuorv4jeD7u2ktp11xopBtYDR7xSR9QgI/CpliKLTXMvvGqNRP4X9xX+EdhDpfiDxnZW5naKHU0wZpWkc/KclmYkkmsS+8PDwJo11r2paJ4Y122jvTcyXEluRdhXcYCMwIJU9BVvSfEHwy0q/a+0/TdcguWYs7jTdQbecYywZSGOD3BpINd+F0E8c0ekauTE++NH0m+eNG9RGylR7ccdq51Knyx95XStv6f5G3LO7912eu3r/melh4bi0GWKJLEGxuKsFI9RyOvUdK8v1iwg8P8AjXwze/8ACP23hu1e7a3+06fIJXvHcELHKAF+Uk7ix3EEdutPPifwZP4qvdd1B9YuvPs/sMVudBuwkcJ++D8nzFsD0qWx8R/DOyvIry30zWfPh/1Ty6VfS+X7qHUhT7jFXKtTlKMuZKz7ro/8vPr1IjSnFNWbuu3kWfilpmgKkOmWHh3R5vEWuymG3leyjZ0yMyTsSM/KuTn1AqA6Fp8Hjjw74LuohPolno8ksNrN80dxMrBdzr0cgEnn61cPjrwIdYGsGz1c6gIfJE50S7LBM5Kj93gdO1R614y+H+siH+07HV7hoG3RP/Y14jxnodrKgYfganmop35lv30tql+d/X0uVy1LW5Xt+P8AWnp6ln4fhNP8a+LtHsmEekWssDwwg4jt5HUl0QdFGew4qt8SUGo+M9A021todYu0jkmk0i74tZIuhlcnIDLn5cq30HWoP+En+Gv9hzaIdJ1M6dOd00B0S8IlOc5Y7NzH3JzT9V8WfDnVPs327TtXla1BW3ddHvUeMEYIDqgYDHbOKHUpuEYc60t1/rytvp23BQnzOXK9fL+t9bmZ4T1e88N6N4itodJul1sXy/8AEotreSa1sPM+6yeXuPlYO5sAdOFFP+H0tlY/FC8gE2q3V1daYjXNzcadcRGaYuCzEOg2L6Zwo6CtbRvG3gHRoZIdMstXtllcySEaLeM0jerMyFmP1NSp4+8Drqb6ottrAvZIhC839iXe4oDkL/q+macJ04uLc1p/k13/AK/AJQm1Jcr1/wA0zvW+630Neafsxf8AJHNN/wCvm5/9Gmtc/E7wrtP/ACG+h/5gl3/8brh/gX4w0nwz8NrLR9Zt9Zt72KednjXSblwA0hI5VCOlVLEUvaxfMtn19BKjU9m1yvdfqd98Zd3/AAq/Xyu7ItGPHbil+J9xEPhNrlwsoEcmmP5bg8MSvGD71Wl+JXhGWNopY9YkjcFWVtDuiGHoR5fNYdvrfwtgkjePR9VxE26ON9IvniQ9sRspQY7ccdqmrUpzUo86s/McITi4vlfuu+3p/kXtZ8M6pqCeH9Ris9P1iGysFin0bUGIjYkcyrwV3gcDcO3WoPso8ZeCtPPhq1jsF0+9cT6LfyMYJmjYh7dypIKAg4wCuO2OKk1bxd8PdWnW4v7LWpJlXYJE0m+iYr6EogJHsapatr3w4vtCj0iK01qwjgVhay2mi3cclsWGCyERg5PfOc980VKlNuT5lrrut733/R3+SCFOolFWenl5G94Cu9KtfEOp+Ho/C0PhzVIYknmgtnVreZDwHXYAAeMcqDXb15zofjLwDosbrp9prMbyY82VtGvHklIGBudkLH860v8AhZ3hX/qN/wDgku//AI3W0cRSUUnNf1/X/DGUqNRu6iztKK4v/hZ3hX/qN/8Agku//jdH/CzvCv8A1G//AASXf/xuq+s0f5194vYVP5X9x2lFcX/ws7wr/wBRv/wSXf8A8bo/4Wd4V/6jf/gku/8A43R9Zo/zr7w9hU/lf3HaUVxf/CzvCv8A1G//AASXf/xuj/hZ3hX/AKjf/gku/wD43R9Zo/zr7w9hU/lf3HaUVxf/AAs7wr/1G/8AwSXf/wAbo/4Wd4V/6jf/AIJLv/43R9Zo/wA6+8PYVP5X9x2lFcX/AMLO8K/9Rv8A8El3/wDG6P8AhZ3hX/qN/wDgku//AI3R9Zo/zr7w9hU/lf3HaUVxf/CzvCv/AFG//BJd/wDxuj/hZ3hX/qN/+CS7/wDjdH1mj/OvvD2FT+V/cdpRXF/8LO8K/wDUb/8ABJd//G6P+FneFf8AqN/+CS7/APjdH1mj/OvvD2FT+V/cdpRXF/8ACzvCv/Ub/wDBJd//ABuj/hZ3hX/qN/8Agku//jdH1mj/ADr7w9hU/lf3HaUVxf8Aws7wr/1G/wDwSXf/AMbo/wCFneFf+o3/AOCS7/8AjdH1mj/OvvD2FT+V/cdpXNfEDWdQ0vTIoNKtbt7u8k8lbmGyluEtFx80rLGrHgdBjkkds1Q/4Wd4V/6jf/gku/8A43R/ws7wr/1G/wDwSXf/AMbqJ16Uo2U195UaVRO/K/uMT4SyabZ+MPE2m2X9pMGNu/mXNlOjO2197OXUbST2bGe3Suu8a/8ACKx6cmoeKIra5tYGxFHMvmq7ngBYuQ7noOCeT05rmbzxv4PMOpyacurWd/qEWyS6/sK7Y5wQrEbBnG44rKtdS+F6aNpWm3Vhrd2NLUi3lfSb5XVm5ZgVUYJOay9tDk5OaOluv6eRp7KXNzWf9L9Tofht4Zlj8N39vrulpHp9/eNPaaTcgSraw8bUKnIHPO0dKy/C2iaHrfxEl1rR9HsLLSdBZ7eB7a2SL7VdEYdiVAyqAkD3bParOm+MvAOmxTx2dvr6JOMSB9Nv5Mj/AIGpx17YqfSfHvgbSbCKw0211e1tYs7Io9Eu8Dv/AM8+acZ0E4+8rRXf5L7l+PoJxq2l7r18vv8A67FbU9Gi0/40+HLxbm/uZ7yG8Z2uLhnCjbwqL91VHoB+dejEqTsJXOPu55xXll3rXwuu78X9zpmuyXQJKynT9RDLnrtwPlz6DFaSeNvAK6wNYWy1f+0BB9nFx/Yt5v8AL4O37nTgU6VanBcvMvvFOlOTvyv7jP8AHvhvw3qeuWXgzSPD+kwXl5/pOoXMNlGr29qpG4hgMhnOFHf5ian8eXn2ue48OzWmrWmg2FqTKYtMuZBeuF+VA8aFRGpALHPOMdCat2njrwJaajd6jb2erx3d5t+0TDRLstJt6Akx9B6CrU3xK8IzQvDKmtPG6lWU6Jd4IPUf6uspOk6bipq7+7y+787+hcVUUk+V6f0/67WLfwiu4rv4d6L5SzjyrVEbzYHj5HpvA3D3GR7153+2P/yImjf9hM/+imrtdP8AiF4L0+yhsrKDWILaFQkUa6Jd4VR2H7uvK/2ovF+jeIvB+lWum/2h5kWoGRvtGnzQLjy2HBkUAnnoOavGYinOlK0lcWGozjUTcWfoNpH/ACC7X/rkv8qtVV0j/kF2v/XJf5Var509oKKKKACiiigAooooAKKKKACiiigAooooAKKKKACiiigAooooAKKKKACiiigAooooAKKKKACiiigAooooAKKKKACiiigAooooAKKKKACiiigAooooAKKKKACiiigAooooAKKKKAKtwT/aVoO22T+lWqqXH/ITtP8Adk/pVugAooooAKKKKACiiigAooooAKKKKACiiigAooooAKKKKACiiigAooooAKKKKACiiigAooooAKKKKACqumkmKbP/AD3k/wDQjVqqumf6qb/rvJ/6EaALVFFFABRRRQAUUUUAFFFFABRRRQAUUUUAFFFFABRRRQAUUUUAFFFFABRRRQAUUUUAFFFFABRRRQAUUUUAFFFFABRRRQAV8s/8FI/+SXeG/wDsN/8AtCSvqavln/gpH/yS7w3/ANhv/wBoSUAcZ45/a68a+FPGeteGbPwz4fnttKvprOKSUTb3WNyoLYcDJA7Vjf8ADbXj7/oU/DP5T/8AxyiigA/4ba8ff9Cn4Z/Kf/45R/w214+/6FPwz+U//wAcoooAP+G2vH3/AEKfhn8p/wD45R/w214+/wChT8M/lP8A/HKKKAD/AIba8ff9Cn4Z/Kf/AOOUf8NtePv+hT8M/lP/APHKKKAD/htrx9/0Kfhn8p//AI5R/wANtePv+hT8M/lP/wDHKKKAD/htrx9/0Kfhn8p//jlH/DbXj7/oU/DP5T//AByiigA/4ba8ff8AQp+Gfyn/APjlH/DbXj7/AKFPwz+U/wD8coooAP8Ahtrx9/0Kfhn8p/8A45R/w214+/6FPwz+U/8A8coooAP+G2vH3/Qp+Gfyn/8AjlH/AA214+/6FPwz+U//AMcoooAP+G2vH3/Qp+Gfyn/+OUf8NtePv+hT8M/lP/8AHKKKAD/htrx9/wBCn4Z/Kf8A+OUf8NtePv8AoU/DP5T/APxyiigA/wCG2vH3/Qp+Gfyn/wDjlH/DbXj7/oU/DP5T/wDxyiigA/4ba8ff9Cn4Z/Kf/wCOUf8ADbXj7/oU/DP5T/8AxyiigA/4ba8ff9Cn4Z/Kf/45R/w214+/6FPwz+U//wAcoooAP+G2vH3/AEKfhn8p/wD45R/w214+/wChT8M/lP8A/HKKKAD/AIba8ff9Cn4Z/Kf/AOOUf8NtePv+hT8M/lP/APHKKKAD/htrx9/0Kfhn8p//AI5R/wANtePv+hT8M/lP/wDHKKKAD/htrx9/0Kfhn8p//jlH/DbXj7/oU/DP5T//AByiigA/4ba8ff8AQp+Gfyn/APjlH/DbXj7/AKFPwz+U/wD8coooAP8Ahtrx9/0Kfhn8p/8A45R/w214+/6FPwz+U/8A8coooAP+G2vH3/Qp+Gfyn/8AjlH/AA214+/6FPwz+U//AMcoooAP+G2vH3/Qp+Gfyn/+OUf8NtePv+hT8M/lP/8AHKKKAD/htrx9/wBCn4Z/Kf8A+OUf8NtePv8AoU/DP5T/APxyiigA/wCG2vH3/Qp+Gfyn/wDjlH/DbXj7/oU/DP5T/wDxyiigA/4ba8ff9Cn4Z/Kf/wCOUf8ADbXj7/oU/DP5T/8AxyiigA/4ba8ff9Cn4Z/Kf/45R/w214+/6FPwz+U//wAcoooAjf8AbU8eNPHMfCfhrdGGA4n7/wDbT2qT/htrx9/0Kfhn8p//AI5RRQAf8NtePv8AoU/DP5T/APxyj/htrx9/0Kfhn8p//jlFFAB/w214+/6FPwz+U/8A8co/4ba8ff8AQp+Gfyn/APjlFFAB/wANtePv+hT8M/lP/wDHKP8Ahtrx9/0Kfhn8p/8A45RRQAf8NtePv+hT8M/lP/8AHKP+G2vH3/Qp+Gfyn/8AjlFFAB/w214+/wChT8M/lP8A/HKP+G2vH3/Qp+Gfyn/+OUUUAH/DbXj7/oU/DP5T/wDxyj/htrx9/wBCn4Z/Kf8A+OUUUAH/AA214+/6FPwz+U//AMco/wCG2vH3/Qp+Gfyn/wDjlFFAB/w214+/6FPwz+U//wAco/4ba8ff9Cn4Z/Kf/wCOUUUAH/DbXj7/AKFPwz+U/wD8co/4ba8ff9Cn4Z/Kf/45RRQAf8NtePv+hT8M/lP/APHKP+G2vH3/AEKfhn8p/wD45RRQAf8ADbXj7/oU/DP5T/8Axyj/AIba8ff9Cn4Z/Kf/AOOUUUAH/DbXj7/oU/DP5T//AByj/htrx9/0Kfhn8p//AI5RRQAf8NtePv8AoU/DP5T/APxyj/htrx9/0Kfhn8p//jlFFAB/w214+/6FPwz+U/8A8co/4ba8ff8AQp+Gfyn/APjlFFAB/wANtePv+hT8M/lP/wDHKZB+2r48hVlXwn4a+Z2c8T9Sc/8APSiigB//AA214+/6FPwz+U//AMco/wCG2vH3/Qp+Gfyn/wDjlFFAB/w214+/6FPwz+U//wAco/4ba8ff9Cn4Z/Kf/wCOUUUAH/DbXj7/AKFPwz+U/wD8co/4ba8ff9Cn4Z/Kf/45RRQAf8NtePv+hT8M/lP/APHKP+G2vH3/AEKfhn8p/wD45RRQAf8ADbXj7/oU/DP5T/8Axyj/AIba8ff9Cn4Z/Kf/AOOUUUAH/DbXj7/oU/DP5T//AByj/htrx9/0Kfhn8p//AI5RRQAf8NtePv8AoU/DP5T/APxyj/htrx9/0Kfhn8p//jlFFAB/w214+/6FPwz+U/8A8co/4ba8ff8AQp+Gfyn/APjlFFAB/wANtePv+hT8M/lP/wDHKP8Ahtrx9/0Kfhn8p/8A45RRQAf8NtePv+hT8M/lP/8AHKP+G2vH3/Qp+Gfyn/8AjlFFAB/w214+/wChT8M/lP8A/HKP+G2vH3/Qp+Gfyn/+OUUUAH/DbXj7/oU/DP5T/wDxyj/htrx9/wBCn4Z/Kf8A+OUUUAH/AA214+/6FPwz+U//AMco/wCG2vH3/Qp+Gfyn/wDjlFFAB/w214+/6FPwz+U//wAco/4ba8ff9Cn4Z/Kf/wCOUUUAH/DbXj7/AKFPwz+U/wD8co/4ba8ff9Cn4Z/Kf/45RRQAf8NtePv+hT8M/lP/APHKP+G2vH3/AEKfhn8p/wD45RRQAf8ADbXj7/oU/DP5T/8Axyj/AIba8ff9Cn4Z/Kf/AOOUUUAH/DbXj7/oU/DP5T//AByvPPjv+0D4k+Lvh6w0XWtF0mwhsrv7Uj2fmbmbYy4O5iMYY0UUAf/Z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4714875" y="760095"/>
          <a:ext cx="304800" cy="2838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3</xdr:row>
      <xdr:rowOff>100330</xdr:rowOff>
    </xdr:to>
    <xdr:sp macro="" textlink="">
      <xdr:nvSpPr>
        <xdr:cNvPr id="7" name="AutoShape 3" descr="data:image/jpg;base64,%20/9j/4AAQSkZJRgABAQEAYABgAAD/2wBDAAUDBAQEAwUEBAQFBQUGBwwIBwcHBw8LCwkMEQ8SEhEPERETFhwXExQaFRERGCEYGh0dHx8fExciJCIeJBweHx7/2wBDAQUFBQcGBw4ICA4eFBEUHh4eHh4eHh4eHh4eHh4eHh4eHh4eHh4eHh4eHh4eHh4eHh4eHh4eHh4eHh4eHh4eHh7/wAARCAF1A7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NUDaOB0pcD0FIn3R9KWgAwPQUYHoKKKADA9BRgegoooAMD0FGB6CivLPj78Q/EXgafw1aeG7LSbm51m7a2J1BZCiEbcH5GB7+9HVLvoPo321PU8D0FGB6CvK7m+/aBsUM7aD4A1RUzm2s7m5ilf2VpDtz9a0fhX8VNO8aaheeH77Tbnw/wCJ7DP2vSro5YAdWRsDcPwH5c00r6IT0V2eh4HoKMD0FeZ+I/iHq2m/HjQfAENnYvp2pWf2iWd1fzlbcwwpDbcfL3Br0t2VEZ3YKigsxPYDqaX2ebpr+AP4uXr/AJi4HoKMD0FfO2n/ALQuryfECFLzQrKHwNdapJptvqoVzIzpgFs7tpGSD93ofY19FfkfpTSvFS6MHpJx7CYHoKMD0FfOvxH+PXi7wx8TNa0Wy8N6Xe6FoskH2yY+Z56xuoJbIbA5J/hPb1r6A0fUbPV9JtNU0+YTWl3Cs0LjurDIpR96Cmtgl7suV7lrA9BRgegrg/jZ4/bwF4ahnsLOPUNb1CcW2m2Tk4lkPUkDnaB15HUVjfs6/EjxB8Q7DXP+Ei03T7C80u9+zFLMOFJxznczcgg9DRH3r26f8D/NBL3bX6/1+h6rgegowPQV5X43+Lk1r4ybwN4E8OS+KfEka7rhRL5VvaD1kfHuOOOvWq1xrX7QljB9tm8H+CtRjUbns7K8lW4x6BmYqT9AaSel+g2rO3U9dwPQUYHoK4H4P/FHSviJbXsEdlc6TrOnP5d/p1zy8R5GQeNwyCOgIxyOlcN8bvjV4p8C/EZPD+jeHLHVLCHT0vrwuJPOEZcqxUhgBjjqD1py91pPqJap26Hu+B6CjA9BWR4L8SaX4u8M2XiDR7hZrS7jDDB5Rv4kPuDxXF+A/iHq3iD4xeLvBl1Z2MVjoiobeWJX8184++SxHfsBT5Xz8nXX8BXXLz9NPxPS8D0FGB6CvHPHfxE8eQfGmD4d+D7Dw07S6eLsTaqJ+uTkZjb2HarGqeIvjp4et31DUvBvhTxBZxDdLFot3NHOqjqQJc7voBUpq3N0Ks+bl6/0z1vA9BRgegrk/hf8QNA+IegNqmiSSI8L+Xd2k42zW0n91h+Bwe+DXWjrVNNOzJTT2EwPQUYHoK8Nh+I/xT8QfE/xP4S8IaV4QMOhy7fM1H7QrupwByj4J/AV23g2b4wSa7Gvi+y8FxaTtbzG017gz7sfLjeSMZxmlH3kpdHqOXutrsd5gegowPQV4D8avjV4x8GfEW58O+H/AA7pWpWdlYJfXJn8zzjHn58FWAGB7HHWvaPBviCw8U+F9P8AEGmyB7a9hWRcHO091PuDRH3o8y/r+rMJe7Llf9bf5o1sD0FGB6CuQ+L3je38AeCbrXZIVubskQ2Nrk5uJ2OFXjk+px2BrjP2fvih4q8da94h0XxVo+mabdaTtytmH4JOCG3M2fwxRH3m0ugS91JvqexYHoKMD0FLXmmtXHx1XV7tdH0/wA+nCVvsrXMl0JTH234bGfpSvqB6VgegowPQV89fET4m/GrwRc6VZ6lo/gO8vtVnENnaWX2qSWQk4zguOM8Zr0rxfP8AF1b6D/hErHwbJZmBTN/aUlwJBLj5gNhA256d6fS/nYOtvmd3gegowPQV89WfxM+NV18Tbr4ex6P4DGrWsHnyOTdeSV254bfnPPpXqXgm4+Jm6+k8c2vhaGBId1t/ZLTFi/ff5hIxj0pXXLzdLXDry9djs8D0FGB6CvN/2e/H+rfEXwfdazrFnY2s8N40CpaK4UqO53Mxz+NaHx08Y6h4C+Gt/wCJ9LtrS5uraSJVjuVYxkM4BztIPT3pz9zfy/H/AIccFzuy9PuO4wPQUYHoKx/A+rTa94N0fW7iOOKa/soriRI87VZlBIGecc1sVUouMnF9CIyUkpIMD0FGB6CvMvjr8RtX8Fro2k+FdLttX8SavOUtrSYMV2DqxCsp65HWtD4F/EFfiN4HTV54YrXU4JWt9QtYwQsUg9ASTgjB5J61MfeTa6FS921+p3uB6CjA9BXA/HzxxqXw9+Hk3iLSbO1u7tbiKFI7kMY/mOMkKQf1rM+BHxVfx7FfaTr1hDo/ifTnIubJCQrp/fQMSce2T69KI+82l0CXupN9T1HA9BRgegrzP42/EPVvA2p+FLXTLOxuF1m/NtOblXJRfl5Xaw5575q78f8AxxqXw88ASa/o9laXl59qjgSO6DFPmJ5IUg/rScko83S9vnp/mNK8uXra/wCf+R3+B6CjA9BXmHwJ+KjePre+0vXLGLSPE+myFbuxUkBl7OgbJx7ZP5U/40/EPVvBGt+ErDTbOxuE1q+a3uGuFclFG3ldrDn5u+atxalGPe1vmSpJpy7Xv8j0zA9BRgegrz79oDxzqfw88DrrukWtndXBvorfZdKxTa2cn5WU549ayfjN8SPEngXwx4c8T2Ol6dd6ZdvGuqear7od6qQUIYAfxdc9KhNP70vmymne3k39x6vgegowPQVBpt7bajp1tqFnIJba5iWaJx/EjDIP5GvNfix8SNY8P+OvDHgnwrY2F9rGrybpxdK7LBBnAbCsOTh+vpVWfMo9W7EppxculrnqOB6CjA9BXlPx3+InibwXrHhfSPDNno9zc65cSQF9QWTYhXbgjYwIHzH1qZpP2ggSPsvwyyP9u9/xpLVXXp9w3o7fM9QwPQUYHoK4z4leJta8HfCfUPEz2+nz6vY2qSSRAObcyEgNjkNt5OOc1xnhjxF8efEPhex8Q6fpnw7e3vIBPFCz3aSkH+HltoP44o6vyDovP+v1PZsD0FGB6CvNvg18Uv8AhOr7VtB1TRJNE8Q6O4S8tTKJEOSRuRuOMjp7jk1neIPif4j1L4jXvgH4c6BYahqOnRh7+/1Odo7aAnHy7U+ZjyOh/Dijqkuuq9O4d79Nz1rA9BRgegrz3wxrXxXh8TWumeL/AAnoc2n3OQdT0a6fZAQM/PHJlsHpnivQJpY4IZJ5nEcUal5HPRVAyT+VD0VwWrsOwPQUYHoK+d/DP7QWs33xBsbfVdBsrPwZql/NY6fqQV/Md0wASdxUglh/CPvD0NfRPfFOz5VLuD0k49hMD0FGB6CvEI/iJ8T9f+Knifwd4R0/wesWiMv7zUxcBnU47o2M5PoKk1P4q+OPAniPStN+J3hnSBYarOIbfU9EuHMaOSBhkkye/qOM4zilF8yi++wS91tdtz2vA9BRgegrzT44+O/Evw/tdK8RafpdjqXhszrHqrMj/aIEYjbIhDBcdeo64Heu1PiXRF8Jf8JWb+L+x/sv2v7QDkeXjP59sevFK65XLotx2d0u+xrYHoKMD0FebfAzxx4m+INlqfiDUdJstO0E3Bj0nYr+fMo6s5LEEdOgHX2r0mqaa3JTTvYMD0FGB6CkkbbGzegJrzb9n/4g6t8Q9D1a/wBXs7G1ksr9raMWquAVGeTuY88Ulq2l0V/xsN6JPvp+v6HpWB6CjA9BXzprP7QuuaF8U9T0jVfD1kfCmnakLC4v4RJ50O7O12O4qehJG0dPWvoSG6guLBL20lSeCSPzIpFOVdSMgg0k17NVOg2rT5OpPgegowPQV5t+z98QNW+InhzUtT1azsbWW1vmtkW1VwpUZ5O5jzWf4u+Ll6/jKbwR8OfDn/CUa9bg/a5Xm8q0tMdd798HjqPrTas0ur1/C4ujfbT8bHrOB6CjA9BXkj+IPjzpMYvdU8D+FtatVG6W30i+kjuFHfHmEhj7Ac13HiXxno/hnwQfFniHz9OtFhWR4ZU/fBm6R7f7+eMUNpK4JNtI6PA9BRgegrxrRfHPxk8ZWqat4T8CaFpGjzDdbza9dyGWZezBIyCAfxHuar33xe8YeBdTs7b4seDLbT9Ou5PLTWNJuDLbq3+0hyR69c47GnZ3s9GHS61PbcD0FGB6Cuf8eeIW0H4f6v4n09IbtrOwkuoAxPlyYUkZxzg+1eUfAv43654u8UQ6B4y0fTtLl1G0+1aVNabwk46lTuZucZ79eMURXNJx6r/g/wCTBu0VLp/w3+aPd8D0FGB6Civnv41fHvX/AAv4k1DT/B+iaZqVho5jj1O8u97KkznAjXay8joevNS5JNIai2mz6EwPQUYHoK5HxZ4qvNJ+Et54xtraBruHS/tqQyZMe7ZuwcEHH41wfgfxR8dPF3hSw8SabY/DqK0vo/MjSc3gcD3AYj9appqTj2/r9CU04qXf/gf5ntWB6CjA9BXOeBW8ctaXB8cR+HUufMH2caOZimzHO7zOc5z0rfupo7a2luJmCRRIXdj2AGTSlaOrGtSTA9BRgegrxbwx8SviP8Rlu9S+HXhvw9a6FbztBHea5cS7rkjuqRYK/jn612PhLWviPfWWr2XiHwnpul6taxBrK5juzJZXbHp0+dcdxyaNlf5h1t8juMD0FGB6CvEPGviz48eEfCt94j1TSfh69pYx+ZKsL3TOR7AuKf4N8U/HnxV4ZsPEGnaV8PEtL6MSxCZ7oOFz3AY80LW/kD0se2YHoKMD0FV7FrldNhk1PyEuVhVrnyc+WrhcvtzztznGe1fP1h+0Lq8nxAhS80Kyh8C3OqSabb6qFcyM6YBbO7aRyD93ofY00rz5FuH2OfofROB6CjA9BVTWTqK6VdNo62smoCM/ZhcsRCX7bivOPpXjPjnxh8d/B3hS98SatpPw9e0s0DSrA10zkE44BcevrUOSW40m9j3HA9BRgegrxbwj4m+PXibw5p+vWGlfDxLS+iEsYle6DhSe4DHmrvxo+InjDwbfeENI0ax0KfU9ddoZ2vBKYY5AEzt2sDtyx65OMVbi01Hre3zJTTV+lr/I9cwPQUYHoK8vaT9oIEj7L8Msj/bvf8a3fiV4o1jwb8KNQ8TSW1hcatY2qPJEN/2cyEqGxyG28nHOamTUY8zKinKSijs8D0FGB6CvFfgL8Y9Y8Z+ILjw54w0mw0nVGtUvbD7KWCXMLdeGZuRx0PrxxXtY61couJKknsJgegowPQV85/E79oLxBovjC5s/Cuh6XfaDY30On3N/c+YS9w+SVTayjgKexwRzXrHxZ8X33hH4V6h4u0+2tpru3t4pUinDGMlyoIO0g/xetRzLk5+hfK+f2fU7TA9BRgegrx7wzrnx48QeHrDXLOz+G6W17CJolkN4GCn1AJ5r0PwS3jA6TI3jWPQk1ASHYNIMvleXjjPmc7s59qqS5b36ERalZrqb2B6CjA9BXzh4J/aL1a58dDTfF2h2Gn+H7m/lsLbUrfzB5cqHgSFmIOcjoB1z0zXvXi7VJNH8J6rrNsscslnZS3MSvko5VCwzjscdqmT5Yc72KSvPk6mrgegowPQV5b4E8Z+PPHHwesvE+g2Hh1NeuJ2VobszJahFPJGGLZ/GuO+JnxK+Nfw/tNOudb0fwHImoXa2kItjdMQ5BIJy4wOKck4y5X/VyU01zI+g8D0FGB6CvM9CuvjrNqFk2q6f8P0053RrhreS680RnBO3LY3Y6Z4r0002guJgegowPQUUUhhgegowPQUUUAGB6CvAv23dZ1jQ/h7oVxouq32mTSasUeSzuHhZl8pjglSCRntXvtfOn7fP/JNfD/8A2GD/AOiXoA+ik+6PpS0ifdH0paACiiigAooooAK8C/ay/wCRk+G//YYb/wBkr32vKP2g/h/4n8bT+GLzwvLpa3GjXjXLLfyuit93AG1T6e1CdqkJdmmDV4Tj3T/I9Zf75+tfOPjlwP20PCo0kJ9p+xIL/Z1K5bO7/gO38MV29yv7Ql4BEsvgHSwx+aeIzzsB7KygZq78KfhVb+D9YvvFGs6xceIvFOoE/adRnG0Kp/hRf4R/TAGAKcFacZPp/lb9Qm7wlFdf87nFeOv+TxvBv/YL/wDZ5K3v2rfHKeEvhy2m29yINR1xzawvnHlR8eZJxzwCPzq/4l+H+ual8f8Aw/48t5rEaVp1l5EyPKwmLbmPyrtwR8w7imS/D3XtY+PieOfEVxYSaJpduI9HtY5GaRXxku4KgA7i3c9vSoUeanGm+8r+l2/x2KcuWpKa7K3rZL8DyzxL4g+Cd18BIfANj4uslvbG3Wa1mFtMM3YGWfOz+Ji35j0r1b9mPx1/wnHwusZrmdZNT07/AEO8GeSV+62PddvPrmvUAFznaPyryjwn8OvEHhX45a14o0ebTh4X1yMNd2pkZZkmA+8q7cHnceo+97VrGV5yv9rX5r/NafcZuNoRt9n8nv8A5/ecV4V0mz179p34m6LqEYktb3TY4ZVIzwY05/A81qfs2a7c+GNW1/4R+JbnZc6DK8+nySt9+0PzdfYHd/wLHaup8HfD/WtI+O3irx1dT2R03VYI47aOORjKCqqDuBUAdOxNYv7Q3wi1rxxrGmeIPB+pW+l6zDE1pdyyzNGJLc84BUHkZb6g1lBuEIW/ls/vbX3P8GzSaUpz9br7kn9/5pGd8Pt3xV+MmqfEKfL+HvDe6w0RCflkmAJeYdu457gj0qt+x1u3/EDbnd/bcmPrlq9i+HvhWx8G+CdO8M6eoEVrBsZ/78h5dj9WJ/CuO+AHw81vwC/idtYuLGX+1dTa6t/s0jNhCTjdlRg89OavlUW4J6ctr93dNv56shtySk1re/orNJHEfsf+TL4m+I1xckvqv9q7ZmflvL3ybf1z+VfRVeQeKPhLrVj46uvHfwz8Rx6Hq94uL2yu4vMtLo+pA5X8j7dTUk9t+0NfQpZtqHgXSQwKy3tsJppAPVUZQAfxpJ3jFdUkvuG1aUnfRtv7zjvBYi/4bX8T/wBl7jB/Zp+2bPuB/wB317en61p6vDFcftmWsE8ayxSeGmR0YZDKXIIIru/hB8MtO+H1te3Bvp9W1zU3EmoajPw0rc8Afwrkn8/pVG68B61L+0PbfEFZrL+yYtJ+xMhkbzvM3E527cY/GiKSdOL6J3+af4a2CTbU5d7W+Tj/AJXPPtLaf4B/FgaXcPK3gDxPPm1cnIsbnPQ+g5x7jH901e+DRVv2n/iUysGUpGQQcgj5ea9d+IvhHS/HHhC98N6sv7i5X5JAMtDIPuuvuD+mRXmH7PHwn8XeAPFuuat4l1ax1GO8gS3t5IZXaRlU8FgyjHAHGTRSfvrm6Jq/k1p81t6WFV1i+Xq1f1T3+f5+pS1L/k9nT/8AsBf1avflzuGOua8W8eeAfiC/xwt/iJ4PPh2VYdPFoIdSnkTnJycIh9R3q3qWk/HzX4ZNPute8IeG7SaMpJPp0cs84B67S4G04zz2pRb9nFW1V/zbKklzt9Hb8kcf+z9IrftI/EcaSEGkHlvL+55m9cY/8f8A1r6OHWuN+E/w70T4daA+m6U81zcXD+be3k5zJcSep9BycD3NdkOtXZRjGC+yrE3vKU+7ufMHgS88ZWn7Q/xIPg/Q9L1WZph56318bcIuRgggHJzXtvg/UfiTdasY/FfhfQtNsPLJE1nqhnff2G0qOOvNYHw3+H+ueHfi54z8WX81i9hrbA2qxSM0i4IPzgqAPwJr1Cpp6UoLyHPWpN+Z8+31tb3v7Z0tndRLLbz+HjHKjdGVkII/I0/4GXlx8O/ijrfwg1advsUzte6FI5+8h5KD6jnH+zXYf8K/1o/tFf8ACw/PshpI0z7KI/Mbzi+Mfd24x75qt+0R8MNU8e2mlan4WvoNO8SaXKfs9zLK0Y8pvvLuUEg9COO3vUxbhGDt0afzbt92j9LjkueUlfs18or89Uc7auvxf+PguEcTeEvBTgxlTlLq9zw3uAQSD/s471U/Zw/5Ll8UP+vs/wDoyvVvg74Jt/h/4FstBjZZbkZlvJxk+dM33myecelc38Jfh1rfhP4keNPEeo3FjJZ63cGS1WF2Lgbs/OCAB+BNaRShNRvolLXu3b8/yRE25wcrbuOnZK/9PzZ6nVfU72103TrjUL6ZYLW2iaWaRjgIijJJ/AVYrzf4/wDhLxf458KQeGfDV7YWNndTqdTmuJWVzCDnagCnPOD1GcYrOV7WjuaRtf3tjhPghZ3XxO+J+qfF/WYXXTrV2tNBgkXhVHG/6gd/U5r6DrL8J6Fp/hnw3YaDpcIhtLKFYo1HfA5J9SfWtStJWSUY7L+r/MzV23KW7/q3yPnvw5/yexrv/YLH/osV79ff8eNx/wBc2/lXmOkfDvXLX9onU/iFLPY/2Tc2QgjjWRjNu2gcrtwB+NeoXKNJbSxrjcyFRn3FZSV8PGPXlf5stfxpS6X/AER8sfsuaf8AE668C30ng/xB4b0+w/tBw0eoWckshfnkFeMVp/tJab8Wbf4RanL4o8SeFr3ShLD5sNlYyxysd424ZuOtemfs6eA9a+Hvgy70fXJrKW4mvXnU2sjOu0+pKjmtL48+D9T8d/DHUPDWjy2sV7cSRMjXLlY/lcE5IBP6VVfZcuvw/pcdF+/d93+bNH4Q/wDJKvC3/YKt/wD0WK6eWRIonkkYKiKWYk4AArI8CaVcaF4K0XRbto3uLGyit5WjJKllUAkZ7cVk/GLR/FHiD4f6jofhG4s7bUb5RC01zIyKkR4fBVSc46cVeJl78pR11Znh4+7FS02PBfA3xR8A6p8a9f8AiB4u1+Czjtl+w6FbyRSOViHBl+VSBuGT65NJ4D8feEPDv7SVyvhXXILrwx4rIMwVXRbe6Y9TvAxl+eOMGvob4ZeE7XwV4E0rwzbhG+xwBZXUcSSnl3/FsmsD4+/D6X4h+BTpenSW1vq1tOtxYzzEqqOOoJAJGRxnFLSlKNtVHT1T3/z9R/xFK+l9fRrb/L0Ob/bK/wCSLTf9hC3/APQqzPjJ4N1Wws9E+LPghTH4g0a0ia9hTpeW4UZBA+8QOCO4x6V0fxT8DeMfHHwVsvDNxPpS+IVe3e6kMz+Q7IfmYNtzz16V6dplu1vpVraTbWaOBY3xyCQuD+FSouPPyvXmTT+VvuHzc3JdaWd18z5n+NfjDS/Hen/CvxJpLYhudWPmRE5aGQbAyN7g5+vWu6/bN/5JB/3FLf8A9CNcr4q/Z51pfiZa6x4T1Sxg8OHUV1CewuJGUwS5G/ywFIIOOORjp2r0/wDaD8Fav4+8Bf2FoktpFdfbYp83UhRNqnJ5AJz+FKWtJWVvevbtrH/JjhpUd39m1/8AwL/NHD/Gfwfqulx6N8XPBKlNd0i1i/tCBOl5bhRnIH3iBwfUY9K5r40eLtL8cj4T+JNIb9xc6m++Mn5oZAUDI3uDn69a+l9PtzBplvazBWKQrG4HIOFwfwr528R/s861F8T7TWfCuqWMPhr+0RqEthcSMpglJG/y1CkEHAxyMcDtWyaVdfy8115a6/J7+vqZtXovvy29dNPmvy9Dpv20/wDkkcf/AGFrf+bV6Dqfh6z8V/CweHr5A0N7pccf+63ljaR6c4rF/aH8Eax8QPAi6HoctnFdC+iuCbqRkTauc8gE559K7rR7eSz0iytJSpkgt443KnIyqgHH5VjGKdOcZdWvyNJSanCS6L9Txf8AZa8Vy23hXWPA3iSQxap4Rlkjl8zjdbgkqwz1xhgPbb61X/Z3tZPG3xA8U/F3UY90dxcGw0YOPuQIACy59ePxDUfGv4N+LfEHjufxJ4F1XT9M/tWw+xaus8rIZFyASu1TklQo7dPevYfBHh6y8KeEtM8PafGqQWNusXyjG5v4m+pYk/jWkZOX7yXxWt8+r+aX4smUVH3I7Xv8ui+/8keIftbLfN41+G66ZJbxXpv5hA86lo1f93gsByR9K9Bg0344LdobrxN4EeESDzVTTrkMVzyAS3XFZvx7+H/inxhrfhTV/C76T52h3Ek7x38zxq5O3AG1Sf4T6Vea7+PRJP8AY3w8yf8Ap+uv/iKmm7Qt1u3+RU1eV/JfqSftN/8AJC/FH/Xsv/oa1554Ql+Oun/BXSb7wtL4QurSPTg9vD9ml+1rGMnOWbYzj0xg16n8TfDniDxl8IdR8On+zrfW761VHAlb7OsgYE4bG7HHpWt8M9EvPDfgHRdB1BoXurG1WGUxMWQsCehIBI/Ckou01fW6/JivrDTv+h5n+yfY+GbnQNT8WWN/fah4k1G4Ka1LeoqSxSrzsCLwq8kgjr+GBe8e/CHVpfHM3j/4d+KX8O+IZ1Auo5U8y2usAD5hzjIA4wRwDweam8HfDjxB4P8AjdrHiPQ59OHhPW0D3lk0jLLHN/eVQuDzk9R94+lWdR03436ZrNzJoev+F9b0yWVnih1WF4JYVPRN8YO4CqbvyyWmn3dGvT9AStzJ66/f5/L/AIYwdL+LXi7wn4t03wp8W/DtpZPqT+XZ6vpsha3lbgYKnJHJGcH+IcVL+1x42j8N+BYvDkN4trfeIJPs/nZP7mAEeY5xz3A98mj/AIVb4x8aeMdI8R/FLXNKeDR3MlnpWkxN5YckHLSNgn7ozx2Fa1l8Pte1D4+XPxB8TXFhLptlbeRoltDIzPET1dgVAB5boT19qTjzqMZed/RbL1ezGpcjco/L1/4G55X8QvEfwW1D4HW3g3RfFlomoaREk+nSLbzKftKcsc7P4st19R6V7H+zr44Xx38MNO1GWZX1G1H2W9XuJFHDY91x+Oa9EAAOdoz9K8o8AfDrxB4M+MfiHW9Mm07/AIRLWwJJLXzGE0Uw5BC7cEct3/i9qqMrzlzfa1+a/wA1p8kQ42jG3TT5P/Lf7zzfwhH42k/aS+I3/CFXWg29wGTz/wC1YZZFK8Y27CMHPrSTprXiX466R4a+OF2ls9qftOiWunRBLC6kHOWkJL546H0xxnB9Q+Hvw/1zw/8AGTxj4wvprFtP1oL9lSKRjKuMfeBUAdOxNP8A2gPhxfePdE0648P3NtZeI9Iu1ubG5nJVQM/MpYAkDoeh5UVFP3IUr9Er+X/BW5c/elUtpfb7l+ex6FrOl2GsaPdaPqVsk1ldQtDNERwUIxgemO3pgV8kJ4b8WSeM/wDhnWTVYh4dW9/tE3OT5jWg+byvxIHHYjNfW2hf2l/YtmNZEA1EQqLryGLRmQDBKkgEg9elebj4d65/w0efiIZ7EaR/Z32YR+Y3nl8Y+7txj8aailV126/LVfiS5N0tN9LeV9H+B6Vo+nWej6Va6Xp0CQWlrEsUMajAVRVqiim227sEklZDZv8AUv8A7p/lXg/7Fn/Io+JP+wy/9a95kBaNlHUgivMv2ePAOt/D/QdXsdcmsZZbzUGuYjayM4CHPXKjnmlT0lP0/VDnrGPr+jOE+FugaZ4o+Jfxi0HWIBPZXl2I5F7jJOGHowPIPqKtfBnXNU+Hniy7+DXjC4aRNry+H71z8s0WCfLz9Og7EY712nwu8B614Z+I3jfxDqEtk9prt0JrRYZGZ1UE/fBUAHnsTVv44/DiL4h+G4orW6Gn67p0ouNLvuQYpByASOdp/Q4Pas9VSiv7qTX9dV/wCnrOfrdf12ZwH7HRmX4beJjbjM41KXyx0y2Gx+tVv2HzBJ4d8UzykNqb6kPtLNy5GGxk9cZruP2bvAGvfDvwhe6Z4iurK4vLm8NxutZGdcY7kqOfwrJ1z4ReINC8a3njL4VeI7fRby+JN7pt7EXtJyTknjleeenHat5SUajfRxS9LW/4ZmduaP8A28363b/4dHs1fPX7bbf8SHwlHdO66Y+rr9qAPylcd/wrr2sfj7qqCzu9Z8G+H4mXEl3YRS3M31VXACn866jxt4C0zxp4A/4RLxJdXF4PKUfbsBZhKvSXjjOeo6HpWburS7NO3ezLi1rHumvQ6q0WNLSFIVVYljUIFHAGOMV5Z+1r9h/4URrn24qOYvIz18zeNuPxqnofh346+ErWLR9J8QeFvEml26bLeTVVlhnVR0BZAd2Pc1BffCvxt8QNQspvix4m0+TSrSXzV0bR42SKRs8b5GwT+WaKkPaaJ6f1+IUpezs2tv6+4ePtX/DHTfbBIJv+EWOd4+bHlcZrzqXwtfXv7Mfg/wAb+H90ev8AhhPtkLp1aJWy498cnHevon4h6BPrvw61rw3pYghmvLCS1txISsakqQMkA4H4VS+D/ha88J/DHSfC+rtbT3NrAY5zCS0bZ6gEgZH4VU5OUqko6NtNfK/9MmC5YwjLVap/OxyniT4y6Xb/AALg8d6e8b32oQiCztc5P2sjBTHfaevsK8r+K3gmXwV+ywsWos0ut6lqUF7qkznLNM7ZIJ74zj3xmuo8F/s+X2jfFRdRvtSt7jwdYXj3ul6eJnZklJyu5SMDBxzk5xXoX7Q/gfV/iF8O38P6JNZxXZuopgbp2RMKcnkAnP4VFSzjzRWsmtOyTTt9/wCSLhpLlb0V9e7s1f7vxbK3xG/5Nm1L/sXR/wCihXF/Aqx+L0vwm0CTQPEHg220w2/+jxXdjO8yrn+Iq2CfpXqPi7wvqGq/B+88IWstuL+bSvsaPIxEe/ZtyTgnGfauH8AaJ8cPB/g/TvDVnp3gK4gsYvLSWW+ud7D1OI8VpNp1aj7tW/EzgmqdNdr/AKHqvhSLxBDokMfii70671QFvNlsImjhIyduFYkjjGfetKaOOaF4ZVDRyKVZT3BHNc/4Il8byQXH/Ca2eg20oYfZ/wCyp5ZFK453b1GDn0rX1q3vLvSLu10++awu5YmWG5VAxhc9GweDipns9LlQ3PE7b4T/ABA+Hd/eXfwj8UWr6ZcSmZ9C1dS0Qb0V/wBM5U9Mk10nwp+LFx4j8VXngfxZoD+H/Fdim94A++KZQMlkPbgg454I5NQw237QthG9omoeBdXUALHeXCzQSfVkVSCfxqb4Y/C3UNG8cah8QfGOuRaz4nvk8vNvD5UFum0LtUdTwAM+gqob2k9LfPy8/vFLZtLX+r3Lv7S//JDPFH/Xp/WrH7O3/JE/C3/XiP5mtL4w+G7/AMXfDXWvDmlvbpeX0HlxNOxVAc9yASPyqX4U+H7zwr8O9E8PajJDJd2NsIpWhYlC2exIBI/Cphop+bX5Mc9XH0f6HD/tW+OU8JfDltNt7kQajrjG0hfOPKj48yTjngEfnXnHiTxB8E7n4CQ+AbHxdZre2Nus1rMLaYZuwMs+dn8TFvzHpXqc3w917WPj5H458RXFhJoml24j0e1jkZpFfGS7gqADuLHqe3pXqYC5ztH5VCjem77y/C23+ZTlaat0/G+/+R5f+zH46/4Tj4W2UtzOJNT07/Q7wZ5JUfI2PddvPrmpP2o/+SE+Jf8Argv/AKGKp+FPh14g8K/HLWvFOjTacPC+uRhru1MjLMk2PvKu3B53HqPvV1Hxo8Maj4y+GmseG9Kkt47y9jCxNcOVQEMDyQCe3pTxDdSHMlq9159QoJU58t9Ft6f1oV/gH/yRrwt/14L/ADNeX/tZrfv46+Gy6XJbxXpvphA9wpaNX/d4LAckfSvZfhjoV34Z+H+i6BfyQyXVjarFK0JJQsM9CQCRz6VxHx68AeKvF2veE9Z8LvpPnaHcSTPHfzPGrk7MAbVJ/hPpWtVp4hS6c1/kZUk1QcevLb52NSDTfjgt5G114m8CPCJB5qx6dchiueQCW64pn7T3/JCvFH/Xuv8A6MWmtd/Hokn+xvh5k/8AT9df/EVp/FDw34g8ZfCHUfDv/Eut9bvrZEcCVvs6yBgThtpbHHpWNVN07I2pNKomzxbxdoN9p/wc+H/xU8PKy6t4btYzcbODLasx3A+uCf8Ax416J8UfixZ2/wAHrHW/DkyTar4lRbXSoVb5hK/yucf7BJHsStdv4G8NNpXw103wnrPk3BhsPsl15ZJRgQQ2CQPX0ryP4T/APVPDPxIGsa7qlvfaDpTyyaFaLM7GJpD1ZSABgDsTk4PatqiU6k4P4W27/mvn0+ZjTvCnCdveSSt+T+XXyOS+N/guPwJ8DPB2jMTJfSa7Fc38x5Mlw6MWJ+nA/CvWP2kv+TcdY/68bb/0KOrP7RHw/wBa+IXh3SdP0W4soZrPU47qQ3TsqlAGBwQDzz0rX+LvhLUvFnwl1Dwnpktsl9cW0USPOxWPKMpOSAT/AAntWVRuVOfdyX3WRrSSjUh5L9WcN8LtP+M0nw60B9J8ReCYbA2SG3juLC4aRU7BiGwT9K9g8Px6xFoVvH4guLK41QRn7RLZxskLNz90NyBjHWvMPClj8c/DvhrT9DttL8ASw2MCwo8l9c7mA7nEdeg+DJPGEumzf8Jla6Jb3u8iIaXNJJGUx3LgHOa0rvm5+XzMqScYxT8jwP4GeC9L8ffC3xx4d1RQFm16doJgPmglH3XH49fUEir/AII8Zapb+BfGPwq8asy+I9D0q5FvLI2ftdsIyAQe5HH1B9jXoPwD8Ca14E0rXLXWpbKR7/VJLuI20jOAjdAcqMGqP7QXwnm+IFpa6r4fvYtM8TWKtHBcOSqyxONrRuQCQME4OD3Hesqq92y2cUn62Sv8uvkawfvXe6k2vvvb0f5jf2Rf+SF6R/11l/mK5n9tT/kA+Dv+w/F/6C1ej/Arwjqfgb4a2HhzWJraW9gd2ka3YsnzHsSAT+VY/wC0P8Pdb+IOm+H7XRZ7GFtP1RLuc3UjKCgBB24U5PPTitqzvUTXeP5oyppqm15P9T0yy/48rf8A64p/6CKlpluhjt4ozyURVP4DFPqZbsqOyCiiikMKKKKACvnT9vn/AJJr4f8A+wwf/RL19F186ft8/wDJNfD/AP2GD/6JegD07VfiFqlhqdzYxfC/x1fpbytGtza2cTRTAHG9CZASp6jgVW/4Wdq//RIfiJ/4Aw//AB2vS4v9Wv0FOry5Y+abVj044GLSdzzL/hZ2r/8ARIfiJ/4Aw/8Ax2j/AIWdq/8A0SH4if8AgDD/APHa9Nopf2hPsP6hHueZf8LO1f8A6JD8RP8AwBh/+O0f8LO1f/okPxE/8AYf/jtem0Uf2hPsH1CPc8y/4Wdq/wD0SH4if+AMP/x2j/hZ2r/9Eh+In/gDD/8AHa9Noo/tCfYPqEe55l/ws7V/+iQ/ET/wBh/+O0f8LO1f/okPxE/8AYf/AI7XptFH9oT7B9Qj3PMv+Fnav/0SH4if+AMP/wAdo/4Wdq//AESH4if+AMP/AMdr02ij+0J9g+oR7nmX/CztX/6JD8RP/AGH/wCO0f8ACztX/wCiQ/ET/wAAYf8A47XptFH9oT7B9Qj3PMv+Fnav/wBEh+In/gDD/wDHaP8AhZ2r/wDRIfiJ/wCAMP8A8dr02ij+0J9g+oR7nmX/AAs7V/8AokPxE/8AAGH/AOO0f8LO1f8A6JD8RP8AwBh/+O16bRR/aE+wfUI9zzL/AIWdq/8A0SH4if8AgDD/APHaP+Fnav8A9Eh+In/gDD/8dr02ij+0J9g+oR7nmX/CztX/AOiQ/ET/AMAYf/jtH/CztX/6JD8RP/AGH/47XptFH9oT7B9Qj3PMv+Fnav8A9Eh+In/gDD/8do/4Wdq//RIfiJ/4Aw//AB2vTaKP7Qn2D6hHueZf8LO1f/okPxE/8AYf/jtH/CztX/6JD8RP/AGH/wCO16bRR/aE+wfUI9zzL/hZ2r/9Eh+In/gDD/8AHaP+Fnav/wBEh+In/gDD/wDHa9Noo/tCfYPqEe55l/ws7V/+iQ/ET/wBh/8AjtH/AAs7V/8AokPxE/8AAGH/AOO16bRR/aE+wfUI9zzL/hZ2r/8ARIfiJ/4Aw/8Ax2j/AIWdq/8A0SH4if8AgDD/APHa9Noo/tCfYPqEe55l/wALO1f/AKJD8RP/AABh/wDjtH/CztX/AOiQ/ET/AMAYf/jtem0Uf2hPsH1CPc8y/wCFnav/ANEh+In/AIAw/wDx2j/hZ2r/APRIfiJ/4Aw//Ha9Noo/tCfYPqEe55l/ws7V/wDokPxE/wDAGH/47R/ws7V/+iQ/ET/wBh/+O16bRR/aE+wfUI9zzL/hZ2r/APRIfiJ/4Aw//HaP+Fnav/0SH4if+AMP/wAdr02ij+0J9g+oR7nmX/CztX/6JD8RP/AGH/47R/ws7V/+iQ/ET/wBh/8Ajtem0Uf2hPsH1CPc8y/4Wdq//RIfiJ/4Aw//AB2j/hZ2r/8ARIfiJ/4Aw/8Ax2vTaKP7Qn2D6hHueZf8LO1f/okPxE/8AYf/AI7R/wALO1f/AKJD8RP/AABh/wDjtem0Uf2hPsH1CPc8y/4Wdq//AESH4if+AMP/AMdo/wCFnav/ANEh+In/AIAw/wDx2vTaKP7Qn2D6hHueZf8ACztX/wCiQ/ET/wAAYf8A47R/ws7V/wDokPxE/wDAGH/47XptFH9oT7B9Qj3PMv8AhZ2r/wDRIfiJ/wCAMP8A8do/4Wdq/wD0SH4if+AMP/x2vTaKP7Qn2D6hHueQSfGsR+JIvDcnwz8eLq81sbqOzNnB5jQgkFwPN6ZBH4Vpf8LO1f8A6JD8RP8AwBh/+O1lav8A8ni6D/2J83/o+SvYqueOnG2m5EMFGV9djzL/AIWdq/8A0SH4if8AgDD/APHaP+Fnav8A9Eh+In/gDD/8dr02io/tCfYv6hHueZf8LO1f/okPxE/8AYf/AI7R/wALO1f/AKJD8RP/AABh/wDjtem0Uf2hPsH1CPc8y/4Wdq//AESH4if+AMP/AMdo/wCFnav/ANEh+In/AIAw/wDx2vTaKP7Qn2D6hHueZf8ACztX/wCiQ/ET/wAAYf8A47R/ws7V/wDokPxE/wDAGH/47XptFH9oT7B9Qj3PMv8AhZ2r/wDRIfiJ/wCAMP8A8do/4Wdq/wD0SH4if+AMP/x2vTaBS/tCfZB9Qj3PMv8AhZ2r/wDRIfiJ/wCAMP8A8do/4Wdq/wD0SH4if+AMP/x2m+H/AI0+H9Y+IK+E49N1CCOa4ntbPU5Nv2e6mhCl0Xvkbu/pWx8QfiVo/hHWLHw+lhqGt+IL9S1rpenoGlZR/ExJAUdeT6H0rR4yr7vu77EfVKXve9tuZP8Aws7V/wDokPxE/wDAGH/47R/ws7V/+iQ/ET/wBh/+O1ftvH3iCewumHwv8UpqNu8Y+wu8AMiNn50k3bDjGCM5GRWL4K+MV94s1m403TPht4h/0O7S1v5Wubfbasx6t82TjBPGelNYqs3pFff/AF3JeGpJayf3Fv8A4Wdq/wD0SH4if+AMP/x2j/hZ2r/9Eh+In/gDD/8AHa3fhz49sfG2oa/Z2Vhc2raLeC0laZlIkY55XHbjvR4A8fWHjHWvEel2lhc2r6DdrazPMylZCQTlcdBx3qfrtT+Xpf5O2v4ov6nT/m62+ev+TML/AIWdq/8A0SH4if8AgDD/APHaP+Fnav8A9Eh+In/gDD/8dpvhb40+H9f8er4Wh0zULeO4lnhsdSl2/Z7ySHG9UxzkA9/Sug1Lx7Y2PxT034fvYXL3moWr3KXIZfLVVBJBHXPFP63W093dX/X9GL6pS197Z2f32/NmD/ws7V/+iQ/ET/wBh/8AjtH/AAs7V/8AokPxE/8AAGH/AOO16bRUf2hPsX9Qj3PMv+Fnav8A9Eh+In/gDD/8do/4Wdq//RIfiJ/4Aw//AB2vTaKP7Qn2D6hHueZf8LO1f/okPxE/8AYf/jtH/CztX/6JD8RP/AGH/wCO16bRR/aE+wfUI9zzL/hZ2r/9Eh+In/gDD/8AHaP+Fnav/wBEh+In/gDD/wDHa9Noo/tCfYPqEe55l/ws7V/+iQ/ET/wBh/8AjtH/AAs7V/8AokPxE/8AAGH/AOO16bRR/aE+wfUI9zzL/hZ2r4/5JF8RP/AGH/47Wb4b+NQ8SaRHq2g/DPx5qNhIzKk8FnAyMVOGAPm9jxXrzfcb6H+VeP8A7G//ACQLSf8Ar7u//RzVax0nByt2IeCipqN+5qf8LO1f/okPxE/8AYf/AI7R/wALO1f/AKJD8RP/AABh/wDjtem0VH9oT7F/UI9zzL/hZ2r/APRIfiJ/4Aw//HaP+Fnav/0SH4if+AMP/wAdr02ij+0J9g+oR7nmX/CztX/6JD8RP/AGH/47R/ws7V/+iQ/ET/wBh/8Ajtem0Uf2hPsH1CPc8y/4Wdq//RIfiJ/4Aw//AB2j/hZ2r/8ARIfiJ/4Aw/8Ax2vTaKP7Qn2D6hHueZf8LO1f/okPxE/8AYf/AI7R/wALO1f/AKJD8RP/AABh/wDjtem0Uf2hPsH1CPc8y/4Wdq//AESH4if+AMP/AMdo/wCFnav/ANEh+In/AIAw/wDx2vTay/FutW/hvwxqOvXUUk0FhA07xx43MB2GaTzCa6Iay+LdrnDf8LO1f/okPxE/8AYf/jtH/CztX/6JD8RP/AGH/wCO1maR8dbO4/sG41bwXr2j6Zr0nl6ffSvFLHI3+6jFh+VdjaePbG5+K158PVsLlby0sheNcll8tlPYDrmtXiqydnHv+G/3GMcNRkrqXb8dF95g/wDCztX/AOiQ/ET/AMAYf/jtH/CztX/6JD8RP/AGH/47WzL8Q9Pj+Jl54EOnXRu7XS21Jrjcvlsgz8oHXPFcho/x0fVNCl8RW3w38US6FBI6TX0DQyhNpwx2BtxA+lJYyq1flX9O35op4Smnbmfb8L/ka3/CztX/AOiQ/ET/AMAYf/jtH/CztX/6JD8RP/AGH/47V7Vvi94MsfCOleJILq51GLWGKabaWkJe5uXHBUJ2IPBz0p/h/wAe65f6zY2GqfDPxRosF6+yO7m8qWOM4yPMCMSg46kdeKPrdbX3RfVaWnveZnf8LO1f/okPxE/8AYf/AI7R/wALO1f/AKJD8RP/AABh/wDjtVrX4w3mp+Ita0bw/wDDvX9abR7n7PdTW9zAqhj0OHYHnBqf4i/Fi+8D27X2qfDzXpNNXygb2O4g2b3A+TG7dkHI6dRQsXV091a7fPYf1Snr7z03+W47/hZ2r/8ARIfiJ/4Aw/8Ax2j/AIWdq/8A0SH4if8AgDD/APHaZq/xcuNE8D3XizXvAWuaZaxvAsEUtxAzXIlzgrtYgAYGc46itnwv441jVobm61LwBreh2UVk14lzdXEDrKAu4IAjEgkcjIxQ8XVSbcVp/lcSwtJtJSev/DGT/wALO1f/AKJD8RP/AABh/wDjtH/CztX/AOiQ/ET/AMAYf/jtZOk/HU6h4ebxNH8OPFB8Pxuyy6hC0MoQKcM2wNuIHfivUPC2vaX4m0Cz13RbkXNheR+ZDJjBI6YI7EHtRLF1oq7iEcLSk7KRwv8Aws7V/wDokPxE/wDAGH/47R/ws7V/+iQ/ET/wBh/+O16bRUf2hPsafUI9zzL/AIWdq/8A0SH4if8AgDD/APHaP+Fnav8A9Eh+In/gDD/8dr02ij+0J9g+oR7nmX/CztX/AOiQ/ET/AMAYf/jtH/CztX/6JD8RP/AGH/47XptFH9oT7B9Qj3PMv+Fnav8A9Eh+In/gDD/8do/4Wdq//RIfiJ/4Aw//AB2vTaKP7Qn2D6hHueZf8LO1f/okPxE/8AYf/jtH/CztX/6JD8RP/AGH/wCO16bRR/aE+wfUI9zzL/hZ2r/9Eh+In/gDD/8AHa8Q/bG8XX3iHwJo1rdeB/FHh9YtTMgn1W3jjjkPlMNqlXY7u/ToK+vK+cP2/f8Akmvh/wD7DB/9EvWlHGynNRaM62DjCDkmfRsX+rX6CnV55qnhr4qXGpXNxpnxTsbCxklZre1bwzFMYYyflQuZAWwOMkc1W/4RT4xf9Fh0/wD8JOH/AOO1xThHmfvL8f8AI7YTlyr3X+H+Z6ZRXmf/AAinxi/6LDp//hJw/wDx2j/hFPjF/wBFh0//AMJOH/47Uckf5l+P+RXPL+V/h/memUV5n/winxi/6LDp/wD4ScP/AMdo/wCEU+MX/RYdP/8ACTh/+O0ckf5l+P8AkHPL+V/h/memUV5n/wAIp8Yv+iw6f/4ScP8A8do/4RT4xf8ARYdP/wDCTh/+O0ckf5l+P+Qc8v5X+H+Z6ZRXmf8Awinxi/6LDp//AIScP/x2j/hFPjF/0WHT/wDwk4f/AI7RyR/mX4/5Bzy/lf4f5nplFeZ/8Ip8Yv8AosOn/wDhJw//AB2j/hFPjF/0WHT/APwk4f8A47RyR/mX4/5Bzy/lf4f5nplFeZ/8Ip8Yv+iw6f8A+EnD/wDHaP8AhFPjF/0WHT//AAk4f/jtHJH+Zfj/AJBzy/lf4f5nplFeZ/8ACKfGL/osOn/+EnD/APHaP+EU+MX/AEWHT/8Awk4f/jtHJH+Zfj/kHPL+V/h/memUV5n/AMIp8Yv+iw6f/wCEnD/8do/4RT4xf9Fh0/8A8JOH/wCO0ckf5l+P+Qc8v5X+H+Z6ZRXmf/CKfGL/AKLDp/8A4ScP/wAdo/4RT4xf9Fh0/wD8JOH/AOO0ckf5l+P+Qc8v5X+H+Z6ZRXmf/CKfGL/osOn/APhJw/8Ax2j/AIRT4xf9Fh0//wAJOH/47RyR/mX4/wCQc8v5X+H+Z6ZRXmf/AAinxi/6LDp//hJw/wDx2j/hFPjF/wBFh0//AMJOH/47RyR/mX4/5Bzy/lf4f5nplFeZ/wDCKfGL/osOn/8AhJw//HaP+EU+MX/RYdP/APCTh/8AjtHJH+Zfj/kHPL+V/h/memUV5n/winxi/wCiw6f/AOEnD/8AHaP+EU+MX/RYdP8A/CTh/wDjtHJH+Zfj/kHPL+V/h/memUV5n/winxi/6LDp/wD4ScP/AMdo/wCEU+MX/RYdP/8ACTh/+O0ckf5l+P8AkHPL+V/h/memUV5n/wAIp8Yv+iw6f/4ScP8A8do/4RT4xf8ARYdP/wDCTh/+O0ckf5l+P+Qc8v5X+H+Z6ZRXmf8Awinxi/6LDp//AIScP/x2j/hFPjF/0WHT/wDwk4f/AI7RyR/mX4/5Bzy/lf4f5nplFeZ/8Ip8Yv8AosOn/wDhJw//AB2j/hFPjF/0WHT/APwk4f8A47RyR/mX4/5Bzy/lf4f5nplFeZ/8Ip8Yv+iw6f8A+EnD/wDHaP8AhFPjF/0WHT//AAk4f/jtHJH+Zfj/AJBzy/lf4f5nplFeZ/8ACKfGL/osOn/+EnD/APHaP+EU+MX/AEWHT/8Awk4f/jtHJH+Zfj/kHPL+V/h/memUV5n/AMIp8Yv+iw6f/wCEnD/8do/4RT4xf9Fh0/8A8JOH/wCO0ckf5l+P+Qc8v5X+H+Z6ZRXmf/CKfGL/AKLDp/8A4ScP/wAdo/4RT4xf9Fh0/wD8JOH/AOO0ckf5l+P+Qc8v5X+H+Z6ZRXmf/CKfGL/osOn/APhJw/8Ax2j/AIRT4xf9Fh0//wAJOH/47RyR/mX4/wCQc8v5X+H+Z6ZRXmf/AAinxi/6LDp//hJw/wDx2j/hFPjF/wBFh0//AMJOH/47RyR/mX4/5Bzy/lf4f5nplFeZ/wDCKfGL/osOn/8AhJw//HaP+EU+MX/RYdP/APCTh/8AjtHJH+Zfj/kHPL+V/h/memUV5n/winxi/wCiw6f/AOEnD/8AHaP+EU+MX/RYdP8A/CTh/wDjtHJH+Zfj/kHPL+V/h/mZOr/8ni6D/wBifN/6Pkr2KvmfUtA+Iy/tN6PYyfEazfWm8MyyRakPD8QWOHzXBi8nfgknJ3ZzzjFemf8ACKfGL/osOn/+EnD/APHa1qQVo+8tvP8AyMqc5Xl7vXy/zPTKK8z/AOEU+MX/AEWHT/8Awk4f/jtH/CKfGL/osOn/APhJw/8Ax2suSP8AMvx/yNeeX8r/AA/zPTKK8z/4RT4xf9Fh0/8A8JOH/wCO0f8ACKfGL/osOn/+EnD/APHaOSP8y/H/ACDnl/K/w/zPTKK8z/4RT4xf9Fh0/wD8JOH/AOO0f8Ip8Yv+iw6f/wCEnD/8do5I/wAy/H/IOeX8r/D/ADPTKK8z/wCEU+MX/RYdP/8ACTh/+O0f8Ip8Yv8AosOn/wDhJw//AB2jkj/Mvx/yDnl/K/w/zPTK5f4qHxKfAWqQeELE3mtXEXkW6iVI9m/hnLMQOFJPXOcVzf8Awinxi/6LDp//AIScP/x2j/hFPjF/0WHT/wDwk4f/AI7R7OL3kvx/yBVJLaL/AA/zPM9c+C/xPs/h1o+n6V4g0S8utBuF1CxtobDybiS4Jy4adpMHO45JwDgV1HiXwv8AEGD4h+H/AIraJoNvqGpDSlsdW0Sa7jilB6kxyZKdeevHvnjpP+EU+MX/AEWHT/8Awk4f/jtH/CKfGL/osOn/APhJw/8Ax2uh1m3fmW7ez6qz6dUc6opK3K9rbro7rr0Z0vgTWPF+rz3M3iXwjH4at02C3ibUEuppDzuLGP5QOmOc9a5H4CeE/EHhjX/HF1rmn/ZYtT1VbizbzkfzYwG5+UnHUdcGrP8Awinxi/6LDp//AIScP/x2j/hFPjF/0WHT/wDwk4f/AI7WaaV7Naq3Xun+hpaTSum7O/Ts1+pzHhbRfiL8MvF3iqXSPBUfi7TdbvBeQTW+qQ2rwkZ+V1lx69qr6D4J+I3h74e+Nr+1sbZ/Fviy6DJaW1yoSyRsqWMjEAkKzHjPIGM11/8Awinxi/6LDp//AIScP/x2j/hFPjF/0WHT/wDwk4f/AI7TuuXlbWyXXZW0/BeYuV83Mk92+m7vr+L8jzXxB8GvihYeBNCtdF1/Q7678Nzpeafa29h9nnklz8waZpMHOTnOAcV0HjHSfiEvxh8L/EHTfAs+rC10hoby0XUraBo5mXBXczYOCc8ZHvXVf8Ip8Yv+iw6f/wCEnD/8do/4RT4xf9Fh0/8A8JOH/wCO1ftm3dyW7ez6qz6diPYpKyi+nVdGmuvdfidt4U1DVtU0aO81vQJNBvWYhrKS6juCgHQ70+U5rWrzP/hFPjF/0WHT/wDwk4f/AI7R/wAIp8Yv+iw6f/4ScP8A8drFxi3e6/H/ACN4yklazf3HplFeZ/8ACKfGL/osOn/+EnD/APHaP+EU+MX/AEWHT/8Awk4f/jtTyR/mX4/5D55fyv8AD/M9MorzP/hFPjF/0WHT/wDwk4f/AI7R/wAIp8Yv+iw6f/4ScP8A8do5I/zL8f8AIOeX8r/D/M9MorzP/hFPjF/0WHT/APwk4f8A47R/winxi/6LDp//AIScP/x2jkj/ADL8f8g55fyv8P8AM9MorzP/AIRT4xf9Fh0//wAJOH/47R/winxi/wCiw6f/AOEnD/8AHaOSP8y/H/IOeX8r/D/M9Lb7jfQ/yrx/9jf/AJIFpP8A193f/o5q1W8KfGHaf+Lwaf0P/Mpw/wDx2vM/2YtA+I1/8HdNufD3xGs9F09rm5CWcnh+K5ZCJTuPmM4JyecY4rWMF7N+8t138/IylOXtI+737eXmfTFFeZ/8Ip8Yv+iw6f8A+EnD/wDHaP8AhFPjF/0WHT//AAk4f/jtZckf5l+P+Rrzy/lf4f5nplFeZ/8ACKfGL/osOn/+EnD/APHaP+EU+MX/AEWHT/8Awk4f/jtHJH+Zfj/kHPL+V/h/memUV5n/AMIp8Yv+iw6f/wCEnD/8do/4RT4xf9Fh0/8A8JOH/wCO0ckf5l+P+Qc8v5X+H+Z6ZRXmf/CKfGL/AKLDp/8A4ScP/wAdo/4RT4xf9Fh0/wD8JOH/AOO0ckf5l+P+Qc8v5X+H+Z6ZRXmf/CKfGL/osOn/APhJw/8Ax2j/AIRT4xf9Fh0//wAJOH/47RyR/mX4/wCQc8v5X+H+Z6ZXN/FHS77XPh1r+kabEJb27snigQsF3MegyeB+Ncv/AMIp8Yv+iw6f/wCEnD/8do/4RT4xf9Fh0/8A8JOH/wCO0OnFq3Mvx/yHGpJNPl/L/M8U8P8Awg8YJpfh600j4a/8Ij4isZ45LvxI2vo/mKD8w8qN26jtjtXqPifwz438OfGpviJ4d0GHxVbXmmrZXNot4lpNGy/xgyfKQcVtf8Ip8Yv+iw6f/wCEnD/8do/4RT4xf9Fh0/8A8JOH/wCO10zrOcuZyXXv1Vn8vQ5YUFFcvK+nbo7r537mN4O8I+MtW+JuvfEbxPo9voL3Oktptjpa3a3EuCD8zuvydemD37Yrmfhjp/xe8I/Dq88F23w0Rri5muCmo3Os2wgRZT1aNSWOAe1d/wD8Ip8Yv+iw6f8A+EnD/wDHaP8AhFPjF/0WHT//AAk4f/jtRzKzjdWta2ve/ruy+R3vZ3ve+na3pscQnwX8UeGfDvgfUfDt5p+peIfC881xLbXBMcF0ZTllRv4cdASBn26VJoXh34oah8YtF8QyaR4l8OaNFcPNqtvfeKUvLeUEcLHFGflAOeCPT0rs/wDhFPjF/wBFh0//AMJOH/47R/winxi/6LDp/wD4ScP/AMdq1Wd7uSe/frv0JdG6tZ9Oq6Hk8fwz1q0+InijWdb+DD+LorzURcabcjXYLXylH+z5mTk46jtXqnx+8N+IPGHwfXSdE0ctqckttKbI3EYMQXll3sQp29M55qT/AIRT4xf9Fh0//wAJOH/47R/winxi/wCiw6f/AOEnD/8AHahyuoLmXu279LfLpqWotSlLlfvXvt1/4fQp/Hrwj4g8TfBCDw5oumm91NRa7rbzkjzsXDjczBf1rL+E/ha40S11XT7X4NyeEJLvSXilvzrcV0LiUJhU2ByVyWJzwBXQf8Ip8Yv+iw6f/wCEnD/8do/4RT4xf9Fh0/8A8JOH/wCO0ub3ZR5l73r1VhcmsZcr93Tp6nn/AMOtN+L/AIZ+Ftx4Ct/htGtxcG4Qand6zb+RGsvBJjQsxwDXr3we8ISeBfh5pnhqe7W7uLZGaaVBhS7HJ2j0GcVg/wDCKfGL/osOn/8AhJw//HaP+EU+MX/RYdP/APCTh/8AjtVOfPfVa2vv0CEHFrR6Xtt1PTKK8z/4RT4xf9Fh0/8A8JOH/wCO0f8ACKfGL/osOn/+EnD/APHaw5I/zL8f8jbnl/K/w/zPTKK8z/4RT4xf9Fh0/wD8JOH/AOO0f8Ip8Yv+iw6f/wCEnD/8do5I/wAy/H/IOeX8r/D/ADPTKK8z/wCEU+MX/RYdP/8ACTh/+O0f8Ip8Yv8AosOn/wDhJw//AB2jkj/Mvx/yDnl/K/w/zPTKK8z/AOEU+MX/AEWHT/8Awk4f/jtH/CKfGL/osOn/APhJw/8Ax2jkj/Mvx/yDnl/K/wAP8z0yivM/+EU+MX/RYdP/APCTh/8AjtH/AAinxi/6LDp//hJw/wDx2jkj/Mvx/wAg55fyv8P8z0yvnD9v3/kmvh//ALDB/wDRL16H/wAIp8Yv+iw6f/4ScP8A8drw/wDbH0Xx1pvgTRpvFXjq18Q2r6mVigi0WOzMb+U3zbldieMjHvW+GglVj7y/H/IwxMpOm/d/I+h/jRrep+HPhRretaPdfZb+1td8Mvlq+w+u1gQfxBrmtF8T6tN470XSPD/ibU/EMcymTWLfV9PjtTawY4ljxDC5JbjGHH0rsfHumaN4r8Iah4YvtagskvIvKkdJU3x/gT1qHxHo2h6xquhatH4hhsdQ0abfFPDPGTLGRh4nBPKsM5+tSnFSfMur/r7y5KTiuV9P8v6/M4y18U3t54+8X6ZqnjLxHplvpt/HDZQaZpEdwgjMSsdzfZZTncT1YfSuj1fXNa8N/ETw9bX2oSXnhvWYBZCSaFFeG9H3GJVV/wBZwMYwD0ApLXw9/ZviLXNY0Px/bWP9s3K3NxDJbwTBXVAg2ksDjArT8YaVovirwi+g6p4gt1lIRkvYZY0kimXlZVGcAg84qeaKUNOiv91n/nvuNqTc9ert991/VtjGu/EevX/ibxVNpd35GiaBp7QDESMJ77buY5IJwgIGBxkHNUPhBrtx4i0bw9fX3jbxRd6jdWUVxc2smkRxWruUBZRJ9kUbck4xJz2JrpNA0Pw/o/giTwvFr0MwnjlFxeS3EZlmlkJMkrc43FiTVbwbpFx4a0zS9Ii+IVndaZp0MdukD2sCs8aAAAuHznA64pxcUnH0t+N/xa+Vl0FLmdn6/pb8n879zjk8e+LdJ8f+KNU1S6S88GaXqaafcW6WyiSwVokcXAZRudcsdwOcDpXSaf4p1a58W/EC0TUElstKtLebTtsaEJvt1csGA+YEnPJNbPh/RfDuk3/iS5Os2l2mv3X2m4hmlj2p+7WPaOeRhe/rWR8PvAvhLwZLrYstfF3a6rtT7Pc3SFbeJV2rEpzkqBwM9ABUtxcLdeVL52V/xvr5lq6qc3Tm/C+n4aW/4JueAtW1DVPhVouuX0/m6hc6NFdTS7FXdK0IYtgDA55wBivN7nx14kb4U/D7WLjXrq0udZ1GKDUru1so5JWjYnOyPy3GeB0Q/SussfCyadoQ8N6b8RTbaEqGGK22W7zRQn/lmsxOcAcAkEgetTa54R8O3Wg+HNI0nxFb6RH4duIriwZZI5sGMYUMGPze9W5U+dyto2n6K7v+a27GaU1T5b6qLV/O2hr+D7kSWV7d22veINeCDAj1GwS1YMBnCDyISc+pyK29CvLnUNJt7y80y40ueVNz2lwytJEfRipIz9DWTpclxDDcpqXjayv2kTbE6QwwGE/3hhju/H0q1oVxa6fpFtZ3viaDVLiJNsl3PLEryn1IXAH4CspW1+X9dP6+ZrBvT5mzRVP+1NL/AOgnY/8AgQn+NH9qaX/0E7H/AMCE/wAaixpdFyiqf9qaX/0E7H/wIT/Gj+1NL/6Cdj/4EJ/jRYLouUVT/tTS/wDoJ2P/AIEJ/jR/aml/9BOx/wDAhP8AGiwXRcoqn/aml/8AQTsf/AhP8aP7U0v/AKCdj/4EJ/jRYLouUVT/ALU0v/oJ2P8A4EJ/jR/aml/9BOx/8CE/xosF0XKKp/2ppf8A0E7H/wACE/xo/tTS/wDoJ2P/AIEJ/jRYLouUVT/tTS/+gnY/+BCf40f2ppf/AEE7H/wIT/GiwXRcoqn/AGppf/QTsf8AwIT/ABo/tTS/+gnY/wDgQn+NFgui5RVP+1NL/wCgnY/+BCf40f2ppf8A0E7H/wACE/xosF0XKKp/2ppf/QTsf/AhP8aP7U0v/oJ2P/gQn+NFgui5RVP+1NL/AOgnY/8AgQn+NH9qaX/0E7H/AMCE/wAaLBdFyiqf9qaX/wBBOx/8CE/xo/tTS/8AoJ2P/gQn+NFgui5RVP8AtTS/+gnY/wDgQn+NH9qaX/0E7H/wIT/GiwXRcoqn/aml/wDQTsf/AAIT/Gj+1NL/AOgnY/8AgQn+NFgui5RVP+1NL/6Cdj/4EJ/jR/aml/8AQTsf/AhP8aLBdFyiqf8Aaml/9BOx/wDAhP8AGj+1NL/6Cdj/AOBCf40WC6LlFU/7U0v/AKCdj/4EJ/jR/aml/wDQTsf/AAIT/GiwXRcoqn/aml/9BOx/8CE/xo/tTS/+gnY/+BCf40WC6LlFU/7U0v8A6Cdj/wCBCf40f2ppf/QTsf8AwIT/ABosF0XKKp/2ppf/AEE7H/wIT/Gj+1NL/wCgnY/+BCf40WC6PKdX/wCTxdB/7E+b/wBHyV7FXjN/cW9x+2FoT29xFMo8ITAtG4YA+dJxxXsua1q7R9DKlvL1FopM0ZrE1FopM0ZoAWikzRmgBaKTNGaAFopM0ZoAWuV+LmrahoPwz8QaxpVx9nvrSzaSCXYrbGBHOGBB/EV1Oapa9pdhrmjXmj6nCJ7O8iaGZM4yp9+xpSvZ2Ki0mmzz+y8Va9J+zaPF732db/sV7r7T5Sf60Zw2zG3t0xiuK1bxx8TpvhT4F1vTZbzydSgaTXNXsdKS8ubcgnaVg4XBxzxxjtXSj4JP/YA8LN8SPFDeF/u/2V+5A8vOfL83bv25rp9Y8ASNaaXbeFvF2t+FI9NtzbRR2RSSJ04+8kgILcfe68n1rrnOlzSkurul2Wun4rbsccIVVCMX0TTfd6a/g9+555F8QdVT4K+L9d0n4j2nibUNNjR7a6GmJa3NqSwBWaEjb9DjHWql/rfxa8L/AAotPia3ju08Q24t4rm70u90iG3Xy3YKQkkWDuGe/wCXauzg+C2ijw74nsLvXtVvtS8TKq6jqk+wysFbI2oAFFVE+CMd5pVjoXiTx94j1vQLLZ5elssUELhTlVcxruYexNVz07u3ePTp1W3+QlCpZXv9rrr0t19e/p0PTvDupJrGg2GqxxmNbu3SYIf4dwzir9RWsMNrbRW1vGsUMSBI0XoqgYAFSZrlm05Pl2OmCkopS3FopM0ZqShaKTNGaAFopM0ZoAWikzRmgBaKTNGaABvuN9D/ACrx/wDY3/5IFpP/AF93f/o5q9gY/K30P8q8f/Y4/wCSBaT/ANfd3/6OatY/w5eq/Uyl/Fj6P9D2GikzRmsjUWikzRmgBaKTNGaAFopM0ZoAWikzRmgBaKTNGaAFopM0ZoAWvK/HPi3xBpvx98F+F7K/8rSNSt5Xu7fyUbzCM4O4jcPwIr1PNcV8Rvh1pvjHUdM1hdU1DRdc0sk2eo2LDegPVSrZDD6+9XTkozTltr+TX56kVYylTajv/wAFGF8Q/FviDSfjl4D8N2F/5OlasJvtsHko3m7Rx8xBZfwIrgNb8feP7HxfqcPi/wAZXHgGGO9MemxyeHEudOuYgflLXPLAkdQDx7V6d4b+FtvZeMI/F3iLxRrHijWreEw2k95sjS2U9diRgDPXmqOu/CS91q0utJ1H4meKrjQbqQtNp0nktuUtu2eaV37c9OeK2hKnHlT13v8Afft0WmqMZqpLmaur2/Bfq/MwPHviTxtqHxf8K+D/AA142j0ay1TR/tU11a6fBdJI4z8yCQH5T25rT8H+K/GmhfGIfDbxhqVjr8V1pxvrHU4bYW82A20rIinb+QH49r3iL4P2t54g0PWtA8U6n4cudEsBYWn2aKObEYzyfMByTmtXwN8M9M8N+JLrxTfavqfiHxFcxeS+o6g4LJHnOxEUBUGfT/HLU6aj/wCBdNd3b9OvkS4VW/P3eui0V/Xqd3RSZozXKdYtFJmjNAC0UmaM0ALRSZozQAtFJmjNAC0UmaM0ALRSZozQAtfOH7fv/JNfD/8A2GD/AOiXr6OzXzj+37/yTXw//wBhg/8Aol66ML/FiYYr+Ez6Q1PRfh5pnh5/EPiTQvDkMCRCa7vLqxiPJHLMxXJJPes/Qv8AhTOuaiunaXpfhOe8ZN6QHTIkd19VDIN34ZrM/aRz/wAM3+IMcH+zhj9KxvEsGqWPxO8CXXxC1C01DSVnK6TdWFobRYL9lwonVnkLBhgKQyjPUGvdhrJJ97f1+h4c9I3XZv7rf0+250uo3fwS0/VbrS7rTfCi3to4S4hXSkdomIyA21Dg4rV07R/hZqGpf2ZZ6B4VlvfsyXf2cadCJPJf7r7SucGvL/DOv/2P8W/iXEfiB4U8MCTWIW8nWIVeSX9wnzITcRYHboeR17V1fxkSPR7vw78YNLlF2ujAJqMlr863Gmyf6xhjO4KCXHNEWuWEpbO1/K6/z/C45J80orpf52/4H4nTaho3ws0/U/7MvdB8KQXv2ZrvyX0+EOIV+9Jjb90YPNZGi3fwT1q5trfStM8LXcl0R5Hl6QhWTPQhvLxj3zWF4cg/4SLwx41+KFwkoOu2UsOlrIpBTT41IiIB6eZjzP8AgdRfs6eJ4T4H8G6bP8SvBtyP7Jtol0iGNEvVbylAjLfaGJYdD+7GcdBTgm21LdW/Hm/Ky+dyZWSuttfwt+rfysdpp+n/AAj1DxJe+G7LSPCE+sWKhrqySxgMsQPQldtTLovwta91KxXQPChudLVWvov7Ph3W4ZdwLfLxlSDXlGk+ELvXfGnxH1zw5NHY+K9G8SrNpt0Rw4+yw7oJMcmN+hH41Y+FGr3HjXxX8VtQh0u6sby5gtreaynXDw3CWqo8RPQ4YEA9xg96jmfJdb8vN96TX52/4dF8q9o4t6Xt+Nv+D/wzPV7Dwv8ADm/0iDV7Pwx4YnsJ4FuIrhNOhKPGRuDA7ehHNY97/wAKYs9AsdeuNN8IJpmoMEs7kafCVnY9AmEyTx2rnvh9498JaT8ENI0TVNcs7PW9P0WOxuNJlkC3y3EcQQxiD/WM24cYU5GCMiuH8Q2WoeF/g38G7bVLq20K8tNXtXlm1BP3doSGb96pZemcEbl571pNJTai9LxSfq2vyIhrG8t7N29Ff8z2Pw3pvwq8RNMui+HfDd2YceZjSI1256feQVH4mtfhF4au7e01zRfC1ncXKs8ETaXEzyKvUgKhOBWr8Pteh1iC6j/4Tbw34oniYEto6qgiUjgMoml6kHnI+lch8QIdYuPj34Tj0TUrPT7r+x70mW6s2uU27kyNokQ598/hSa96MV1v+Cb/AED7Lfb/ADS/U0bqX4L2uj2+sXWl+FYbK5n+zwSSaVGvmSf3VBTJP4Vc8NWHwl8SNOmiaL4UvJLcgTRrpsIkTPQlSgIHvjFch8crbX1m+G1vcatYSat/wk8e27TT2WEHY+CYfNJPHH3xTNJt9St/jRrtv4quYpfFt3oJj0G9tIvItZrUFiyiMlmEqyMS2524ZcYqb7/P8Ip/1tp6FNWt8vxk1/XmdHqtz8E9Lv57C90/wilzb/69E02KTyj6MVQhT7Gr2o2Xwh0/wuPFF5pXg6LRCocX32KAwkHoQwXFcn8DfFvgzwr8MrXQfEurab4f12yaZdWs9SkW2uJJy7F5Nr4MgfIIYZBBAB7V5/r+lzW/wG8YXv2Gez0TV/FkV3pVnPCYsWzSRKWEbcqrsHYAgcHOOaqzcuVPtr01aX63XowSXX7uuzf6W+Z79pnhT4d6npsGpaf4X8MXVncRiWGaPToCjoRkEHb0rO8M6f8ACTxM96nh/R/COptYTGC6FvYQN5Mg/hb5evBrzK9v9d8HalqPwZ0aGUPr9x9o8PXYBKW1nMSboMR08tg2PaVPSul+AGjWPh7x98RtE02Ly7WzvbKKMdzi0jyx9STkk+pNEfeba2tp96v917evoRraz3/Tp9+/l8ztNe8OfDTQdIuNW1nw54WsLC2XdNcT6fAqIM45O2o10T4XN4d/4SJdA8KHSPJ8/wC2DT4PL8v+9nb0rkPivqOoeKPiTo/grRdI/tq00Yrq2uW4nSIEnctvEzNwQSHYr/srXHNqOo6D4P8AiV8ONb02TTCdNuNZ0WB7hZv9Flz5sYZePkl3HHYSCs3L3JS8m18t/wBfkmaxinOMfNX8r7fp967Ho2l33wO1O6trazs/CDyXWBb79NiQSk8gKWQBiewB5rdtPD3wzu9YvNHtvDvhaXULJUa5tl0+HzIlfO0kbehwcH2rzPxD4o8H69+zpZeGLDUdP8Q65c6NbQWem6dMtzcrchF2ttTJj2NglzgLjkirfjG3vfhyfB3xQ1Vpnk0/TY9I8UsgMhaBlBEpx94pKuM/9NDWs0ozaeydr/fb8bX9UzKLcoprdq9vS36N281Y7jUtN+E+m3l3Z3+i+Ere4s7T7bcxvYQAxQZx5jfLwuc81R0KT4M65ewWek6R4Yu5pxmJU0hMOMZyCY8dPeuKvtOnu/gh8Q/H2pQyJqPiexlmRJBhobRFKwRgduCz/wDA66b4J+J4brSNB06b4k+DtWZtNiSPTLKNEugwjXgn7Q5JAByNg/ClFO7Ut0l+N/ytb1uVJqycdm3+Fvzu/lYmudT+Bdte3FnNaeD0ltpvIn/4lse2KTj5WbZtU8jqe9W/EP8Awprw/sOsaT4UtEeHz1kbS4yhj/vbghGPfNeW6BY+M7rwV8UT4evrB7E+IL1brT2sibmeIxReaIpi5VXKZ2gxtz9eO71ibQZ/2UdRfwu0h0geG5kthI2XUCNgVY/3gQQfes3Jqlz9bRf3q/8AX6F8q9rydLtfc7Gppk3wW1Kxu76z0vwpJa2dubm4nOlRqiRDq+4oBiresWfwi0jTrPUNR0fwnb217j7K506EmfIyNgC5bjngVj+Kv+TU7/P/AEKh/wDSesjWLHw6/hvwFrF144h8GeIdO0tG02/uhGbd0dIxLG6y4R9wA4DK46g8GtZrllKPZpfn/l/w+xjTlzRjJ9U3/wCk/wCZ1Vwnwbt/Da+I59L8Ix6U0ghFy2nQhfMJwExsyGyQMYzTtCt/hFrck8el6F4auGt4jLL/AMShFCoOpJZBXk/jzxdrHiT4JJqesDS7GS08X2UUWrwQsljeIlzGRdqrsDs9fmwdpw3ceteHvEUOraPrVs3j7wr4nnWykdYtHRUaJdpBLATykjJHPFRJ2hKfa/8A6Sn+vkaRV5Rj3/za/QzdN1P4FajcW8Nna+DpGuX8uBjp0SpI3orlApPHrzWj4jt/hB4duo7TWdH8KWtxIhkSE6bEzlB/FtVCQOevSvFNKtNcH7NXhW5169tb3wMkkMmq2lpZmK8ht1n3K/ms7h1VwpfCISoOCK9B8fP4c0nxbL4w8O/EnSvC3iH+zEjlttWVJLTUbcKWiGxirnBx80LZ7EHOKuouRtPo2vw/ra5Mdfu0++39fLuehWPg/wCH19ZxXln4V8M3FvMoeOWPToGVlPcELU3/AAgvgj/oTfDv/gsh/wDiai+Fet6j4i8AaRrOq6KdFvLmAPLZ7SoQ+oBAIB6gEA8109E1yyaFF3Vznf8AhBfBH/Qm+Hf/AAWQ/wDxNH/CC+CP+hN8O/8Agsh/+JroqKko53/hBfBH/Qm+Hf8AwWQ//E0f8IL4I/6E3w7/AOCyH/4muiooA53/AIQXwR/0Jvh3/wAFkP8A8TR/wgvgj/oTfDv/AILIf/ia6KigDnf+EF8Ef9Cb4d/8FkP/AMTR/wAIL4I/6E3w7/4LIf8A4muiooA53/hBfBH/AEJvh3/wWQ//ABNH/CC+CP8AoTfDv/gsh/8Aia6KigDnf+EF8Ef9Cb4d/wDBZD/8TR/wgvgj/oTfDv8A4LIf/ia6KigDnf8AhBfBH/Qm+Hf/AAWQ/wDxNH/CC+CP+hN8O/8Agsh/+JroqKAOd/4QXwR/0Jvh3/wWQ/8AxNH/AAgvgj/oTfDv/gsh/wDia6KigDnf+EF8Ef8AQm+Hf/BZD/8AE0f8IL4I/wChN8O/+CyH/wCJroqKAPn240bSNJ/bZ0C10rSrGwgfwZM7RW1ukSs3nyDJCgAnAAz7V795EH/PGP8A75FeH69/yfF4d/7Eqb/0okr3Sk0mNNoxNE1/wzrepajpuk6hYXt5pkgivYYiC0DnoGHY1FZeKPCN5e6tZW2r6ZJcaPj+0UDqDa5GRvz93gV8/eAfF+g/Cf42/EtfiHdTaBHrN9HdadPcW0hiuY9pyUZVIPWs7wPZ6T4g0/4y+MPEVlrlt4K8STxR29zDaP580SjBljTBYrnBzjGKhWcFJL7N/npp+L+4ptqTi39q3y11+5Hv3hr4kfDXxLrP9jaD4r0LUdQwSLeCdWdsdcDv+FZHjL4yfDfwr4y0zwpqerWZ1C+mMMnlvGUsyACDOSw2A5wOteHfDDxa2l+PvCvhXwnq2jfE/RY5DGLhfD7W19o8argMZQoXpxk8nHOOKxfFOt+GPBOt+Jbz4feLbTV9Q1PUXe98GeIPD7zyzzl8MEfaGGeoGcYweavljeOmjv8Ap/V9SVOTUu/r69fls7H2hHHayRrJHHC6MAysqggg9xTvIg/54x/98is/whPPc+FNJuLrTRpc8llE0lkBgW5KDMeO2OmPatSnKCjJqwozcop3I/Ig/wCeMf8A3yKPIg/54x/98ipKKXKuw+Z9yPyIP+eMf/fIo8iD/njH/wB8ipKKOVdg5n3I/Ig/54x/98ijyIP+eMf/AHyKkoo5V2Dmfcj8iD/njH/3yKPIg/54x/8AfIqSijlXYOZ9yPyIP+eMf/fIo8iD/njH/wB8ipKKOVdg5n3I/Ig/54x/98iszxLrPhzwzpb6p4g1DTtLskODPdOsa59MnqfatevOf2gPHHg34f8Ag+DxB4w0pNVEd0Bp9sYFkZrja2CpYYQ7d3zdhmplyxRUOaTsdB4O8ZeCPGEU8nhfXtI1dbf/AF32aVWMfuR1Ap2i+L/BWteILrw/o+uaTf6paxmSe2t5VkeNQQCTj3IH4189/sx3Xw/1Lxz4p8Z33ifRrnxHrlnLJcaPp0MgtrKzGGdWLKA7cDP49c1kfDX4gfDHTv2t9Yv9H1fTbPQ77R4tPsDb2zRxSXBlj/dqoUYOR1IA960jBOpGFt1f566ffp6kSm1GUk9n+Gn9fifXMsdrFG0kiQoiAszMAAoHUk1yGifEr4Z63rw0HSfFugXmpliq20VwhdmHUD1P0rH8ceKPC3jK18cfDU39/Z3Vlo8j6hdR2zMkEbJ1BH3iM529TzXy3p8GpeJb74e+BvCOueGfEg0PWLeVbvRdFubee2gjOWkuJnwo47AcmppxUppW0dvxbTfy/HvoVNuMHK+qv+Cvb5n154i+Jfwz8O6wdH1vxdoFhfg4a3luEDqfQjt+NTeKviD8PPCptB4i8TaNpv2yLzrYzSqBKn95T3FfNf7T+o+H5z4l0nTfHMOn3srqJfCp8Kr5uo3CkZYXIQStvP8AEG/GvTdZ8cWfgT9mzRte1vwnbabrbafHaaXo0kXmMLhlwkYV8tgHkg84BqFb2bnbt873287+b+Q237RRvvf5bb/1956f4M8Z+CPGf2j/AIRXXNL1j7NjzvsrB9memam8YeKvB/g+0juvFGs6XpEMjbY2upFTefYHk15n8KNH0/4H/Bq/8WeMmlbU7wjUdcnhj8xzI54QKOy7sdq4T9pbxBpN347+HniSC4l8NxNbNcQ+J76xNxaRROufIaAowZ2zxnaRn8aucYqSivJP1s35dnbv+BNOTknJ+bXnb7+6PoLR/GXgbWPD0/iHTPEOi3Wk2+fPu450McWP7x/h/GqvhL4hfDrxbqLad4b8UaHql4qljBbzKz4HUgdT+FfJWk3NpdfAf4ni58Maj4nS81NZn17To3t4L5t/yzpHsHlrH1IVSCBzitv4L6tFqHx/8JzLrVp8Qzb6Y1ut7pWmGxTSCVwzSgRqJAeRliOvAzxVwpxlPl9P/Sb/AJ90vXoE5uMG79/waX9b+h9ivBBsb9zH0P8ACK8Q/Yaijb9nTRy0aMftl51XP/Ld69zk+430NeHfsMf8m56P/wBfl5/6Peo5V2Dmfc9e8RapoXh3SJ9X1y6s9PsIBmW4nwqIPc1FqGueG9P8Nf8ACS3t/YwaP5Kz/bHIEXlkZDZ9CDXF/tR6NqmvfAvxLpuj2U17ePbbkghXc77TkhR1JwOgrxrxx8VfBniP9myL4f6DeXepeLLjSoNPXSIbKU3CzKqqwZduBgg55rN7T5VqrWXe9y1vG70d7vta3/B+4+h9e8deAdB0ey1jWfEWjWFhfIslpNNKqrMrDIZe5GKn0vxf4J1TwzL4m0/XtHuNFi3ebepMnlJjrubt+NfPPxK0rwr4ei8CTeIfGt14I8YaFoENvDdXOlG8sZRsw0RBUqWznocgVXsda0vx18DfE9v8SNOXQNEOrJHH4h0HSpYIb0gjZdGIqSU4GSRjHpWk4x9/l1s3b77f1tr95EJyfJzdbX+6+2/5nuHww+KvgP4jajq2n+G7yCWfTbhoSjmMGdB/y2jAJLRnsePpXfeRB/zxj/75FfMnwB8YXl98WLPw3pt1oXjzRbXT3C+JrPRDZ3FngcRSNgKc4HA656k19P1UoRSTS/rYmNSTbTI/Ig/54x/98ijyIP8AnjH/AN8ipKKnlXYrmfcj8iD/AJ4x/wDfIo8iD/njH/3yKkoo5V2Dmfcj8iD/AJ4x/wDfIo8iD/njH/3yKkoo5V2Dmfcj8iD/AJ4x/wDfIo8iD/njH/3yKkoo5V2Dmfcj8iD/AJ4x/wDfIo8iD/njH/3yKkoo5V2Dmfcj8iD/AJ4x/wDfIo8iD/njH/3yKkoo5V2Dmfcj8iD/AJ4x/wDfIo8iD/njH/3yKkoo5V2Dmfcj8iD/AJ4x/wDfIo8iD/njH/3yKkoo5V2Dmfcj8iD/AJ4x/wDfIo8iD/njH/3yKkoo5V2Dmfcj8iD/AJ4x/wDfIrF8XeJPCfhGwW+8TatpmkWzttSS6kVAx9BnrW9XzX+2DdWlr4z8BXU7SaFLa3E0ieJbi2NxZ2alRujki2MHZ8DGcYxkHrUtK6Xd/wBf1/wxcW3d32R7r4Q8T+EfF9lJe+F9Y0vV7eNtsj2sivsPoccj8ah8Z+L/AAX4Mit5fFWtaZo6XLFYWumCByOoFfP37MvirTNCHxL8U6or6pZQypeXPii0tTBb36KCAkcO1QpXJ+7nOee2dz49ar4N8V6Z4G8XXfja+8Fwp5l9pt/c6CbqIll27JFYFFbBJAYHIye1VUio2sv5b/P7uzt3sTFtuSb2vb5ff3R7BoXjnwFrmhXmu6T4i0a60uyOLm7WVRFCf9pjwKi8JfED4eeLdQk0/wANeJtE1W7jUs0NvMrPgdTjv+FeK/Cr4jTf8Ky8aax8Tre11zwfpVzF9g1T+xFtv7VG/wCU+RtCHDhMHAwTya534MeI/AHj/wDaAsviFqGuaTo+qNG1poPh2zjfzcbGXfcOFCbtpb5QcdOeMGowjKfLbS3z1Wnzb6dCXNqm5X1T+W/+XU+lm8YeCV8Vw+FP7e0htdm3eXYLKrTHaCT8o6YAJ59K6BobdVLNFEABknaK+QvH3jr4WaN+1Z4L1bTNS0ux07Skvk1ea3tWQRzvGyjfhMsxJxkZr6UT4ieGZfHtj4JjmuZNUv7E38BWA+U0OM539uO1RCKnTjJbu/4X/RX9CpycajjfRW/H/gtIxZfjV8G4pHjk8eeHFdCVYGcZBHUdK6zWfEPhbRvDn/CR6tqenWWkbVb7ZMyrHhiAvPvkV4P8UoLL4tfGaw+FOiWtsmgaLIt/4ouIYVXzCpGy33AdS2Mjr37VT+Pdn4x1HxXqf9q/D3V9U8GaDpcv9jx2c0CwfaPKZftMwZwzBBkqoHHXmok0qalbe/3Lr83ovv2KV3U5b9vvey+S1f8AnofRvh/UtD8QaRBq+iXNpf2Fwu6G4hwyOPUGvmn/AIKQRxp8LvDmxFX/AInfYY/5YSV6F+xlf3d58CdFguNIurGO2j8uGaVkK3K8/Om0kgducVwH/BSP/kl3hv8A7Df/ALQkrepTUJNIxp1HON2fSumNc/2ZbKLaNl8pcEy4yMemKsF7s9bWI/8AbX/7GuO+KHiq+8E/B/UPFGmwW091YWQkjS4DGMnA+9tIOPxFYen/ABA1+HxloGjNqHhrxZbauzJM+hwvFJp+Fz5smZpVZO3VDnpnpUx1dipe6rvz/A9Mb7Qxy1lAT7yf/Y0u+6xt+yxY9PN/+xryq3+IWvah468V6GPE3gvw9b6JfJawLqdq8ktwrRq+/P2mMdTjhe1dBc+MtX0f4n6L4V1yCxk03WrAmz1G3Row14gy8ZBZgAw5UZzzjJojqo+e33X/ACCXut36f52O233eMfZYsf8AXX/7GmD7QDuFlAD6+Z/9jXDar471X/hMvEml6TZ2kum+HdK8+8uZVYk3bKXSEEEDAXaT35xxVH4UeMvEHi7StB1S58YeCGfUbSK6n0q0sn+0xhkDMgY3TYK5xkp26UR97by/G9vyYS93f+tv80elB7sf8usX/f3/AOxpA92Cf9Fi5/6a/wD2NeRWnxf1i1+Ket6T4g0qwt/CNnqaaTDqkTP5kFy0aOvn5O0I28AMMYI5rpLfx1qcni3x9o5tbPyPDcEElq4DbpC9ush3846nHGOKTa5efpa/ysn+TRSi3Nw67fjb8zuD9o3bvscG7183n/0GlZrphhrSEj3l/wDsawfBXiK71z4X6P4quYYI7u+0iK+kjjB8tXeIOQMnOMn1rzq6+LXiA/DDwH4kVdC0+78TXsVtdTXUTtbWqsWy4XzFPGO71couMnF7ppfe7L8iIvmjzLa1/uVz2JTcr92zhX6S4/8AZadvu85+yxZ/66//AGNYfgi/1LUI7ia88TeG9diUhUbR7VohG3cMTPLnjHHFc78RvGmraL490Tw1Y6r4d0e3v7Oe4lvdXhaRQ0ZACKBNEOc+p6VL3S7/AOV/yQ+jfb/hjvi92f8Al1i/7+//AGNJvu85+yxZ/wCuv/2NeYeOvH2veHNE8MSQa94SvZNa1cWMmqC1cWcMZBO4KLg5IIx/rMVd8JePtUm8YapoWqSaRrWn2WnC/Ot6NG8dunLAwOrPIN4C7shzwRkDuaa/1srv8Aelv63dvzPQW+0MctZwE+pl/wDsaUvdkYNrEf8Atr/9jXn/AIR8Q+P/ABxoS+JtCbw5ouk3W9tOgvrSa7nnjDELI7JLGse7GQoD4BByTwOe1z4xa5D8KNe1uz0SwtvFOh6ouk3dlcSNLbeeSmHVl2sUZXVh0IyQemSPTTr2+aX5teg0r7f1u/0Z7Dvu85+yxZ/66/8A2NLvu8/8esX/AH9/+xri/CPxEtr74b3nibXo49PvNJMsGr2yk4huIjgquecN8pXPJDrWZ8C/H3ifxpeeJLbxNpNhpkum3MIt4rYPu8mWMSp5m4n59rLnAAzmnb3muyv8v+CSnon/AF5/cejb7vJP2WLP/XX/AOxoLXRPNrEf+2v/ANjXn3xq8SeNvBfh278SaRe+HpbKKWCJLS60yZpP3kioSZVuFHBbP3Pb3p3j3xR4w8EfDu78Rahc6Dql2txaxwpBp8tvGqySqjbgZ3LHDcYI6dDSWq+dvnp/mN6O3zO+X7QpytnAD6iX/wCxpxe7IwbWIj/rr/8AY1xfiXxnqzeNbLwL4Ws7OTWZ7D+0Lq7vdxt7KDcFUlFw0rMdwChl+6ST2Mfi7XfG/g/wRr+u6pJ4d1NrG08+1kt7aa3BfOCjxNI+Rg53CQem3vSckouT21/DccVzNJb6fjsdxvu8Y+yxY/66/wD2NNX7Qp3LZQA+ok/+xrzzwd8RNW8dalp0fg+0sJ9IgjjbW9Xl3NAJSgY21sAwLuCRuYnaowPmJ4yvDXxD8ReIdZ1+1/4SrwPoI03WZNOgtL6zkknlVVQh8/akySXxwvaq5Xzcv9Wul+un37E305vT8U3+n9M9ZD3Y6WsQ/wC2v/2NG+6xj7LFj083/wCxrzv4xeJPHfgzw+3iDTtQ8NXFr9ptbZbafSpy+ZZUjLeYtwBgFs429sZ712/hqPxDHbOfEGoaXeyNgxGxsZLZVGOQQ8smT75FJapv5fl/mNuzS7l7fd4x9lix/wBdf/saaxuWGGs4SPQy/wD2NeY3PxE1y5+I+r+FYb/w14dksHQWVvrUMpl1VT954nEiKq5IXhZCCc47HpPiZ4q1bQNM0uw0K1sbrxNrN0trYW9w7GENtLyO+3DFFRWOeMnA4zSv7ql3/r+u3Ww7atdv6/r8Dqy10V2/ZIcenm//AGNIv2hfu2cC/SX/AOxrz+H4k3Nz8Eta8awWdvHrGkWtz9qspA2yK6hB3IwznHQ9eh612Gl6vcXfgi312SOJbiXTxdFFzsDGPdj1xmnNqKk3sv1v/kKPvNLq7/ha/wCZo77rGPssWPTzf/saRvtDY3WcBx0zL0/8dry34TePPEfjTR9G1W48W+B7aW++eTSYrKQ3KgMcoGN197A67Pwp7fETXb34iax4XhvvDXh6bT5lSzs9Zhl87VU7yRSCRFVSSFGFkIJyQehpxalyvf8Ay/roK+lz1HzLz/n1i/7/AH/2NHmXn/PrF/3+/wDsanj3GNS4UNgbgpyAfY0tSMr+Zef8+sX/AH+/+xo8y8/59Yv+/wB/9jViigCv5l5/z6xf9/v/ALGjzLz/AJ9Yv+/3/wBjViigCv5l5/z6xf8Af7/7GjzLz/n1i/7/AH/2NWKKAK/mXn/PrF/3+/8AsaPMvP8An1i/7/f/AGNWKKAK/mXn/PrF/wB/v/saPMvP+fWL/v8Af/Y1YooAr+Zef8+sX/f7/wCxo8y8/wCfWL/v9/8AY1YooAr+Zef8+sX/AH+/+xo8y8/59Yv+/wB/9jViigCv5l5/z6xf9/v/ALGjzLz/AJ9Yv+/3/wBjViigCv5l5/z6xf8Af7/7GjzLz/n1i/7/AH/2NWKKAPBtdaf/AIbe8PEwoH/4Qqb5fM4/4+JO+K9x8y8/59Yv+/3/ANjXievf8nxeHf8AsSpv/SiSvdKAKzNdN960hP1l/wDsaXfd4x9lix/11/8Asa84+EfxF1fxh4/8d+HtQs7GC28O3yW1q8CuHkUgnL5YjPHYCuftPjNr/wDa3xThk8OwahH4N8r7Fb2YcTXO5cneSWHHsOlTzKyf93m+Wn+aHZ3t58vz1/yPZg10v3bSEfSX/wCxrKGgWA8VHxT/AGNb/wBsm1Fn9qNwxbyQxYIBjAGST0zXlPwU+KnjnxzqdhcXE3w7vdKulJuLbStQmGoWJxnEkcowxHQhe9chqvxb+IHij4sT6b4e1Hwv4Zh8N6g8R0XWb6S2udZTgbslNu3qVwR15zV2fOl11/yf5kppxbvp/TX5H035l5/z6xf9/v8A7GjzLz/n1i/7/f8A2NOsZJprKCW4hEMzxq0kYfeEYjldw64PfvU1DVmCd1cr+Zef8+sX/f7/AOxo8y8/59Yv+/3/ANjViikMr+Zef8+sX/f7/wCxo8y8/wCfWL/v9/8AY1YooAr+Zef8+sX/AH+/+xo8y8/59Yv+/wB/9jViigCv5l5/z6xf9/v/ALGjzLz/AJ9Yv+/3/wBjViigCv5l5/z6xf8Af7/7GjzLz/n1i/7/AH/2NWKKAK/mXn/PrF/3+/8AsaRmum+9aRH6y/8A2NWaxfGuoa7pugy3Ph3RoNWvxwsU92LeNBjl2bBOB6AEn9amUlFXY4pydkaANyOlnCP+2v8A9jR/pH/PnB/39/8Asa8u+B3xO13xz8INV8YaxY6bbahZTXcaxWocRHylyM7mJ+vI/CuJ+C/xu8ZeOta0qO9134WWkN3KRNpqXF0mpKoJ4VWJTf7ZNXZ8/J10f3kt2jzdNV9x7l4f8PafoE+oT6RottbTalcG6vZROzPPKf4mZgSfYdB2rWDXS/dtIR9Jf/saTVprq30q7uLG1S6u4oXeCB5RGsrhSVUuc7QTgZ7V87+FPjx4y1D4p6L4XeLwFr9rqczJMmgX8zz2Cjq0jyAI2PRRzjjFKPvSUF/Xb+ug5aRc2fRJa6JybSEn183/AOxoLXRxm1iOPWX/AOxr528Z/HPxfYfFXxB4R0/VfhroltpciRwyeIprqKS43D+Exkg478Ct/wCN/wAXPEvgdfB1vp914MSXXFb7TqGoyTfYYiqZ3K8Z3bSeASD1FSpJxUujt+I3FqTj1X6HtZe7IwbWIj/rr/8AY0ha6IwbSEj/AK6//Y1x/wAF/E2seK/C76lrOr+D9Ul84qkvhueWSAL6N5nzBq5n4/fGJvh9qmj+HNKj0j+2dWV5FuNXujBZWkSjmSQr8x9lHJ7elVL3Wk+oo+8m10PVg10BgWsQHp5v/wBjQrXS/dtIR9Jf/sa8TPxe8SWnwN8S+OJNQ8B67qGlEeQdDuJ5bUjIGJA+11bn15q38CviZ4n8b635Oq+I/hlfWv2bzDbaDc3LXiMRxuWXjA74ppXk49tfv1E3aKl3PYXkvNjf6NF0P/Lb/wCxrxH9h1rhf2ddH8uFHH2y85MmP+W7+1e7Sfcb6GvDv2GP+Tc9H/6/Lz/0e9IZ7V5l5/z6xf8Af7/7GkDXIORZw59fN/8Asa5D46+MdQ8A/C7WPFWl21rc3djGGjjuQxjYkgc7SD+tZvjf4g6toX7P7/EO1s7KTUhpMV75EisYd7oGIwGDY59alzSjKXa1/nf/ACKUW5Rj3v8Ahb/M9BZrpvvWkJ+sv/2NNlFxLC8MlpEUdSrDziMg/hXg/j345+JdF07wPHZ6f4d06bxJpcd9Nq2tSTR6bbuy5MWYwWz6ZPcVva38UfF/hn4K6n4z1jQ9C1nUbWURwHQbx57OdT0lzguijuDzx2pzXKpc3TR/fb+v8iYPmcbddf1PSvC+iWfhjQ7bRNB0i3sdPtgVhgSdiFBOTyQSeT3NafmXn/PrF/3+/wDsa8V/Zx8UeO9e1K+utd8SeEvE+lamzXkUukaizyaaT0tzE6htg6DqQc5Jr3KtJxkvi3ZMZJ3sV/MvP+fWL/v9/wDY0eZef8+sX/f7/wCxqxRUFFfzLz/n1i/7/f8A2NHmXn/PrF/3+/8AsasUUAV/MvP+fWL/AL/f/Y0eZef8+sX/AH+/+xqxRQBX8y8/59Yv+/3/ANjR5l5/z6xf9/v/ALGrFFAFfzLz/n1i/wC/3/2NHmXn/PrF/wB/v/sasUUAV/MvP+fWL/v9/wDY0eZef8+sX/f7/wCxqxRQBX8y8/59Yv8Av9/9jR5l5/z6xf8Af7/7GrFFAFfzLz/n1i/7/f8A2NHmXn/PrF/3+/8AsasUUAV/MvP+fWL/AL/f/Y0eZef8+sX/AH+/+xqxRQBX8y8/59Yv+/3/ANjSF7phhrWIj3l/+xryL45fFDxt4D8ReHrex8M6T/Y2p6xb6cby7umkll8w/MUiTGzAB5Zjk/w1L+0f8Udd+HT+GYdFbw5AdYupIZrrWzKLeAKm7cTGcgduh6ip5lyqXnb56f5ofK728r/L+keieJ9BsfE2jvo+uaPb3unu6SSW7XDKjlGDLuCgbhkA4PBxyK0oxPHCkMdjAsaAKqCTAUDoANtcZ8EvFWteLfD1xqGs6z4L1V1m2xSeGZ5ZIVXHR/N+YNWR8XviT4g0Lxv4c+H/AIL0nTb3xHrwlkjm1OV0tbaOMbmZwg3HIzjFU/daj3/y/wAvyEnzJy6I9M3XWNv2SHHp5v8A9jSA3IORZwg/9df/ALGvAP8AhobWPDug+Nrfxt4csD4l8LSwxCHTLh/s96ZWCqVLjcoBIznJPtWhp3xa+IXhzxz4Y0X4l6H4Zi07xPDI9nc6PPMWtWVN+2USDDEjA+XHrntQtbef+Vwen9dj2/8A0j/nzg/7+/8A2NLuus5+yxZ/66//AGNfONx8d/iVc+CtU+J+j+E/DbeCdMvTbyW1xdTf2jMiuEZ1IHlgZYdQcc9a+hNG1u01PwxbeII8raz2ouhnqFK7qNouT6fqr/kH2uX+tNy0GugTi1iGev73/wCxpfMu/wDn1i/7/f8A2NfN8/x5+JVx4H1D4paT4S8Nt4IsLwwPaz3U39oyoJAjOpA8sckHkHHvXTah8XPGXinx4fB/ws0fQJJ7bS49Su7zXJpRFtcDEaLEM7skck4pf1+F/wAh/wBfjb83/SPag92BgWsQH/XX/wCxr5c/4KOtM3wu8OebEif8Tvs+7/lhJ7V7P8APiRN8S/BkuqX2mR6ZqdndPZ3tvHIXQSIcEqTzg+h6eteO/wDBSP8A5Jd4b/7Df/tCSqasSnf+ux7d8S/Ct142+Ed94XsrmC2nv7NY0lmBKKcDrjmoNa8ASQ+LtB8UeE5LDSb+zYQakgh2R31ofvIwUcsOqk9DXU2gsYNKtZbq48gNGvL3DIM47c4qSKbSJZVij1CN5G+6q3hJP0G6ktHdDlqrP+r/APDHnVn4E8T6R438Va3Zaf4T1a3129S6j/tGSRJYNsapt4icHpnr3roviX4Rv/GHguC1hubXTfEFnJFeWFyoLxW91GQVPQEpng8DI7V0ty2mWrhLm9WFiMgSXZUkfi1OnGn28ayT3XlI33We6ZQfoS1L7KXa1vlsO/vN97/jucl4W8D3mlfDfUdDvdQhu9c1ZZ5tRvghCS3M2SxA67ATgDsoFZ/wu8KeLPCej6Dot1o/g94dNtIrSW+t5pRcSKiBS4BhAycZwW/Gu5im0iWVYo9QjeRvuqt4ST9BuqdobNZViaZxIwyqm4bJ+gzVJ2bfe34Xt+ZL1VvX8d/yOJ0L4cwpc+O4vEH2TUdN8U6h9p8gKfkj8lI9rZ75TOR7Vk/Cz4Wat4XuvFY1/wARf21BrCR21vMVInW3jiESeaejOFABYdcZ716a1vaq6xtJIHb7qm4bJ+nNO+xw+s3/AH+f/GpsrW8rfJaFXd79b3/U850Pwt8RdC8GQeCdP1Dw5Np9rbCxtdTn84XCQBdqloQNrOq4H3wDjPHSqviX4U3I8E+CfD3h24sZ18LXkFxt1LcEuxGuCG2q2CxJPQ16PLJpMMvlS36RydNjXhB/LdUtxHY28fmXFwYU/vPcso/Mmqbb1b1un81sJK2i21X37/10Mvwfa65ai4j1bSfD2nRkgxjSpXbce+4NGnt61neIPBv9r/EvRvE9x9imstPsLi2e3mi3szSFSGGRjjFdBFJpUys0V8kgXG4rdkgZ6fxVYe1t0Qu7yqo6kzuAP1o6qXb/ACt+TDo13/zucd8RPAY8SXXhT7CLC1s9F1db6a3eL5ZUCkFVUDGcnPNR2fgGTSvHuoalos1paeHNasjHqulrHtBuB8onjAG0Eqdreu1a62eTSoCBPfJESMgPdkZHry1Pxp/krN9q/dOcK/2ptrH2O7mpt+v4q39eY27/ANdnf9TgvCPhj4geCdAHhjQbzw9qulWzONPn1BpYZ4ImYlY3WNWWTbkgEFcjAwOtZ2rfCG8uPhlqXh2PWoZ9a1bVk1XUb+aEpHJKHQkKi5KqFRVAyenJr1KS3tYwDJJIgJwN1wwyfTrQLa1MhjEkhcAEr575A+mapN35uv8Ak0/zSv36hf8Ar8P1Z5l4o+Etxq3xKj1uDV1t/Dt60FxrmlYb/TbiAMIn9ACCu4d/LT0rpvBXhG70Hxt4x16e6glh167gngjQHdEI4VjIbPHVc8V0/wBntfM8vzJN+N237Q2ceuM1W8/R/M8v+0Yt+cbftpzn0xupR0Vl5/jb/JfJWE+/p+Bh/GDwnd+NvAtz4fsrqC1mlngkEkwJUCOVXI455C0z4teEbzxl4Bl8OWd1BbTvNbyCWUEriOVXPTnkLXVfY4fWb/v8/wDjR9jh9Zv+/wA/+NC0++/z0/yDrfyscR4q8E6ufG1h458KajZ2+s29j/Z91bXqMba8g3BgCy/NGynJDAHqQRS+K/D/AI08XeCNe0HV5tAsGv7XyLdbVpZgrZB3u7BeMDG0L+Pau2+xw+s3/f5/8aPscPrN/wB/n/xpOKcXF7a/juOL5Wmt9Pw2PPtH+HmpeF9c0vVvCN/Z2Qkhht9f090Itr0Im0TxhR8kw9ejDhugNZ3hjwH4s8M6rr81ppvg/VotT1iTUYpr2WVJogyoAnETdNmcg969S+xw+s3/AH+f/Gj7HD6zf9/n/wAaq7vf1/Fp/mibK1vT8Lr9Tlfix4Tv/GvgddDt7m2tLk3dpcM77ig8qZJGAwM87SBxXYRrtjVfQAVD9jh9Zv8Av8/+NH2OH1m/7/P/AI0lomvO/wCS/QLap/I8++J3hDxX4z0jU/Dlzb+ErjTL0FIb25ilNxaKcfMseCGdcZDB15xwMc17X4VTXnjC31XxDrl9c2ek6XHp+jizv7i1nTp50srxMpLNtTjJGBXpP2OH1m/7/P8A40fY4fWb/v8AP/jSSt/Xlb8mxvX+vNP9EeTXnwh1C1PjnT9A1rZovirSmiaC/uZ7mWK+IK+dvcsSrKeec/KK6rwtpnja30CLw/rFv4eS0i082ontLuZ5CwTaDtaNRj15rr/scPrN/wB/n/xo+xw+s3/f5/8AGhq8XF7NW/P8rjv7yl1X/A/yR5l8K/Bfi7wXoej6HLpPg66isP3b36TSrcOpYksB5P3sHpu/GrPxP8G+K/G2j6l4bvIfCUum3mUhv54pTc2iEj5kjwQZFxkMJF5wcDFeifY4fWb/AL/P/jR9jh9Zv+/z/wCNVN87vIUfd2GaNZf2bpNpp/2iW4+zwrF5spy77RjJ96t1X+xw+s3/AH+f/Gj7HD6zf9/n/wAaG23diilFWRYoqv8AY4fWb/v8/wDjR9jh9Zv+/wA/+NIZYoqv9jh9Zv8Av8/+NH2OH1m/7/P/AI0AWKKr/Y4fWb/v8/8AjR9jh9Zv+/z/AONAFiiq/wBjh9Zv+/z/AONH2OH1m/7/AD/40AWKKr/Y4fWb/v8AP/jR9jh9Zv8Av8/+NAFiiq/2OH1m/wC/z/40fY4fWb/v8/8AjQBYoqv9jh9Zv+/z/wCNH2OH1m/7/P8A40AWKKr/AGOH1m/7/P8A40fY4fWb/v8AP/jQBYoqv9jh9Zv+/wA/+NH2OH1m/wC/z/40AeJ69/yfF4d/7Eqb/wBKJK90rwbXbeMftveHo8ybf+EKm/5aNn/j4k75zXuP2OH1m/7/AD/40AeOSfC/x/4V+IXiLxT8NfEugRweIpFmvbLXLOSQRygY3RtEwPrwat+BPhR4n8LaN4o1ODxjbv438SXC3NzqRsFa2iK/djWInlRyMk5xXqscNnI7pHM7shwwW4YlfrzxQkNm7uiTMzJ99RcMSv154pRVo8q7W+Wmn4Ibd3d97/PueH23wY8Xa58SdD8ZeMdU8I2M2jSmVG8OaW9vNdkjgSyOxyB6c9T61lfEv4cfFjx9rt34L11/B914clT7RH4jk0fF7ADIcQph8CRVAG4KARjnOa+goV0+aQxw3XmOOqrdMSPw3Vla54h8L6JrelaJqmqm21HV5GisYDLKzTMoBI4yF4I5bFNJe6unYWur69/Q0vDGlLoXhzTdFjuJblbG1jtxLL99wihcn3OK0ar/AGOH1m/7/P8A40fY4fWb/v8AP/jTlJybbFFKKSRYoqv9jh9Zv+/z/wCNH2OH1m/7/P8A40hliiq/2OH1m/7/AD/40fY4fWb/AL/P/jQBYoqv9jh9Zv8Av8/+NH2OH1m/7/P/AI0AWKKr/Y4fWb/v8/8AjR9jh9Zv+/z/AONAFiiq/wBjh9Zv+/z/AONH2OH1m/7/AD/40AWKwPH1v4suvD0lv4NudGt9SdgpfVYpJIfLIIbiMg59K1/scPrN/wB/n/xpsltbRoXkkkRRyWadwB+tTKKkrMcW07o8a+BHwx+JHw+8Oal4YvfEfhptNuRcTwXFrZyvcRXMmMMRIdjIOflxz61S1L4M+NvF/inw/e+Oda8IxafoN8l7D/YekvBc3LocgSM7EKDjkLx/Ovb4lsJYmljuS8a/eZbliB9TuqJZdJZgq6hGSTgAXh5/8eq7vmUuqt+GxNvdcejv+O5w/h2L4n6p4u8YXF9qX9jaB5ZtNAt5rWGR1kH/AC8nAyV9FZufauI1X4K+N/GHjHw9qvjbXvCltaaDdrdRNoGlvBc3LKwIEjsx2g4528e1e8/Y4fWb/v8AP/jUMa6fJKYY7rfIOqLdMSPw3Uo+64vqv06jlqmuj/qx5J8T/hx8SPFi6vocOveDG0DVMq095ojNf20bfwoytsYgdGIzWlP8PfGPh3wj4d0DwHrfh6a30izFrJB4h0xp0mI/5aho2DK3bb05r0mZdPhkEc115bnor3TAn82p88NnAnmTTNEn957hgP1NJKyt/Wn/AA/9Mbd3f+tTx7wB8IPFXgfwX4p/4R/xVp9t4w8QXAujdx2CrZ2r5+7HEQw24J6j8Kk+JHwm8UeIdd8JeM9N13RT4s0K3MFwdRsTJZ3m4YclFII5Jxj9K9eit7WZBJFK8iHoy3DEH9aZcJYW+PtFyYs9N9yy5/M07arytbysrflv36iXXzvfzv8A18jyDwP8IPFPhvTvFGrReJNFj8V+IbpbiXytLzpsYVs+UISclW6Fs7hn1pfBvwi8SN8WrL4keNtU8Oi+063e3tbPQNPa3hYMpUtIzksxwen/AOqvX4IrK4TfBO0q5xlLlmH6GhI7F5mhS4LSr95BcsWH1GaadpJ9tvLS35f57ieqafXfzLcn3G+hrw79hj/k3PR/+vy8/wDR717S9nDsbmbof+Wz/wCNeI/sO28cn7Oujsxkz9svOkjD/lu/oaQz1H4o+D7Px94E1TwnfXMtrDfwmPzogC0bdmweuD2ryXUfhT8YNe8C2/w613xx4Xj8MpEltLdWemyi+lgTACnc3lgkAAkAV7tLb2sUZklkkjQdWa4YAfrSNDZrD5zTOseM7zcMFx65zS5Vr52v8th3enked+LPBfjqGx0/SPBGq+FX0G0sI7I6Z4h0xrhMINocPGwJOBjB4rnPAXwf8X+APBeuJ4Z8UaTDr2qX/wBveAaZ/wAS1B3t0i3ZVCOMgggV7LJHYxxCaS4KRno7XLAH8c06OGzki82OZ3j/AL63DEfnmm7+876vr87/AJ/5bCSVkraL/K39ffueF/Bn4X+Lbj4hWnxX8cW+heHtW+yPAdI0Wy8hX3ZG+dt7bm+hPavf653wxr/hjxNNqcOhaob59Lums7wJJKPKmXquTjP1GR71tfY4fWb/AL/P/jVN6JLbp89f1FbVvr/loWKKr/Y4fWb/AL/P/jR9jh9Zv+/z/wCNSMsUVX+xw+s3/f5/8aPscPrN/wB/n/xoAsUVX+xw+s3/AH+f/Gj7HD6zf9/n/wAaALFFV/scPrN/3+f/ABo+xw+s3/f5/wDGgCxRVf7HD6zf9/n/AMaPscPrN/3+f/GgCxRVf7HD6zf9/n/xo+xw+s3/AH+f/GgCxRVf7HD6zf8Af5/8aPscPrN/3+f/ABoAsUVX+xw+s3/f5/8AGj7HD6zf9/n/AMaALFFV/scPrN/3+f8Axo+xw+s3/f5/8aAPF/j18NfiZ8Q9b0v+zda8J2ekaPqMWo2KXFvOZzKgPEhU7SvPQAH3rqPEOh/FW+0PSZrXWPBR1iBHW+trvSpZbGUkjDxnf5qEAYxkg5PoK7uddPgYLNc+Ux6B7pgT+bU6aGzhj8yaZ40/vNcMB+eaSVo287/Mbd3f5HiHhz4a+MPhp4O8Z65oNzDq3jjxJJG0cenWscFpaybiAyI+RtXcWJOenStDxZ8LfG+rXfgrxnZeKdNHjvw9bvFc3F5aH7JeeYuHDJHtIxnjbj8K9fhgtJoxJDK8iHoy3DEfzptxHY24BuLgxA9N9yy5/M09reVreVlay+T179Rd/O9/O9t/u07Hhcn7PN5r3hzxnJ4w8SQT+JvFMkUz3VjbFLezaJtyBFYliuQM5OcVf0n4ReNtd8ZeG9c+JniTRL618MwvHY2mlWkkYnZk2b5jIx5AwflFeywx2MyF4bgyKOrJcsQPyNEC2E7FYLkyleoS5Zsfk1C06f1awPX+u589t8A/HkHhHVPhrp/jTRovA2pXxuJHkspG1GNC4cxqd3l4yoHSvVrHwr4p0/xPp1nZ69Zr4FtdKNnLpTWymaSTbtD+ZjIHtnHtXXtDZrMsLTMJW+6huG3H6DNSfY4fWb/v8/8AjR0t/T0tr6Lb79w63/rdPT1t+mx86n4BePIfB2o/DOx8aaNF4Fv703Du9lI2oxoXDmNTu8vGVA6V0ep/CHxZ4d8f/wDCYfC7XtFsZrjS0027tdXtpJIiqY2uvlkHdx34/lXrpm0gHnUIx/2+H/4qp3hs0i815nWPGd5uGA/PNHT+u1tfkH9fjf8AM4v4FfDhPhn4Pk0mTUjqd9dXL3d7dGPYJJXOTgZOAK8Y/wCCkf8AyS7w3/2G/wD2hJX05Fb2ssYkikkkQ9GW4Yg/rXy9/wAFHYUi+F3hzYX/AOQ3/FIzf8sJPU05NtiSsfSb6PpOs6FZ2+saXY6jCkassd1brKoOOoDAjNeV/s4eG/D6eHNd1GHw9pH2+28SamttOLOMSRhbhwoVtuVA4Ax0rTuPjZ4d0aeTSbjw342nms2MDyW3h+eWJyvBKOBhl44I61Q0n40+BdJhlh0vwL42sopZnnkSDwtOgeRzuZyAOSSSSe9Z80bvXdW/Ff5FuMmkrdb/AIP/ADG/s/6H4Y8VeBH1zxNpum634knupxrMuoRLcSwTh2Biw4JjVegUYGMUfBDSdL1b/hMtJltLTWvB+n648egrdot1FEgUeYkRcH5FfcBjpjA4rJ1n4g/CLWb+TUNV+Ffii8u5P9ZNL4QmLv8AU7efxrdsPjl4M0+yisrHwX45tbaJQscMPhedERfQADAqlOOvpa3Tda/hp679yUZPp1v+f+ZD+zX4e8NQ+F9V1RtB0iO6tfEWqCO5+xxiSJVupAAGxkAAYHoBXBeIdUu/FVxrnxN0vR/EE+s2F6p8LyQaXPLA1pbn5gJFXbtmYOxPowHau5tfjB8PbXTbnTLX4f8AjOGyunkeeBPCkypK0hJcsAuCWJJPrmrGnfG7wTpumwabp/gnxxa2VvEIYbeLwtOscaAYChQMAAdqXPs09Ulb101/D7mw5Hrpu3f0ben4/giDVNf0/wAVfFf4R+ItKk8yz1CxvriI9wGhU4PoR0PuK9sr58u/HnweurG0sbj4T+JpLWzeSS2iPg6XbCzklyg2/LuJJOOta+g/GPwBoNj9h0XwH420+13FvKg8LTquT1OAKrnhay8/xdyfZzvf0/A48afeS618XL+1+H/hzxOIdZIaW8lH2qIfZYc+XGYiHAHzY81MnPTrVjxlZ2svws+EFnpt9D4vhfWLURTamxRLvKk4lyJCgHTBDkYxziursPjR4DsJr2ay8C+NraW+l867eLwrOpnk2hdz4HzHAAyewrKuviL8JbrR49HuPhb4ol06KdriO1bwfL5aSsxZnC7cBiSTkdzURlGMYq+3J/5L/Wn436XKLcpStvzf+Tf1/XXubz4f22u+A9c8P6h4T8N+HJNQj2I2iy+byBlHLGCIhg3Tg/XmvPl8SX3xD8IeH/hbdXRTxBJcPaeJgp+eOC1bbI5HbzcKy+oJrS8OfFX4aeHGmbQfh14y00zYEpt/Cs6b8dM4HvU1l8X/AId2Wt3uuWfw+8ZW+qXyqt3dx+E5llnCjCh2C5bA9apShzavTT71t8u/cXLK2i11/Hf/AIHZlC40Nrz9ozxNa2Pg/wAMa7FbaBpyrDq8/kpAu6YDy8W8vYYPC9B17Wv2gfDmnalY/Dfwxf6XaWVjda+kU9nYOVijJjcnYQqdG5B2j6VU134ifCXXdTbU9Y+F3iq+vmQRtcTeEZmkKjopbbkgZNW4viv8NY7XTrVPh14wEGmS+dYp/wAInMRbPz8yfL8p5PI9aSlFpKT6p/jcbjK7cVurf+S2OV+Iuuarptn4e+HHi6czaxpviWxk069f/mJ2P7wJL/10TGxx1yA38VenaFLHB+0t4ngmYRy3Xh3T2gVuDKElud5X1xuXPpkVgaz8X/h3rVxZXGr/AA+8Y381jL51pJceE5naB/7yEr8p9xUXiP4sfDXxIkSa98OvGGpCE7ovtPhOZyh9iV4pxqpLV3d3f5pL79Lvv5dFKDd0lpZfhK/3du356xZLz9pXXZbZlmSy8IwQXLKciKRpp2Cn0JXnHpiuc/Zt8PPdeBtKvZvAXg26tjf3jHU57jN7xdS/N5f2UjIIwP3vQdR0rS0L4v8Aw70Kwax0b4f+M9PtmJLRW/hSZFYnrnC81i23jT4L210t1b/CTxLDMsnmq8fg+ZSHzndwvXPNEJxjZX/q7f69wnGUk9Ov5RUf0PoiivI/+F/eF/8AoVfH/wD4TVx/hR/wv7wv/wBCr4//APCauP8AClzx7hyS7HrlFeR/8L+8L/8AQq+P/wDwmrj/AAo/4X94X/6FXx//AOE1cf4Uc8e4ckux65RXkf8Awv7wv/0Kvj//AMJq4/wo/wCF/eF/+hV8f/8AhNXH+FHPHuHJLseuUV5H/wAL+8L/APQq+P8A/wAJq4/wo/4X94X/AOhV8f8A/hNXH+FHPHuHJLseuUV5H/wv7wv/ANCr4/8A/CauP8KP+F/eF/8AoVfH/wD4TVx/hRzx7hyS7HrlFeR/8L+8L/8AQq+P/wDwmrj/AAo/4X94X/6FXx//AOE1cf4Uc8e4ckux65RXkf8Awv7wv/0Kvj//AMJq4/wo/wCF/eF/+hV8f/8AhNXH+FHPHuHJLseuUV5H/wAL+8L/APQq+P8A/wAJq4/wo/4X94X/AOhV8f8A/hNXH+FHPHuHJLseuUV5H/wv7wv/ANCr4/8A/CauP8KP+F/eF/8AoVfH/wD4TVx/hRzx7hyS7HrlFeR/8L+8L/8AQq+P/wDwmrj/AAo/4X94X/6FXx//AOE1cf4Uc8e4ckux65RXkf8Awv7wv/0Kvj//AMJq4/wo/wCF/eF/+hV8f/8AhNXH+FHPHuHJLseuUV5H/wAL+8L/APQq+P8A/wAJq4/wo/4X94X/AOhV8f8A/hNXH+FHPHuHJLseuUV5H/wv7wv/ANCr4/8A/CauP8KP+F/eF/8AoVfH/wD4TVx/hRzx7hyS7HrlFeR/8L+8L/8AQq+P/wDwmrj/AAo/4X94X/6FXx//AOE1cf4Uc8e4ckux65RXkf8Awv7wv/0Kvj//AMJq4/wo/wCF/eF/+hV8f/8AhNXH+FHPHuHJLseuUV5H/wAL+8L/APQq+P8A/wAJq4/wo/4X94X/AOhV8f8A/hNXH+FHPHuHJLseuUV5H/wv7wv/ANCr4/8A/CauP8KP+F/eF/8AoVfH/wD4TVx/hRzx7hyS7GPr3/J8Xh3/ALEqb/0okr3SvkrV/izoc37V+i+Kl0HxaLSDwrLaNbtokwumYzO25YsbimD97pnNes/8L+8L/wDQq+P/APwmrj/Cjmj3Dll2OK+AWsaRoXxz+LtprWpWemXEupxSxx3cywl02n5huIyOR+dc34GXT/EOs/HfUIfFUWg6PqV1Dawa8r7Yo3C4OHyM88HB7123ij4hfCLxTcpdeJPhT4l1eeNdqSXng2SVgPTLLmr1v8Wvhtb6AfD8Hw58XRaSU2GyXwjKISvps24qE48iTe0eX8tfwKalzNpby5vz/Vnl3w2XQ/ht8S/CWh674U8KX2pXbtBZeIvC2ru8kpCjJuYCcnPUk8Z6A4rM8faHo/hXWPEvjvVz4N+J2i3V+0zSPrDW+r2BD7THHyQQhGAF547V6p4a8ffB7wzete+HvhN4j0q5YYM1p4MkifH1C5rDl1n4JzfEN/HE3wy8Yyak0IjMTeEXMG8MW87b5eTKc43E9AK09ouaLvtf/Pb5bqxCptJq3b+r/PzPofwbfW+peEtI1CziuIre4soZYkuCTIqlAQGJ5Jx1PetavIl+PvhVVCr4T8fAAYAHhm44/Sl/4X94X/6FXx//AOE1cf4U5VIuTdxRpyUUrHrlFeR/8L+8L/8AQq+P/wDwmrj/AAo/4X94X/6FXx//AOE1cf4VPPHuVyS7HrlFeR/8L+8L/wDQq+P/APwmrj/Cj/hf3hf/AKFXx/8A+E1cf4Uc8e4ckux65RXkf/C/vC//AEKvj/8A8Jq4/wAKP+F/eF/+hV8f/wDhNXH+FHPHuHJLseuUV5H/AML+8L/9Cr4//wDCauP8KP8Ahf3hf/oVfH//AITVx/hRzx7hyS7HrlFeR/8AC/vC/wD0Kvj/AP8ACauP8KP+F/eF/wDoVfH/AP4TVx/hRzx7hyS7HrledftAabpmseDYtPvZvDoupLpTYwa9fS29lPIAcrJ5RDONm8heRkA9qyP+F/eF/wDoVfH/AP4TVx/hWd4i+MHw88R6c2m6/wDD7xjqtmxDGC78JzSpkd8MpGamTi1uVFSTvY8z/ZgstLtfjF468Darpumym+sCZrfQbpptFEJKhlCt8ysc4yT3I4zTv+Fc+BPGn7Rll4e8EeF9N0zw/wCEJFvNav7RDme5BzHb7iemRz6gH0r0Lwx8VPhj4XtXtfDnw18WaRDIculn4RliDH32qM0/w38WPht4biuIvD/w68X6UlzJ5s4tPCU0fmP/AHmwvJ9zWiqRUoyv8K+99PkvzM3Tk4yVvif4dfvt8j0zVPEPhDUH1rwrc69aJcWti76jAlz5cttblcFyQQUGD97PFfMHh/w/4G8W/G/w9rXwtksvC/h7QLn/AE7V2vfLl1aUMD5MaO2+QHG0seCGPXgHutD8cfDHTNR8R6jL4M+IeqXfiN2/tGW/8NTSmSMjHkgBABGB/Dj65qva+IPgJa3MVzbfBHWIZ4nEkcieB3DIwOQQdnBBqac1GcZt6r8/1S/PyLnFuEoJb/l/wfy8zzf4w+HZ9I1j4i6p4s0jw34s+1tLJp2sT+J0hudJAU7I0gILlwSuFUAZGM12raHdeJfg34Aj19vBt34nTTd5tPGWo3EUb25HDiONhukztGWHAJror3xz8Gr3Xjr158IvENxqrP5hvJfBcjSlvUsVyTVzxR8TvhZ4phhh8SfDHxVq8cP+qW88HyyhPpuU4qYuKp8t+34X/HXf797jkpOfNbv+Nvw0OX/Yz8TaB4d8AeLYdWvDYQaPqJN7dveCTTkySALdv4V9uc8cmtr9pLw1Z+Ptf8H3+l654CnW0hku1svEV68cF5C4wGAjGWXJB6jtV8fE/wCFq+G38NL8MfFS6LIu17AeD5RAw9024NQ678RvhLr2nWuna18K/E2o2dmoW2gufB0siQgDACgr8ox6VVScZtNva34K3+RMIyjfTe/4/wBM4jwD8V5PDPwa8UDwt8P9L0/VtP1Qacj6GJbiwlmfj7QMBnKqOcDOcds1ifADU/C+i/tPCKyvtb1GbUtISO4vbzT7hJbm9cgySOrqCik55IAHrXs2ifGfwFoenR6do3gPxpp1nEMJBbeFJo0X6BVxUSfGD4eJ4gfxCvw/8Zrq8kIge9HhSbzmjHRC+3OPaqjUipqTd+n/AJLb89fu3siZU5ODilb/APaT/wCB9/c9tk+430NeHfsMf8m56P8A9fl5/wCj3rVf4/eFyhH/AAivj/of+ZauP8K8o/ZM+LWheFPglpmjX2geLryaO5uWMthok1xCQ0zMMOowTzz6Gp5l3K5Zdj1v9ruGWf8AZ78UrDE8hW3DEKucAMCT9AK4L4qeLvCs/wCxulnb+INMmuZ9DtreKCO5VpGl2KNgQHOc+3FdxL8evCksbRyeEfHrowwyt4ZuCCPQjFcnYeMPgjYasurWXwb123v1cutxH4JdXDHuCE61D5ZKUW9JW/C/+ZS5k4yS1jf8bf5HOeO/BT61ofw9Da/4VfUNG8O24ufCfiW6aG3nBjA8z5WBDg8DIxx1qHw3deGfGvwP8VeDdFmtfhhPFq4tJm/tP7Rp8lwSP3cUoIAjfuF9e9dx4q+JPwn8VPE/ib4W+KNYeIYja98HSylB6AspxRN8SvhXJ4Yk8Mf8Ky8VLozrg2S+DpPJHvs27c/hVzqKXPf7Tbt87/1uvyIhTlHkt9m2vorbf0zlfgFc6H4W+Mdn4MufBfh6x16XTXZNX8L6q09ndRrnJliPKnjgtznsBX1LXzl8L/Gfwo+HGix6b4Z8A+OomVcSXknhWX7TPznMjqg3V2P/AAv7wv8A9Cr4/wD/AAmrj/CrnVi7a7f5kxpSTen9WPXKK8j/AOF/eF/+hV8f/wDhNXH+FH/C/vC//Qq+P/8Awmrj/Co549y+SXY9coryP/hf3hf/AKFXx/8A+E1cf4Uf8L+8L/8AQq+P/wDwmrj/AAo549w5Jdj1yivI/wDhf3hf/oVfH/8A4TVx/hR/wv7wv/0Kvj//AMJq4/wo549w5Jdj1yivI/8Ahf3hf/oVfH//AITVx/hR/wAL+8L/APQq+P8A/wAJq4/wo549w5Jdj1yivI/+F/eF/wDoVfH/AP4TVx/hR/wv7wv/ANCr4/8A/CauP8KOePcOSXY9coryP/hf3hf/AKFXx/8A+E1cf4Uf8L+8L/8AQq+P/wDwmrj/AAo549w5Jdj1yivI/wDhf3hf/oVfH/8A4TVx/hR/wv7wv/0Kvj//AMJq4/wo549w5Jdj1yivI/8Ahf3hf/oVfH//AITVx/hR/wAL+8L/APQq+P8A/wAJq4/wo549w5Jdj1yivI/+F/eF/wDoVfH/AP4TVx/hR/wv7wv/ANCr4/8A/CauP8KOePcOSXY8w/ab0/4aa3repeE9D0601b4jao6M95c35SPSUBXMjyO22MAD7i8ndnHr0fjLwdYSfDPwb4dl8QeCfE2s2Fuyo/ifVJltLmPje6rE37xlbYAWzgZ6ZqPWPFnwP1nU59T1b4Na7fX1w26a4uPBUjySN6liuTVi78dfBu70O20K6+EfiGfS7Ulre0k8FyNFET1KqVwM+1TFpU+W/VP7u39a/dapKTmnbo/x/r5GF+xfrmj6DonjvT9QmFomkXomvbmG783S4kO7/j3P8K8HOck8c8Vu/tG6LpnxLPgq/wBD8ReBbiGFpr6G31+8eO3v4SoQldgywBI6Edqh13xz8L9S8DXHgu18E+P9E0W5KieDSvC8tv5iBgxQ4Q4VsYOMHBPIq3qXxD+EmqaFZaHqnws8UX+m2KhbW2ufB8siRADA2hl4qpzjO13ty/h1/L8SYxlFvTfm/H+n+Bg/BDXfBOo/D7x34e8TeHNA8MaPo11Guq3uhXsi2N382RsfO/qoGATuBx3xWX8CvDvh3WPjynj7wObPwl4Qht2trSwF2qz6w5VlLmDdlU53fMM5UcdSO3b4lfClvDLeGD8LvFH9iNjdp/8Awh0vkNggjKbcHkA/hWbo3i34H6LqkGqaR8G9dsL63bdDcW/gqRJIzjGVYLkVUakVPmv0t+Fm/wDJbL8k6cvZuKW7v+N/+He5heMLfwnoH7YvgK+sdWgPmxX8moXFxqRm2v5LABmdiE64C8D2r6RfxN4cbxFF4ZbWLI6vcQGeOy80eZJFjlgO4xXgt74j+A97dy3l58E9ZnuJnLySyeCHZnY9SSU5NdBF8WPhrFrVvrUfw58XpqdtB9mgux4SmEscWMbFbbkLjtUwlFU4wb2v+N3+bS9BzjJ1HNLt+H/Av8zzn40/Db4f+I/ilovwq8C+EtKstRuJRf6/qVvGfMs7VTkgHOAz9PxA71P+0L4msb/WL74eatBrOl+ENA01mVbbT7iUapdLGfKRnRSqxI2GJJ5IHSu/0v4sfDXS9ZvdZ034c+L7TUr85u7uHwlMss/OfnYLlvxrRu/jt4PvLSa0uvB/jye3mRo5Y38MXBV1IwQRjkEVDs6ajfu369Pu6eepST5+a3ZL03f39fLQg/Yx1mx1P4E6LaWnn+ZYR+TP5kDou7k/KWADD3Ga4H/gpH/yS7w3/wBhv/2hJXfaJ8afAmiaZDpmj+BfG1hYwDbFb2/hadI0HoFAwK8L/bh+JWj+Nvh/odjp2jeJbCSDVfOZ9T0mW1Rh5TjCs4wTz09K3qVYzldGMKcoRs0fRvi7xHY+E/Cl54h1Nbh7Oyi8yVYFDOR7AkD9RUekeIb6/nCSeE9fsIyhcTXLWuw8ZA/dzs2T24/KsL46aZqGs/CDXtM0qznvLye12xQQrudz6AetO8FXFrb3JWNfHkz+RyurW9yYhtGcLvUDd2HrXz8op8z63Z73M1yJdV/kSxfE3wy3g+78SvJeQx2lw1pPYyRgXi3Ibb5HlhuZCegzg8HOKnvfHKw682h23hvxBf38dkl5PFbrbjyUY4AYvMoLZ4wua83vPCniq68SH4vpoirqUFwHh8OPAokktVG3e3/T2VGQe3C9q6f+xPEGrfFa+1qyvtW8P2NzocCCYWcRZ335MZEqttYA8gYNPkjZd+vlpt/Xp01TnLX8PPX9F/mbE/xO8Pjw3pmuWcOp38epXw0+G2ghVZ1uS20xusjIFIYEHJxxWza+Ipmsr281Lw/rOkQWkRlZrs27bwOoURSvz9cV538SPA66R4S8MaX4fs9aure08QxX19NaF5bvBk3yzZX5txJJ4H0FdLbBbvwlr2n6fH4uuJpLR9g1qGcMzFcBYzIBn6CoqKPs5Sh5/kv+CXBv2sYy2dvzf6WND4d/ELQPHXh+bWdFa8iSDma2u4vLnjG3cpK5IwykMCCQQRUEXxK0Kfw7oWsWtvqdy2vOY9Nso4l+0TMOowWCLjuSwFcTZ+D/ABFovw+8L+JfD2nSL4n07QoLLU9Mf5DfwiIBomH/AD0U52k9+Kl8M+HLWP4NeFdF8Y+E9dmlt4i26yhc3VhLnII8s+YjHjlQQO9a1KdNSlyvRNL87/fpb7jKnUqOK5t2r/l+XXy1O61rxzZ6L4RvvEmsaRrdjFZOEmtZYU84k4xtw5jYHI5Dkdjggir2leILy8mZbvwxrmlQJG0jXF41sYwAM4/dTO2fwryTxJo/jnVvhF4w0ua313UraS7T+w0vox/aLQAqW3KPmwG3bdw3YxmvQfCE1qlxPFDH45uneA5TWYZxEcdlMoChjnHXmolBKLa3/wCAn/n+Ram+aK/rct+G/HFv4gFrc6boevPpd27JbamYI/s8mCRuwHMiqSDhmQD1I4rqVkVmZVkBZfvANkj6143a6Xf6f4l0hvh1pPirQ45b7zNX0++hePTEhI/eYEhKhs9PJJycnpXougQ6fH4o16S18N3WnXTyRfab+WIKl+dgwyNuJbaMKeByKU4R3X9bf57r7hwm72f9b/5bfidDuPqaNx9TSUVibC7j6mjcfU0lFAC7j6mjcfU0lFAC7j6mjcfU0lFAC7j6mjcfU0lFAC7j6mjcfU0lFAC7j6mjcfU0lFAC7j6mjcfU0lFAC7j6mjcfU0lFAC7j6mjcfU0lFAC7j6mjcfU0lFAC7j6mjcfU0lFAC7j6mjcfU0lFAC7j6mjcfU0lFAC7j6mjcfU0lFAC7j6mjcfU0lFAC7j6mjcfU0lFAC7j6mjcfU0lFAC7j6mjcfU0lFAC7j6mjcfU0lFAHj2rk/8ADYug8n/kT5v/AEfJXsW4+prxzV/+TxdB/wCxPm/9HyV7FW1XaPoY0t5eou4+po3H1NJRWJsLuPqaNx9TSUUALuPqaNx9TSUUALuPqaNx9TSUUALuPqaNx9TSUUALuPqaNx9TSUUALuPqaNx9TSUUALuPqaNx9TSUUALuPqaNx9TSUUALuPqaNx9TSUUALuPqaNx9TSUUALuPqaNx9TSUUALuPqaNx9TSUUALuPqaNx9TSUUADMdjcnof5V49+xuT/wAKC0nk/wDH3d/+jmr2BvuN9D/KvH/2N/8AkgWk/wDX3d/+jmrWP8OXqv1MpfxY+j/Q9i3H1NG4+ppKKyNRdx9TRuPqaSigBdx9TRuPqaSigBdx9TRuPqaSigBdx9TRuPqaSigBdx9TRuPqaSigBdx9TRuPqaSigBdx9TRuPqaSigBdx9TRuPqaSigBdx9TRuPqaSigBdx9TRuPqaSigBdx9TRuPqaSigBdx9TRuPqaSigBdx9TRuPqaSigBdx9TRuPqaSigBdx9TRuPqaSigBdx9TRuPqaSigBdx9TXzf+36T/AMK18P8AP/MYP/ol6+j6+cP2/f8Akmvh/wD7DB/9EvXRhf4sTDFfwmev3vh/433F5NNour/D+PTXctaJdWd20yxE/KHKuAWxjOOM1D/wjX7QP/Qb+Gn/AIA3n/xyu2+Iet+IfD/wxfVPDGlPqepRxxBYliaUohIDSCNfmfaMttHJxis7wDrt54u0i8fQfiVo+s5RCk8OmhJ7RjztkhL5GR2YKwr1/q9KV/dPJ9vUSXvHNf8ACNftA/8AQb+Gn/gDef8Axyj/AIRr9oH/AKDfw0/8Abz/AOOVoeCNS+IGt+O/Feg3PjCzSDw/dwQq6aOm6dXiWQ5+fj72OKn+KfjbxZa+I5tF8CW9nd3Gj2B1PVlmiMhdOdlumCNsjYzk5wCDik8PRSTaWuvyte/3DWIrNtJ7fntb7zI/4Rr9oH/oN/DT/wAAbz/45R/wjX7QP/Qb+Gn/AIA3n/xyum8T/EkNpfhL/hEYIL698XOv9nPclhDFGUDtJJt5O1T90YyeM1HY69eaf4vs9F1L4reF72+Mwin0qS2jgnckdIwJSwb0BBzTWFp8zjy9bfMn61Utfm6XOd/4Rr9oH/oN/DT/AMAbz/45R/wjX7QP/Qb+Gn/gDef/ABymQ/ES/vPHni7RtT+I/h/wtFpOpraWVtc20RkmjMSNuJeQE/MxHA7V7TZCRbOFZrhbiQRrvlVdokOOWAHTPXFJYak4qXLvZ/erjeIqqTjzbHjP/CNftA/9Bv4af+AN5/8AHKP+Ea/aB/6Dfw0/8Abz/wCOV1Pxs8Wa74Ts9JuNOja10ye5K6rqwsnuxp0IAw5iTkgnjd0GOaz9X+IkugfDU6/aa5o3jK4ur5LHTLizxFFLLIdoWTazAbW3Zx2A4zQsNSa0j5fPT/MbxFVW97+v6Rjf8I1+0D/0G/hp/wCAN5/8co/4Rr9oH/oN/DT/AMAbz/45XQeK2+J3hrwrdeJF8R6Nq09jEbi405tNMMUqDl0SQOWU46Eg9ORTtP8AiDd6x4v8Aw6dGkWk+JdGuNRlSVMyoVWJkAOeMbyDxzTjhaUnZRV/+A3+jE8TVSvzf1p/mjnf+Ea/aB/6Dfw0/wDAG8/+OUf8I1+0D/0G/hp/4A3n/wAcrsvHfirVdG+I3gjQbPyPsetS3S3e+PLYjRCu0545Y+tcRpXxY8SWPxE1/wD4SWCx/wCELtta/saO7hjKyWM3lRurzEnBjcyEbuNpA9aI4alJpKPf8Gl+bVhyxFWKvzf1r/kyX/hGv2gf+g38NP8AwBvP/jlH/CNftA/9Bv4af+AN5/8AHK1rnx9r0d58UY0+yFPDKRNp37o/xWyyHfz83zE+nFVYtb+JFn8LLD4grrmmavnTYdRutLk07yA8bIHdUkVyQwBOMgg45qfq9G3M46WT++/+Q/b1rpJ6u/4W/wA0U/8AhGv2gf8AoN/DT/wBvP8A45R/wjX7QP8A0G/hp/4A3n/xyvWvC2sW3iHw1puvWaulvqFrHcxq4+ZVdQwB9+a8t1z4na9a+LLrWbSO0k8B6XqkWj38oiLStM65edXzjy0Zo0Ix1Lc8VbwtNT5HHX/g2/NpELFVHHmUtP6f5alf/hGv2gf+g38NP/AG8/8AjlH/AAjX7QP/AEG/hp/4A3n/AMcq98XfHXjbQfiHomkeErKx1C0Ol3GqX9rIhM1zFE8alYmBwGw5Ycc4xWjL8SDqfi/4fReHLi3n0TxJBeyzs8eZAYRHhevysGZgw55GO1THDUpWtHe/4X/yf3DeIqp25vP8L/kzA/4Rr9oH/oN/DT/wBvP/AI5R/wAI1+0D/wBBv4af+AN5/wDHK0vBer+PvGV94sks/E+n6ZHpGtS6fawHShKrKkcbguxcHkuQcV03wl8Y3fi3StSi1axjs9Y0bUJNO1COFiYmkUKweMnnayspweRyPeiOGpNJ8vRP5O3+a+8csRVi2ubrb5q/+TOH/wCEa/aB/wCg38NP/AG8/wDjlH/CNftA/wDQb+Gn/gDef/HKk134g30fxY8R+Gb7x9oXhOw021tJbT7Zbxs9wZfM38u6527F6f3qu/FfxZ420Gy8F6f4QvtJ1XVNavXja4uYNsVyiQvLhQrYXcEwDk4zmj6vS5VLlB16qk4823+VzO/4Rr9oH/oN/DT/AMAbz/45R/wjX7QP/Qb+Gn/gDef/ABytHVfitNeeGvCOraDHHBNqPiKLSNVtLqPMlq3lyGSIjI2sCi4PoQe9L8R9T8e+H/FPhewsvFtmbfxBqzWREmkKTbp5MkgIO/5j+7A59af1Wl/L1t+T/VC+s1LX5ul/lr/kzN/4Rr9oH/oN/DT/AMAbz/45R/wjX7QP/Qb+Gn/gDef/ABytD4o+KvEfgufwfpd34v0y0XV9RmgvtWu7FESKNYXdcKXCg7lAyT3q5rPi3UNK+EXijxZpPjLSfFU1havJbT29sgijdByrbHO7qO4qXh6Ki5cuxSr1nKMb6v8Ar9DD/wCEa/aB/wCg38NP/AG8/wDjlH/CNftA/wDQb+Gn/gDef/HKZ4d+ImvXWseF7fRvFejeN5NUZBqljY2qq+nQsm5p2kjdggVsLhwMlgBzWr8QNS8faD4v8LaVZ+LrNrfxBqclod+jqWt1EEkoIO/5j+7A59at4WndLl62+f8AXyIWKqNN83S/y1/yM3/hGv2gf+g38NP/AABvP/jlH/CNftA/9Bv4af8AgDef/HK7Txvr+reC/AZkmv4dY8QXU6WenZtxEJriVgqDYpPyrks2D91WNVvht4s1q/tfEGheJzbf8JLoDlbhoYjHFPGyloplUkkKcHjPaodCilJ8u36Wv+a+8pV6unvbnKf8I1+0D/0G/hp/4A3n/wAco/4Rr9oH/oN/DT/wBvP/AI5Ve9+JfjSf4AeG/FWmyaXF4i1q/tbISTW5MCGa4EedgOcYPrV/W/ixqkfwp1LVIrW307xbo1/aWOqWE671heS4jjLKMgsjKzFW7/hVvC0rtcuzt+X+a+8SxNV297f/AIP+TIP+Ea/aB/6Dfw0/8Abz/wCOUf8ACNftA/8AQb+Gn/gDef8Axyk+J/xN8V+FvidZ2dnDZT+HLPSk1LWUMJM4hMyRPIjA8BA+88dFNbHx2+ImreHfDyweCfsdxrc9jNqSyTr5kUFpDGZHkYAjIbAQc/eYVDoUVDncdLtfd+mj+5lKvVc+Tm10/H/h196Mj/hGv2gf+g38NP8AwBvP/jlH/CNftA/9Bv4af+AN5/8AHKXxd8R9asYvh0sviDSfD8HiKF31C/urdWSIrAZBt3MAMsAOT3rW8VeMdT0L4LeJPGGkeLtJ8U3FnbvJaXUNughR1GNpCOQ2D7iqnhacea8dv0diYYmrPltLe34mR/wjX7QP/Qb+Gn/gDef/AByj/hGv2gf+g38NP/AG8/8AjlWbP4m69a+APFlpr8Vna+N/DukTXwVUP2e8jEZaO4jUnJQnAYfwnip/H/iLxtp/wem+IOl+ILO3kt9FW9ayfTRIkkgj3H5t4IBP5UnhqSu+XRW/G/8AkxxxFWVrS3v+Fv8ANGf/AMI1+0D/ANBv4af+AN5/8co/4Rr9oH/oN/DT/wAAbz/45XpXgm38QrZJea54gi1QXEKOiJYLb+WSMnkMc10VVLC0ou3KTHFVJK6keJ/8I1+0D/0G/hp/4A3n/wAco/4Rr9oH/oN/DT/wBvP/AI5XtlFT9Wpfyj+sVf5jxP8A4Rr9oH/oN/DT/wAAbz/45R/wjX7QP/Qb+Gn/AIA3n/xyvbKKPq1L+UPrFX+Y8T/4Rr9oH/oN/DT/AMAbz/45R/wjX7QP/Qb+Gn/gDef/AByvbKKPq1L+UPrFX+Y8T/4Rr9oH/oN/DT/wBvP/AI5R/wAI1+0D/wBBv4af+AN5/wDHK9soo+rUv5Q+sVf5jxP/AIRr9oH/AKDfw0/8Abz/AOOUf8I1+0D/ANBv4af+AN5/8cr2yij6tS/lD6xV/mPkDVdG+Lq/tT6NZzan4JPiJvC8rwyra3P2QW/nOCGXfv35zyDjGOK9T/4Rr9oH/oN/DT/wBvP/AI5VfXv+T4vDv/YlTf8ApRJXulN4em94iVeotmeJ/wDCNftA/wDQb+Gn/gDef/HKP+Ea/aB/6Dfw0/8AAG8/+OV3Xw78Salruv8AjOxvvJ8rR9ZFla+Wm0+X9mhk+bnk7pG59MVzs3jnxYdW+Jdnpelw6rceHTbjSrSNCHlLwI7Bjn5uWJAGOmKl4eklfl6c3y0/zLVeq5OPN1t+NjH/AOEa/aB/6Dfw0/8AAG8/+OUf8I1+0D/0G/hp/wCAN5/8crc+FPjK78SW8k8fjPSteu47QvdaR9gNld2k4yNhjZt6jcGX517Ag1zHgbxdqviLxba3esePrTw94jile0uPCN9ZtAoG4kBA7K0rldrCRdwweKv6pT5lHl/r9fkR9aq8rlzf1+nzLf8AwjX7QP8A0G/hp/4A3n/xyj/hGv2gf+g38NP/AABvP/jle2UVP1al/KP6xV/mPE/+Ea/aB/6Dfw0/8Abz/wCOUf8ACNftA/8AQb+Gn/gDef8AxyvbKKPq1L+UPrFX+Y8T/wCEa/aB/wCg38NP/AG8/wDjlH/CNftA/wDQb+Gn/gDef/HK9soo+rUv5Q+sVf5jxP8A4Rr9oH/oN/DT/wAAbz/45R/wjX7QP/Qb+Gn/AIA3n/xyvbKKPq1L+UPrFX+Y8T/4Rr9oH/oN/DT/AMAbz/45R/wjX7QP/Qb+Gn/gDef/AByvbKKPq1L+UPrFX+Y8T/4Rr9oH/oN/DT/wBvP/AI5R/wAI1+0D/wBBv4af+AN5/wDHK9soo+rUv5Q+sVf5jxP/AIRr9oH/AKDfw0/8Abz/AOOUf8I1+0D/ANBv4af+AN5/8cr2yij6tS/lD6xV/mPE/wDhGv2gf+g38NP/AABvP/jlH/CNftA/9Bv4af8AgDef/HK9srw7Q/HfihLmaXxt4jufCqjVmtoYrnwpcLbPFvAjzdMPLG/pkt1oWHpOSjy/1ov1G8RVUebm/r+kS/8ACNftA/8AQb+Gn/gDef8Axyj/AIRr9oH/AKDfw0/8Abz/AOOV7NcXNvbWcl3cTxx28UZkklZgFVQMliewxzXk+k/EHxVq/wASPDfkWsFl4T1qW5htYri3YXVwsULuJySfkViowpGcZzimsNSbty/1/X9bieJqqPNzFH/hGv2gf+g38NP/AABvP/jlH/CNftA/9Bv4af8AgDef/HKl1f4nXt/4q8RWNnqk+h6X4fmNvPcQeHrrU5JJFGXZzEhSJAOmTk9eAKveMPF/iXzvCEnhjU5r3QdSgkkvta07QZdRHCZjYRw7toZsDoetSsPSaT5d7fjsN16qdnL+kZn/AAjX7QP/AEG/hp/4A3n/AMco/wCEa/aB/wCg38NP/AG8/wDjlehfDLXrfXtDluIfE0WvyRTtFLILE2ckLD/lnJC3zIw9GANZHi/xLr1x8StO8BeHLm10+WWwk1G8v5oPOMcasFCImQCSxHJPA7U3hqV0uXf/ACv+Qlialm+bb/O35nKf8I1+0D/0G/hp/wCAN5/8co/4Rr9oH/oN/DT/AMAbz/45TdT+Kfibw6vifw/qEFjqOvabqNlY6fdCMxQ3Au2VY3kQE4K7hkA844xXQz+IPF3hPx/4X0TX9Us9c0/xC8tuJYrIW0ltOkZcEAMQyEDHPIprDUnayVnt62vb8geJqq93t+Xc59vDX7QO051v4a4wf+XG8/8AjleW/sq6L8Xb34LabN4T1TwTBpRubny01K1uXnDeawbJRwuMg446V9fSfcb6GvDv2GP+Tc9H/wCvy8/9HvR9Xp2tyi9vUve5N/wjX7QP/Qb+Gn/gDef/AByj/hGv2gf+g38NP/AG8/8Ajld78ZvEWo+E/hhr/iLSfJ+22Fm80PmpuTcBxkZGam+JuvX/AIe+F+veItP8r7dY6ZLcw+Yu5N6oSMjuM1MqFGMXJx0Rca1aUoxUtX/wP8zzz/hGv2gf+g38NP8AwBvP/jlH/CNftA/9Bv4af+AN5/8AHKs+M/iF4h0xvCbXd5D4f0PVNPSa9199Pa5hiuWA2wsAdsSnOd7nHbNXvHXjXxBofgDRtY07ULHV7K6uAuoeINPs3uYbW1P/AC8iGMsW464JUcnpVSwtKN7xWjt+Nvl8+muxMMTVla0t1f8AC/8AVvTcyP8AhGv2gf8AoN/DT/wBvP8A45R/wjX7QP8A0G/hp/4A3n/xyuu+DFys2kXMdr8QrHxrZxyZS5jwZ4mb5ikhDt68AgEDjHFd9Q8LSX2RLFVX9o8T/wCEa/aB/wCg38NP/AG8/wDjlH/CNftA/wDQb+Gn/gDef/HK9sopfVqX8o/rFX+Y8T/4Rr9oH/oN/DT/AMAbz/45R/wjX7QP/Qb+Gn/gDef/AByvbKKPq1L+UPrFX+Y8T/4Rr9oH/oN/DT/wBvP/AI5R/wAI1+0D/wBBv4af+AN5/wDHK9soo+rUv5Q+sVf5jxP/AIRr9oH/AKDfw0/8Abz/AOOUf8I1+0D/ANBv4af+AN5/8cr2yij6tS/lD6xV/mPE/wDhGv2gf+g38NP/AABvP/jlH/CNftA/9Bv4af8AgDef/HK9soo+rUv5Q+sVf5jxP/hGv2gf+g38NP8AwBvP/jlH/CNftA/9Bv4af+AN5/8AHK9soo+rUv5Q+sVf5jxP/hGv2gf+g38NP/AG8/8AjlH/AAjX7QP/AEG/hp/4A3n/AMcr2yij6tS/lD6xV/mPE/8AhGv2gf8AoN/DT/wBvP8A45R/wjX7QP8A0G/hp/4A3n/xyvbKKPq1L+UPrFX+Y8T/AOEa/aB/6Dfw0/8AAG8/+OUf8I1+0D/0G/hp/wCAN5/8cr2yij6tS/lD6xV/mPE/+Ea/aB/6Dfw0/wDAG8/+OUf8I1+0D/0G/hp/4A3n/wAcr2ysbxpcXNp4fmubfW7DQxGVMt9eRh44UzycFlGeg5OOaTw9JfZGsRVb+I8s/wCEa/aB/wCg38NP/AG8/wDjlH/CNftA/wDQb+Gn/gDef/HK6D4ReMNY8ReJ/EOmSapp/iLRdP8AK+y63Zw+SkkrZ3w4BKuVwDuU45xVj4t694t0jW/DltoK3kOmXcsy6neWuiTak9uqoSnyRAkZbAzjvTeGpJJ8u4liKrv72xy//CNftA/9Bv4af+AN5/8AHKP+Ea/aB/6Dfw0/8Abz/wCOVp3vxJ/sv4Zalrun69b+J9SivodPjSWxaxaCeaVIlSaJvnTBfccgEgVPqXiPxh4M8UeFrfxFqtlrWm69O9nMYrH7PJazCF5VZcMdy/IVIPPIPtR9Xo/y/wDD2v8AqvvQfWKvfv8Ah/X4GL/wjX7QP/Qb+Gn/AIA3n/xyj/hGv2gf+g38NP8AwBvP/jlJF428fal8LNR+KVhfaXb2VvHNeW+jPZ7/ADbeInIabcCHZVbkDAOODXreiatDqfhu01tUaOK4tVuNp6qCucUPDUkm3Hbfy/qz+4PrNW6Slvf8N/zR5L/wjX7QP/Qb+Gn/AIA3n/xyj/hGv2gf+g38NP8AwBvP/jlNj8b+P9Q+FF98VbG90uCyghlvbfRXs93mW0RJKtNuBDsqtyBgHHFbel+MPEfjjxld6N4avrbQ7HTtPtrq4uJbQXEssk67lQKWAVQAcnnJxT+q0725devl/VvvB4mpa/Np/wAFL9UY3/CNftA/9Bv4af8AgDef/HK8G/bW0r4maf4B0R/G+oeE7mzbVMQrpFtPHIJPKfljIxG3APTnOK+rfg74s1PxRo+pw63DAmq6PqU2m3T24IimaM48xQSSMjtnivEf+Ckf/JLvDf8A2G//AGhJTVCnFqUV5r5idepJOMn5fcfRlzbatdeG7VNF1OLTrxUjZJJrbz42AxlWTKkg9OGU+hrn/C/gS8tPiDeeO9e1azvNXuLJbEJp9ibSARKc5cF3aR89y2AOAK6FX0fT9Aj1DVJbO0to4VeW4uHWNEGOrM2APxqLQdY8H+IGlXQdY0XVWhAMosruOYoD0zsJxWq3utzJ7Wf9dSl4T8HtoPjHxX4h/tAXH9v3MM4h8nb5HlxLHjduO7O3PQVhaB8I9EjvNW1XxNM+uazqt5JcXF2jy2w2E4jiCJJ91EwvJOcZrfj8WfD2TUhpkfijw098ZfJFsuowmUyZxs27s7s8YxmtjU20XS7GW+1KWysrSIbpJ7h1jjQepZiAKWlk/K3y0/yQdWvO/wAzzfTPgra2GjJplt4gubZdL1eTUvDk0EA8zS1c7jB85YSx5JGCB8vHvWrf+B/FHiDW/D974q8TaVcQaJeLexR6bpT2zzSqONzPPINvqAoPuK6bQNY8IeIDKug6vourGHHmiyu459memdhOKqal4r+H2mX8lhqXijw1ZXkR2yQXGowxyIfQqzAiqu018vw6/lr94b3+f47/AJswtJ8EeLdA8UeJtW8P+JtDSDXr8Xrw32jyzPEwjSPaGS4QEYQH7vetWW58aS/ETStPhWJNDtrBpdWufs21LmduESLJJGMFjycAgZNb91Jodppx1K6msYLIIHNxJIqxBT0O4nGPen3q6TY2cl7etaW1rEu+SaZgiIvqWPAFL4beWn3Ky+4H71/P/O5V8SWniO4MEvh7WbKwdCRLHeWJuYpQfZXRgR7Nj1BrhYfg1YXOgeIrTWNWkbUde1FdSmutPt1tY7a4QARvDHlsEBQSWLFiSSea9BvJNDs9NfU7yaxt7FI/Ma5lkVYlT+8XJwB75rKg8UeAZ9On1KDxL4clsbdgs9ymoQtFET0DMGwpPvS2v/XW/wCaQ73sYms+EPHXiDQz4f1zxxpw02ZBFdzafo7QXc8fcb2mdELdyqfTFWvEXw/jmm8OX/hnUF0TUfDcLW2nl4PPgMDKqmKSPcpZcIvIZSMdatQeNfhrcTpBB4w8KSyyMFRE1SBmYnoAA3JretTo13PcQWsllPNauI7iON1ZoXwDtYD7pwQcHsRVf1/X3/j5k6bf1r/w34eRy9n4L1W+8Z6b4q8W65aahdaVFLHp9tYWJtoIzJjfIweSRmf5QB8wAA6d6Xw98O7Gxh8Y2uqzx6pZeJ9Se8lgeDaI1aKOPZ1O7/V53cdenFaNz4n8BWuqnSbnxJ4ch1BXEZtZNQhWYMei7C2c+2K0NYuvDujQRz6xeabp0Ukgije6mSJWc9FBYjJPpStdeT0+9p/nYd9fPf7r/wDBPO/B3wbl8P8Ah/xlpMniu51EeIlEUM1xb5ktYViEcaMd37wqoAz8uQB9atRfDvxZdeBrLwPq3jLTxoUFpFZzHTdJeC6niRQu0ySTSKoYDnC59CK7+/bRdPjikvpbK1SWQRRtNIqB3PRQSeSewqz9hs/+feP8qN9/Jfdt+fz6gna1v6v/AMN8uhQn0drXwi2g+Hpo9K8qz+y2UhiMi24C7VO3I3YHvXCWHwN8FReBz4cvbea8nmt2W6vDPKvnTtlmmMYfaDvO7HbivSvsNn/z7x/lWJrniHwPoN2LPXNf0DS7koHEN5fRQuVPAbazA44PPtSlq3fd/wBf1/wBx0St0Oc8J/DfUNJ8ReGNb1PxMNUuNC0WfSWJs/LNyrujK5O84KrGFPXJ546VUtvg/aWPxdtPG+l61LaafB58zaMIAYhcTBVeVGyNm4IuVwQSM8ZNdpqureEtJ0+DUdU1bRrCyuMeRcXN1HHHLkZG1mIByOeKl0K+8M69avdaHqGl6pbo+xpbO4SZFbrglSQDyOKu75ubqr/i7v8AF/1oTZWt3t+Ct+Whxvh/wJ4x8N3viFtB8WaLFa61qcmoMLnRZJZoGdEQhWFwqnAQEZXqeQa6X4d+DtP8F6NPY2dxcXlxd3L3l9eXJBluZ3xudsAAcAAAAAACtGS48Px6tHpEl1pyajJGZY7RpVEzoDgsEzuI98VU17W/Bvh+SOLXta0PSZJQWjW9vI4C4HUgORmpTskl2t8l0/D8PIb1bb73+b6/j+JzjeCfE+n/ABD17xb4d8RaPANagtopba/0qSfy/J8zBVknj6+Yc5HYVf8AEPg3UNf1fwfq+pavbLd+Hr17uYW9myx3JaJ49qhpCY/v55LdK2ze+GhpcOqG+0safOVWK689PKkLHChXzg5PAweTU98dFsRCb2SytRPKIYfOdU8yQgkIuerEA8Dng01dWXYG73fdfha35Hn/AI1+D9prvxC0nxdp2tS6T9nvYrzUbJIA8V/JErLG55GxwHYFucg4I4FdP448IHxLrvhbUxqAtf7B1I3xj8nf5+YZI9mcjb/rM556dK2Yjos1/NYRSWUl3AqvNArqZI1bO0svUA4OCeuDWdq/iDwRo+oLp2ra9oGn3rBStvdXsUUhBOAQrMDyelKPupJd7r10/wAgl7zbfaz9P6ZmfEbwbqXiTW/DOtaRrFpp15oF5Jcxi6smuI5d8TxlSFkQjhyevajxJ4W8SeKfAOv+F/EGu6T5mp2rW8NzY6ZJEIQw5LI8z7+3QrWxrur+EdBjhl1zV9G0tJ8+S15dRwiTHXaWIz+FaUFvp9xCk0EcEsUihkdMMrA9CCOooto0NSakpdUchr/w+a+Xwte6bqy6drXh541jvhbb/PgC7ZYXXcPlce/BAPOKv+M/CDeIvEnhXWP7QFt/YGoPeGPyd/n7oZItudw2/wCsznB6Yq5r+teD/D7xJr2s6JpLTAmIXt3HAXA6kbyM4yOlXJJtBj0o6tJcWCaeI/NN00qiEJ/e35xj3zT5vted/n/SJ5dOXyt8v6ZzXjT4e2/jDxnpWq69fG40fS4ZDBpao0ebluBMZVcHhdwAAH3s5qjB8KdO0vx7beKPDV6+lq1jNY6lat5k4vY2HyEs75UowBHXjI75rptB1zwb4gmkh0HWtD1WSJd0iWV5FOyL6kITgVaiuvDsusS6NFeabJqcUYlks1mQzohOAxTO4DPfGKnl0t6/je/9f5Fc2t/T8Nv67nCQfCVovhh4Z8Ff28CdD1G1vjdfZP8AXeTOJduzf8ucYzk464PSnfGD4Q2vjy9tNRstZl0K/V4VvZIoBIt7bxyLIIpFyOQyKVbOV9xxXeq+iNfTWKzWJu4IxJNAJF8yND0ZlzkA+ppmj3Ph7WbM3mj3enajbByhmtZklTcOo3KSMjuKptt83nzfPRX/AAsTa2nlb9f1uc/c+Abe7+Is3im8u47i0n0J9HmsHgyHRnVixbd0IUjbjv1rmfCvwXXRfCPijRbjxLPqV1rOnyaXaXlxb5axtCjJHEBu+YLkE8jcQOld7cax4Qt9HGs3GsaLDphbYLx7uNYS2cY3k7c54603Qdc8Ga/PJBoOt6Hqssa7pEsryKZkX1IQnAqeW6cfJr73f9X8m+jL5mmn5p/dovyXzS6o5XVfhvqrTeCbzR/ENlbXvhWJ40a705po7jfCYiSqyoV4Yn7xrR8YeEPEPjD4c654U1/XtLWfUoDDHdWOmyRrCD3KPM5Y/wDAhWtqfiHwPpeqDS9S8QaBZX524tbi+ijlO77vyMwPPbjmoNR8WfD3Tb2Wx1HxT4Zs7qI7ZIJ9RhjkQ+hUtkVTk5Xb6/8ADkxXJa3S3/AMP4u/Cy28e+GYrKDVpNG1i3tntoNThhDnynQpJG6ZG9GUn5c98jmtPxR4G/tr4Q3XgBNT+z+fpf2AXhh3bfk279m4Z9cZ/GtKx17wXf2X26x1zQrq185bfz4b2J4/NY4VNwbG4kgAdTWhaHRbue4gtZLK4ltn8udInVmib+6wH3T7GlbRrvr/AF9/4hF25Wum39fL8Czptv8AY9Pt7Tfv8mJY92MZwMZxVise7vfDVm90l3faXbtZxCa6WWdFMEZ6O+T8q+54qjq/ibwHo90LXVvEfh3T7goHEV1fwxOVPQ4ZgcH1puV3dijFRVl0OmormLDxR4B1D/jw8TeHLv8AeLH+51CF/nY4VeG6k8Ad61rt9Es7m2truaxt57pilvHLIqtMwGSEBOWOOwpDuaNFV/sNn/z7x/lR9hs/+feP8qALFFV/sNn/AM+8f5UfYbP/AJ94/wAqALFFV/sNn/z7x/lR9hs/+feP8qALFFV/sNn/AM+8f5UfYbP/AJ94/wAqAPE9e/5Pi8O/9iVN/wClEle6V4NrtvAv7b3h2MQoE/4QqbjHH/HxJXuP2Gz/AOfeP8qAOM/4QvXtH8UazrfhDxBY2Sa1Ktxe2mpae11GJlRY/MjKSxsuVRQQSw44xUvhvwRe6HZ67eQeIWfxHrlyLq61FrRfLV1RUVFizxGFUDBYnqd2ea6a1/se7luIrV7OeS2k8qdY3VjE+A21gPunBBwexFNifQ5ri6t4prGSa0x9pjWRS0GRuG8ZyvHPPaktF8vw0/DYHq/63OPh8A6xfeO7Txn4h17T5NT0+xls7L+zNMNsq+ZglpS8sjSYIGFyFHPBzWPrXgXxt46ik0Dx3qmjf2LY3sMtvdWWm+Xd3uwK28M0zrD82QcLk4OMA13mh6x4P16aaHQ9Y0XVJYMeclndxzNHngbgpOOh6+lZj+NPASeNY/Bx1jSjrLoW+ziePIIP3Dzneeu3rjmmt4pfL87/AKg3ZN/f+R2CqFUKM4AwMnNLVf7DZ/8APvH+VH2Gz/594/yoAsUVX+w2f/PvH+VH2Gz/AOfeP8qALFFV/sNn/wA+8f5UfYbP/n3j/KgCxRVf7DZ/8+8f5UfYbP8A594/yoAsUVX+w2f/AD7x/lR9hs/+feP8qALFFV/sNn/z7x/lR9hs/wDn3j/KgCxRVf7DZ/8APvH+VH2Gz/594/yoAsHkHnHvXnPifwP4v8WaDN4Z8S+L9Nl0S5IW7+xaQ0F3NGG3BPMMzIucAEiPpnGDzXffYbP/AJ94/wAqPsNn/wA+8f5UWHdnE3Gmatr3i6/8M6lpyN4Dg0pbaSG5i5vZ2I+633iiqpB7Ekdap6j8GvC03ivw/rVpHJaw6TJI7W/nzv526MqoDGT5MEg8A5xivQvsNn/z7x/lWNo+veCtZv30/SNd0HUbxAS9va3sUsigcElVYkYoW67/APD/AOfyJa0fb/hl+hzbeAfEGla34hvPCHiiy0218QSGe6gvdMa6MM5GGkiYSoBnOcMGGQO3FW9E8Ga54S8P6RoPgrXtPtdPsLYwvHqenNdGV858zdHLGVPXjkc9K2ta1zwbol5FZ6zreh6bcyjMcN3eRQu4zjIViCa0b1dIsbKW+vWtLa1iQySTzMqRoo5LFjwB70lpHy/y6fIp6y8/8zjtD8AatoeleIrnTPFAj8U6/OLm51SSxDwxyDgCO3LcIBkAFifUmrHiTwTqd54r0nxfouvQWOvWNo9nM9xZedb3ULckNGrowO4Agh+PeurtItLvLWK6tBbXFvKoeOWIhkdT0II4IqtrV14d0OyN7rV5pumWoYL513MkKZPQbmIGab0a8v8Ahvy0Fv8AP/h/67dDhLz4Qx6ppGvNrGvyS+INZvIL19St7YRpbSwEGARRMWwilRwWJPc1q2ngnWtQ8X6R4j8X+ILLUZNFVzYW1hp7WsQkdSjSyb5ZCzbSQACoHXFdPp1x4f1LTBqmnXWnXlgQWFzBMkkRA6neDjj61W0HWfB+vySx6DrGi6q8IzKtldxzFB7hCcU1o9On+VvyE7Na9Tdk+430NeHfsMf8m56P/wBfl5/6PevaXsbTY3+jx9D/AA14j+w7bW8v7OujtJCjH7Zeckf9N3pDPX/Gnh2w8WeFNS8N6p5os9Qt2glMbYdQwxkH1rj9Y8C+Mte8LyeEte8aWEuizw/Z7qW10gxXs8OMFTIZmjBYcEiMewFdzfrpGn2ct5ftaWltEu6SadlREHqWPAFLeJpNnZyXl4bW3tYkLyTSsERFHVix4A96VlqPXQyNX0jxLF9nh8Ma1pdjZR24gNpf6Y1ygA4BUpLGwOOMEke1crpfgfxR4D8BfYvAmrWd1qUc9xezW13YqLe8llYuY0VXTyFDE7cMQB1zXZ6vqnhPR7GG/wBW1TR9PtJ8eVPdXUcUcmRkbWYgHj0qSa+8NQ6J/bkt9piaV5Yl+2mdBAUPRt+duPfNNt6u/r+Yo20VtP6RzngbwLdaZ4x1Lxxrt9az69qlrFbzx2Fr9mto0Tn7pZmds5y7MfYAV3dcx4G8SeEfGuknVPDd3Z31usjRv5bqzIQcfMATjPUZ6gg1v/YbP/n3j/Km+wl3LFFV/sNn/wA+8f5UfYbP/n3j/KkMsUVX+w2f/PvH+VH2Gz/594/yoAsUVX+w2f8Az7x/lR9hs/8An3j/ACoAsUVX+w2f/PvH+VH2Gz/594/yoAsUVX+w2f8Az7x/lR9hs/8An3j/ACoAsUVX+w2f/PvH+VH2Gz/594/yoAsUVX+w2f8Az7x/lR9hs/8An3j/ACoAsUVX+w2f/PvH+VH2Gz/594/yoAsUVX+w2f8Az7x/lR9hs/8An3j/ACoAsVl+JLbXLmzi/sDVbXTrtJQxa6tDcRSLggoyh0buDkMDkDtkVc+w2f8Az7x/lR9hs/8An3j/ACoA8+tPB2paD4l134k6leJrPiKTSjZw2ul2Bt4nVTuUbC7s7lgBuZsAdhzV/QrP4nTeGdGnvPEGi22r/Z2/tGG50ozRs7MCu3y5YypUfKeSDk12X2Gz/wCfeP8AKoryPS7K0lu7z7LbW8Kl5ZZWCIijqSTwB7mjZeX/AA/531Dd/wBeS/Q88k+EFtf6D4li1jXLi41rxFcQXVzfwQiNIJoGDQmGIltqqwHDMxPOTWjD4F1zVPEWiat4y8Q2Opx6GXksray05rZHmaMx+ZKWlkLEKzYA2jJz6V1sUmhy6X/akU1i9h5Rm+1LIpi8sDJffnG3HOc4qnoGseEPEDSroOsaLqxhx5osruOfZnpu2E4/Gi1nb+u39f8AABu6v3/U4aL4U65beD73wHZ+L4I/CV20imJtNLXsdvIcvCs3mhMEEjcYyQCe+DXb2GiapY6xAlvq8K+HILAWqaUbMFt4wBJ52c4wCNuO/Wi51zwZba0uiXGuaFDqjkKtlJeRLOxPQCMncc/Stj7DZ/8APvH+VG68v+Bb5/09we/9d7/oeXxfCnW7fwbd+AbXxhAnhG5Z4zE2mk30du5y8KzeaEwQSu4xkgE9+a138AalpHi2fxF4L1yy0x7uyis7u1v7BrqFxEMRuuySNlYDIPJBz0robjXPBlvrS6Hca5oUWqswVbJ7yJZyT0AjJ3ZP0qXX9U8KeH445Ne1TSNJSU7Y2vbmOAOfQFyM0ul/67Dera/re/6FP4ceEIfB2iz2YvZdQvLy6kvb67kQKZp5DlmCjhR6DnHrXgH/AAUj/wCSXeG/+w3/AO0JK+mbOLS7y1iurQW1xbyqHjliIZHU9CCOCK+Yf+CjsEMPwu8OeVEqf8TvsP8AphJVO5KsetftAkj9n7WSqhj9iTAJwCeO9Fv4T8Sa58SdA8Y6vpulaDDolrNEsdpdG5mu/MUjazbECoM5xg8+ld3bxx3miQ2t3pYu7dolDJIsbI4x3DH+dXvOmxj7DNj/AHk/+KpLR3/raw5a6HyzpsHiKX4A+JF+x6XdeGZNZ1NdQMUDPfw2/wBqk8yWMH5GZRkgcdBXda7LoY+K/wAORql5He+EDpH/ABJ7i6bfby3uP3bMx+UyFNpUnnPTmvY7e2tra1e0t9FSG3kLM8UaRKjFjliQDg5JJPrmopdO06bSRpEvh63k04IEFo0MRhCjoNmduPbFEfdd/T8E1+t12YS95vzv+LT/AOA+67Hl3xg/s29+JPw/HhiW3fxTFqiO72ZBkTT8/vvMK/8ALIjPDcE5xzU3wmn0uLx78Vl1KazRDr67hOygFfssWc57da9I0TSNJ0NZF0XwzaaYJTmQWlvDDvPvtxmquoeFvC+o3r32oeCdJu7pzl557G3eRj6ljyaI+7dd0/xcX/7b97bHJ834fhf/AD/A8DmtLi6+CXxVj8O2s8vhU6hK/h+OJMxmEBTKYB/zy8zzCMcenFekfHPxFoeofAPWXsNVtLr+09OEVksMqu07yAbFQA5JPoK9OWSRUCLYSqoGAoKAAen3qybLw74esdTOp2Xg/Tba/JZjcw2kCSknqd455780pLmjyPbT10SX42+XmOMnGamt02/LV3/D8fI8o8Sxw6f8Wvh5a+NAkfh6DRBHaC6x9lXU1AHzZ+XftC7c++K9fibwzPrimE6TLqvkEKU8tp/KyeMj5tuc+2an1GCDUrOSz1DR1vLWQYkhnWORHHoVJwaraJpOk6GkiaL4ZtNMWU5kFpBDCHPqdpGatyb37t/fr/wPSyM1GyVuyX3f1f1uzgfg1DD/AMLI+KX7qPjXocfKOP8AQ4K5QHWhp/x1Ph3zf7UGpL5Hkgl8/Y7fO3HOcZ6V7nbRQ20081vpAhluHDzvGsatK2AMsQeTgAZPpRbRQ20081vpAhkuH3zPGsatK2AMsQeTgAZPpWbjePL/AHeX/wBJ1/A0TtLm/vc356fied+Fbr4Yr8CLVVl0NfDr6UPtCSlNrHb+8EgPJk35zn5t3vXlU+hy6n8K/hHoPiy3murS78RPGkF2G3/YyZjArbueI9mM8gY9K+h5PDPhuTVP7Uk8GaW9/v8AM+1NZ25l3f3t/XPvmtK6hhunhkutHE7wP5kLSLGxjf8AvLk8H3FaSalJya3advR3IiuWPKuievqrf8F9/kfNvxI1DVPDcfhr4Y+JJZrmS18RWc+hag6ki9shvGxm6ebFwp9VKHua+nLu5t7O1lurueOC3iUvJLIwVUUdSSeAKp3ttbXzwPe6Kly1u/mQtMkTmNv7y5PB9xVHxlo//CUeG7vQbpb+1trtQkzW7xh2TOSuSTgHofY1PNLktu73v8ktfu1Ksue/S36t/roWdUvJL/wld33h24hupZ7J5LCaFwySMUJRlYcEE4wa8i+Ed9b2vwfjm0WTQI/EkRmfxGmsAm4a5BYyCXBDbuOC2RtxjivY9Mhj03TrbTrHS5ILW2iWGGJWTCIowAPm7AVQ1fw74f1i7F5q/g/TtQuQoUTXVpBK4UdBubJxyaUlrLl6/p/Wq8l2FFuy5un9f8M/XueHa7rF54j8OfBvVtL0rR9Ju7nX5mitUiItEISYEhVwcHBbjua6PwddxaR8ZfFmreOJbPStet9HjZI7PKWdzYIzsZwW5aQMSrA/dG3HWvXJLa2k+zeZoiP9kIa23JEfJIGAU5+XjjjtTL+wsNQl82+8PwXUnltFumiic7GwSuSfunAyOnAqpN3bj5/irf15X9Q0aSfZfhJv+vM+bbt/E2q6FffFa28Fa+2v/wBpJqunXsZtfJGnQgoIfmmEmxo2lfGzJZhxwDXazeJLjX/i/wCFfEfhPS7PWE1DwpcTRx3F59nCqZoc/NsfkHgjHrXssf7u2W2j0xkgVNixr5YULjGAM4xjtVeysLCxaJrLw/BbGFGjiMMUSFFY7ioweATyR60Kyatstv8AwFx/yf39xO7Tvu9//Ak/8/vXY8B+I3g3VPB/wX1IXUtgl9q3i6z1BLW3DfZbRnniAjXoSMrkkAZJPFb3xnXxkJ/An/CQS+H2s/8AhKrXaLKOZZN3lTY++xGMZ/SvZb6KG+hEN7pAuogyuEmWN13A5BwT1B5Bou4obwRfa9HFx5Mgli81Y22OMgMuTweTyPWiD5eXykn8lyq3/ko5e8n5pr5u+v4nlFp/aH/C6vil/Y+f7S/4Ryy+yY6+bi52f+PYqf8AZ3uPCH/CpoI55NPXUSJBr63hUTm5yfN88PyTj+9/D7V6hHFDHeS3kekBLmZVWWZVjDuFzgFs5IGTjPqaztS8OeHdTvxqGpeD9NvbwYxcXFnBJJx0+ZsnipjoreVvxf8AnqvJdglq7+d/wS/TT1Z594n0W1tvFjeNfAfibwtFd22kraz6ZqGw2htRudNjIQYcsPvAFSAeOK6j4W+NNG1rwF4f1KS1svDj6oWitNPMiIryDcSsPTeCFZhgcjJrc1fQtD1iSKXV/CdhqEkI2xNdWsEpjHopbOOnaqmpeGbLUfFmkeIby0u5JNHjkWxtt0YhidwFMuM53BcqOcAMeKa25en5bv8AG/yYnrr1/wCAkvu/I89/Z1uNLj/4SceJJbZPGn9rzf2p9sKrcGPP7nG7nytv3ccdai+Ib+GU+Ivw+E40seCDc3WREq/Yv7R2/ufM2/Ju+/jd/FjvivUta0LQ9clSXWvCdhqckYKo13awTFQeoBbOKty2lpLpp0yXQ43sSnlm2aOIxFf7uzOMe2KFpyvt/Xy7+T16FPVy87/j/X3aHlfx5/sq+1fwVD4dltX8Xprlu9g1oQZ47YN/pJO3kReXuDZ+U8DriuYfwlea78aPiHrvh2aO18WaJLYT6XcPwsmYpN9vJ/0zkHyn0OD1Fe5aJoui6G0jaL4VstMaUASG0toYS4HTO3GauQQwwXU91Bo4iuLjHnSosYeTHTcQcnGe9C91aPXX5N8v+XzuwburNdl9zb/U8G+HHii38XfFLx9q8dtPZ3C+GYILy0nQrJbToH3xsD6H86y/g/bXHw4+Gnhj4haTA7+HtQsY18T2cSljGSSBfIB3XPz+q5PavoqKzs4rm5uotDjSe6AFxKscQeYDs5zlvxp9vDBb2K2Fvo6w2ipsEEaxrGF9NoOMe1H2WlvZfnJtej5vwvuJ+89dv+Akvnp/SPlywlaT9mTwRPZyW29/Flk8Lz58rJvFILY52+vtXvF1N4ufwT4jFvdaDNrY0+Y6b/ZIbIl8ttmdxPO7GK6CbRtHm0ldIm8L2cmnLjbaPbwmEY6YQ/L+lM0XQtD0SZ5tF8J2GmySLtd7S1ghZh6ErjIon78ZR7/5JfoUpPnU+3+bf6nCfAe48C/8KdsI0k0wA2xGsJeFPNM+P332gPyWznO6ov2hY9O/4QTw22nx2v2U+I9J8kwquzZ9qjxtxxjHpXe33hvw7faj/aV94O026vsg/aZrOB5cjodx54rRvIYbyNI7zRxcIjrIiyrG4VlOVYAngggEHtVOV5qduqf3O9v8uxmo2i4+TX3q3/D9zzj9pBEj8JeHgiqo/wCEn0rgDH/L1HVHx5dWXww+K9v8QLycWvh7X7f7DrTt9yGZFzDMfrgJ+Neq3kUN7Gkd5pAuUR1kRZVjcK6nKsATwQRkHtTdSt7bU7NrPUtFS9tnILQ3CRSI2DkZViR1qFdLTe7fyaSa/D8uxWjeu1kvubd/xPBfFGlXD/s5/EPxxq0bpqvimxmvXSQfNBBsIgh9tqYB967T49Rxn9mrxC7Ihb+w2wSOf9XXpN3HHeWklnd6T9otpF2PDKsbIy+hUnBFJdRQ3Vk9ldaQJ7V12PDIsbIy+hUnBHtTkk04rbS3ohxbUoye6vf52/yMHW/CekeL/hx/wj2pwgW91aJiSMAPE4UFZEPZlOCD6iuB+AWn6l4o1S78beMb6LVNV0aefQ9OdYyqxLAxjkm25P7yUqST2BxXsSyyKoVbGVVAwACgAH/fVQ2UUNlG8dnpAtkd2kZYljQM7HLMQDySeSe9U377l3/Pv9118zOMbU4w7fl2++z+Rfoqv583/PlN/wB9J/8AFUefN/z5Tf8AfSf/ABVSWWKKr+fN/wA+U3/fSf8AxVHnzf8APlN/30n/AMVQBYoqv583/PlN/wB9J/8AFUefN/z5Tf8AfSf/ABVAFiiq/nzf8+U3/fSf/FUefN/z5Tf99J/8VQB4nr3/ACfF4d/7Eqb/ANKJK90rwfXZJD+294eb7PIG/wCEKm+XK5/4+JPfFe4efN/z5Tf99J/8VQB5n8Kr+z034h/EnTNQuIrO8k1uO8jimcI0kDWkCiRc9V3IwyO4Nc3pGn6N4r1P4wS3+rLY+HtVvbeyXU0lVE3R20Svtc/KcP8AL9civXdb0XRtcMZ1rwtZamYs+X9stoZtmeuN2cVbS3t49PGnR6Mq2Qj8sW4SMRhP7u3OMe1K3upP+Xl/L9EVzNScl1d/1/P+up5L4a1i90DxlpngHxL/AMI5q0TaNObTW9MQQz2kEeFYTISRGCu35lYKSp44rHa4vPhX4S02G2uPC/jXwi2oxiyhCAahtmcsrIV3JMwZiQcKSOc17Po2i6NoqSpo3hay01ZgBKLS2hiD46btuM9T1rM8P+CPCug67fa5pPhG1ttQvZfNknSGEMp2hcIc/KDtyQOpJPerTfMm/n563/p/PqRZcrX9bW/pfI61G3KGwRkZweopar+fN/z5Tf8AfSf/ABVHnzf8+U3/AH0n/wAVUjLFFV/Pm/58pv8AvpP/AIqjz5v+fKb/AL6T/wCKoAsUVX8+b/nym/76T/4qjz5v+fKb/vpP/iqALFFV/Pm/58pv++k/+Ko8+b/nym/76T/4qgCxRVfz5v8Anym/76T/AOKo8+b/AJ8pv++k/wDiqALFFV/Pm/58pv8AvpP/AIqjz5v+fKb/AL6T/wCKoAsUVX8+b/nym/76T/4qjz5v+fKb/vpP/iqALFFV/Pm/58pv++k/+Ko8+b/nym/76T/4qgA1OSyh065l1J4EskidrhpyBGIwDuLZ424znPGK8M8dTTWvxG+Ht9qY0K9sY9V8jTYPD/yXKtIjKHfJO6FVJLKuOx6cV7k8sjoUewlZWGCCUII/76rK0jw/oGj3bXmkeEdO0+5ZSrTWtpBE5B6gsuDiiOk1Ltb+v+D0CWsXHvf8f6+Z5Z8Orjw/CvxTXxfNYrff2tdjUPtjKGNntPlD5uTHszjtWdpPhzTNT/ZS05vGlmtxdWGh3E1jFfuRsbyXCExkgMwBGNwJHBHNezanoeiapexX2p+FbG+uoseXPcW0EkiYORhmyRT9Z0nSdaSJNZ8M2mpLEcxrd28MoQ+o3E4rOUL03DukvuTV/XX5Fxlaopebf39PT/gHNfCjWtH0v4KeHdR1HVbGzsrbSoDPcTzqkcQ2gfMxOB+Nc/4luLE/tIeGJ9Yntzpj6FcNpbysPJNyWGSpPG/y92Mc4zXf2nh3w/Z2NxYWnhDTre0usG4gitIFjmx03KOG/GrOqadp2q2S2OqeHbe+tVIKwXMMUkYI6YViRW9SfNV9p5t/emv10MacOSmqflb7rf5anzZ478trr4kXWmtnwm/iHSf7SaH/AFDgSJ9rORwRjdv7dc16P40bTbr41fDU+G5LeS8hNybk2hUhbIwtw+3ohbGM8ZxjmvULS0tLPThptpocdvZBSgtoo4liCnqNoOMe1V9F0fR9E8z+xfC9npvm/wCs+yW8MO/67cZqIe7yrt/lb7v0ui5e9fzv+PX1/WzNmT7jfQ14d+wx/wAm56P/ANfl5/6PevaXnm2N/oU3Q/xJ/wDFV4j+w5LIv7OujhbaSQfbLzlSv/Pd/U0Adv8AtGWtze/BDxZb2dvJcTNpsu2ONdzNhew71lfGXxNoN9+z9rtxZataXK6jpDxWaxSq7TySJhEUA5LEkDA5r03z5v8Anym/76T/AOKrItPDvh6z1Q6paeD9Nt9QLFjdRWkCy5PU7xzk9+amUeaLi9n/AE/66eZUZcsoyW6/4H+R55q3hSddS8La1pfiXSNN8U6Lo0dtJp+qKJYZICMPlQwdDnI3j6YNZVpJZfE7wLoWoJdaR4P1/TtZuJrCNSk1jd3UDsJJEU7fOjYgtuGDznOea9e1vR9I1wRjWvDFnqYiJMf2u3hm2H23ZxVTxR4Z0PxL4ak8O6v4djn01ovKWHZEBEMYGzn5CB0IxirlJybl539He/8ASIhFJKPlb5Wt/X3HL/DXxVqF78Q9e8L61o+iHUrG1hmfVtHyYZ0b7qSbhuRx12ljwRXplZGhabp+g6cmn6LoEWn2ifdito4o1z64Ujn3q/583/PlN/30n/xVDYK5Yoqv583/AD5Tf99J/wDFUefN/wA+U3/fSf8AxVIZYoqv583/AD5Tf99J/wDFUefN/wA+U3/fSf8AxVAFiiq/nzf8+U3/AH0n/wAVR583/PlN/wB9J/8AFUAWKKr+fN/z5Tf99J/8VR583/PlN/30n/xVAFiiq/nzf8+U3/fSf/FUefN/z5Tf99J/8VQBYoqv583/AD5Tf99J/wDFUefN/wA+U3/fSf8AxVAFiiq/nzf8+U3/AH0n/wAVR583/PlN/wB9J/8AFUAWKKr+fN/z5Tf99J/8VR583/PlN/30n/xVAFiiq/nzf8+U3/fSf/FUefN/z5Tf99J/8VQBYoqv583/AD5Tf99J/wDFUefN/wA+U3/fSf8AxVAFiuH+Neg+HNb8Cak3iK1t7pbOzuJ7WO4kPliUQuAxTO1yMnG4HB5HNdh583/PlN/30n/xVUNa0vS9biji1rw3a6lHG26NbuCGYKfUBicGoqQ54uJdOXLJM4f4S33h2D9nzQ7nXrjTv7KtNMSS7NyVaKNVOQWB44IGPcDFY3hCM+N/ilD8SLGCDSNMs9LmsdJikwl1qO8g+a6dVjG35Qeec4Fej23hrw5a2VzY23g3TIbS62/aII7OBY5tpyN6jhsHpmmad4V8L6bex32n+CdJs7qMkxzwWNvHIhIxww5HFa1H7SpKfe/4pp/np/VsoR5Kah2t+FrfitTwrR5vD7fskeIrfUntm1p47tbyNyDctqJc+XwfmMm/y9vfOMV7h4V1aNNC03QbvVLQ+JRpSTPZvOv2jhQN5TrjJAzjFXZND0OTWBrEnhSxfU1OReNbQGYH13/e/Wrn2e3/ALR/tL+xV+2+X5X2jZH5uzOdu7Oce1TL3k0+tvlZNaff9yRXVPtf8Wnr9x866VN4ff8AZC1231CS3bW5IblbqNyDdPqRc7OD8xl8zZjvnGK6r4aSLbfGfWl8XzQpqg0Cw+wtdsAfK2/vtm7/AG9u7HfrXqj6Hob6wNZfwpYtqYOReG2gM4Prv+9+tP1vSNJ1xY11rwzaamsZJjF3bwzBD7bicU7u7l3+7ZrT7/u08weq5f63T1+779Tgf2aEC+HPET2QI0WTxDePpQAxH5Bfgx9thPTHHpXmH/BSP/kl3hv/ALDf/tCSvpuBjbwpDBprxRIAqImxVUDsADxXy/8A8FHZHf4XeHN0Dx/8Tr+Iqf8AlhJ6E0PouyS+5WF1b7tv73c908f+MJvAvgSz8RnTDf2EDwLqBWQq8FuxAeUDB3bQckccDrVj4geNP+Edg0SLTLOPVNR1u+itLGDztiuGI3yFgD8qr8x46VuCxtdU8MDTb6FZra6tfKljYZDKy4Irzj4R/DzxToevQ3Xi/UbK/ttBtDpvh/ySzP8AZ8/62XcOJSuFOM8d6UPis+9/l1X5fe30HLa69Pn0f539F3NLTPGvjDXvF/ifRfD+haF5GgXiWjzX2oyxvMWjV8hUhYAfNjrVf4pfE7WPA+qeHdNTwr/bVxqEMtxfLaXJBgihXdK0QK5kIGcA7SaxB8N9QtviD4t12/8Ah74R8VwaxfJcWc2oXCCWBFjVSuHgfHIJ4Peus1vwprGqfEvwX4p8mytrXSbW5jvLcTFmVpY9oVPlAYA9+PpRHVQ9Ff15f8/+HKlbmn87ff8A5EmsfEayh1PwRHo8UOqaf4rmZYbtJtoRBGHDgYO7OenFafg/xW+veJvFWjtYrbjQb6O0WQSbvODQpLuIwNv38Y56V57N8JNc074saDqfh++sU8HWWoTam2nylhJaTyrh1hwCDGxy2CRgsccV0kHh/wAW+FvHPiLW/D9jputWHiCaK5lguLxrWW2mSJYzhgjh1IQHsQfWnFxtd9b/AC+G3/t2pMk9l0t89/8AgaFlviFKviLxxpX9lJjwvbxTLJ55/wBJ3wiXBG35cZx3pfh54j8ceKND0PxBcaL4dtNL1S1huyI9RmknjjkQMBtMIUsAfXFZ+k+BdcaDxxrGqy2Ka34pQKtvA7GG1RIRHGhcgFzxkttHJ4FZ3wg8E3/hGw0CyuPhn4Qtb6xs4rW61q0uk+0OVQK8g/0dWO4jJBbvyaKfaW9o/frf9P0Cb0XL5/pb9T1m7uIrW1luZ3CRRIXdj0AAyTXnfwz+J8nizXm03UdF/shby0/tHRXafeb6zLsokxtG1sKG284Vl5rT+Mfh7XvFvhMeGdFuIbS31CdItSuWlKyR2ufn8sAHLnoM4Fcv4q+FmuW9x4c1rwp4n1G71Xw/cILW31SWFLc2pAWWHMUIYZULjqOKUNZe9te3/B++33MJfDpvv/wPnr+BLo/xiE3xQ1Twrq+hHTtKg1H+y7PV/tG9Jrvy0k8p1wPLJDjbyQcGtib4iyx6p49s/wCyUI8KRROjeef9J3wLLgjb8mN2O9UNI+GK3kHj/TvFEVtPp/iTVze23lOS8S+TEitnA2uGQkY9uaw/Bfw08cWGmfECLxFqunalfa9ElvZ3SMymVI4BEjzDb8rkKN2M85NQ+b2fny/jZfinf+kzSPL7TXbm/C/5Nf1qjXt/iD42h8A2PjzUPCWkz6LPZRX08On6k73cMLqG3BXiVWKg8gN9M16LperWeq6Bba3psouLO6tlubdxxvRl3Kfbg15jY+HviVN8LdP+H507Q9HEemRadcaoNRe5IRYwjMkQjT5iAcZbA969H8PaFbaB4RsfDmns7W9hZJaQtIfmKqm0En14rWrb3+Xa+n4/8C3zMad/d5vn+H/B/AwfAfjiTxN8M5PGD6atq6fbP9GE28HyJZI/vYHXy89OM1i2vxWa68EeEtUtdBa513xUD9g0yO4AVSOXZ5SBhFGMnGeRgGs3wP8ABfQ7D4bT6T4h8K+Fr/xBK16xvHsY5WJlmkaMmRk3ZCso9scdKisfhh4k07wX8P5NPutMXxN4QjdfLlLNbXKPgSR7wAy5wuGxwR0pO13fa8fu1v8Ap+hfp/e/4Bu+I/HXijwWLHUPGnh7TF0W5uEtprzSr952tHcgIzpJGhKE8ZXJHHFJN8Q9Wv8A4iav4O8O6bozXWlJE7pqepNbzXYddxaBFjbcgBA3EgbuKh8Z+HfGnxDtrPQtd0zSdB0NbqO5vmhvmu57gRtuWNB5aBBkDLHPTgVH8WfCOteMbK70ebwV4X1JdpTTNVuL1op7HO351AjLqykZ+RxnAFK7tt1f3afrfsCtf+v62/rc1/Efi7xJB430rwnouiaXJd3umyX8r3188axbGRSg2RvuOX68dKwbj4wTW3gLXdcn8PqmqaDq8elXtmLvdE0jPGN6SBcldsgPKg5yDUx+GOoXnirwxea5q13f22k6A+n3N3DqNxaXM85aP58wspKkK2ct6detXPiP8N4b34WT+D/BtjY6f5l5BcbXYqrssyO7u2CzOQp+Y5JPU01ZWv3/APb/AP5H/Mm7f4f+k/8AyQ74r+NPF3gvRJvEFroeh32lpLBEgl1CWOcmV1TlRCygAt69BXS6fqus2OhX2reL4NJsYLWEz7rG6kmHlqpZi2+NMHjtmsj4y+FdT8XfDuTQNKa2W7a4tZAZ3KpiOZHbkA9lOOKZ8XvCuueMfDdh4X0+5hs9NurmP+2LjzSsq26fNtiG0gszBRzxjPWp15Wlvey9NNfzCO8W9rXfr2K/wt+I9z4s1S50vWNDGiXjWseoafEbjzDdWbsyrJ90YYbQSvOA6881r/D3xhJ4qvfEtu9gtp/YurPp6kS7/OCxo+/oNv38Y56da5PX/hnr1n4j8M+J/DXia/v9R0efyHg1SWJYnsZABLGDFCpz8sbDORlO2al8F6H458IeIPFTW+gaVqdlrOtNfxTHVjC6RtHGmCnktyNhPWrVm/k/vurf+S3+d/ITul8191nf8bfK3mb1v4x1LUPHnibwjpul2n2nSLK1uYJri5ZUmaYyDa21CVA8vqM5z0rD0bxt4/1Lx5rHhFfD3heO50m3t7ieY6rOUdZi+Av7jOR5Zzn1FbPhrwrqlh8W/E3iy5NsLHVdPsreBEkJkV4jKX3DGMfOMHPPNL4b8K6np/xd8U+K7hrY2Gq2NnBbqrkyBojLu3DGAPnGOT3qY/Zv219Ry+1burfhf9TOn+KlroereJNK8Y2KaTd6RbreWojmMi6jbsQoMWQMv5hCbOuWX1rrvBGpavrHhiz1PXNIXSL25TzGsxN5piU/dDNgfNjGR26VzXxS8DS+LfFHgnU0ttPmi0PVjd3P2gfN5fkuoCcHJ3mNscD5Qewrv6I/Drvt93X5/ppvZOXxabb/APA+Vr/Py1KKKKACiiigAooooAKKKKACiiigAooooAKKKKACiiigAooooAKKKKACiiigAooooA8L17/k+Lw7/wBiVN/6USV7pXhevf8AJ8Xh3/sSpv8A0okr3SgDmPBXip/EWseKNPaxW2Gh6oLBXEm7zh5EUu4jA2/6zGOelc/qPxQGn3Hj8T6JNLF4R8kj7PJvkuvMhWT7uBtxux1PAzRY6D4v8JeL/EmpaBYabrmna/dpfNFcXrWsttMIkiYZ8tw6kRqR0I561J4Q8K+JtFfxV4lm/subxFr90lx9k3v9mhRI0jSLfjLHCklto5PTFLeK/wAP/k2l/wBfL8CtFJ6XV/w/4bQu+BPFWva9o8Wu3Wn6FNpNxaG4hn0jUzdEEDJjYGNQW7fKTyCDXOeAvG3jLxxfW3iXQotBPhwM9tc6Ub/N9A4cqXlxGQjgL/q9w4PJzUfh3wDrdv8AEweMrHQND8HotjNFdWenXbSLqkztuRpgsaINpyd2Cx3nmsTxB4P8QeO9bZj4F0jwfr+nahBJP4ptrhhNKVVSxhKxo0qlSE+diByOcVas5p2/4Gtvnp6P5kNe61f5/L8NfX7j3iikQFVALFiB1PelqRhRRRQAUUUUAFFFFABRRRQAUUUUAFFFFABXnX/CxNXHxZ0zwbceD7ix0/UFufJ1C5ukDymFd25Ilydh9WIPtXoteU+LNH+IF/8AFTQPFVl4b0d7TREuolSTWWR7gSptDY8khcemTQvjXz/L/MH8Lt5Hqc7OkEjxxmV1UlUBA3HHAyeBmvPJ/HHijRfGXh7QfEnh/SlTXppIYDpuoPPNCyoX3SRtGvyYXBYE4JFaQ8Ua9fePNR8N6TpNq9vYaX5015NI3lpePjy4cgcjG4sRyMVx7/D/AF6/8W6Jq2m+GPD3gSWzvVudQv8ASLvdNfxA5a3ZUijDK5wTvLYxwM80Q1lF9H/nb+vK1twl8L7/APAv/X47G38WvigfB6XVtomkprmpWNt9tv4jceVHaW/ZncK3zMcBVxk5z0BNJ8SfiVP4W1vw1pcUOhwDW45XN3q+pG0t4NibsFtjZJ6DpWZ47+Ds974U8TWfh3xTrkd7rbPNLFc3EJhllbs7eSX2jsM8dsV1klv4u0Oy06w03T7TxLBHb7ZptR1AQTiQYx92Eqy4z2B6Ul8Kvv8A1p/X62G/i02/rX+v+Ca3gvVLzWNETULuXRJhIx8uXSb03UDr2IcquT+FY3i3xlf2fjLT/Bvh3S7fUNavLZ7x2urgw29vAhwWZlVmJJIAAXv1FYfgjwh4s8JaT4q1bT4dFbW9bvPttvpIlaOxtG6FN6rkk9SwUZParfibwz4nj+IekePdBt9NvLyLTn0/UNPnuWhV0Zg4aOTa2CGA4K8j0pveP4/dt9+jYuj/AA+//LYz5/i9/Zdh4httd0ExeINFvLez+xWtx5kd29wQIDHIwUhWLDOQCvvWrD428QaT4z0Tw54w0PTrQa6JEsrrTr150WZFLmOQPGhGVBwRkZrldX+FfiPX7TxJrt9dadZeJNT1Gyv7KBGaW3tvsjK0UbvgFt20bmCjGeBXQt4c8WeKPHfhzXvE1jpuj2Xh9pZ4re1vWunuZ3jKZLFECKAc9yTTh05t+va1vzvf526Cls7edvX/AC/S56RJ9xvoa8O/YY/5Nz0f/r8vP/R717jJ9xvoa8O/YY/5Nz0f/r8vP/R70hnpvxQ8UP4M8A6x4ojs1vW062acQNJsEmB03YOPyqXx54jbwz4A1fxQtoLptPsJLsQGTYHKru27sHH1xTfiX4ZXxl4D1nww10bT+0bV4BMF3eWSODjvXH+KNJ+JPirwNdeDL/S9B04X1qbO61WPUHmAQjazpB5anJGcAvxnqamV3FqO/QuPKpRctuv4f8Ek134oXVvrPhbQrHTtNh1DX7AXkcup3xt7YEj/AFKOEYvIT0UDpzVzx78QNQ8HeH9Im1jSbK21LU70WIeW+22Nu5OBJJMVyqHqPlz2xmrHi3Qb+TR7Tw9D4P8AD/inQ4rdI/s+p3HlsjoMK2GjdTwBgjBBrmNG8OeKfAPwjGkS6HYeMLRGuJLrRnmkl8q2clo7WDejmUIDtww5A4x0q5uPvW2v+F9u606699CKafup72/G2/nr007HcfDxvGi6e8HjE6XdTA74b7T59yTKxyBtKLtxnA65ABzmupry74R+BdQ8P+KtX8RDT7LwxpepwRCPw7YTNJBFKPvTNwqK56YRQMDvXqNOStb+v6/rqTFhRRRUlBRRRQAUUUUAFFFFABRRRQAUUUUAFFFFABRRRQAUUUUAFZnifUrzSdHkvLDRrzWbkMqx2lsyK7liBks5CqozkknoK06o65Pqdvp7y6Rp8GoXYI2wTXPkKR3+fa2PypS2Gtzmvg74zvPHXhOTWL/SY9JuYr2a1ktkuPOCmMgZ3YGevpW14luPEkX2ePw7pen3buSZZL67aGOMDt8qOxJ+mODzXn3wpsvFHw78Ha2virS9Ngs4pbvU/tFrqDTkliGEewxKc8HkHk4GOam1q9+LPij4faLLoemadod9qKl9U33pjntoSflWEmNwJGXHzMPl9M9HLZW3svvf/BTFFWbv3f3L/gWEsPjAkfg/xHq2s6G0Go6BqS6XNa2twJY7m5dlSMRSELwWdc5AxWj/AMJ14g0XxJoGl+MtC02ytted4bW5sL55xDMsZkEcoeNMZVW5GRke+axZvhzf3/wpuvBdloGm+GHt7iC8sJV1BrwTXEcqy75jsRiWZACeTz7YrRu/DPi7xf4m8M3niqw0vSdP0GZ7po7W9a5e7nMTxAZKJsQB2buTwKNem+npa2r9b309A6ff9/Rem34lJvil4huPBd/8QNN8K2c3hWzLyfvL9lvZreNsSSpGIynQEhS+TjtXp+maja6hpFvqlvJm1uIVmRjx8pGea8fs/Anj/T/hhf8AwutYdFk0y4Sa0h1lrtxJFayk7s2+w5cKzAfPgnFei6Rp+tadd2ugR2mnv4Zg00Q/aDO/2oygBcbMbdpGed2c0P4Xy/L7ne/4fO4fa187/erW/E4tvip4hn8EXvxC0/wrZzeFLXfL+8v2W9mt0OHlWMRlOgLBS+TjtWwPH2pa74ol0DwTpNjfNa2UN5eXWoXbQRIJhmNF2I7MxGScgAYrlrPwH4/sfhbe/Cu3h0V9Mnjls4tZa7cSR2shOSbfZzIFJA+fGcGtnT/B3ibwX42vdb8K2enaxYajp9taz2t1eNayRSQLtVw2xwwIJyMDBo0v5dO+3X8Pn5A7203/AA3VrfK//DnT/DHxkvjLRbq4lsH07ULC8lsb+1L7xFNGcNtbjcp7HA+leCf8FI/+SXeG/wDsN/8AtCSvc/hL4SvvCujag2rXME+qatqM2o3hgB8pHkOdiZ5IHTJxn0rwz/gpH/yS7w3/ANhv/wBoSU3072V/W2v4iXX1f3X0/A+ldLtt2m2zedOMxLwH46VZ+yj/AJ+Lj/v5XmP7Rks0H7OevywSSRyLpw2sjFT27iuQuIW8J/EXwTqy+FZfBGlXNx9ivJra6SZb6SQYiikjjJAG4g7zyKUfelbzt/X9XHL3Y39X9x779lH/AD8XH/fyj7KP+fi4/wC/lfNt5FFN42+K1/feAZfFqWWoIElW5RXtV+zqSEBO/j73yc+nNdZfeLL7wf8As56LJF4lbxJrmq20drp2oRq8xmll+7IAAXYIDk8bsDnmkneHN1tH/wAm2X9aDatPl9fw3PZvso/5+Lj/AL+UfZR/z8XH/fyvDvg3remeFPH9x4As9S1O70jU7NbvS59QtriN/tCIFnj3TKNxYqZeM/fNc18J73WfA+jT/EQ3l9qHh6/1rUIfEVvLI0htAl3IiXcYPQKoAcDsMiqsrrXR/ne356X/AE1U62vbW+3yv+XT5H0t9lH/AD8XH/fyj7KP+fi4/wC/lfMetajJd/s+fE29t7+SaN/E175EyTEgxm442kH7uD27V23xp0HR/APgVPGHgyFdB12znh+zCzLKt6zMB5EkYOJA3PBGR2xSWyb62/FJ/qU1rZf3v/JXb8T2b7KP+fi4/wC/lH2Uf8/Fx/38rzDTrm5f9pLWI5JJEX/hE7WQxbztVzNLnjpmvOPhDfax4F8Pj4gSXl7qHhvVNWv4vEEMsjSGyZbyVI7qMHooUKrgdlBHehdL/wBatfpv/wAOTfRteX4x5v6/pH0t9lH/AD8XH/fyj7KP+fi4/wC/lfNlt4q1bTvhHr99pOrzQRX/AI5ubSTU4n3m1tZLhgZEbkAYxg9Bmux+IGmeD/AMVtqkngC7vLWOeH/idW+pBboSu2NxcuJWOTknPOe9OKvZvrb72k/1XzHLRtLpf8G1+h7F9lH/AD8XH/fyj7KP+fi4/wC/lWB0FFI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DwfXIcftveHk8yU/8UVNyW5/4+JK9w+yj/n4uP+/leJ69/wAnxeHf+xKm/wDSiSvdKAK/2Uf8/Fx/38o+yj/n4uP+/lee/B64eTxl8SreWZ3aLxEu1HYnYhs7fGAegzmud0vT9a8SeLfjHpeja1Np1xNcWttaXgZisEn2SIsBg8decetK+ia6x5vy0/EaS5mm9nb8bHsn2Uf8/Fx/38qo8+nrqqaU2puL6SIzJB53zmMHBbHpmvJ/h0bTw14ns/B+seED4W8S32myrbajY3hntNQ8vCs5OQTIMq+JFyN5wetYMWlw/DkW2pfEjwWupywagE/4TKxvPMuH3udjzKSsqgbghUFl49Kqy5lro/8AO2nz727E68r01/p/1a/fyPoH7KP+fi4/7+UfZR/z8XH/AH8qdWDKGU5BGQfalpDuV/so/wCfi4/7+UfZR/z8XH/fyrFFAFf7KP8An4uP+/lH2Uf8/Fx/38qxRQBX+yj/AJ+Lj/v5R9lH/Pxcf9/KsUUAV/so/wCfi4/7+UfZR/z8XH/fyrFFAFf7KP8An4uP+/lH2Uf8/Fx/38qxRQBX+yj/AJ+Lj/v5R9lH/Pxcf9/KsUUAV/so/wCfi4/7+UfZR/z8XH/fyrFFAFf7KP8An4uP+/lH2Uf8/Fx/38qj4zvbXTvCOr317qTaXbwWUzyXqjLW4CH94B3K9R9K+atFtdR0m28Daxqmgy+H7FNSia58W29y8lzfq7bY1mi++qzFgreZuC59cEEPeny+n4/16vomEtI83r+C/r062PqP7KP+fi4/7+UfZR/z8XH/AH8r5u+O/io+JNH8TNfzazpWlaPE6aZajT7uNry5H/LxJIE2iMc7ATgnDHGMV2Pi+3vfEWv+E9bm0nVvEfglbCRbjTreFlb7UV+SWWGQoXUDIGehIOO9JO6TXX8v+D+q87D0dv6/r/g79fYPso/5+Lj/AL+UfZR/z8XH/fyvKP2fLq6/4SPxxpNvZ6hZaDY38X9nWt4+Wti6EyRqMttUH+HPy9K6/wCKFj4Hh0G78UeNdLsrq10u2eRpZ4t7Kg5Kr7k9B3NE3yxUulk/vVxxTlJx63sdR9lH/Pxcf9/KPso/5+Lj/v5Xzg+i6v4R+Ds+tkTaDe+LdcslvIbZzGNNs5p0Tykx9wiNsFgc5Oc12OvaNp/gn4ufD+LwhCNNTVZri11C0gZvLuYVhZw7rnBZSAdx5qktbPvb52T/AAva/r2Jvo2uzfy/4Nnp6dz117UbG/0i46H/AJaV4j+w7B5n7OujnzZV/wBMvPuvj/lu1e7Sfcb6GvDv2GP+Tc9H/wCvy8/9HvSGe1fZR/z8XH/fyj7KP+fi4/7+Vwn7SMk0PwO8WTW8kkciadIweMkMuB1yKk+Nt4sXwG8UXkVzszokzRyq+DkxnBBqZy5YOXYuEeacY9/+B/mdv9lH/Pxcf9/KDagAk3FwAP8AppXj3ifwh4m1S18Ha1Hptv4l0yx0qOG98PXl2YN8jKMzqTlGdRxh8dOCKhuLab4gfDLS38BWs1pBpOpSLqHhzVLl4hcGJyslnJIC2FBBAHKYwMYrSceVtdn+F7X/AF0v95lCXMlLuvxte3/D2+49d0uaw1SzW807UnurdmZVlimypKkg8+xBFWvso/5+Lj/v5XmvwgvvDVh4o1fwlZ+DJvB2tQQx3VxYLIr20sZ4EsRRinUEHhW45FepUmthplf7KP8An4uP+/lH2Uf8/Fx/38qxRSGV/so/5+Lj/v5R9lH/AD8XH/fyrFFAFf7KP+fi4/7+UfZR/wA/Fx/38qxRQBX+yj/n4uP+/lH2Uf8APxcf9/KsUUAV/so/5+Lj/v5R9lH/AD8XH/fyrFFAFf7KP+fi4/7+UfZR/wA/Fx/38qxRQBX+yj/n4uP+/lH2Uf8APxcf9/KsUUAV/so/5+Lj/v5R9lH/AD8XH/fyrFFAFf7KP+fi4/7+UfZR/wA/Fx/38qxRQBX+yj/n4uP+/lH2Uf8APxcf9/KsVmeJ9IOuaPLpv9qalpiysu+fT5hFNtBBKhyCVBxgkYOCcEUne2g0W/so/wCfi4/7+UfZR/z8XH/fyvL/ANliMw/Di8tvNnlSDWryNGmlaR9oYYyzEk/jV74xeKLy1u7HwnYtqNgmogvf6rDp9xOLa2BAZIzEjfvnztHTaNzdQAXKytbrb8VcUdb36X/B2PQvso/5+Lj/AL+UfZR/z8XH/fyvnDwdrui2/wABvG+l2fiLVdIWLVJ4LW7NvcmVd7xrGilgGLOx2kA7huJ4qx4Uh1DQPiV4SuNU8KjwMk9nLBGLK6NxHrNy0RYQzYACYClwXBbIxkc5Lr5WT+9Xt69O4dPv/B2/rofQ/wBlH/Pxcf8Afyj7KP8An4uP+/lfOen6ZY6t+zbrPxG1K5mbxcLW6vhqxmYT208TMY0RgflUFQNowMEjHNe9eF72/uvBWnahdpuvpLFJZFxjc5TP6miXuKTfS1/nfb7n+HcN2kut/wALf5ml9lH/AD8XH/fyj7KP+fi4/wC/lfONlptjqn7NGq/EjULqZvF/2O41AauZmFxb3EZLIiMD8qgqBsGBgkY5rpfBtuvj/wCJur2vjiEX8WmaPYSWlhOT5KtMhaSXZnBYkAZOSASBT5Xdx6r/ACf37fqDaS5un+TS/U9p+yj/AJ+Lj/v5Xy5/wUdi8v4XeHP3kj/8Tv8AibP/ACwkr1v9nS6vH0HxBpct5NeWOla9dWWnyzOXYQI2FTcSSQvQV5T/AMFI/wDkl3hv/sN/+0JKNLJrqk/vVw6tPo2vudj6D1PS9F8SeEDoOu2Mt5p91brHPDslUOMdNy4P4g1Q0/wP4Ps9TtNS+w6teXNkxe0bUL29vVgfGNyLM7qrY/iAB96ueI/FWleDfBEeu6wZjbxpFGqQpvklkchURR0ySQOSB6kUtl4quGsr+51bwtrejCytzcFbryHEqAc7Wildc8fdJB/Cpuo3l2/r8h2crRLOk6ToOlahqmoafp8sNzq0wnvnEUp85woUEg5A4AHGKydJ8C+B9Ku9NurDQZIZNLknlsRi4ZbdpiTIVUkqMkntx2xUfgvx5e+KtP0vVLHwL4ig0vU4o54by4nsQixOAQ7KtwXHB6BSfapr7x9af8JBeaDoGiat4k1CwIW+XTxEsdqSMhXlmkjTdgj5VYsO4FU04tJ7/wCX+RN1JN9P8zS17RfD+u3mmXmq6dLcXGl3AubKXy5VaGTpuBXH4g5B9KXQtG8PaHo0mj6XpjwWEsksskBhldWaVy8hO4HqzE46c1m6h49s9M0/TLnVdE1mwl1DVItLW2miQPHLI20MSHKsmf4kZvbNXvHvi3T/AAZo8GqanBdTQzXkNmq26qWDyttUncQMZ6/ypW0t3dvm7f5od9fx/P8A4P4mRZ/Dv4f2fgu68GWnhswaBdSNJNZxrOqszHJIYHcOfQjHarGneCfB9lqdvqX9najfXdqd1tJqVzd3xt2/vRidnEbe64PvUWr/ABAW18cXPg/TfC2t61qNrZx3kxtHtUjWNyQvM0yEnKngCq8nxW8Np8PtV8ZfZ9SNvpEz2+oWfkqLmCZG2vGQW2kg9wxB7E0J9V/XT/gA19n+tdfx3OhXSdBXxLP4kXT5Rqs9qtpLceXLloVJYLjp1Y84zzTdE0Xw7ouhPoem6W8Omu8rvbmGV1YyuzyZ3AnlmY/jWL8QPiGfBukXGtXvhHXr3SLeJJZL21ktNoDY42POr5GcfdpusfEb+wtB/t3xD4P8Q6Vpwmijknka1mESOf8AWsIpnIQcZPUZ6UWurfIL7P5/cv8AL/I0PDfhDwZ4d8MTeGNH8OxW+izM7S2TW0kkTlzlshwcg+nSs+H4c+BIvIj/ALJ1KW1t5RLDZT3l7LaRsDldtu7mIAZ4G3A7AVq3HjTSl8b2PhG0hur+/urQ3kklsqtDaw9FeViwxuOdoGScGulp6/F/Wmn4C02/rX/Mg+1xf3J/+/D/AOFH2uL+7P8A9+H/AMKnopDIPtcX92f/AL8P/hR9ri/uz/8Afh/8KnooAg+1xf3Z/wDvw/8AhR9ri/uz/wDfh/8ACp6KAIPtcX92f/vw/wDhR9ri/uz/APfh/wDCp6KAIPtcX92f/vw/+FH2uL+7P/34f/Cp6KAIPtcX92f/AL8P/hR9ri/uz/8Afh/8KnooAg+1xf3Z/wDvw/8AhR9ri/uz/wDfh/8ACp6KAIPtcX92f/vw/wDhR9ri/uz/APfh/wDCp6KAIPtcX92f/vw/+FH2uL+7P/34f/Cp6KAIPtcX92f/AL8P/hR9ri/uz/8Afh/8KnooAg+1xf3Z/wDvw/8AhR9ri/uz/wDfh/8ACp6KAIPtcX92f/vw/wDhR9ri/uz/APfh/wDCp6KAIPtcX92f/vw/+FH2uL+7P/34f/Cp6KAIPtcX92f/AL8P/hR9ri/uz/8Afh/8KnooAg+1xf3Z/wDvw/8AhR9ri/uz/wDfh/8ACp6KAIPtcX92f/vw/wDhR9ri/uz/APfh/wDCp6KAIPtcX92f/vw/+FH2uL+7P/34f/Cp6KAIPtcX92f/AL8P/hR9ri/uz/8Afh/8KnooAg+1xf3Z/wDvw/8AhR9ri/uz/wDfh/8ACp6KAIPtcX92f/vw/wDhR9ri/uz/APfh/wDCp6KAPB9dnQ/tveHpNsuP+EKmH+qbP/HxJ2xmvcftcX92f/vw/wDhXiWvf8nxeHf+xKm/9KJK90oA5PXPCPhTWNXbV7mw1C31F4xHLdWE93ZSyoOiyNAyFwO27OO1TWvhjwla+HJvD1voax6bOxeaIW8mZXPJkZ8bmckA7yd2ec1Z8MeKLHxBqWu2FnDcxyaJfCxuDKqhXfyo5cpgnK4kUc4OQeKybv4leHbKbxat8Ly2i8K+V9vmaIFW8yNXXywpJPDAcgc/nS0S8rX+W/6js3Lz2+e3/AJdK8GeENNvpr+PTL67vJbc2zXOoTXV7KIT96NXnZ2VTnkKQD3rI0X4Z+FLDUZbi6/tnVLRJ0m0/T7+4u7i1sNiBVEcUjMnBBIJGV3YGBW74c8XzapGtxeeFtc0a0ktftUVzeCB43jxnnyZXKHBBwwUnt0OMHQfiLq3iDVLHUdF8Hard+DrpWRNVUQ72kDld4iMokEXykZKbu+McmkmpJdfy/y1/EltcrfQ7/7XF/dn/wC/D/4Ufa4v7s//AH4f/Cp6KQyD7XF/dn/78P8A4Ufa4v7s/wD34f8AwqeigCD7XF/dn/78P/hR9ri/uz/9+H/wqeigCD7XF/dn/wC/D/4Ufa4v7s//AH4f/Cp6KAIPtcX92f8A78P/AIUfa4v7s/8A34f/AAqeigCD7XF/dn/78P8A4Ufa4v7s/wD34f8AwqeigCD7XF/dn/78P/hR9ri/uz/9+H/wqeigCD7XF/dn/wC/D/4Ufa4v7s//AH4f/Cp64a3+KHh+6+I1r4HtbLWJbu488LeGzKWm+FcugdyC5x3QMPehauwPRXOsvGsb20ms7y1a4tp0aOWGW1ZkkQjBVgVwQRwQa5LTvh34FsJLEw6TqMkWnyCWztbm7vZ7aBx91kgkdo1K9VwvynBGMV288ghheVldgiliEUsxwOwHJPsK4pPiNFb+IdJ0fXvC2v6CdYlaGwuLwW7RSyhS2w+VK7IxUEjcB09aI/Fpv/Vv+AD+HXb+r/8ABOi1+z0nXtGudH1azmurG6QxzQmKVQ6+mQAfyNVNd0PRdaS3S8OtxLbrtjFnfXtpx7+S67vxzWZ4x8fN4Zh1C+uvB/iS60nTVL3eowRwCNEHLsEeVZHVRySqHgcZqTVviFpFtJo1rpdnqGu6hrMBubKzsUQSPCBkyMZWREUZH3mHJAGTSVn/AF/Xn+I9v6+/9Cafwj4Om8GzeD30Lboc6lZbVIpkEmTklmXDFieSxOT3NWdd0Hw5rmmWml6tpst1ZWk0U0MDpMEDxkFCwH3gCAcNkccio/BXjLT/ABRPqdjHaXum6ppUwhvrC9VRLCSMqcozIysOQVYim+K/GdnoWs2GgwadqGsa1fo0kFhYiPf5a/ekZpHRFUdMlhk8DJpvdPvZ/qn+olt6X/4Jpa7Z6NrukXGkaxp326wuUMc1vNauyMv0x/8AqrJ8O+EfCmg6kNTsNPv3vli8mO4vJrq7kij/ALiNMzFF9lwKzo/ir4bj0TWtQ1OHUdLudEuEtr7T7iENcpK5AjVRGWV95I2lWIOetWdL+IFvL4nsPDuteHtZ8O32pRvJYC/8hkudgyyhoZJArAAna2DgU0tdP60/y/AHtqdU93Fsb5Z+h/5YP/hXiP7DlxHH+zro6sspP2y8+7EzD/Xv6CvdpPuN9DXh37DH/Juej/8AX5ef+j3pAezXT2d3bSWt1bPPBKpSSOS1ZldT1BBXBFcjb/DrwHCIY/7HvprSBw8NjcXN5NZxkcrttnYxADsAuB2xW/468S2Pg/wlqXiXUobia00+BppUt1BkZR2UMQM/UipPFniCz8N+EdR8TXsU8tpYWj3UqQgGRkVdxCgkDP1IpNqK5uw0nJqPcoeIfDfhzXb1L2+ttTjulj8rz7K4u7SRk67WaFkLLns2RWVrnw/8K3nhSDQdKtbzQfsayf2fdaaJ4JrV3GGkV0KszHq24nceual1H4jadDf6Npem6Pqur6rq1j9vgsbUQo6QY++7SyIg9Mbic1Nrvj+x0XSdMuL7R9Xj1LVbn7HZaUYkFxJPnGzJbywP9vftxyCRTcbKzXX8b2/PT1FGW0l/St/l+Bb8J+HPD3hnzpNNs7try4Ci5vbnz7i5uNowN8sm5yBjgZwOwFb32uL+7P8A9+H/AMK5/wCH+t+ItWspY/FPhi60LUoWJZWaN4ZEJO0o6SOCQMA5wc54xXT022xRsloQfa4v7s//AH4f/Cj7XF/dn/78P/hU9FIZB9ri/uz/APfh/wDCj7XF/dn/AO/D/wCFT0UAQfa4v7s//fh/8KPtcX92f/vw/wDhU9FAEH2uL+7P/wB+H/wo+1xf3Z/+/D/4VPRQBB9ri/uz/wDfh/8ACj7XF/dn/wC/D/4VPRQBB9ri/uz/APfh/wDCj7XF/dn/AO/D/wCFT0UAQfa4v7s//fh/8KPtcX92f/vw/wDhU9FAEH2uL+7P/wB+H/wo+1xf3Z/+/D/4VPRQBB9ri/uz/wDfh/8ACj7XF/dn/wC/D/4VPRQBB9ri/uz/APfh/wDCqWtW1hrFg1jef2mkTEEm1kuLaTI9HiKsPwNalFDVwOD03wLoPhvR9St/Bqalpl1dwSohnur25gSSTrIYpHKlsgHOATjGea1/h/omn+D/AAfp3hyza8mis49plkhcs7Eksx47kmulrG8RavqWmPCth4V1XWw4JZrOa1QR47HzpYyc+2elF7f12v8A5ha5Rbwr4RfQNR0GXQxNpmpzPPeW8sErrLIxBLc5IOQCCMYIBGDVbRvBXhHStVtdUgsNTuLyzQpayX93eXn2cEYPliZnEZxxlQDgkdCaxYvjBpf9k+LNRu/DevWieFti3yv9mk3u3/LONo5mUsOMgkYyK6fwz4j1PWZIzceDda0i2kiEqXN3PZshBAIGIp3bJB9MULTbsvu6fgDffz/4P/BMqX4d+AZL2W5bQbgJNcC6ltFkultJJgQd7WwbyWbIByU6gGtldD8Or4rXxSumyjWFtPsYuBHNxDkHZt+71A5xmuYuPi5pKaTeeILfw/r134ZspTHca1DHD9nUK215AhkEzIvdljIwCRnFeg2txDdWsV1byLJDKgkRx0ZSMg0LRJrZf5f5fgD3af8AVn+j/E4x/h34Ba8kuDoNwEluRdSWiyXS2ckwOd7WwbyS2QDkp1ANXfEPhHwnrupx6pfabex6hHEYFu7KW6s5jGf4C8JRmXj7pJFYk/xd0lNIu/EUHh/XrrwxaSmOfW4o4fs6qG2tIEMgmZF7ssZGASM4rV1Lx/ZJr40HQtH1TxHqK2qXc0Wn+SqwRP8AcZ3mkjXLdlBJ74pWVkraf8D/AC/Abbu/66/5/ibegWOi6BpMOlaNpxsbKAYjhitnCj36cn1J5NfNf/BR6ZJPhd4cCrIP+J1/FGy/8sJPUV9GeBfFmleMdEOqaX58YSZ7e4t7iPZNbzIcPG69mB9CR6Gvnf8A4KR/8ku8N/8AYb/9oSVUr31JVuh774ogs7rwKlrqPhqTxHZSxRrcWSIjsycZYKxAYjrgHPpXnPhHw/4otbzxHZaJaeJLXwbJoxgs9O1y582VLrbgCDezOseMAhmxnpXr2lx3J022K3KqPKXA8vOOPrVnyrr/AJ+l/wC/X/16zlBSUl3Vvwt/w3mWpNNPt/nf/h/I8c+BWmv4e8P+F9N1Hw/8QLbVLaxhtrn7TeTyWMcgQK3yGYxhQc4wuB2FX/CNrr/w58WeK4bnw3qOs6Rreqy6paXumIkjo0nLRSoSGGDnDcgjHSvVPKuv+fpf+/X/ANejyrr/AJ+l/wC/X/161lNym59Xf8Wn+aRmopR5fT8L/o2edfEux8QeLvC2k6ppWgXMF3pOtW2pR2F26Ry3EcT7iBgkKxHQE/XFUfiIutfEi00fQNP8La1pcEeqW17e3epxpCkUUT7iFAYl3OMYHHvXqflXX/P0v/fr/wCvR5V1/wA/S/8Afr/69StGvW/z0/yRT1+63y1/zZ5VqngK/wBc+OmvatdtrenaZNoNvb219p+oyWpMwdyw/dsN2AQcMCOa5/UfCfitv2e/FXgX/hGj/attNJDbTQLGg1VS+5bjgj52B+fOMtuNe6+Vdf8AP0v/AH6/+vR5V1/z9L/36/8Ar0krK39b3/r/AIYpy97m/raxwfx00PVtd+Ceq6JpNjJd6jNaxpHAhG5mBXI5OO1drNYW994fOm6haxzwS23lTQyKGVgVwQRU/lXX/P0v/fr/AOvR5V1/z9L/AN+v/r05aqSfUiK5eW3Q83/Zy8Gz+EfCd+upafPa6jc6lcAm4lMkhto5GjtlDEk7BCsYAzwK9Qqv5V1/z9L/AN+v/r0eVdf8/S/9+v8A69NtuwJWuWKKr+Vdf8/S/wDfr/69HlXX/P0v/fr/AOvSGWKKr+Vdf8/S/wDfr/69HlXX/P0v/fr/AOvQBYoqv5V1/wA/S/8Afr/69HlXX/P0v/fr/wCvQBYoqv5V1/z9L/36/wDr0eVdf8/S/wDfr/69AFiiq/lXX/P0v/fr/wCvR5V1/wA/S/8Afr/69AFiiq/lXX/P0v8A36/+vR5V1/z9L/36/wDr0AWKKr+Vdf8AP0v/AH6/+vR5V1/z9L/36/8Ar0AWKKr+Vdf8/S/9+v8A69HlXX/P0v8A36/+vQBYoqv5V1/z9L/36/8Ar0eVdf8AP0v/AH6/+vQBYoqv5V1/z9L/AN+v/r0eVdf8/S/9+v8A69AFiiq/lXX/AD9L/wB+v/r0eVdf8/S/9+v/AK9AFiiq/lXX/P0v/fr/AOvR5V1/z9L/AN+v/r0AWKKr+Vdf8/S/9+v/AK9HlXX/AD9L/wB+v/r0AWKKr+Vdf8/S/wDfr/69HlXX/P0v/fr/AOvQBYoqv5V1/wA/S/8Afr/69HlXX/P0v/fr/wCvQBYoqv5V1/z9L/36/wDr0eVdf8/S/wDfr/69AFiiq/lXX/P0v/fr/wCvR5V1/wA/S/8Afr/69AFiiq/lXX/P0v8A36/+vR5V1/z9L/36/wDr0AWKKr+Vdf8AP0v/AH6/+vR5V1/z9L/36/8Ar0AWKKr+Vdf8/S/9+v8A69HlXX/P0v8A36/+vQB4nr3/ACfF4d/7Eqb/ANKJK90rwfXEmH7b3h5TMpf/AIQqb5tn/TxJ2zXuHlXX/P0v/fr/AOvQB5roS634G8beL5brw3qmrabruoJqFpc6ZGspU+RFE0cilgVIMeQeQQaj8KaDqkcnjzxVrvhZ7mPxHdRPFortG8r28cKRjeCdm47WO3Pp3r07yrr/AJ+l/wC/X/16PKuv+fpf+/X/ANeklpbyt8tP8kh31b87/P8A4fU8c8D6HrWkeO4W8H6P4m0rwamnzC+0nWJ8wNMW3Rrao7s0Z5YHBCYKjFYD2bXeqSx/CTQvFfhXxHb6nE+qWzzeVpcTMqtIssRdomyrA/u1BJYHNfQXlXX/AD9L/wB+v/r00Rzq+37XGGbnHlDJ9+tUnZp9v87/AHdLdhdH5/8ADff+pZXdtG7BbHOOmaWq/lXX/P0v/fr/AOvR5V1/z9L/AN+v/r0gLFFV/Kuv+fpf+/X/ANejyrr/AJ+l/wC/X/16ALFFV/Kuv+fpf+/X/wBejyrr/n6X/v1/9egCxRVfyrr/AJ+l/wC/X/16PKuv+fpf+/X/ANegCxRVfyrr/n6X/v1/9ejyrr/n6X/v1/8AXoAsUVX8q6/5+l/79f8A16PKuv8An6X/AL9f/XoAsUVX8q6/5+l/79f/AF6PKuv+fpf+/X/16ALFeOeNbzWJ/jR4W1628G+JrjTtFivIbmaO0QhjIm1SgL5YZ71635V1/wA/S/8Afr/69HlXX/P0v/fr/wCvQt0w6WObn8axf8Jlc+FbHR769vrfSm1GQoUVVOQEhYk/K754zxwea85vtF1nUvH/AIZ1rwtoXiqzvLS+3ahP4jmNxbRWrZ81YllkcpIegMW04JycZFexW+mrbXNxdW4tYZ7kgzyx2yq0pHALEctj3qx5V1/z9L/36/8Ar0R0al1X+f5dPP5g9U49/wDL+n5XPIPileeJ/Feu3XhC88L+JLPwYmFvrmwt1kn1UZ5iQ7x5UR6MT8zDIGM5q3qWn6lpPxG8N+OtJ8LancaOuiyaXPYQxoLqzBZWRvKLDI+XBwSRmvVPKuv+fpf+/X/16PKuv+fpf+/X/wBelFctrb/8Br8n8gl72+3/AAz/ADVzy7wtb+IdM8QeN/iPP4V1F21P7PHYaQjRi7ljiXbuYFtqk5zgt0qfxRY63pfxc0bx/baBf6lp8mjyadeW9rse4tmZw6tsJG4ZGDgnFeleVdf8/S/9+v8A69HlXX/P0v8A36/+vTWlrdNvuaf33B63v1/4Fvut/meCeI/Ani3xH/wlfjKDRXtbu71bTb3TtLuJFSaaKzdGIfkqrPt4BP1xXW6hb6145+I/g/U18N6no2meH5Zru5m1JEjeSRoiixxqGbPJyTwMCvTvKuv+fpf+/X/16PKuv+fpf+/X/wBeiPu2S2W3ra1/wXzCXvXv10+XYnk+430NeHfsMf8AJuej/wDX5ef+j3r2l47rY3+lL0P/ACy/+vXiP7DqTt+zro/lzKg+2XnBTP8Ay3b3oA9L+MPhy98XfDLxB4c014kvL6ykigMhwu8jgE9hXIeOdT8TeLvhrqPhCz8Da3aazqdi1k73SxpawMy7WcyhzuUckYBJ9K9T8q6/5+l/79f/AF6PKuv+fpf+/X/16TimmnsylJpqS3W34f5Hm3jfw3ov2HRNN1jwdruryaZaxrZato7bLiCRBjCujpInTP8AdPeueeC8sfg3DB8YfD+q+IrGKeeU3DGOS9sLZWJgkmdGU+cF2gvGcgjOe9e1eVdf8/S/9+v/AK9I0NywIa6QjuDF/wDXpybldvr/AJ3JglGy6L/Kx5r8HrLxRB4o1a5WXX08FzW8Tadba/cGa6SbHzFCxLrFjGA7E5ya9TqsiXDLlbyNh6iMf40vlXX/AD9L/wB+v/r1TdxJWLFFV/Kuv+fpf+/X/wBejyrr/n6X/v1/9epGWKKr+Vdf8/S/9+v/AK9HlXX/AD9L/wB+v/r0AWKKr+Vdf8/S/wDfr/69HlXX/P0v/fr/AOvQBYoqv5V1/wA/S/8Afr/69HlXX/P0v/fr/wCvQBYoqv5V1/z9L/36/wDr0eVdf8/S/wDfr/69AFiiq/lXX/P0v/fr/wCvR5V1/wA/S/8Afr/69AFiiq/lXX/P0v8A36/+vR5V1/z9L/36/wDr0AWKKr+Vdf8AP0v/AH6/+vR5V1/z9L/36/8Ar0AWKKr+Vdf8/S/9+v8A69HlXX/P0v8A36/+vQBYoqv5V1/z9L/36/8Ar0eVdf8AP0v/AH6/+vQBYrmviZfeIrDwbet4T017/W5wLezUY2xO52+a+SPkTO4/TGK3fKuv+fpf+/X/ANejyrr/AJ+l/wC/X/16UldWGnZ3OH0vwjpvhD4Tf8I9caFN4njcBtStgqSyXsjsPNchyA3POPReK5fw/wCF7iT4laXqHg7wvqPhHQYbWaHWVuR5CXgZCIkSEMQSrYbfgYxjnNeweVdf8/S/9+v/AK9HlXX/AD9L/wB+v/r05e823/WlvuEtI8v9f8P5nhOmaV4v0z4Ial8KD4P1GbVpILjTre9XYbF45SQJmk3ZAAYkjbnjGOa9S8Pi901bLwW2j37WkGlKrasCnkbwApjAzu3dT93HFdJ5V1/z9L/36/8Ar0eVdf8AP0v/AH6/+vQ/eTUuu/no1+rYbNNdL28rtN/lY8I07SvGGn/Ay/8AhOfB+oy6u9tPpsF6uw2LxyEgTtJuyAFYkjbnjGK3PDmj618OfiBqd8dA1PW9J1PS7OFJ9ORZZIpoEKlWQlSFOSQRnpXrflXX/P0v/fr/AOvR5V1/z9L/AN+v/r0Xd3K+r38/6vf1BpWtbT/gp/ojh/gh4d1bQ9H1m/1u1Wyvdb1e41I2gcMYEkbKoxHG7HXBIrxn/gpH/wAku8N/9hv/ANoSV9PeVdf8/S/9+v8A69fLn/BR1Zl+F3hzzJQ//E77Jj/lhJT7JdLL7tBd331+/U+j9S1vT/DfgmXXtVmEFlY2XnzOeyquTXkHwy8eazaeMtCXxR4otdRg8ZQPLFaLdRP/AGXdZLrbqF527CF56sK9K8UeG9F8Y+GdO0nWNRnis4pYLia3hmRVuPLIYRyZBJQkcgYz61D4y8B+CvE2kLYSR2umSRzx3EF5pwihuIZI2DKyttOOR3BpQ0ld/wBLr+enp5jlrGy/p9P+D6+R5Zqni1o/GPxGbxD4i8cW9po96kdl/ZEcpgt0MKthmVCi/MSfnIGOvFd5p2m+J9Y+FGn6v4o8Q39pr0WmtLM+j3qxwyNgsrHZlGOMcrx6cV0eg+F/Dukan4jv4r1rh/ENwJ72O4lRkyIxHhQAMAgdDmk8J+GND8N+C/8AhErPVrmfTlWSOH7RcI7wxsTiNSAPlUHC5BwAOTUSi/ZOK35V96Wv49epaa9qpPa7+4474SR6nP8ABnTPGl74m16+1S80IXEv2m83xCRo8llTGBz0rHi1b4har8EPh/r2nSavqaTWsFx4hOmtGNRniMYJMO7ALZzkAgkdK9P8OeH9C0HwHZ+DbPUHfT7SyWyjklmQymMLtySABnHt+FZ+neENP0nwponh7Q/F2saTFo1uttb3EFzA0kiKoXEiyRtGxwOuzI7Yrao05za2urfJy/zRlTTUY331v80v+DYzPBbaL4w8P3drpPjPxVIbC8aOdJ5mtr21kAGYpdyB8dxuB4PBxisb4EWur614du9d1DxT4gvr211bULWGO4viYGSG4kjjDIBzwq59a7jwb4Z0LwzJqV3Dqc+oalqs3n39/e3CNNcMFCrkKFRQFAAVVUADpTvBvh3QvCuhXWj6bqMzwXN3c3bvLcL5geeRpH2soGACxx3Axyal9fT8dB9EvP8ADX/gHmvgPXtS0vX9N074k614r0XxRcXjxAXAVtI1BidwSBlBjA2kAAlXBB7161418Q2HhXwrqPiHU5RFa2MDSuT7dB+JxXMTeBNLv7zTZNf8Y63r1pplwtzaWV7cW4iWVfuMxjiSSQr23s2epya1vHfhvQfGdpY2Wr6lKLK1u0untoZ0EdyU6JKCCWT2GM0pXcbLR/p/nvpsUn713/T1/DY8y+FfjjV7LxppGm+KPFVtqy+LbE3kES3MT/2ddhizWoCfwiNowM9WVqoWHjXxponj/wAY+Kb/AFK51Xwjpmu/2Zfaf5YJsIPJidbmPAyQGdtw9MGvTvF/gPwX4ksraBlt9LntbuO8t7vTfKhnikQ5BDbTx2IxzV7w54Z8PaHc+IZoLw3A1+9a8vI7iVGTeY0jKqABhdqDg56nmnfXmS2Tt23i1+F1367k20s+rX5O/wCNn9/Q8+Hi/WLi/wDi3LZ63JNaaZbW8uktGyskIezSTch7gk579aZa2fiS1+COnePNO8b65/bSaNBqUq39yJ7WdjErujRsOAeeQQR2rovCnwp8EeGdK8S6XpWoXqWniEkXEb3aMLdNu0JDlflUDoDux06cUtv8NdIbw7Z+GdU8b6/q3h+0hjgXTZ7i1iikjjACK7QQxyOoAHBfB7g1Nvdajo7Rs+1r3/NepaavHmV7Xv57f5P0udX4R12TxF8P9M8SeQbWTUNNju/Kznyy8YbAPfBNeBaR4t1q68EafqXhzxl4g1fxzJqkkZ0vcZ4HjFy6Mrx7dqIIwPmyMYHPNfR6NpsdiLKGW2ht1j8pEjZVCLjAAHQACs3wZpOj+FPDtvoWnX5ltoHldWnmRnJkkaQ5IAHVjjjpirbXtHJbXX57GaTUFF7/APAPK9c128uPjd4j0XVNV8Zpp9npdjNbW2gwzSCOSQy+YW8pGIztXGfQ4q78YtWvtDsfh/Y2GseJ4bLUdW8m8aESNfzRGJ32kBS+7IHAGRiurv8AwVYyeNNQ8WaX411jRb/UbeG3ultGs3jdYixTiaGQg/O3Q1b1bwrpOsS+HLjVvEF5e3WgXhvILhpIEaaQqy/vAiBcYY8KF6CpWyXmvzLe79Hb/wABt+f+Zx3wy1vWL/xd4ng0vWNWvPDOn2aoU1sbb6G+wSwCsBKsezYRvXBOdves34L6o+u6ZpV9q2sfEK41Ka5n8xzBcCwbbNIAC4j8vbtUDrivR5vC+gP44l8XRalNbX09gbC6ihnQQ3MeSVZ1IJLLltpyPvHrV3wZpOjeFPDdtoOnXxktbYuUaeZGc73ZzkgAdWPaiO13v/wX/wAD8uhMlul/Wi/4P59Tg/h4+s/EqPV/EWqeJNY0yzh1OexsdP02YW4iSI7S0jAbndjk8nAGMDrWHe+K/FmiaX8UfC8+tT303hzTY73S9WdFWdVlWTEchA2symPhsZIPNd2vgfSrDVtR1Dwz4t1bw1/aUvn3lvYS20kEsuMGQJPFIEYjGdm3OBkGlg8AeE4vCmuaB9vupW19WGp6hNdrJd3DMNu4uwIGBwAFCjsBUtN02l/Lb59/v1vuaRa9pd7Xv8r7fdp+J5p4Z8R6zNqXga08O6/4qk1nUUjn1OHxAjx2s1r5YMzRecq733FNvlZOCSeKf4o8aeLdA+OGv6qdYuJvCeh/2fFqOnMAY44brzVM44zuV0j/AOAs1en654L8N6t4f0HSJNTuLc6DLBNp95BcItxG0S7R8xUjDLkMMcgnpTx4O8LtrXiXVJ7trh/ElpFaX8MsyGLy41cDaMZBIkbOSe2MVpJ+85R6N2/DTyW68tX10yivd5ZdUl+Ovz/4bpr5p+0L438RSQ3dv4H1qXT7bQI7a91O9tsHzXmmSOK3BIIwUaRz3G1fWuo+LPiuaC08M+EbDxEmiar4gZWm1AyIjWtrGm6WVS/y7idiD/fJ7VY034U+CtP+Gl54Cg1O+bT724W4uLqS7ja6kdXRly5XGB5ar93oPxrZtvBXhNfFl34kvZl1S7uLSKzjjvnilitoo88RLt+XcTliSc4HSpsrcvS9/wANvv09PMq7367flr+b9dNjgLX4iapdfALxnMurxP4n8MRXFrcXcEqvudRmOYEcfMpHPqDUGh+NPE/h7wTq3hnxXq01xq7+Hp9T0DWmUK16ogLsh7edGcHHdeexrtNb+GPgvUr/AF26jvJtNTXdK/su+t7GWKOF0DZWQLsOJBlgG6YY5Bq7438B+EfGHgWHwhq9zJ9lt40S3uYbhUuYCq7N6PjAYqSDxghiMc1NS8ou27Vvzu126P8AAqFoyj2Tb/Kyf4r8TiLfxh4m1Ow+GnhS21Z7O88S2MlzqGqlVaYRxR5ZYwRgOxYfNg4AJxXoMfhy60C2vL+28U6/dqlpLuhvrkTqWCkqwJXKkH0OD3qnqXgHwjfeGtF0Zr24t5NCCnTNQt7sR3dswXbuVwMHIJBBBU55Bq9p2giF5DqfjnWtZV4XhVLqW2jRAwwTtgijDHH9/djtVV/e5+TS97fPb09Pn1Ipe7yc3S1/1/r5HmnwG1OXxJ4c8Pajq+tfEG41W5BkmkaK4Wwdgzfx7PL2YGOuDU3ivWNd0Hxprd54+1PxXo+geaj6PqmkAPp9vDkDFyFDMr7iMmRdhAPIrsfBngiPwlpthpOk/ETX/wCy7E4ispRp7IUznYW+zb8c9d2fepvEnguz16G/sL3xz4gGj6gSLrTEurfypEb70YkaIzKjDghZBwSBjNXNpzvHz/T7vxCO1pHa2csc9pDNDMs8boGWUEYcEcHjjmpao6f/AGXp9jBY2cltDbwRiOKNZBhVAwB1qf7Zaf8AP1B/38FS7X0CN7K+5PRUH2y0/wCfqD/v4KPtlp/z9Qf9/BSGT0VB9stP+fqD/v4KPtlp/wA/UH/fwUAT0VB9stP+fqD/AL+Cj7Zaf8/UH/fwUAT0VB9stP8An6g/7+Cj7Zaf8/UH/fwUAT0VB9stP+fqD/v4KPtlp/z9Qf8AfwUAT0VB9stP+fqD/v4KPtlp/wA/UH/fwUAT0VB9stP+fqD/AL+Cj7Zaf8/UH/fwUAT0VB9stP8An6g/7+Cj7Zaf8/UH/fwUAT0VB9stP+fqD/v4KPtlp/z9Qf8AfwUAeJa9/wAnxeHf+xKm/wDSiSvdK8H124gP7b3h6QTRlP8AhCphu3DH/HxJXuP2y0/5+oP+/goA4n4WaxqWp+J/H1rf3slxFp+vC3tEfGIYvssD7R7bmY/ia5yLWPHGpeI/ivpfh3UFlv8AT3to9GiuCPKhZraNmAOO5JPPc11N74O0z/hIr7XtC8Van4cvNR2m/wD7Plt3juWVQquyTxyKGCgDcoUkAZziptG8I+H9J0bUrGx1i/ju9Tm+03up/bh9rmmwB5hfoMBVAUKFAGNuOKW8Vf8Alt89Nfwb+ZV7SbXe/wAt7focj8L9fRtTXRL3WPF1h4sbT2eXSPEajbK6/KZYmAKMoYH/AFbEYYZA4rmdCvF0vxFY6r8UNR8Y+HvFsd0bP+0HXOk3Cs5ZI43QNEsbKVGG2tuHrXpdp4K0o+IItf1rxXq2u6nbW0ltZT3k9vH9kWT77RrBHGu84X5iCRtGMVkL8P5tWefTvGfjzUdf8PQ3MUljp80tum9UVSPtEkcSSSEPk43YIA3ZNWn76l/W/T5fLpsRb3XH+tuvz+fXc9RHIoqBbqzVQq3NuABgAOOKPtlp/wA/UH/fwVIyeioPtlp/z9Qf9/BR9stP+fqD/v4KAJ6Kg+2Wn/P1B/38FH2y0/5+oP8Av4KAJ6Kg+2Wn/P1B/wB/BR9stP8An6g/7+CgCeioPtlp/wA/UH/fwUfbLT/n6g/7+CgCeioPtlp/z9Qf9/BR9stP+fqD/v4KAJ6q6xHfzaXcxaXdQ2l88TLBPNCZUjcjhigK7gPTIp/2y0/5+oP+/gqDUJYbmylt4dW+xSOpVbiFoy8Z9VDhlz9QR7UnsNbnnPwMv/EUniXx3pHiDxFda42manHFDNNGke0FCSFVRhRntWX8WW1nw3d6Unhvxlr1/wCLtR1OH7NprSpJDLCXHnF4QuEiWPcd3GCBzmup8G+B7Pwx4j1DW7fx1rd7Lqcwnv4bo2Xl3DhSoJ2QKy4znClenOaoaP8ADWz0jXdT1zTviN4ji1HU5C9zcyf2dNIR2QNJbMyoOyg4FP7UH2Sv8rfnb7vUVvdku9/xv+R6V++Nv1RZtnUjKhsencZryb4eXfi60+OeveHvEXiubW4U0aG6VBbLBBFIzgHy0GSBj1Yn3rprGz16X4jXeq3niFodDg04WlpbLcoftEzEF7h1A2hl24HH8R4HSqWm+Abey8bSeLx8Q/EE+pTRJbz+Z/Z/lywqwYRkLbDA4xlSG96cfjUvX9Uv0f8AwdBS+Fx9P0b/AFRw2qeIdSm1rxlF4s8Zaz4X1OyuXTQrS0UrC0IUmKQDYROWOMg59MDNdLoWu3fiz4S+FvFOtXviezku7ZJLiHQbaRpJJCPvERozhe/YdK6fxD4bXXZbiK+8d64umXJxNptvLaxRMnePzFhEwU9DiQHB61PqWg2skdlHonirUPDkVnD5EcWmyW5iKcYBjmjkXIxwwAPvzUxVoWfl+F7v56XKlrK68/xtZfL+upz37PWvaprfhnUl1bV21CS01GWGFLor9ut4c/Il0q/dlx1BGfWk8Yalq2s/GLTPAdtq15pOmf2VLqV3LZsI552DhFQPg7VBOTjk4xmr+n+AtA07QNa0+w8R6ta6hrcvn3+sw3qJfSS/3wwXYh7AKgAHQVa8R+EdG1fVNL1mLxDqGma1pkTQwalaXERlaNh8yOsiPG4PXlevIxTe8fK1/ut+evmLpK3W/wCd/wAtPI8t13xx4u8Lz+LvCNtrMt3JbatptnpupXQWSa2jvHRW3nGHKbjtJz0Gc11mqSa14H+JfgvT7bxFqurabr8s1neW+pTiYqyxM6yocZU5GCOhFbB+G/g6bw9q+k6jfXWoTazOtzfajPdqLqSZCDHIGQKqFCBtCqAMdKt6R4O0q28R2fiDV/FGp+IdQsImisX1Ga3C2wYYYqsMcaliMjcwJwetODta+/XzVrW+++vnfcJa3t528n3/AOB5W6nayfcb6GvDv2GP+Tc9H/6/Lz/0e9e1PeWmxv8ASoOh/wCWgrxH9hy4t4/2ddHWSeJD9svOGcD/AJbvSA734+atqWhfB/xLq2kXklnfWti8kE8eNyMBwRmpvi7ql9pPwd8R6xp129tfW2kzTQToRuRxGSGHvmt7X7TQ9e0W80bVvst1YXkTQzwvIMOjDBHBzXH3Hw90y+0hdB1fxz4h1TQQoRtMuLq2EckY6RvKkSzOvbmQ5/izUyTlFx2v1/r+vQuMlGUZWvbp32Od8WX3jYw+ENSkHiO68LyaZGdUbQNpvluWUYkdfvtGM5ITJzng1Jr+ta3rHwz0bVfh5rGseJdJW7I1SS22Lqj2oJDxxhwmJV5BBw/HrXea5oyX1zFPpvjLVdB2RCEx2Etu0TKOnyTxyKpHqoB965+48Cw6R4R/s3wP4svtF1SKSa5S8e6jl+13MuS73IkR1fLEnhRjPy4q5yT5nbrf8b29Pu00M6aa5U30t+Fvvv8A5kPwRufCdu+peH/Dus6+ZbQrJPpGtI6XFoX5LASKHKsSTnLLnODXptcd4R8K6Tous3PiK+1ufWvEN5AlvcaheSxBvLXpGiRqiIucnhcnPJNdV9stP+fqD/v4Kcugok9FQfbLT/n6g/7+Cj7Zaf8AP1B/38FSUT0VB9stP+fqD/v4KPtlp/z9Qf8AfwUAT0VB9stP+fqD/v4KPtlp/wA/UH/fwUAT0VB9stP+fqD/AL+Cj7Zaf8/UH/fwUAT0VB9stP8An6g/7+Cj7Zaf8/UH/fwUAT0VB9stP+fqD/v4KPtlp/z9Qf8AfwUAT0VB9stP+fqD/v4KPtlp/wA/UH/fwUAT0VB9stP+fqD/AL+Cj7Zaf8/UH/fwUAT0VB9stP8An6g/7+Cj7Zaf8/UH/fwUAeaftHy+LtO8B32u+HvFT6Lb2ESvJFb2qtNO5ljA/esTtXBbIC5OevY9pcWVxrnhOyjbWb7TTJDFJPcWjqkrDaCRuIO3J6kc1l/EfwrZeONIl0e88XanpunToEuLexa1xLhgwJaWJ2BBA+6RVPX/AARaa54EPhDUPHmvtbF133MU1pFO8SjiFtsIQx8DI25PQkjIpK/K15j+0mYvwd1TV77x94qtbHWtQ1zwdZrFHZ3t6wkJu8nzUjlwDIijbzyAT1q9481PVtS+K3h/wHZ6pd6TYXWn3Oo3s9owSeXymjVY1cg7RmTJxycYz1q/p2hXvhjw/cW+h+LLzUzBZPDp+nXK2EFuj4+Q5hgjYYPvjrwTWfp3gOOfQvDk2t+MNR/4SrR43261bXMZmJk/1kZEiujp0GGU/dBGKel49Uvx3/J2fpZak6693+G357et2cP4n8b+K/Bd5418L2usTagbWTTBpd9e4lltReTiJg5wN+37y579c10niKbW/h/4u8Ftb+JNX1iz1m7ksdQttQnEu4+RJKssfyjYQ0fQcEE10C/DrwhNouuafqt/datPrrI2o391dKLmRozmIqYwqpsPKhFAB7VNpPgrSbfXNO1jV/FWq+IbnSkZdOGozW4S2LLtLhYY49z7SV3PuOCfWkr2Svr38rbf8H57jdrvTTXTz7/r5fM85tNS8V6x8DdU+Kv/AAl2p2usx29xqFraxSKtlEkJJWFosfMCFIJJJ5617R4d1aTUfCFjrU0OySezW4eNexK5IFcUfhd4aXTLrQofFGsweGruczT6Gl1B9mYM25o95jMyxk9VEgGMjoSK6u30mxt/EkesQ+IL6OCKz+yJpYu1+xAZGH8vGd4AxnPQnim9YtLS+3lo/vu7fdcPtX33+d2rfcr/AJHkFrqfivVfgTqPxX/4S7U7bWktZtStrWORRZRJESwhMWMMCFIJJJ5zmt3wzrGtfEXx5qOnXOs6loumaVplnMtvp03kyTTToWZmfGSowQAMDnmtf/hVvhpdLudBh8UazD4ZuZjLNoaXUH2ZgW3NHvMZmEZPVBIBjI6EitTVPBWjTeIz4h0XxJqPhzUntVtJ5NOmgKzxL9wMk0ciZXswAPvRddtOi7afj0+6+4PZ669++q+7S/322KfwK17WdX0fW9O1y8N/c6JrFxpyXjABriONsKzYAG7HUjrXjv8AwUj/AOSXeG/+w3/7Qkr6E8F6H4f8I6KNK0mceWZXmmmnuBJLPK5y8jserE9a+d/+Cj00Mvwu8OCOaNz/AG1/CwP/ACwkpvp6L77av5sS6+r+6+h9HX+taV4c8HNrmtXK2mn2dqJbiYoz7FA5OFBJ/AVqNdWq2BvmcC3Efml9p+7jOcdeledfH2Ga4/Z38SQ28Mk0raO4VI1LMx2dgOTWxofijw94l8OvouiavbXd+dPK+SuQQdmOcj1rOTfJNx3W33MtJc0E9nv+H+Z0uh6vpet6Daa7pdwtxp15brcW8wRl3xsNwbBAI4PQjNc3qvxQ8A6X4JtPGl/r0UOg3jrHb3ZtpTvZjgDYE3Dn1Fcd8MPG2ieGvhFo3hnXGurPxBpWmR2M+ltayG4aZE2bUUL8+4jgjIIIrlpvC+raT8H/AISaHqumy/aoNdsGvLcx7/KDSbmVwMjjODW0or2jUHpeKT8m7fkRB+7eW9m7eiv+Z7nrXijw7o+iWut6hqUMenXckUdvcIpkSRpSBHjYDkNkc9Kb4l8WeHfDs9va6pfbby5/497O3gkubmYdykMStIwHchcDvXgHxa0XXvBlpZ+BrLT77UvC1/rtndaLLChk/s4iYNJavjkRjqhPAB29q7mW4XwX8fvEHiLxRBcR6RrVhbQ6dqnlNJDbmNcPA7DPl5bLDOAc1Cs0n3b/AASdvW7a7dul201ddUl+dr+ltfzO4m+IXg+30O/1m71CaztdPKi7F1YTwTQ7sbS0LoJADkYO3BrV8SeIdE8OWEF/rV4tpbTzx28bmNm3SSHCLhQTye/SvL/2gdc0/wAW/A3xInhuS41DasaiSG2cqzbh9wlcMR3xnHes/wCOfh3xPF4T0SW48VanrcS65Ys1qdPgUY8z7xMcYbj604q7SfdL77f5g9Ffyb+4912r/dH5Vz9j4z8K33jC78I2uqwy63ZoHntRG3yjAON2NpIBBIBJGRkCnfEPxEnhXwbqWuGCa4kt4T5MMUZd5JDwqgD3xXhWo+GPiR4Y8C6L4sbw7pEuuaLeyazfz22ryyXN357brmLyvswHIIULvOAgAJqYtc2uy3+f+W7/AOCNp203e3y/z2X/AAD2288eeDrPx3b+BrrWreHxDcw+fDZujgunbD42ZOOFzk+laMniHRI/E3/CNPeKNW+x/bfs/ltnydxXfuxt6qRjOeOleM3Hhqx+Inxb8TySR3dvbXvhvS7rTb8RskltNulZHRiOHXIyPwNRfD298Van8ebmPxVpFzb6ppPhj+z7y6EJFvduJpGWaNhxh0ZW2/wkkdqdmmovf3vwUv1ST9dPJO2rW3u/jy/o3b018/R4viv4Flsn1Bb7Uf7PjleJ79tEvVtEZHKNunMPlgBgQWLYyOtdraTW13axXVrLDcW8yCSKWJgyOpGQwI4II7ivC/gt4y8O6B8I20PVZZX1VbzUlOlpbSPcSl7uYqojC5O4MD9DXdfs+6Dq/hv4V6ZputQG1uvMnnW0LbjaxyTPJHEfdVZRjtjHanbf5Cej+bX3dS3dfE7wZb3epWzXWpSnS5jBfy2+i3k0Ns4UMQ8qRFFwGUk7sAHJq9rfjrwno+maXqV1qgmtdWkEenPZW0t4bpiMgIIVctwCeBXj2i+HfGl7F8VZPD2uXOnPJr8pSxks0Md4v2aDdhyN6lhlQynAIqp4um0xvh98I7rQYb7wzptlq6rIXgMkmnFY5FfeHUg4fI3MMHOe9TF3jFvd8n/k2/8AwPx6XqStKSWy5v8AyXb+vuPcbbxhoM2l3+qOuqWdpYR+ZcSX2j3VrtXnlRLGpfp/CDUOgeOPD2uNF/Z8WtGOaLzo559BvYIWTGd3mSQqmCORzz2rkdX1S31j4T+LLax8XSeKrhLOTLi2RGTcvChY0UHoexNafw30XX7LwNpU+oeKb++g/sWJfsMtlBGEJhXAyqB8jpyfrRJ25n2S/G/+QLXl82/wt/mWbX4r+A7i2jvF1K8jsJJjAt/PpF3FZ7wxQg3DxCIfMCuS2M8Vp+IfHHhnQtXtNIvri7lv7yBri3t7LTbi8d4lIDPiCN8AFl5PqK8B0fw74oX9nW0uri6v9R0OK/uJdU8OG0SOSW2F5ISI5FAkyOHwSdwBFdP48vbWH4xeDNYtNeuPDWlN4ZuVhvhZq4UM8JSIiRGCkgdCM/LVWXNy+b/9Jb/NW69eons3/XxJfk/yPWbnxp4bs/Dx16/uLrT7HzhAv23Tri3mkkPREhkQSOT2Cqc846Gkh8b+GZNH1LVpLm6tLbTI/NvReadcW0sKYJDGKRFcqcHBCkHBx0Ncn4qbwb4m+HNoPEHii+1C1hvQ0Ot2sRie2uVBKyExptTAbGSNpzg9a4281vxRrHw/+JGiS6jN4q0K10gf2ZrRsfIknkZGDwHaAspXCnegH3sGpk7KXdf5L+unTW5UEpSiujav99v6+eh7Tqnijw/pnhQeKb6+WHRzFHKLnynI2SFQh2gbuSy9u9Z+t/EHwXoniPR/D2q61Fa6nrS7tPheGTEw/wB4LtXqPvEV5F8QvDfipf2bYmfxVql6gsNPzpv9nW4yPMh+XKx7+Prnjmrnj3wifF/xT0nSZoZY0k8F3Ahudh2wXKz2zxNu7EMoOOuAauSSm10TfrZRb+/QiL5qal1a+W8V+p7D4z8TeH/Bvh648QeJdQi07TbfHmzOjNgk4ACqCxPsAaztR+IPhCx0zRtRmv55YNbONNFtp9xcSXJ2lsLHGjP90E8gdK8bW48TfErQNTPibR7qzi8IaNdRTQyIcX2qGGSMSIMfMqx5I95R6VBraXNn4Q+CdxNfXOiLaTubi9+zBza5tZRlldSBkkL8w70kt9esbejv/ldeTQ3+kr+qS0/Gz8z3NPGXh/8AsLUdcuDqNjp+nRmW6lv9JurTaoBJIWWNWfp/CDRoPjbwnr3gt/GWkavBd6EkLzvdIjfIiDLZQjcCAM7SM+1cD471KHW/gJ42t9P8US+K7hdPlBlW2RHXcvCBY1UHoe2a5bxxomr+B/AF54l8O6dc3eka74fNrrulW8eXina3Kx3cadc7iFcDqGDfw1FR8sZPyVvXXfydvl6aqoRUnHzbv6K346/0z1vVfiN4R0zR4tZup9TOmS2v2sXkGi3k8Cw4zuZ44iqcdQxBFSWfxA8KXOkXOsNc31npttALiS7v9KurOEocYKvNGocnIwFJJzwK4nUrS6H7I13ZfZpvtP8Awi8ieT5Z37vKPG3rn2roL/T9BvfgjY6b4tguv7Lk0+1W58lJPMiI2FX+Qbl2sAc9sZPFaVY8kpxXR/5/5GdOXMoPvv8AK3+Z0fhzxZoXiC5a109r1J1j84R3mm3Fozx5A3oJkTevI5XIGR61u7V/uj8q8g+FWu69/wAJ63hvT/Edx4y8Jx6cZDqlzaCOWzmDALE0yqqzblJPTcNvJr2ChpWTQ03dpibV/uj8qNq/3R+VLRUjE2r/AHR+VG1f7o/KlooATav90flRtX+6PypaKAE2r/dH5UbV/uj8qWigBNq/3R+VG1f7o/KlooATav8AdH5UbV/uj8qWigBNq/3R+VG1f7o/KlooATav90flRtX+6PypaKAE2r/dH5UbV/uj8qWigBNq/wB0flRtX+6PypaKAPC9eA/4bh8O8f8AMlTf+lEle57V/uj8q8M17/k+Lw7/ANiVN/6USV7pQBmaPrekaxd6laaddLPNplz9lvFEbL5UuxX28gZ+V1ORkc1UPi7wwtxrcEmrW8LaFt/tMygottuQOuWYAHKkHgnrjrXAeFNasPA3j3x1beLHfSo9V1ZNQ0+5ljbybmI20MZ2uBjcGjYFevT1rP8AD2mabrTfE7xF4j02/PhbX7qBIQbaUSXEEdvGhlVVG/buBwcdFz0pXvFNfy3+emn3t/cVZKTT72+X/DanpPh7xr4b16YQ2E92jND9ojN5ptxaLLF3eNpo1EigEElScAg9xWNB8UfDlz4jttOs4NQudMnDIutR6fO1iZg23yhOI/LbkH5g20EYzniuM8Da1qFn4vg8MaN4jvPG3gv+zJmu5rizJm07af3aeeigS7lJUIQX+TOeaxLfWo/CsFrafCDxlda6v2+P/ik7q084wRSHMihyqywBclvnJA6Yq0k5xts/87fL8fu0Id+V9/8AgX/rb79T6K2r/dH5UbV/uj8qELFQWXaccjOcUtSNCbV/uj8qNq/3R+VLRQAm1f7o/Kjav90flS0UAJtX+6Pyo2r/AHR+VLRQAm1f7o/Kjav90flS0UAJtX+6Pyo2r/dH5UtFACbV/uj8qNq/3R+VLRQAm1f7o/Kjav8AdH5UtFACbV/uj8q56bxp4Vh8aQeDX1SI67OhdLRYnbgKW+Zgu1TtUkAkEgHFaHiga43h6+Xw2bEaw0LCza9ZhCshHBfaCcDrwOa8MtfDvjHwz8QfANt/wjukz3H2u8nvL3+2552uZXt3Ekkrm0XaeTtGCM4HGc0R1lZ/1/XX+miWkW1/X9dP6T9l8beMfDHgvT4r/wATanHYQSv5cZMTyM7YycKgLHABJOMAAk0viHxd4d0E2UepXj+ff5+yW1tay3NxOANxKRRKzkAckhcDvXi/xf8ADPj7/hHfGviLV9H0PVLm5tHtrJ4NWnLWdpkEJFB9mwXOAWO/nHYcV0niq1/s3W/DHjbUPEGi+GPEcGnvZtb3SSX9rLCwBIBHkuGBAOeO4waSeib/AK0/Pv8A8DVvey/r/gf1pfT0vwr4k0HxRZS3eh3yXSQymGZDG0csMg6pJG4Dow9GANR+J/FOgeG2tY9WumS4u2KW1tb20lxcTEDJ2RRKztgckgYA615l8Lri78PHxz8R/FE039l6ncwywvBpksRlSNdhlW3+eQBieM5JHJq34svYdE+Omg+MtWWdPD9zoUtnHemFzHbTM6uA+BlNygjJA54pveK2va/k7Xt9+gukvw89Ur/K92dzY+OfCF5oN/rketW8Njpzsl81yjW72rL1WWOQK6N7MATTdA8deFtb1aPSbO7uYb+WEzw299p9xZyTRjq0YnRPMA7lc4rwvxbpWp6/J428aaPpd9c6HLrek3UcaQNuv4bWRDPIidWGFOOPmxxmu41vU7Hx18WPAdx4UaS+g0aae71C8jjdY4I2hZFjZiB8zEgbevcinDW1+vTtpe/p/k+opaJ+V/n5ev8Amj2GRV2N8o6HtXh/7DIB/Zz0fIH/AB+Xn/o969xk+430NeHfsMf8m56P/wBfl5/6PekM9g8SazpXhzQ7vW9auVtNPs4zLPMUZtijqcKCT+Ap2t6tpmi6Hda5qdwtvp9pA1xPMULbI1GS2ACTx6DNcx8eNG1LxB8IPE2kaRbNc31zp8iQQqeZGxwo9zXJfErxxonif4R6v4e0I3d7r+p6a9pBpSWsguVldNu11K/JtJ5JwBipk3yvl37f15lxS5o82z38tjv9W8ceFtMGnLcX0s02pQ+fZ21pZTXVxLHjO8RRIz7cdyuBS3vjbwrZ6Db61cakEtrqTybdPs8nnzS5x5Sw7fNMmRjZt3A8YrgfGWj+GtLfw5PqfijUfCnifS9Mjt7fU7aMmOWMD5omDK0cgyCSvXvxWU+pWvif4Z6PqHxVv7vw9qNvfzPpWvWtvJa48tj5d0VYFYd6AHbJwc4Aq52TfK9n+F7ffb018jOF2ldbr8bX+77/ALz0/wAAeMLPxZZzMNN1DSr6BiJ7HULOW3mjUk7WxIi5DDByMjnGciun2r/dH5V5d8IvEnibVPFmsabNqo8T+GIIIpLHXjZC3LyH70OVwkuBzuUDk4r1Km1a39f1/XQSe4m1f7o/Kjav90flS0VJQm1f7o/Kjav90flS0UAJtX+6Pyo2r/dH5UtFACbV/uj8qNq/3R+VLRQAm1f7o/Kjav8AdH5UtFACbV/uj8qNq/3R+VLRQAm1f7o/Kjav90flS0UAJtX+6Pyo2r/dH5UtFACbV/uj8qNq/wB0flS0UAJtX+6Pyo2r/dH5UtFACbV/uj8qyPEfiPR9ANumovctNcEiGC0sprqZ8DkiOFGfaO7YwMjnkVsVw/xc+Idp4D022C2cl9qmoOYrKDlYgR1eWTBEca5GTyT0AJqZOw4q5qaR448I6r4du/ENnrdr/ZtiWW8lmBhNsy/eWVJAGjYejAGotC8e+FNa1W30uzvLmK9uommtYr3Tri0Nyi/eaLzo0EgAIPyZ456V4xf6Db3Hwb8RPousr4q1651m01nXRYwsBJtuI3eONOu0IjYHJOPfFdN4p1Ox+IHjXwDF4QeW5bS72S+vbpInVbKL7NLHtckDDFnUbevXjAqvz00+V2/S9/uYun3/AIbL1en3o7i8+Jnge0uJ45tWfybacW9xeJYzvZwykhdj3KoYUOSAcuMEjNdgnlugdNrKwyCOQRXzbpOpWth+zlq/w2vLG7/4S1ra609dKNs/nXE8hYI68YKncDvzgAE54r2TwxqVvY2uneBbie5GuxaOsjE28hjAChSfNxsyCRxnND0i2te3no27elvxD7Vnpv8ALVJX9b/gNuviZ4HtbieObVn8m3uBbT3qWM72UMpYLse5VDCpyQDlxgnmtDXvGfhrRdRh027up57+aIzJa2FjPezeX/fMcCOyryPmIA5614ZpWpWtl+zZqfw0u7C7/wCEva0udNGlG2fzp55CwVxxgqSwbfnAAJzxXReD7iP4efFDWJfGUktrBqGjWCWd/LG7RM0KFZIt4BwwJBweuKNO+nfo9L6f1s+4O+umvbtql+v4HsHhvXNG8SaPDq+h30F9ZTZ2Sx+o6qQeVYdwQCO4r5r/AOCkQA+FvhvA/wCY3/7Qkr1r9nrTr220TxBqlzZ3Fjbaxrt1f2UE6FHEDt8rFTyu7rggGvJv+Ckf/JLvDf8A2G//AGhJTa20tovlpt8thJ7+r/Pf5n0rpbXf9m222OAr5S4y5zjH0qzuvf8Anlb/APfw/wCFZV5a6zd6BZJousQ6XMEUtJJZi4DDHTaWXH1zXDfCDW/G3iazvtY1nxLp/wBl07Vruykt4dKCeakErJu3+YdpIXPQ4qU979P6/Ub0Sfy/P/I9O3Xv/PK3/wC/h/wo3Xv/ADyt/wDv4f8ACvN/A2t+OPiHoY8VaXrOmaBpF1I/9nW5083UrxKxCySMXUAtjO0DjPWl8FeJvFvi2LXNAlvrDRfEPhzUPsd9cQ2n2i3ulKhkkRWYFMqQSCTg8c07Pbrv8v6a8wen5fP+l6Ho+69/55W//fw/4Ubr3/nlb/8Afw/4V5p8GdY8ceK7O41bVvEmnm3tNWu7F7WHSgnmrBM0Ybf5h2khc9OM1n+MPidr+neKtR1HTIbOXwZ4du4bLWpTEzTNI+DK8bA4CxBgGGDyCO1NLVLv+tv80Hfy/NdPwZ63uvf+eVv/AN/D/hRuvf8Anlb/APfw/wCFcb4q8Walp3xS8GeHbI2zadrUd09wzJuc+WgZdpzgdfQ13VLpf+tNBX1t/WpX3Xv/ADyt/wDv4f8ACjde/wDPK3/7+H/CvGbX4jX97448WaPqXxG8MeFk0nVBZ2dtd28ZlmjMSNvy8qk/MxHAxxXS/Ebxhr3w/uNM8RarJb6h4NEIh1eaG2IntZP4bgAE7oz0KgEjjk0k1yqT2dvxV0U0+Zx6r9D0Hde/88rf/v4f8KN17/zyt/8Av4f8K8j1vx543h+FmreOxFY6ZDdzxHQ7We3LyRWzEASzfMMs+d4XjaCAec1pWXi7xJpfxTsfBt9q2meIoL/TZrxp7a18mWxaM8eYqswKP0BODlT1p+T/AKsrtfcK+l/63t+Z6Vuvf+eVv/38P+FG69/55W//AH8P+FeL/C/4hal4ttreXUPid4W07U5tQuLf+xhaRefiOd0VQDNuyyoD071P41+J3izw98WtTs49PtLzwjolha3GqJHExu41naQGZTnDKmzlcdDntR2v1Dv5f52PYd17/wA8rf8A7+H/AAo3Xv8Azyt/+/h/wrhIfHF3efFkaBp81lcaHL4Zj1aCZF3NI7yyKCGzgqVVT0/GsH4f618TPFvw+/4S618Q6Klw010I9Pk0oiJhDPJGFMgk3DIQc44J6UbK72/4LX6Mdv0/FX/JnrO69/55W/8A38P+FG69/wCeVv8A9/D/AIV5Q3xX1DUvDfgLWtLsorM67rv9l6jbzrvMRTzVkVCCP44+D6dqn+KGrePfDeueHYdP8UacbfXdZWwCS6QGNujI7ZDeaNxG3HIHWnZ3t52+en+ZN1Z+Sv8ALX/JnqG69/55W/8A38P+FG69/wCeVv8A9/D/AIVwninXfE3hW88G6dcalZ6nLrGufY7qf7H5P7kwyPhVDHByg5yfpVr4weKtU8K2nhyXSxbltR123sJ/OQt+6dXLYwRg/KOaLXaXdpfN2/zH39L/AC1/yOx3Xv8Azyt/+/h/wo3Xv/PK3/7+H/CvH/EvxEv7b4p+I/Dd7488OeErDTLK1ntWv7ZHe4aXzN+N8q5xsXhRn5vpUev/ABM8YWHwJTxheWVpo2ptqUVqJbq3YRPbtMEFz5blSoZTuAJ6d8VKd1934uw2rO39bX/I9k3Xv/PK3/7+H/Cjde/88rf/AL+H/CuR+HesNrF7cND8RtB8VRQxjzIdOgiUxMTwWZJG9Dxiu2qmrEp3K+69/wCeVv8A9/D/AIUbr3/nlb/9/D/hViikMr7r3/nlb/8Afw/4Ubr3/nlb/wDfw/4VYooAr7r3/nlb/wDfw/4Ubr3/AJ5W/wD38P8AhViigCvuvf8Anlb/APfw/wCFG69/55W//fw/4VYooAr7r3/nlb/9/D/hRuvf+eVv/wB/D/hViigCvuvf+eVv/wB/D/hRuvf+eVv/AN/D/hViigCvuvf+eVv/AN/D/hRuvf8Anlb/APfw/wCFWKKAK+69/wCeVv8A9/D/AIUbr3/nlb/9/D/hViigCvuvf+eVv/38P+FG69/55W//AH8P+FWKKAK+69/55W//AH8P+FG69/55W/8A38P+FWKKAK+69/55W/8A38P+FG69/wCeVv8A9/D/AIVYooAr7r3/AJ5W/wD38P8AhRuvf+eVv/38P+FWKKAK+69/55W//fw/4Ubr3/nlb/8Afw/4VYooAr7r3/nlb/8Afw/4Ubr3/nlb/wDfw/4VYooA8H103H/Db3h3KRb/APhCpuA5x/x8Sd8V7huvf+eVv/38P+FeJ69/yfF4d/7Eqb/0okr3SgCvuvf+eVv/AN/D/hRuvf8Anlb/APfw/wCFeYfBr4ga94s+IvxB0HVVsxZ+H79Ley8mIq5Qgk7yScnj2rn9N+LHjSfXfizZ22jW+rv4T8r+yrK2hYSzFlJIYgkt68AdKnmVk/7vN8tP80Pl1a8+X56/5Ht+69/55W//AH8P+FVbOwFndXd1a6fYwz3kgkuZEJDSuFChmO3k7VA+gFeH/A/4qeKfGeu6et5418DXgmU/btEW0mstQtWxkhBIx83aeDgY965HxF8TvG2tfFyewu/F+jfD1/D+oOLDSNYS4gj1eI4AaWbIRlOMqO2c81dnzKPf+vn8rkqScXK+i/r+rn1Ruvf+eVv/AN/D/hRuvf8Anlb/APfw/wCFLp8ks1hbzT+SJXiVn8l9ybiBnae4z0NT0NWdgTurlfde/wDPK3/7+H/Cjde/88rf/v4f8KsUUhlfde/88rf/AL+H/Cjde/8APK3/AO/h/wAKsUUAV917/wA8rf8A7+H/AAo3Xv8Azyt/+/h/wqxRQBX3Xv8Azyt/+/h/wo3Xv/PK3/7+H/CrFFAFfde/88rf/v4f8KN17/zyt/8Av4f8KsUUAV917/zyt/8Av4f8KN17/wA8rf8A7+H/AAqxXP8AjoeMH0uKLwW+jw30kwWWfU1do4Y8HLBEwXbOBjIHJ5pNjSubG69/55W//fw/4Ubr3/nlb/8Afw/4V4l8DPiZ488TfEHxf4Q1y30bWIdCQ+VrGmI8NvJNkARHJbk5JyCcbT1q18OPiF491D9oHXPh/wCK4dDitrLSRfRpp6yMUYugAMjkbuGOflFUldpLqrr03FL3b36O39feex7r3/nlb/8Afw/4Ubr3/nlb/wDfw/4VlfELX5PC3gbWvEcNi99JptlLcrbqcGQopOM9hxXzbo/7Q/iq3bwjrWpeIvAus2Wv30VtdaJppYX+nLIcAtlyTt75UZNKPvS5V5fjt+X+Y5K0eb1/Dc+p917/AM8rf/v4f8KN17/zyt/+/h/wrxD4/eNfit4B0HUvF9rqXgy10i2nSOy0+eCWW5vFZgB825QH5ztAOADzXU3msfFHXPBWh61o6+HPCrz6eLvVG1lJZTavgHYEBUBcZJZjx6Ur+45dt/uv+QcuqXc9G3Xv/PK3/wC/h/wo3Xv/ADyt/wDv4f8ACvKP2W/iR4o+JPhPUdQ8TabawtaXht7e+tEZILxRnLIGJ6EY611HxMj8fxhdQ8K+JvDei6bbQPJetqtg8+Mc7gyuoAABzTqe5v8A1pcUVzNrrt+h1+69/wCeVv8A9/D/AIUbr3/nlb/9/D/hXzJoXx3+IFj8Gde+IOvWWlanEdRSw8P+TbPbLd5faZWBZiF744+tddpfxA+JHhf4s+GPB3j6Tw/qdp4lgdoLjTbaSBraVRnaQzNuGcDPFNRbko/1e17ethNpJv1+5O1/S57Y7Xuxv3Vv0P8Ay0P+FeI/sOm5/wCGddH8tIiPtl595yP+W7+1e7Sfcb6GvDv2GP8Ak3PR/wDr8vP/AEe9IZ7Vuvf+eVv/AN/D/hRuvf8Anlb/APfw/wCFcV+0B4t1bwP8J9a8T6ILc39lGGiFxGXTJIHIBH86y/HnjvXNF/Z0fx9ZraHVxo8N5h4iYvMZFJ+XOcZPrUuaUZS/lt+N/wDIpRblGPe/4W/zPSd17/zyt/8Av4f8Kr6nZnU9Pn0/ULGyurS4QxzQysWR1PUEbeRXgnxC+M3jPRdE8CXCrpmi2OvaVFd3/iG80+e5tbedkB8rZGcrn1J71u3/AMSvGml/A3VfF1g/hvxxqdtNttrjw/vkgaI9ZJIwSylOcqD27VU1yqV/s6fjb+r+uxMHzOPK9Xqj2SMXUcaxxwWyooAVQ5AA9Pu07de/88rf/v4f8K8I/Zl8Ua9rWs38tz8SvDvi+01IvezWqPNDeabIf+WSQyEkRDpjAA969/qpRcbX6kxkne2xX3Xv/PK3/wC/h/wo3Xv/ADyt/wDv4f8ACrFFSUV917/zyt/+/h/wo3Xv/PK3/wC/h/wqxRQBX3Xv/PK3/wC/h/wo3Xv/ADyt/wDv4f8ACrFFAFfde/8APK3/AO/h/wAKN17/AM8rf/v4f8KsUUAV917/AM8rf/v4f8KN17/zyt/+/h/wqxRQBX3Xv/PK3/7+H/Cjde/88rf/AL+H/CrFFAFfde/88rf/AL+H/Cjde/8APK3/AO/h/wAKsUUAV917/wA8rf8A7+H/AAo3Xv8Azyt/+/h/wqxRQBX3Xv8Azyt/+/h/wo3Xv/PK3/7+H/CrFFAFfde/88rf/v4f8KN17/zyt/8Av4f8K8Z+PvxD+IXgXxF4a/s210GPQ9U1q304tL5ktzIJM7jj5VQADjljzUvx9+KmteDvF3hfwppV1oehjWxK8uua3n7LbCMA7SAyjJzjJYdqSd0murt80r/kNqzfpc9h3Xv/ADyt/wDv4f8ACjde/wDPK3/7+H/CvIv2dvipqnjjXPFHhnW7rRNTu9Clj8vVNGYm1vI3z8y5JxgjsTXbfEY+PfLgHg2/8OaZbpHJJe3urRyS+WFxgKilRjG4liwxjpTl7qUuj1FHVuPVHT7r3/nlb/8Afw/4Ubr3/nlb/wDfw/4V86+BfjX4+1r4JeOvFV5pemtf+H3Men39vC/2W+IbDYQnJxx0P8Qq98DPi/f+K9bji1j4j+EtQYWT3E2k22j3Nndbgu4hGlbD7cHO0HgUOyk12Sfyab/QHdL5tfNWX6nvm69/55W//fw/4Ubr3/nlb/8Afw/4V8zy/Gb4r3/w21f4t6Tb+GYfDWm3phGkTQyNczRLIqM3nBgAfmz93tX0ToevW+qeELTxGqlLeezF0V7hdu4ih6Rcn038rq6D7Siut/w0Zf3Xv/PK3/7+H/Cjde/88rf/AL+H/CvmaX4z/Fe9+Gep/F3TLbwzF4asL0xDSJYZGuZYlkCM3nBgAfmz93tXTn4o+OfHXxFk8IfDk6HpUdppEWpXN7qkEk+8yAYjVFK4wT156Ua9tf8AgX/IHZen/Bt+bR7luvf+eVv/AN/D/hXy5/wUdM5+F3hzzUjX/id/wsT/AMsJPavX/wBnT4i6h8RvBdxfa1ZW9pq2n3klleJbk+Wzocblz0z6ZNeS/wDBSP8A5Jd4b/7Df/tCSm1b+u4k7/l92h9OaT/yCrX/AK4r/Kud+Gng8+D9H1LT5L8XwvdUu7/cIvL2ieVn2Yyc43Yz39BXgviX4d+GNQ8RajfXKaqZ7i5kkk8vVrlF3FiThVcAD2AxWf8A8Ku8Jf8APPWf/B1d/wDxyu+OWVWr3Wq/roccsdTWjT0f+a/U9w8NeB/Ffg6ym0fwj4o0xdE855bS21TTHuJLQOSTGjxzR5QEnG4Ejpk1vfD7wdD4Ts79pNQn1PVNUumvNRvplVWnlPHCrwqgAAKOgA5NfOP/AAq/wj/c1j/wdXf/AMco/wCFX+Ef7msf+Dq7/wDjlUssrLqu39aA8fTfR9z6E8BeDbzwj4V1TSbXVo5rm8v7y9iuGtiFiaeV5ACu75tu7HUZx2rB0D4I+EbXwgdG1lLnVry5R21G7N1PELueQkySGNZNoyxJxz+NeM/8Kv8ACP8Ac1j/AMHV3/8AHKP+FX+Ef7msf+Dq7/8AjlJ5VVfVbW+S+X9fIP7Qp3vru382euWvwt8TWMXgme18YWNzqPhSG4to577TXkW5icbUDBZlIZUCjOTkjOBXpWgx61HY7deu9PurvcfnsrZ4I9vYbXdzn8a+Wf8AhV/hH+5rH/g6u/8A45R/wq7wl/zz1n/wdXf/AMcqnltd7tf8Pr2J+vUuzPb9H8E+MPD3iXxLqegeI9CFvruoC+eG+0mWV4m8tI9oZLhARhAenetDxJ4Ek8WeIdLuvFd/a6ho2nxBxpC2hWCe67zSbmbeo/hQjjnJNeAf8Kv8I/3NY/8AB1d//HKP+FX+Ef7msf8Ag6u//jlSsrrWSutLfgrLp/W5TzCm23rqew3nwjnk8F614Jh8QRjw7d3Sz6bazWfmNYpu3PDnfh4y2dowNoOOQBXoOkeHtD0a1nt9E0fTdLWcfvBZ2qQhjjGSFAzXy4/wx8Hohd11dVUZJOt3YAH/AH8qja+CfhzdrG1rqlxcCVzHGYvElw4dxyVXEvJ9hzR/ZlW3Ldff6IPr1O97P+tT3z4f+C/G/gvRYtC0/wAS+HrjTo7uecGfR5vOKyzPKV3C4C5G8gHb26Vt6d4LW3+JOv8Ai6a8S4h1jT7ayazaDhBEZCSWz8wbzOmB07187/8ACr/CP9zWP/B1d/8Axyj/AIVf4R/uax/4Orv/AOOU/wCzKz3a/r5B9fp66PX/ADv+Z7J4G+EEXhLx/qfiCy16aXS57E2dhpkkORYo0jSMqvu5Tc7ELgYzjOMUnhP4feOPDnhA+EbDxlpEOmmW4YXKaO/2tFmleQ7WacpuG8gEoR7V45/wq/wj/c1j/wAHV3/8co/4Vf4R/uax/wCDq7/+OUv7LrW5bq3z7t9vNh/aFO97Pe/4W/I9wuPhTp0OieDdG0a+eztPDWqLqGZY/Ne6bD79xyMMzSFiefpW38QPB7eKr/wzdLqAtP7E1ZNQKmHf521HXZ1G372c89OlfOn/AAq/wj/c1j/wdXf/AMco/wCFX+Ef7msf+Dq7/wDjlV/Zta97re/z08vJE/XqXZ7W+Wv+bPo74i+EV8WWenNDqEmm6lpV6t9YXSoJBHKqsuGQ/eUhiCMg+hFZF74K8QeI9W0e68Z6/p11aaRdi9gtNM097dZZwrKrSNJLISAGOAu3k854rwj/AIVf4R/uax/4Orv/AOOUf8Kv8I/3NY/8HV3/APHKSyusndNd/n9w3j6T3T7fI+hNP8CwReOvFXiG+uYr218Q2dtaSWTwcIsXmg5JJ3BvN6YGMd65m++EupTfDCTwPH4qQwwapHeaXNPZF/s0KSiRIGAkBcAggHK8EDHFeQ/8Kv8ACP8Ac1j/AMHV3/8AHKP+FX+Ef7msf+Dq7/8AjlJZXWTumun4O66dH/Wo3mFNu9n/AErfkfTPh238Xw3Tf8JBqmhXdtswi2OnSwOG9SzzOCMZ4x+NbtfJP/Cr/CP9zWP/AAdXf/xyj/hV/hH+5rH/AIOrv/45T/syt3X9fISx1JdGfW1FfJP/AAq/wj/c1j/wdXf/AMco/wCFX+Ef7msf+Dq7/wDjlH9l1u6/r5D+v0+zPraivkn/AIVf4R/uax/4Orv/AOOUf8Kv8I/3NY/8HV3/APHKP7Lrd1/XyD6/T7M+tqK+Sf8AhV/hH+5rH/g6u/8A45R/wq/wj/c1j/wdXf8A8co/sut3X9fIPr9Psz62or5J/wCFX+Ef7msf+Dq7/wDjlH/Cr/CP9zWP/B1d/wDxyj+y63df18g+v0+zPraivkn/AIVf4R/uax/4Orv/AOOUf8Kv8I/3NY/8HV3/APHKP7Lrd1/XyD6/T7M+tqK+Sf8AhV/hH+5rH/g6u/8A45R/wq/wj/c1j/wdXf8A8co/sut3X9fIPr9Psz62or5J/wCFX+Ef7msf+Dq7/wDjlH/Cr/CP9zWP/B1d/wDxyj+y63df18g+v0+zPraivkn/AIVf4R/uax/4Orv/AOOUf8Kv8I/3NY/8HV3/APHKP7Lrd1/XyD6/T7M+tqK+Sf8AhV/hH+5rH/g6u/8A45R/wq/wj/c1j/wdXf8A8co/sut3X9fIPr9Psz62or5J/wCFX+Ef7msf+Dq7/wDjlH/Cr/CP9zWP/B1d/wDxyj+y63df18g+v0+zPraivkn/AIVf4R/uax/4Orv/AOOUf8Kv8I/3NY/8HV3/APHKP7Lrd1/XyD6/T7M+tqK+Sf8AhV/hH+5rH/g6u/8A45R/wq/wj/c1j/wdXf8A8co/sut3X9fIPr9Psz62or5J/wCFX+Ef7msf+Dq7/wDjlH/Cr/CP9zWP/B1d/wDxyj+y63df18g+v0+zPraivkn/AIVf4R/uax/4Orv/AOOUf8Kv8I/3NY/8HV3/APHKP7Lrd1/XyD6/T7M9C17/AJPi8O/9iVN/6USV7pXwXfeBfDyfH7TNEVdS+xy6BJcMDqdwZN4kccSb9wHHTOPau+/4Vf4R/uax/wCDq7/+OVEcuqyvZrQcsbTjbRnqt78IfEmkeOtb8VfDrx9/wjr68yyaja3elpexNIBgMmWUr+tWvBvwgu/DHh/xEbLxtqP/AAlniCcXN7rv2ePcJB0CRHKhBzxknB615B/wq/wl/wA89Z/8HV3/APHKP+FX+Ev+ees/+Dq7/wDjlNZVVUeVNbW3e3b8EJ5hTbu0+/z7npcfwV17WvHmi+LPHvjm31m40WQy2i2GiRWLuxGP3kgZmYDHA4/U1keO/hV8UPGmt3nhDXvGlvd+BZ0NwLybSbdrxHaQn7OjbtwKjGJMDg4wea4v/hV/hL/nnrP/AIOrv/45Vc/DzwONRXTjJq32tojMIv7au87Acbv9Z0zT/surom110/pfP5dg+v09Xr/X9fj3Pq/w5pNvoXh/T9Fs2ka3sbaO3iaRssVRQoJPrxV+vkn/AIVf4R/uax/4Orv/AOOUf8Kv8I/3NY/8HV3/APHKp5bWbu2v6+RMcdSirJM+tqK+Sf8AhV/hH+5rH/g6u/8A45R/wq/wj/c1j/wdXf8A8cpf2XW7r+vkV9fp9mfW1FfJP/Cr/CP9zWP/AAdXf/xyj/hV/hH+5rH/AIOrv/45R/Zdbuv6+QfX6fZn1tRXyT/wq/wj/c1j/wAHV3/8co/4Vf4R/uax/wCDq7/+OUf2XW7r+vkH1+n2Z9bUV8k/8Kv8I/3NY/8AB1d//HKP+FX+Ef7msf8Ag6u//jlH9l1u6/r5B9fp9mfW1FfJP/Cr/CP9zWP/AAdXf/xyj/hV/hH+5rH/AIOrv/45R/Zdbuv6+QfX6fZn1tXC/Gzwb4j8deEDoHh3xlL4VeWUfabmK2MryxYIMYw6lckjkHtjvXgf/Cr/AAj/AHNY/wDB1d//AByj/hV/hH+5rH/g6u//AI5UyymrJWbX4/5DjmNOLukz2H4S/Dnxp4Fsv7JPjPRJ9IS2dILW08OralZiOJWcSEuc8nPX1rntC+DfxF034rTfEOT4o6dPqF3ClreIPDiqsturqxQfvsKTtxuxXn//AAq/wl/zz1n/AMHV3/8AHKP+FXeE/wDnnrP/AIOrv/45V/2bX51O6v8A15EfXqXK42dj27wzo3xFvPGHjDVda1qXTNKuo2tNCsD5c4hwP+PpgOMk9EJ6ZziuU0v4CXV54p0zWPGfibS9TttMu1vYLPTPD0GnLNOv3XmZCS+DzjivPP8AhV/hH+5rH/g6u/8A45R/wq7wl/zz1n/wdXf/AMcpRyutFppq6/q+2/8AXYqWYU5Jpp6nf+Lfgp441v4nSeNl+JVg/kuTpdlf6ALqHT17eWplC7x/f25q/wDFX4TePfH3h/RdJvPidDbR2i51KNNHxDqL5BG9FlGExwUyQa8x/wCFXeEv+ees/wDg6u//AI5R/wAKv8Jf889Z/wDB1d//AByksqqqKjdWX9dh/wBo0+bm1uez6T4F+Iln4E1Lw23xE0+2nkiSLS7rTdAS1XTwp5xGJCGBHHbFWfif8P8AxF40+Gdt4LXxo1gZUji1W/FnvlvIwPnVQHATd368HGK8P/4Vf4S/556z/wCDq7/+OUf8Kv8ACX/PPWf/AAdXf/xyiWV1ZXu10/D5ff36kxx9ONrJ6fr/AFp26Hunj34TeHfFHwmX4dx79LsIIo1s5bcDdbvHgowHfkc+vPNYXhj4Q64fH+j+MvH3jg+Jr3Q4Gh0yKDTVs4o9wwWcBmLt78V5R/wq/wAJf889Z/8AB1d//HKP+FX+Ev8AnnrP/g6u/wD45VLLa6k5XV9/ntfbfzF9epcqjZ22+XY+tZPuN9DXh37DH/Juej/9fl5/6PevOm+F/hLafk1jof8AmNXf/wAcrgvgB4F8Pa38L7HUb9dSNw9xOreTqdxCuBIQPlRwo/Ks3l1VSUbrUtY2nyuVmfanxF8Jab458Gal4W1dpktL+Ixu8LYdD2Ydsg8815RefBPx1q3hODwPr/xae68JxIkLW1voscN1JCn3UabeewAJ281wH/Cr/CX/ADz1n/wdXf8A8co/4Vf4S/556z/4Orv/AOOU1lVW71Wv6fIX9oU/M9w8T+BfF2yytfA3juPw/plrYpZf2dd6THfQMijAYbmUg44OSQa57wj8F9W8F+FNZj8L+N7iz8SapfDUJ76PToVtzIOfKW34VYz0xn8a8w/4Vf4S/wCees/+Dq7/APjlB+F/hEA5TWeP+o1d/wDxym8rravmV31vrvft3EsfSVlZ2X+Vj0X4SfCnxQ3jWy+KPxK1S3bxUlq8AsbCzigiiDZBMjxk+a2D17dOcV7jXyDp3w88D6haLd2MmrTwOSFkXWrvBwcHrJ6irH/Cr/CP9zWP/B1d/wDxyn/ZtVpWat/T7B9ep3bs7n1tRXyT/wAKv8I/3NY/8HV3/wDHKP8AhV/hH+5rH/g6u/8A45R/Zdbuv6+Q/r9Psz62or5J/wCFX+Ef7msf+Dq7/wDjlH/Cr/CP9zWP/B1d/wDxyj+y63df18g+v0+zPraivkn/AIVf4R/uax/4Orv/AOOUf8Kv8I/3NY/8HV3/APHKP7Lrd1/XyD6/T7M+tqK+Sf8AhV/hH+5rH/g6u/8A45R/wq/wj/c1j/wdXf8A8co/sut3X9fIPr9Psz62or5J/wCFX+Ef7msf+Dq7/wDjlH/Cr/CP9zWP/B1d/wDxyj+y63df18g+v0+zPraivkn/AIVf4R/uax/4Orv/AOOUf8Kv8I/3NY/8HV3/APHKP7Lrd1/XyD6/T7M+tqK+Sf8AhV/hH+5rH/g6u/8A45R/wq/wj/c1j/wdXf8A8co/sut3X9fIPr9Psz62or5J/wCFX+Ef7msf+Dq7/wDjlH/Cr/CP9zWP/B1d/wDxyj+y63df18g+v0+zPraivkn/AIVf4R/uax/4Orv/AOOUf8Kv8I/3NY/8HV3/APHKP7Lrd1/XyD6/T7M9P+Nnwj8Z/EbW7CeL4g2Wl6Zpl9Ff2Fo2iCZopkBwWk81Sw56EVteL/AnjjxD4X0nTZvGmhyX1rv+2zXvhmG6gumP3WETviMqMjgnOa8W/wCFX+Ef7msf+Dq7/wDjlH/Cr/CP9zWP/B1d/wDxyksqqqPLdWvfruP+0Kd+az7HpenfCvXPh/4A8UP4NvH1fxx4gdPM1ErFaJE2QoZU+6iIpZtoyT05p/xL+Enjjxr4J8PeHZPidLaLZQj+1jJYeaNTk4P7zbInydRt6HPNeY/8Kv8ACX/PPWf/AAdXf/xyj/hV/hL/AJ56z/4Orv8A+OUPK6r3a6fht0/r5ISzCmtr9fxPafCvgTx9pPhS70Gb4hWMIWONdLk0vw/FaLZFGzjZuZXU4wRxwTzWZovwd1e8+I2neOfiD4zTxJqGlQyQ2MNtpaWUSh1KsXAZi/BPcV5T/wAKv8JZ/wBXrP8A4Orv/wCOUf8ACrvCX/PPWf8AwdXf/wAcp/2ZWbu2v607C+v0kuVJ2O0k/Z21hNA1HwRY/Eee28Cajem6n0z+zEa5ALhyi3G7gZUfw16Za+C9Xs/F2n3Fn4pli8KWmmmxbQPsylJTt2iQyZzn2xXz/wD8Kv8ACX/PPWf/AAdXf/xyj/hV/hH+5rH/AIOrv/45S/suta11/Strprp3G8fTvez/AKd/lqtTs3/Z11dPD1/4GtPiPcW/gO+vDcy6YNMQ3IBcOUW43cDIH8NdDrnwZ1Oy8bDxd8OfGI8LX0mnJp11HPpy3kUsSY2kKWXa3A55ryv/AIVd4T/556z/AODq7/8AjlH/AAq/wl/zz1n/AMHV3/8AHKP7LrWtdfj2tr30D6/S7P8Ap3/M+gPgz8OtP+GnhI6HZXtxqE0073N3dzgB5pWOScDoPQc/WvD/APgpH/yS7w3/ANhv/wBoSVn/APCr/CX/ADz1n/wdXf8A8cryT9qHwfonh3wfpV1pa34ll1Axt59/NONvlseBIxAPHUc1NbA1YRc5Naf12HTxdOUuVJ6nsX7QxI+Hnibb1w386Xw5oa2pkuLfwZomg3XkEQXduY5G3EdCFjU4/Gm+PPGPgyfUdX0DW7XVLqIXEkNxENJunRiGIOGVMEe4NYml+LPh7plyLmxtfEEcoBUFtP1CQYPswI/SvRp1KW7ktl112/rqcVSFS1lF7vp6f5Fq18X6zeaJpVhbpar4luL5rK7UxExwmI/vpNuc7cAkc81VXxX4t1i41htD065SPT7uW0iRLOGZZGjJGXZ50ZckdAvA9alg8ZfD6DW59bh0/VU1K4QJLcDRLzcygYA+5jp7VWvvEvw1vb6S+uNN1g3EuPNePSb6PzMdNwRQG/EGm6sXa9Rff6f8HTz8hKm1tB/d/X9LzNaXXPFF1r+gaRGllpE1/pzXN4ssf2gwSDqEIYBsfXFc74s8ReIrv4ceLNupraX+i3j2zXVrEUMyjBBGGzGcHnBNbK+OvAa3tvepY6qlxbRGGB10O7Xy4z/CAI8AVF/wmHw8+zahbf2bqhh1Fy94h0O7InYjBLfu6J1IST/eLW/XzTX4aBCEotPkelun3ncaFFfRabENQvlvZioPmLB5XGOmMn8815UNMt9U1DxrCvg+XVtRfUWjtr4LCnkN5a4/eswkTB5yoNdJpXj3wTpdmtnYQ67FAv3VOk3r4/FkJpbHx94HsZbmS0ttYhe6l86crol3+8fAG4/u+uAKurUo1JazVrNbrrb/AC33IpwqwXwvp0Eiu/F9lrPhzwiup2RnbSvMv72aEzOZE4JXkbskd/rV621XXNY8VanoOnalaWI0hIlnme082S4kdA24JuAROfU85qk/j7wO+px6m1trBvYozEk39iXe5UPVf9X0qnq3ir4c6rdrd32n6w9yq7BMmkX0UhX0LIgJHsc0OtDfnW76+tvuGqU/5X93oUvFut6zrHwv8ZW1xPbQXOkytay3FvHujulAQ5UE/IfmweTggitO5luNLXwJaTJpt9JdXKxiZ7BVaBfLXBj5O1u2e+Kb/wAJh8PP7EfRBpupjTZFKvbjQ7sK4Jyc/u8kk8k5yakuPHHgO4exeey1aRrBg9oTol3+5YDGR+79BUxnTTvzq/u9ez1+8bhNq3I/tdO60F+HL+ILjxX4qW919rq1tNTEYhe34wYYyApLHYOegHJye9eg15zF4x+H0WtSazFZazHfy48yZNIvV38AZZQm0nAAyRnitL/hZ3hX/qN/+CS7/wDjdaUq9KEFFzWnmTUpVJSclF/cdpRXF/8ACzvCv/Ub/wDBJd//ABuj/hZ3hX/qN/8Agku//jdafWaP86+8j2FT+V/cdpRXF/8ACzvCv/Ub/wDBJd//ABuj/hZ3hX/qN/8Agku//jdH1mj/ADr7w9hU/lf3HaUVxf8Aws7wr/1G/wDwSXf/AMbo/wCFneFf+o3/AOCS7/8AjdH1mj/OvvD2FT+V/cdpRXF/8LO8K/8AUb/8El3/APG6P+FneFf+o3/4JLv/AON0fWaP86+8PYVP5X9x2lFcX/ws7wr/ANRv/wAEl3/8bo/4Wd4V/wCo3/4JLv8A+N0fWaP86+8PYVP5X9x2lFcX/wALO8K/9Rv/AMEl3/8AG6P+FneFf+o3/wCCS7/+N0fWaP8AOvvD2FT+V/cdpRXF/wDCzvCv/Ub/APBJd/8Axuj/AIWd4V/6jf8A4JLv/wCN0fWaP86+8PYVP5X9x2lFcX/ws7wr/wBRv/wSXf8A8bo/4Wd4V/6jf/gku/8A43R9Zo/zr7w9hU/lf3HaUVxf/CzvCv8A1G//AASXf/xuj/hZ3hX/AKjf/gku/wD43R9Zo/zr7w9hU/lf3HaUVxf/AAs7wr/1G/8AwSXf/wAbo/4Wd4V/6jf/AIJLv/43R9Zo/wA6+8PYVP5X9x2lFcX/AMLO8K/9Rv8A8El3/wDG6P8AhZ3hX/qN/wDgku//AI3R9Zo/zr7w9hU/lf3HaUVxf/CzvCv/AFG//BJd/wDxuj/hZ3hX/qN/+CS7/wDjdH1mj/OvvD2FT+V/cdpRXF/8LO8K/wDUb/8ABJd//G6P+FneFf8AqN/+CS7/APjdH1mj/OvvD2FT+V/cdpRXF/8ACzvCv/Ub/wDBJd//ABuj/hZ3hX/qN/8Agku//jdH1mj/ADr7w9hU/lf3HaUVxf8Aws7wr/1G/wDwSXf/AMbo/wCFneFf+o3/AOCS7/8AjdH1mj/OvvD2FT+V/cdpRXF/8LO8K/8AUb/8El3/APG6P+FneFf+o3/4JLv/AON0fWaP86+8PYVP5X9x2lFcX/ws7wr/ANRv/wAEl3/8bo/4Wd4V/wCo3/4JLv8A+N0fWaP86+8PYVP5X9x2lFcX/wALO8K/9Rv/AMEl3/8AG6P+FneFf+o3/wCCS7/+N0fWaP8AOvvD2FT+V/cdpRXF/wDCzvCv/Ub/APBJd/8Axuj/AIWd4V/6jf8A4JLv/wCN0fWaP86+8PYVP5X9xjaj/wAnOaP/ANizL/6Nkr02vEr3xfpMnxz03xMtvrJ0uHQ5LR5v7JuciUyOQu3ZuPBHOMV3P/CzvCv/AFG//BJd/wDxusaOIpLmvJb9zSpRqPl917B8OHz4i8aQFiZF1gNsPUKbeHB+nWsjTbG41rXPiPZ2WovYtc3EMEV2hP7txBHkDBH0OPWjVPFPw41O8+23mn6y10V2GaPSb6J2XsGZEBYfXOKli8Y/DyLSG0mPTNSSxfO+EaFd4Y+p/d5Lf7Wc+9Rz0nFRlJaK2++y+WxXLUUnJRevl8xvhNYNB1+28N6j4Zs9E1a6sZBBqGmyZhugnBZxgMHGVb5weScHrWX/AGbF4Jt7a88VeGNP1WJLxQviG1k/0sl2O15A2HJ52/K54HTFaGn+J/htYTSz22mav50sRheSXSL2Zyh6rudCQDnoKoaVqnw00+/kulttfuB5qyW0FxpV7JDa4UACNGQqOhPTIycYFHtIXi+dXXmu99v8rD5J6+6/x/r8z1oHIyOQeaWuL/4Wd4V/6jf/AIJLv/43R/ws7wr/ANRv/wAEl3/8brp+s0f5l95h7Cr/ACv7jtKK4v8A4Wd4V/6jf/gku/8A43R/ws7wr/1G/wDwSXf/AMbo+s0f5194ewqfyv7jtKK4v/hZ3hX/AKjf/gku/wD43R/ws7wr/wBRv/wSXf8A8bo+s0f5194ewqfyv7jtKK4v/hZ3hX/qN/8Agku//jdH/CzvCv8A1G//AASXf/xuj6zR/nX3h7Cp/K/uO0ori/8AhZ3hX/qN/wDgku//AI3R/wALO8K/9Rv/AMEl3/8AG6PrNH+dfeHsKn8r+47SiuL/AOFneFf+o3/4JLv/AON0f8LO8K/9Rv8A8El3/wDG6PrNH+dfeHsKn8r+47SoNQtvtllNa/aLi381Cnm27bZEz3U4OD71yX/CzvCv/Ub/APBJd/8Axuorv4jeD7u2ktp11xopBtYDR7xSR9QgI/CpliKLTXMvvGqNRP4X9xX+EdhDpfiDxnZW5naKHU0wZpWkc/KclmYkkmsS+8PDwJo11r2paJ4Y122jvTcyXEluRdhXcYCMwIJU9BVvSfEHwy0q/a+0/TdcguWYs7jTdQbecYywZSGOD3BpINd+F0E8c0ekauTE++NH0m+eNG9RGylR7ccdq51Knyx95XStv6f5G3LO7912eu3r/melh4bi0GWKJLEGxuKsFI9RyOvUdK8v1iwg8P8AjXwze/8ACP23hu1e7a3+06fIJXvHcELHKAF+Uk7ix3EEdutPPifwZP4qvdd1B9YuvPs/sMVudBuwkcJ++D8nzFsD0qWx8R/DOyvIry30zWfPh/1Ty6VfS+X7qHUhT7jFXKtTlKMuZKz7ro/8vPr1IjSnFNWbuu3kWfilpmgKkOmWHh3R5vEWuymG3leyjZ0yMyTsSM/KuTn1AqA6Fp8Hjjw74LuohPolno8ksNrN80dxMrBdzr0cgEnn61cPjrwIdYGsGz1c6gIfJE50S7LBM5Kj93gdO1R614y+H+siH+07HV7hoG3RP/Y14jxnodrKgYfganmop35lv30tql+d/X0uVy1LW5Xt+P8AWnp6ln4fhNP8a+LtHsmEekWssDwwg4jt5HUl0QdFGew4qt8SUGo+M9A021todYu0jkmk0i74tZIuhlcnIDLn5cq30HWoP+En+Gv9hzaIdJ1M6dOd00B0S8IlOc5Y7NzH3JzT9V8WfDnVPs327TtXla1BW3ddHvUeMEYIDqgYDHbOKHUpuEYc60t1/rytvp23BQnzOXK9fL+t9bmZ4T1e88N6N4itodJul1sXy/8AEotreSa1sPM+6yeXuPlYO5sAdOFFP+H0tlY/FC8gE2q3V1daYjXNzcadcRGaYuCzEOg2L6Zwo6CtbRvG3gHRoZIdMstXtllcySEaLeM0jerMyFmP1NSp4+8Drqb6ottrAvZIhC839iXe4oDkL/q+macJ04uLc1p/k13/AK/AJQm1Jcr1/wA0zvW+630Neafsxf8AJHNN/wCvm5/9Gmtc/E7wrtP/ACG+h/5gl3/8brh/gX4w0nwz8NrLR9Zt9Zt72KednjXSblwA0hI5VCOlVLEUvaxfMtn19BKjU9m1yvdfqd98Zd3/AAq/Xyu7ItGPHbil+J9xEPhNrlwsoEcmmP5bg8MSvGD71Wl+JXhGWNopY9YkjcFWVtDuiGHoR5fNYdvrfwtgkjePR9VxE26ON9IvniQ9sRspQY7ccdqmrUpzUo86s/McITi4vlfuu+3p/kXtZ8M6pqCeH9Ris9P1iGysFin0bUGIjYkcyrwV3gcDcO3WoPso8ZeCtPPhq1jsF0+9cT6LfyMYJmjYh7dypIKAg4wCuO2OKk1bxd8PdWnW4v7LWpJlXYJE0m+iYr6EogJHsapatr3w4vtCj0iK01qwjgVhay2mi3cclsWGCyERg5PfOc980VKlNuT5lrrut733/R3+SCFOolFWenl5G94Cu9KtfEOp+Ho/C0PhzVIYknmgtnVreZDwHXYAAeMcqDXb15zofjLwDosbrp9prMbyY82VtGvHklIGBudkLH860v8AhZ3hX/qN/wDgku//AI3W0cRSUUnNf1/X/DGUqNRu6iztKK4v/hZ3hX/qN/8Agku//jdH/CzvCv8A1G//AASXf/xuq+s0f5194vYVP5X9x2lFcX/ws7wr/wBRv/wSXf8A8bo/4Wd4V/6jf/gku/8A43R9Zo/zr7w9hU/lf3HaUVxf/CzvCv8A1G//AASXf/xuj/hZ3hX/AKjf/gku/wD43R9Zo/zr7w9hU/lf3HaUVxf/AAs7wr/1G/8AwSXf/wAbo/4Wd4V/6jf/AIJLv/43R9Zo/wA6+8PYVP5X9x2lFcX/AMLO8K/9Rv8A8El3/wDG6P8AhZ3hX/qN/wDgku//AI3R9Zo/zr7w9hU/lf3HaUVxf/CzvCv/AFG//BJd/wDxuj/hZ3hX/qN/+CS7/wDjdH1mj/OvvD2FT+V/cdpRXF/8LO8K/wDUb/8ABJd//G6P+FneFf8AqN/+CS7/APjdH1mj/OvvD2FT+V/cdpRXF/8ACzvCv/Ub/wDBJd//ABuj/hZ3hX/qN/8Agku//jdH1mj/ADr7w9hU/lf3HaUVxf8Aws7wr/1G/wDwSXf/AMbo/wCFneFf+o3/AOCS7/8AjdH1mj/OvvD2FT+V/cdpXNfEDWdQ0vTIoNKtbt7u8k8lbmGyluEtFx80rLGrHgdBjkkds1Q/4Wd4V/6jf/gku/8A43R/ws7wr/1G/wDwSXf/AMbqJ16Uo2U195UaVRO/K/uMT4SyabZ+MPE2m2X9pMGNu/mXNlOjO2197OXUbST2bGe3Suu8a/8ACKx6cmoeKIra5tYGxFHMvmq7ngBYuQ7noOCeT05rmbzxv4PMOpyacurWd/qEWyS6/sK7Y5wQrEbBnG44rKtdS+F6aNpWm3Vhrd2NLUi3lfSb5XVm5ZgVUYJOay9tDk5OaOluv6eRp7KXNzWf9L9Tofht4Zlj8N39vrulpHp9/eNPaaTcgSraw8bUKnIHPO0dKy/C2iaHrfxEl1rR9HsLLSdBZ7eB7a2SL7VdEYdiVAyqAkD3bParOm+MvAOmxTx2dvr6JOMSB9Nv5Mj/AIGpx17YqfSfHvgbSbCKw0211e1tYs7Io9Eu8Dv/AM8+acZ0E4+8rRXf5L7l+PoJxq2l7r18vv8A67FbU9Gi0/40+HLxbm/uZ7yG8Z2uLhnCjbwqL91VHoB+dejEqTsJXOPu55xXll3rXwuu78X9zpmuyXQJKynT9RDLnrtwPlz6DFaSeNvAK6wNYWy1f+0BB9nFx/Yt5v8AL4O37nTgU6VanBcvMvvFOlOTvyv7jP8AHvhvw3qeuWXgzSPD+kwXl5/pOoXMNlGr29qpG4hgMhnOFHf5ian8eXn2ue48OzWmrWmg2FqTKYtMuZBeuF+VA8aFRGpALHPOMdCat2njrwJaajd6jb2erx3d5t+0TDRLstJt6Akx9B6CrU3xK8IzQvDKmtPG6lWU6Jd4IPUf6uspOk6bipq7+7y+787+hcVUUk+V6f0/67WLfwiu4rv4d6L5SzjyrVEbzYHj5HpvA3D3GR7153+2P/yImjf9hM/+imrtdP8AiF4L0+yhsrKDWILaFQkUa6Jd4VR2H7uvK/2ovF+jeIvB+lWum/2h5kWoGRvtGnzQLjy2HBkUAnnoOavGYinOlK0lcWGozjUTcWfoNpH/ACC7X/rkv8qtVV0j/kF2v/XJf5Var509oKKKKACiiigAooooAKKKKACiiigAooooAKKKKACiiigAooooAKKKKACiiigAooooAKKKKACiiigAooooAKKKKACiiigAooooAKKKKACiiigAooooAKKKKACiiigAooooAKKKKAKtwT/aVoO22T+lWqqXH/ITtP8Adk/pVugAooooAKKKKACiiigAooooAKKKKACiiigAooooAKKKKACiiigAooooAKKKKACiiigAooooAKKKKACqumkmKbP/AD3k/wDQjVqqumf6qb/rvJ/6EaALVFFFABRRRQAUUUUAFFFFABRRRQAUUUUAFFFFABRRRQAUUUUAFFFFABRRRQAUUUUAFFFFABRRRQAUUUUAFFFFABRRRQAV8s/8FI/+SXeG/wDsN/8AtCSvqavln/gpH/yS7w3/ANhv/wBoSUAcZ45/a68a+FPGeteGbPwz4fnttKvprOKSUTb3WNyoLYcDJA7Vjf8ADbXj7/oU/DP5T/8AxyiigA/4ba8ff9Cn4Z/Kf/45R/w214+/6FPwz+U//wAcoooAP+G2vH3/AEKfhn8p/wD45R/w214+/wChT8M/lP8A/HKKKAD/AIba8ff9Cn4Z/Kf/AOOUf8NtePv+hT8M/lP/APHKKKAD/htrx9/0Kfhn8p//AI5R/wANtePv+hT8M/lP/wDHKKKAD/htrx9/0Kfhn8p//jlH/DbXj7/oU/DP5T//AByiigA/4ba8ff8AQp+Gfyn/APjlH/DbXj7/AKFPwz+U/wD8coooAP8Ahtrx9/0Kfhn8p/8A45R/w214+/6FPwz+U/8A8coooAP+G2vH3/Qp+Gfyn/8AjlH/AA214+/6FPwz+U//AMcoooAP+G2vH3/Qp+Gfyn/+OUf8NtePv+hT8M/lP/8AHKKKAD/htrx9/wBCn4Z/Kf8A+OUf8NtePv8AoU/DP5T/APxyiigA/wCG2vH3/Qp+Gfyn/wDjlH/DbXj7/oU/DP5T/wDxyiigA/4ba8ff9Cn4Z/Kf/wCOUf8ADbXj7/oU/DP5T/8AxyiigA/4ba8ff9Cn4Z/Kf/45R/w214+/6FPwz+U//wAcoooAP+G2vH3/AEKfhn8p/wD45R/w214+/wChT8M/lP8A/HKKKAD/AIba8ff9Cn4Z/Kf/AOOUf8NtePv+hT8M/lP/APHKKKAD/htrx9/0Kfhn8p//AI5R/wANtePv+hT8M/lP/wDHKKKAD/htrx9/0Kfhn8p//jlH/DbXj7/oU/DP5T//AByiigA/4ba8ff8AQp+Gfyn/APjlH/DbXj7/AKFPwz+U/wD8coooAP8Ahtrx9/0Kfhn8p/8A45R/w214+/6FPwz+U/8A8coooAP+G2vH3/Qp+Gfyn/8AjlH/AA214+/6FPwz+U//AMcoooAP+G2vH3/Qp+Gfyn/+OUf8NtePv+hT8M/lP/8AHKKKAD/htrx9/wBCn4Z/Kf8A+OUf8NtePv8AoU/DP5T/APxyiigA/wCG2vH3/Qp+Gfyn/wDjlH/DbXj7/oU/DP5T/wDxyiigA/4ba8ff9Cn4Z/Kf/wCOUf8ADbXj7/oU/DP5T/8AxyiigA/4ba8ff9Cn4Z/Kf/45R/w214+/6FPwz+U//wAcoooAjf8AbU8eNPHMfCfhrdGGA4n7/wDbT2qT/htrx9/0Kfhn8p//AI5RRQAf8NtePv8AoU/DP5T/APxyj/htrx9/0Kfhn8p//jlFFAB/w214+/6FPwz+U/8A8co/4ba8ff8AQp+Gfyn/APjlFFAB/wANtePv+hT8M/lP/wDHKP8Ahtrx9/0Kfhn8p/8A45RRQAf8NtePv+hT8M/lP/8AHKP+G2vH3/Qp+Gfyn/8AjlFFAB/w214+/wChT8M/lP8A/HKP+G2vH3/Qp+Gfyn/+OUUUAH/DbXj7/oU/DP5T/wDxyj/htrx9/wBCn4Z/Kf8A+OUUUAH/AA214+/6FPwz+U//AMco/wCG2vH3/Qp+Gfyn/wDjlFFAB/w214+/6FPwz+U//wAco/4ba8ff9Cn4Z/Kf/wCOUUUAH/DbXj7/AKFPwz+U/wD8co/4ba8ff9Cn4Z/Kf/45RRQAf8NtePv+hT8M/lP/APHKP+G2vH3/AEKfhn8p/wD45RRQAf8ADbXj7/oU/DP5T/8Axyj/AIba8ff9Cn4Z/Kf/AOOUUUAH/DbXj7/oU/DP5T//AByj/htrx9/0Kfhn8p//AI5RRQAf8NtePv8AoU/DP5T/APxyj/htrx9/0Kfhn8p//jlFFAB/w214+/6FPwz+U/8A8co/4ba8ff8AQp+Gfyn/APjlFFAB/wANtePv+hT8M/lP/wDHKZB+2r48hVlXwn4a+Z2c8T9Sc/8APSiigB//AA214+/6FPwz+U//AMco/wCG2vH3/Qp+Gfyn/wDjlFFAB/w214+/6FPwz+U//wAco/4ba8ff9Cn4Z/Kf/wCOUUUAH/DbXj7/AKFPwz+U/wD8co/4ba8ff9Cn4Z/Kf/45RRQAf8NtePv+hT8M/lP/APHKP+G2vH3/AEKfhn8p/wD45RRQAf8ADbXj7/oU/DP5T/8Axyj/AIba8ff9Cn4Z/Kf/AOOUUUAH/DbXj7/oU/DP5T//AByj/htrx9/0Kfhn8p//AI5RRQAf8NtePv8AoU/DP5T/APxyj/htrx9/0Kfhn8p//jlFFAB/w214+/6FPwz+U/8A8co/4ba8ff8AQp+Gfyn/APjlFFAB/wANtePv+hT8M/lP/wDHKP8Ahtrx9/0Kfhn8p/8A45RRQAf8NtePv+hT8M/lP/8AHKP+G2vH3/Qp+Gfyn/8AjlFFAB/w214+/wChT8M/lP8A/HKP+G2vH3/Qp+Gfyn/+OUUUAH/DbXj7/oU/DP5T/wDxyj/htrx9/wBCn4Z/Kf8A+OUUUAH/AA214+/6FPwz+U//AMco/wCG2vH3/Qp+Gfyn/wDjlFFAB/w214+/6FPwz+U//wAco/4ba8ff9Cn4Z/Kf/wCOUUUAH/DbXj7/AKFPwz+U/wD8co/4ba8ff9Cn4Z/Kf/45RRQAf8NtePv+hT8M/lP/APHKP+G2vH3/AEKfhn8p/wD45RRQAf8ADbXj7/oU/DP5T/8Axyj/AIba8ff9Cn4Z/Kf/AOOUUUAH/DbXj7/oU/DP5T//AByvPPjv+0D4k+Lvh6w0XWtF0mwhsrv7Uj2fmbmbYy4O5iMYY0UUAf/Z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676775" y="400050"/>
          <a:ext cx="304800" cy="2908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304800</xdr:colOff>
      <xdr:row>4</xdr:row>
      <xdr:rowOff>95250</xdr:rowOff>
    </xdr:to>
    <xdr:sp macro="" textlink="">
      <xdr:nvSpPr>
        <xdr:cNvPr id="8" name="AutoShape 1" descr="data:image/jpg;base64,%20/9j/4AAQSkZJRgABAQEAYABgAAD/2wBDAAUDBAQEAwUEBAQFBQUGBwwIBwcHBw8LCwkMEQ8SEhEPERETFhwXExQaFRERGCEYGh0dHx8fExciJCIeJBweHx7/2wBDAQUFBQcGBw4ICA4eFBEUHh4eHh4eHh4eHh4eHh4eHh4eHh4eHh4eHh4eHh4eHh4eHh4eHh4eHh4eHh4eHh4eHh7/wAARCAHuA7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MVV2jgUu1f7ooT7o+lLQAm1f7oo2r/dFLRQAm1f7oo2r/dFLRQAm1f7oo2r/AHRS1keJfFHhvwzFDL4i13T9JSclYmu5xGHI6gZ69aASua21f7oo2r/dFcnZfE34c3tyltZ+OfD887nCRpeoWY+1dYjK6hkYMpGQQcg07O1wDav90UbV/uis258Q6Dba9b6BcaxZRatcJ5kFk8oE0i88qvUjg/lWnSATav8AdFG1f7orHi8WeF5vET+HIvEOmvrKfesFuFMw4zyvXoRWzR0uHWwm1f7oo2r/AHRWFeeNfB9nr48P3fifSYNXLKospLlRMSwyBt68it+jpcPIbtX+6KNq/wB0VBqd/Y6Xp82oaldw2dnAu+aeZwqRr6knpVLw34k8PeJraS68O63YatBE+ySS0mEio2M4JHQ4NC1A1Nq/3RRtX+6Kivbu1sbWS6vbmK2gjG55JXCqo9STXN2XxJ+Ht9erZWfjbQJ7lztWJL1CxPpjNHkHS51O1f7oo2r/AHRSqysoZWDA9CDkGsXVvFnhfSNXt9H1XxDpljqNyAYLWe4VJJATgYU9ckUdbAbO1f7oo2r/AHRTqzLHxBod9rF3o1lq9lc6lZgG6tI5Q0sIPTcvUUB0uaO1f7oo2r/dFc/4h8c+C/Dt+LDX/FWkaXdlA4hurlY32nocHtxTdD8feB9cuxZ6N4u0XULg9Ire7Vm/Kha7A9Nzotq/3RRtX+6KWigBNq/3RRtX+6K5fVfiP8P9J1CbT9T8aaFZXkDbZYJrxVdD6EHpUug+PvA+vakmm6J4u0XUr2QEpb210ruwAySAPQULXYHpudHtX+6KNq/3RWFrXjTwjomqx6TrHibStP1CUKY7a4uVSRgxwuAfU1vAggEHIIyDR0uHkJtX+6KNq/3RTLq4gtbaW6upkhghQySSO2FRQMkk9gBWV4a8WeGPE3nf8I74g03VvIx532ScSbM9M46ULUDY2r/dFG1f7opa5O/+Jnw6sL2ayvvHGgW1zA5jlikvVVkYdQR2NFwOr2r/AHRRtX+6K47/AIWv8Mf+igeG/wDwOSr+u+PPBOg3MdtrXizRtOmkjEqR3N0qMyHowB7GgDotq/3RRtX+6K43/hbHww/6KB4b/wDA5K1vDnjPwj4klni8P+JdK1WSBPMmW1uFkMa9MnHQUAbm1f7oo2r/AHRWd4e1/Q/EVm95oOr2WqWyP5bS2sokUN6EjvUuuaxpWhabJqWtaja6dZRkB7i5kCIpJwMk+poem4LUubV/uijav90VHZ3Nve2kV3Zzx3FvMgeKWNsq6noQe4qWhqwJ3E2r/dFG1f7oqh4g1zRfD2nnUNe1Wz0yzDBfPupQibj0GTU+l6hY6rp8OoaZeQXlnOu6KeFwyOvqCOtAFjav90UbV/uiqWu6xpOg6a+pa3qVrptkhCvcXMgRFJ6Ak0/RtU03WtOi1LSL+2v7KYZjnt5A6OPYigC1tX+6KNq/3RWdrfiDQtDktY9Z1ey097yTy7ZbiUIZn/urnqeRUmvazpOgac+pa5qVrptkjBWnuZAiAnoMmi+lwsXdq/3RRtX+6Kq6Pqem6xp0WpaTfW9/ZTDMU9vIHRx7EVBrXiDQtEmtIdY1iy0+W8fy7VLiUIZm4+Vc9TyPzotrYOlzR2r/AHRRtX+6KoeINc0bw9Yi+17VLTTLUuIxNdShE3HouT3qDVPFHhvS5rGHU9d0+zk1DH2JZpwpuM4+5nr1H50LXYHpua21f7oo2r/dFONZfiDxFoPh6OCTXtZsdMS4k8uFrqYIJH/urnqaANLav90UbV/uisfxJ4r8MeGkgfxF4g03SVuM+SbucRiTGM7c9eo/OsX/AIWx8MP+igeG/wDwOSgDstq/3RRtX+6KoXOuaNbaF/b1xqlpFpXliX7Y8oEOw9G3dMHIrnV+K3wxZgq+P/DhJOAPtyUdbB0udjtX+6KNq/3RTLW4t7q3S4tZo54ZAGSSNgysPUEVT1/XdF8P2X23XdWstMts4826mEa5+poem4LXYv7V/uijav8AdFZHhzxV4Z8SK7eH9f03VRH9/wCy3Cybfritmiwrjdq/3RRtX+6Kx7TxZ4XvPEEvh618QabPrEWfMsUuFMyY65Xr3FbNHS4+thNq/wB0UbV/uiuY1b4jeANI1GbTtU8Z6FZXkDbZYJ7xVdD6EHpWh4b8VeGfEqyN4e1/TdVERxIbS4WTaffFC12B6bmvtX+6KNq/3RWXqfiXw9perWmkalrdhZ6hef8AHrbTTBZJv90HrWt3xR5gN2r/AHRRtX+6KzNL8R+H9V1S80vTNasby+sji6t4Zg0kJ6fMB0rUo8wE2r/dFG1f7opScAk8Cs3w/wCINC8QwTT6DrFlqcUMnlyvayhwj/3SR0NAGjtX+6KNq/3RWNB4t8LXHiKTw5B4h0yXWYiRJYrcKZlI65XrxW0SACTwB1o6XDrYTav90UbV/uis7w/r+h+ILeW40LV7LU4YpPLke1lDqj/3SR0NWdT1Cx0uykvtSvILO1jGXmmcIqj3Joem4Fjav90UbV/uiud0Px94H129Flovi7RdQuT0it7tXY/hXR0WC4m1f7oo2r/dFYXiHxp4P8O3At9e8T6RpkzDIS5ulRiPoat+H/EOg+IbY3Og6zYanCOr2swkH6ULXYHpuaW1f7oo2r/dFRXt1bWNnNeXtxHb20CGSWWRtqooGSSewFZvhrxV4Z8TLM3h3X9N1YQY802k4k2Z6Zx0oWoGvtX+6KNq/wB0UtYniXxh4U8MzQw+IvEel6TLOpaJLu4WMuM4yAaANrav90UbV/uiq15qOn2WmSapeXkEFjHH5r3EjgRqmM7ifSuW/wCFsfDD/ooHhv8A8Dko62Dpc7Lav90UbV/uisrw14m8O+JoJZ/Duuafq0ULbJXtJhIEbGcHHStaiwXE2r/dFG1f7orD8R+MvCPhuZIfEHibStKlkGUS6uVQsPoauWmvaHeaM+tWur2M+mopd7uOYGJVHUlugFF9Lh1saG1f7oo2r/dFcb/wtj4Yf9FA8N/+ByUf8LX+GH/RQPDf/gclAHZbV/uijav90Uy0uILu1iurWZJ4JkEkUiHKupGQQe4IrJi8WeF5fETeHIvEOmvrKfesFuFMw4z93r0INOzvYOlzZ2r/AHRRtX+6Kiv7u1sLKa9vriK2tYELyzSttRFHUk9hXJf8LY+GH/RQPDf/AIHJSuB2W1f7oo2r/dFcd/wtf4Y/9FA8N/8Agcla2u+MfCeg2tpda14k0vToL1d9rJc3Cosy4BypPUYI/MUAbe1f7oo2r/dFcb/wtj4Yf9FA8N/+ByV0lxrWkW+hnXZ9TtItKEQmN40gEXlno27pjkc0dLh1sXtq/wB0UbV/uisvw34l8PeJreW48O63YatDE2yR7SYSBGxnBx0NatNpoLibV/uijav90Via94y8JaDqMOm654k0rTb2cBooLm5VHcE4BAPvxWhq+q6ZpGmSapqt/bWNjEoaS4nkCxqCcAkn6il0uOzvYt7V/uijav8AdFcb/wALY+GH/RQPDf8A4HJXQeHPEOg+JLN7zw9rFlqtsj+W0tpKJFDYztJHfkUCNLav90UbV/uisbRPFvhbXNSuNN0bxDpmoXttnz7e3uFeSPBwdwHTnita7uLeztZbq6mSC3hQySyOcKigZJJ7ACjpcFq7D9q/3RRtX+6KwpPGnhGPw8niKTxNpSaO7+Wt8blfJL/3Q3TNZX/C2Phh/wBFA8N/+ByUAdltX+6KNq/3RXJ2PxN+HN9eQ2dn448P3FzO4jiijvVLOxOAAO5JrrqLAN2r/dFG1f7opaKAE2r/AHRRtX+6KWigBNq/3RXhH7aviDXfDfgDQ7vw9rF/pNxLqpjkls7homdfKY7SVIyM84r3ivnT9vn/AJJr4f8A+wwf/RL0AfRSfdH0paRPuj6UtABRRRQAUUUUAFfPv7XlvBd638O7a6hjmgl1ZkkjkUMrKdmQQeor6CrwL9rL/kZPhv8A9hhv/ZKIq9Wmv7yCTtTn/hf5Hfa58FvhdqllLZy+DNKtlfI8y0gEMi+4ZcGvNfg7ea18M/jNc/CHVL+fUNBuojcaLLM2WiXGQo9uoI6ZBPevot/vn6184fEB/wC0/wBs3wja2T5k0+0ja5wfujczYP4MPzop/wAWK6O6f3P8gn/Dk+2q+9Gh46/5PG8G/wDYL/8AZ5K9v8Rara6HoN/rN5II7eygeZ2PYAf44rxDx1/yeN4N/wCwX/7PJVn9srxUukeAbPw3HIyy67ciOUopZhAmC+AOucj8qht+wilu3Jf+TFpJ13fay/8ASUeJrpeuaJpGjfH5mnS8vvEUs0yP0W3dsJx6fK/4Yr7a068g1Cwtr+1YPBcxLNEw7qwBH6Gvm7xJ8W/hZqXwlm8BxQa6sA01bSFzprcMigK35j9a7D9jzxV/wkHwkg0y4l3X2izNaSq33tmdyEj0w23/AIDW6StKEdo2t6bfmk/mYtu8Zy3d7+u/+a+R4l8W/Cs3iP40fEi8sVY6josNvf2+09dqJuGO/Y/hX1T8IfFUXjT4c6N4gR1aWe3C3AB6Sr8r5/EZ/GvKfh3DFcftZ/ES3nUPFLYxI6kcFTEoIqL9nu9XwF8S/Gvwx1SbyrSCZtT08scKIiuWAHsu38QayotKlGL6xv8ANN3/AA/I0ra1JS7O3yaVvx/M1P2m72bxHrHhn4UadLtn1q5FzfbeqW6Zxn0BIb/vmsn9ii1hsoPG9lbgrBb6wYo8nOFXIHP0FXvgKreOPiT4x+Kt1l7fe2l6RnOFiQfMRnscqfqTVX9jtSx+ICjknWpAPzaineCl3cbv5tWX3W/EVX3muylb8Hf8fyMdLGb4+fGrWrHWL64Hgvwy4jS0gcos8uSMkjuSrc9cAYr07WfgH8K9S0c6aPC9vZfLtjuLYlJUPZt3VvxzmuF/Y5lji1n4iaa6hLqLVy7jvtLSAfqDX0TT5UoRXkn6tq4OTc5N9G16WPnn9mbV9a8NeP8AxL8INdv5L2PSR52mvI25liyMrn0wyHHQHOK5P9ozwfceN/2hZNHsZGjv4/DYurTBxmSOQkD8RnHviun8Iuuo/tseI7iyTfDZ6YY55F6Bv3ff8f0rVv8Aj9tSx/7Fw/8AoZpK9T2Um9Wnr6KVn+A3am6iS0VtPVxujpv2bPHreNvAMcOoMqa3pDCyv4ifmyvCuR7gEfVTXI/Bz/k6H4l/7kf/ALLWd44if4N/H3T/ABnZxhPDPilvsupRouEhlyPm9Bzgj/gdaHwZZJP2nviTJGwdGjiZWHRgduCKuEvaVYz7qV/Wyv8A5r1InHkpuHS8bel/02KPjDRdJ179six07W9NtdRs30MM0FzEJEJBbBweK7rxt8Bfhz4i0qS3s9BtNEvgpNtd2CCExv2JC4DDPrXKal/yezp//YC/q1e/LywHvWcYp0o/P/0pluTVWXy/9JR4l+y/4w8QXy674C8WzPc6v4bmEa3Ehy8sRJA3HvjA5POG9q9tHWvnD4CSf2p+0z8RtYs332QUxFgcgsXXH/oDV9HjrWik5QhN7tJsmyjOcFsmfM/w58J+G/FX7RPxKh8R6LZ6pHBMrRLcRhwhJGSM17d4d+HXgfw7qiapofhfTNPvUBVZ4IFVgCMHke1fPvhjRfG2s/tC/EWPwX4utvDksc4ad5rMT+auRgDIOK9o+H3hn4oaRrxuvFvxDstf00wsv2WLTVhbfkYbcAOnPHvU0f4VPp7o6n8SfXX/ACPB/wBoPwl/wmf7QWs6TErG7j8O/abXDY/eRqWA98gEfjXu/wCzr4tPjD4VaXeXDhr+0X7HeDPIkTjJ+o/lXDt/ye0OM/8AEi/9lNVfhky/Df8AaR8QeBZWEWleIV+26aM4RXGWCjtnbvH5UUdIRj/Mm/mm/wA1+QVvicv5WvucY/k7fedF+1RrVy3hvSvAOlS7dU8VXsdmMclId43tj07H2Jrjf2SdItvD/wAUPiDotmCILJ1hTJJOFfHU1ufDeRfiT+0Rrnjbd52j+Go/sGlnna0jcFx25Xd+lVP2cP8AkuXxQ/6+z/6MooaST6yUn8tLfhr8xV/ha/lcV89b/wCXyPoWuN1L4V/DrUtQn1C/8HaRcXVxIZJpXtlLOx6k8V2VU9c1O00XRrzVr+QR2tnA88rE4wqjJ/lUyaiuZ9Ckm3ZHzD8bPA3g/VPit4X+GfhDw7p+nXE0gutVuLa3VXSDGSMgcfLk/XFfQOvfDvwPr9xFc614Z03ULiKJYVlngVm2KMAZNeUfsraddeJtc8S/FrWYT9q1e5eGy3ZPlxbsttz24A+lfQFXyuMIxlvu/V9Pkv1JupTbjtt92/3v9D5X0LwH4Om/az1jw3L4c059Hi04SR2ZhHlq2wHIHrmvoLQ/BXhPwrb303hzQLDTJJ4SsrW8IQuo5wcV5D4c/wCT2Nd/7BY/9Fivfr7/AI8bj/rm38qzk7YaP+F/mykv38l5r8keHfsTED4Yajkgf8TSTqfrW1+18y/8KF1nDA/v7fv/ANNBXkH7N3wph8beDL7VZPGninRSl+8fkabdCOI9eSMda0P2g/g7B4T+Feo64njzxdqxglhX7Lf3YeF9zgZIx27VWJ1Svp8P6FUNKmmur/Nn0H8If+SVeFv+wVb/APosV1Nct8If+SVeFv8AsFW//osV01xLHBBJPKwSONSzMegAFbYlpVJt92YUFenH0R4H+0Dbf8LG+K3hj4VwyS/ZIVbUNVaLgouOAf8AgIBH1qz+yDq13a6Jr3w81WTN94av5IkU9fLLnP4bs49q89+FHxg8J2HxC8X+OfEianJeatP5NkttZtIsdsp+X5vXAApdN+JXhn/hqPTfFWgte2+ma5EtnqAu7cwhZCNgbnqOjVnQT92P8yd/V6r7tvmXWfxP+W1vRb/fdv5Hp/7ZqhvgpOp6G/twf++q4/8AZ/vrv4XfEu5+GGtTf8SrWVW+0aaRupdchQff7uP7wNdj+2X/AMkWm/7CFv8A+hVH+0D4HuPEnwu0vxFoqlPEHh+3ju7WRB87oqgsgxz2yB65qKclT55va6T9Gv00Zc4ufJBb2bXrf9djN/a0/wCRh+HH/YYP/slan7aKCT4ONG3RtTt1P0JNecfEzxtB8QPDvwn8RJsW5fVTHeRr/wAs512BhjsCRkexFek/tm/8kg/7ilv/AOhGipHlpcr/AJ/1iFOXNUuv5f8A5I5D9ny/u/hj8Sbz4V63NjTdVVb7RZpG6l1BCg+/TH94Gtj9q3/kbvhr/wBhZ/8A2StP9obwTceIPhrpfifRFKeIPDsMd1bOg+d4woLIMcn1A+teefErxrb+P9L+EfiOPYtxLqbR3ca/8s51KBxjsCRkexFbrWtBdYyS+XR/o/QxelKT6Si/vtqv1PQ/20/+SRx/9ha3/m1Uf2mfDU2rfBDR/EFimb7w/HBeKw6iPYu/+S1e/bT/AOSRx/8AYWt/5tXqNlYQar4EttMuUDw3WmRwuD0w0QFcyT9lNx3Uk16pI3bSqQvtZ/mV/hp4ij8V+AtF8QRsGN5aI0mO0gGHH/fQNeO/EpG+IH7T/hvwgi+dpvhyD7dfDqBI2GIP4eX+tH7K2uN4ZsfGHw/1pmjl8MXUtxEZDjdAcnj8Ru/4GKvfsn2k2tTeLviVfKxm1/U3S2LDkQRn5cfmV/4DW91Kspx2S5vv0X4v8DGzjScHvfl/z/BfiUf2r7a2vvHnw1tby3iuLebUJVkikUMrqfLyCD1FepP8KPhlvYf8IJ4d6/8APhH/AIV5N+15YnU/GHw608XlzZm4vpo/Pt22yR58v5lPY11dr8CTa30Vx/wtb4hS+VKH2SajlWwc4Psaij/DV/5pa/cXU+P/ALdX6mn+0dbW9n+z/wCI7S0gjgt4bNI4oo1Cqih1AAA6Csn4SfC/4e638JfD9xqng/Rpp7uwUz3BtUWRic5beBkH3zW5+03/AMkL8Uf9ey/+hrXj2kfB/wAWav8ABKw1bw98SvE6zTad5w0qa+cWrJg5iVVIxnHHaov7tRtdV+TKtrTS8/8A202f2TGn0v4g+PPCWmXc914a0+4U2u5yyROWYYGfXGD67az47fQfGX7W2vaT8RHiuYrCARaNYXLfuGO1WwAeCeScd/wFd7+yTqXh29+GRtdG0aHR76xuGg1S3QszNMMfvCWJY5HqeCCBwK3fi78HfCnxI8u81BZrDV4V2w6hanbIADkBuzDPryMnGK1knCcHvZW9brf/AC8iI2mpra7+7Xb/ADJ7D4Q+B9L8aaf4s0LS10a/s92Usv3cUykY2sg4x34rqfGGuW3hrwtqev3bhYbG2eYk9yB8o/FsD8a+fdJ8R/EP4KePdF8K+NdZPiXwxrEnk2d7IS0sbZA4Y/NwWUbSSMHitr9s/wAUw6f4X0jwiZXUa1dhrsxqWcW0ZBbAHXJK/lWdTWmuV6N2Xk+v3bl00lP3l5+q/rQ8fsNJ1nwZbeEPjhNJOtxqmtym9V+iwSnCfoJP/Ha+2rWeK6t4bqBg0UyLIhHdWGR/Ovmf4g/Fz4Y+IvhNeeCbe31xB9hSG1Y6awCvGBsPtkr+pr0H9k3xWPE3whsIJpd97pLmynBPzYHKE/UHH/Aa2VmpRjtF6em35r8TJt3jKW739d/69Dhvh74Z8PeJv2lfiRB4g0Sw1WKEo8a3UCyBDxyMjis39oXwvoPw98feCNd8B26aLrF3qAhktbI7Fmj3KD8g4HXB453e1Q6H4NuvGP7R3xDtrTxbr3ht7d0cy6VcmJpc4GGx1FP8DaGvw8/aQttJ+IMj+I7vUoc6Lr17PJI8ZGcLh2IzjI6ZBIxgE1lQV40emi+dunzNKujqvf8AS6X5HpX7UXg268T/AA7j13TEMev+H2XULV0HzALgyKPpjd9UFRSfGS2X9nP/AIWApA1H7P8AZRF1IvPu/pkN+dexsqsCrqGU8MrDII7g18fw/DyP/hpn/hXUmoy/8Iut1/bi2XVSwUkLj6nB9qSXM3S2UtfTv+H4obfLFVN3H8b7fj+Z7P8AsveCpvC/w/8A7W1RCdb15/tt4z/eAOdin8yfxr1mhVVVCqoVVACgdAB0FFaTlzPTYzimlruNm/1L/wC6f5V4P+xZ/wAij4k/7DL/ANa94m/1L/7p/lXg/wCxZ/yKPiT/ALDL/wBaml8c/wDCv/SkOp8Mf8X/ALazxvxf4f1iX4l/EHx14dkcan4V1lLzYDw0QY7uO+MZPtmvrj4feLLHxv4CsvElg6lbqA+agOfKkA+ZD7g15b8CYYbj4zfFm3uIklhlvQkkbjKupJBBHcEVj/DSSb4R/GnVfhrfSH+wNeDXWjytnCSYJCZ6cjKn321nH/d40+8br1tqvmtvNFz/AIsp9pWfp3+T/Bmv+xWQvgPXmYgAau+Se3WuZ8O6ZJ+0L8UtY1TxDcXB8E6DMYbKwjkKLM/IBOO5AJJ/Ct79j2OWb4ZeKIYeJX1GZUyOjFWxUP7Dc8S+EvEunsVF1BqQMi55wQ3OK3aUqmvSMWvVpL8DNtqDt1k0/vb/ABO18R/AH4Y6tpot7fQE0m5jX9xd2LGOSJuzcfeI/wBrNVP2g/F+o/DX4P29vpl/Lca1chNPtbqXmVmx80n+9jJHvXrtfPP7bBFvpng3UJo91rb6yplPbAGcfkKyau1Do2r/AHmkdLytdpO33G78MfgD4O0/QoL/AMW6ePEHiC8QTXs98xkAduSAp4/E81xPx6+G9r8K4Lb4n/DR5tGuLG4Rby2jlJidGYD7p7E8FemO1fTluyvbxOpyrIpB9sV5d+1heW1n8Cde+0EZmEcUYPdy4xiitNw9+OjX9W+ewqMVO0Za33/zLvxF1iHxF+znrOu24xFf6BJcKPQNETivnr4EZ+HHjDwPr+fL0fxfZfZblmY7VmzgfT5sNXskdtNafsctBcRmOQeF2JU9RmKuJn8KN4m/Yy0e4tF/4mOkQG/tXUfMNhywHfJArSbVKrUl0TV/T3k/w/IiCdWlCPVp/f7rX4n08xCqWY4AGSa+HPjWx8fReLviXI7Pp9jqUGlaTgnaUVgGcdiCOfqa9l8XfF1bj9mS016yn/4nmsQjTY0VvnFxjbIRjuOSKwvjl4Ti8E/snaV4eVQJobi3a5I/imZgXP5k1lVjyuTf2WkvVtX/AA/M0py5opfzJv5JP9fyPTfiN/ybNqX/AGLo/wDRQrn/AIAfDrwFq/we8O6jqng/Q7y8mtt0s81nGzuc9SSMmug+I3/Js2pf9i6P/RQrzb4K/B1vEPwv0PWP+Fk+ONN+02+77LZX+yGLnoo7Ctp/xqunVf8AtxlD+FS9H/7afQPhrw14e8M28tv4e0Ww0uKZt8iWkCxh2xjJwOau6rJNDpd3NbKGnSF2jB7sAcVm+BfDv/CK+GrfRP7Z1PWfJZ2+16jL5k77mJwW9s4HsK26iouZNJ/MuDs7tHy7+yp4d8E+OtN1zWvF9tZa/wCK5r52u478CRo0PQqrdic8/h2r2rwf8K/B/hS51v8AseyaOw1mNY7rTpG32/HUhT0z6dK474j/ALP+j63rkvijwfq914T8ROxkM9q7LE7nqxC8qT32kZySc1V+BfxA8YR+PtR+FfxE8u41qwi8y2vUAzMgUN82OD8pBB6nPNVG0/dSs7bdLJa/5ikuVuV7q979r/1uJ8ffhj8P9F+D/iLU9K8JaVZ3sFtuimit1DIc9Qam+Bvww+H2rfCbw5qepeEdJurye0DyzSW6lnbJ5JrqP2l/+SGeKP8Ar0/rVj9nb/kifhb/AK8R/M1NPafrH8mOe8PR/mjq9XvdP8MeF7m+dY7aw0y0LBVGFREXCgD06CvjIaXrei6Po/x/LTpeXviKWaVH6Lbu2E49PlcfTFe2ftleKl0fwBZ+G45GWXXbny5SilmECYL4A65yPyrnPEXxb+FmpfCWbwFFBrywDTVtIXOmtwyKArfXI/WoU2nKqtWrW/N/fovvLcVaNN7O9/yX6v7j6IK6Z4i0BfNhivNN1C3VzHIAySRuAQCO/BFeK/tDfDPwDofwd1/VNI8J6VZXsEKmKaK3VWQ7h0NaX7Hnir/hIPhJBplxLuvtFma0kVvvbM7kOPTDbf8AgNbf7Uf/ACQnxL/1wX/0MU8XFQvy+X3dBYaTlZS8/vMP4L/C/wCHuqfCzw5qWoeENJubyezV5ZpLdSztk8k1z/7UenWEvjj4X6XLZwSWP2ySE27IDH5Y8sBdvTGO1eofAP8A5I14W/68F/ma8s/a6sDqnjT4c6cLy5sjcXs0f2i2bbLHny/mU9jW9XTExSX2tvvMaWtBt/yvX5HrL/Cj4Zb2H/CCeHev/PhH/hWH+0lbW9n+z/4itLSGOC3htI0ijjUKqKHUAADoKzrT4FG0v4rj/ha3xCm8mUPsk1HKvg5wfY1rftPf8kK8Uf8AXuv/AKMWuat/C3Oij/FR4l+z7/xbf4m6BbMfL0bxpo8ciM7HAuFJ4yfx/wC+xX1ndTw2ltNdXLiOGBGkkY9FVRkn8hXzV8Q/Dk+o/sveD/E+mrjU/DcMN5E6j5vL3YdQRz12n8K2/i/8TV1j4EaGNDuM6v4w8uyiVW+ZDkCY8ehwPo1b1m/ejHdSaXzfu/5fIwoJe7J7SSb+S1/DU8P+Jkc3i4XfxVvC+2+8TRadpqk8LBGpJI7EE7fyNfS37SX/ACbjrH/Xjbf+hR155+0p4bt/CPwU8C+HbVQq2WqW6Pju5Vi5/wC+ia9D/aS/5Nx1j/rxtv8A0KOsqqUaMox2UkvwX57mtJuVeEnu1f8AF/ktBnwo+Gnw91D4aeHr6+8F6DcXU9ijyyyWUZZ255JI5NejeH/D+h+HNPksdA0my0y2ZjI0VrCsaliOpA78CvDfhv8ABVtX8A6Hqn/Cz/Hln9ps0k+z22obYo8/wqOwr3Dwno3/AAj3hm00U6nf6p9ljKfa72TfPLyTlm7nnH4Vrid59N9DGh8MOux8S+F7TWPCdzcfF7Rd8q6R4imtdRhzwYHOM49OSPqVr6/8W6vY6/8ABrWNa02ZZrS80SeWJ1ORgxNx+ByPwry79l3SbHXvAXjnRtShWW0vNZuYZVYZ4I6/UdR7iue+Huq33gzTPiD8Gdfky9lp13daRK2R5sRjO5RnrxgjHo1Y1f4Mqf8Aduv/AAFXX6/ebw/iqp/es/8AwJ2f6fcdt+zV4f0TxL+zzpGm69plrqVp9okfybiMOu4Hg4PeuH/aw8BeDfDejeFpdB8N6dp73OtRwzNBCFMiFWypx1Fel/si/wDJC9I/66y/zFcz+2p/yAfB3/Yfi/8AQWraul7Vesf0MKT/AHT9Jfqek6H8LPh3YSWOo2fg/SIbuERyxyrbKGVwAQwOOua7iobL/jyt/wDrin/oIqWlJ62KjtcKKKKkoKKKKACvnT9vn/kmvh//ALDB/wDRL19F186ft8/8k18P/wDYYP8A6JegD6KT7o+lLSorbB8p6elLsf8Aut+VADaKdsf+635UbH/ut+VADaKdsf8Aut+VGx/7rflQA2vDv2qdB8Uarc+DtQ8M+Hb7XH0u/e4mitU3ED5cZ9M4Ne57H/ut+VGx/wC635Uuqkt07j0s0+qt954VffEv42agFt9F+Dd1YXEjY8/USxiQHvxt/wAK1/gb8LdV8M6zqXjbxtqQ1LxdqpPnMj7o7dD/AAqe/pxwAAAOK9e2P/db8qNj/wB1vyqovl1W4nqrPY8W8X+GvEF1+1J4W8R22j3kuj2uneXPerHmKNt7nBPY8j86Y3hrxJ4l/aiXxDrGkXlv4d8PWgXTZ5UxHNKRu3Ke/wAzN+Qr2zY/91vyo2P/AHW/KlD3eXyv+N/yuEve5vO34W/Owokkzne3514X4L8M+JfB/wC0v4hurLQrx/CviCJZnu41zDFNjJ3Hsd28/iK9z2P/AHW/KjY/91vyojpJS9V94PWLj6fgeL+APDHiCy/aX8a+I7zSbqDSLy2iS2u3TEcxCKCFPfkGue/aw+HvirWdb0bxV4Fs7641Tym0+8FouWEJOVY47fMwJ+lfROx/7rflRsf+635VPKuWEf5f+D+dyuZ80pd/+B/lc5X4XeFYfBvw60nw3CoD21r++P8Aelb5nP8A30TXnv7LnhbxF4Zk8Ztr2k3WnfbNYeW289Nvmpk/MvqOete2bH/ut+VGx/7rflWjk3Nz76fjczUUoKPbX8LHgfjz4d+OfCPxKuviV8Kzb3jXyY1LR5z8sp7lRxnOAeMEHPPOKW6+Inx21a1j07SPhJLpF/MCj3t7u8mI4+8uSAOemc173sf+635UbH/ut+VRFWjy9C2/e5up5f8AAP4YzeAdPv8AUtbvv7R8TaxIJtRuAcquMkIv0LHnv+ArNvfDmvP+1dZ+Jl0m7OjJoX2dr0J+6Em8nbu9a9i2P/db8qNj/wB1vyqr+8pdv8rE291rv/mn+hyvxV8H2vjvwJqXhu62q1xHut5G/wCWcq8o358H2Jrxb9k/wX478N+OPEd54y0m+tw9slvFdTrhZ9jYG09xgD8MV9J7H/ut+VGx/wC635Uoe5JyXX/hhz96Ki/66/ofO/xPs/HGh/tHW3jjw/4G1TxHZRaUtv8A6Mh2liWyN3txVrWfF3x78WwS6NoHw5/4RZbmJo3v9RdleLPUoxwAcZ7E+nNe/bH/ALrflRsf+635UlFcqi9UNy97mW//AALHAfBD4b2nw28Kvp4umvtTvJPP1C7b/lpJ6D2GT78mu+HWl2P/AHW/KjY/91vyq5ScndkpWR4t8IvDXiDS/jt8QtZ1HR7y107UHU2lzLHiOfkfdPevZ6dsf+635UbH/ut+VStIRj2VhvWUpd3c8X/4RnxA37WR8T/2RdjRRo/k/bin7ovjG3Pr7VU/ay8DeIPEGl6L4k8G2l5ceINJnKItouZTE45Ixzwcfhmvc9j/AN1vyo2P/db8qlxvGMe3+d/1KUrScu/+Vv0OC+Afg1vA/wANNN0m5jKahLm5vs9fOfqD9K4/4F+FfEWifF34h6pq2kXVnY390WtJ5Uwk435yp7jFe27H/ut+VGx/7rflWjlepz+TX32/yM1G0OTzT+7/AIcbXkP7U1l4x17wVa+E/COj3l6dVukS+nhjLLBCDn5j25Az7Zr2DY/91vyo2P8A3W/KocVK19i4ycdUYvgnQLPwt4T03w/YRhILK3WMYH3iByT7k1sU7Y/91vyo2P8A3W/KqlJybbJjFRSSPEdB8L+Iov2sdZ8Ty6Pdx6LJpwjjvmTETtsAwD3Oa9nvFZrOZVBLGNgAO5xU+x/7rflRsf8Aut+VQ43pqn2Vvz/zKv77n3d/6+48b/ZM8Oa94Z+H19Y+IdIu9Lun1B5FiuU2sVPfHpWv+03oWseJPg3quk6Fp8+oX8ksLJbwLudgrgnA+lem7H/ut+VGx/7rflVVf3i18vwt/kFN8kuZd2/vdznPhpZXWm/Dvw9p99A8F1badDFNE4wyOEAIP41hftAt4lb4V6tZeEtLvNR1S+UWyx2qbnVH4dvwHevQNj/3W/KjY/8Adb8qK371u/UVL92lbocl8HPDR8GfDPQ/Du0xzW9spuAOP3zfNJ/48TXL/tR+D9R8ZfDJ49Hs5r3WNPuEubOOPlyQfmC+5Ar1XY/91vyo2P8A3W/KnVbqNy87/qFL92kkeGfGnTfGHjL9nXTbdfDeot4gke1e6sFizMrqfnJHpnmvZtGiePRbKCaMq626I6N1B2gEGrux/wC635UbH/ut+VF/i/vO/wCFhJaR8lY+Q/HPwb8ZaN8Z7N/DOlXl94VudVTUgIEzHaOzDeG/u4xx7Yr2X9qnQda8SfDD+z9A0u61O8/tGCTybdNzbQTk49BXq+x/7rflRsf+635VPL+7VPs7/l/kVf33Purfn/mU9JiZNHtIJoyGFuiOjdvlAINfJ/jD4N+MtE+Ndk3hzS7y+8KT6qupIYEzHasxG8N/dxjj2xX15sf+635UbH/ut+VXzfvVV6p/8Ejl/dun0t+lvyPJf2rvD+t+Jfhmmn+H9LutTuxqUMhht03NsGctj0r0vQIpINB06GZGjkjtYkdT1VggBB/Gr+x/7rflRsf+635VMfdTXd3/AAsVLVp9lb8bny9+0f4D8dj4lz694B0e+vItf0z7FqT2sRYIchSTjp8oXn2NfQPw78PQeFPA+j+H7eNUWytUjcKMAyYy5/Fix/Gug2P/AHW/KjY/91vyoh7sORf1vp+LCfvSUv66f5HhX7T+h+KL/wAR+CNZ8OeGdQ14aTdyzTxWiZIHyYBPbOD+VX3+LHxIJLf8KJ8Uev8ArP8A7CvZtj/3W/KjY/8Adb8qUdI8vS7f3jdm7+Vvu/4c81+MNtrfiz4C6rDaaDex6vf2SMNMxvmR9ykpgdSOa3fg7YX2lfC/w7p2pWstpeW9kqTQSrhkbJ4Irrdj/wB1vyo2P/db8qpac1urT+6/+ZNr8t+l/wAbf5HhXgTwr4l8EftI669hol3J4P8AEEQme5ij/cwTDn5j2Od/H+0Ksat4q+OXhXxFeW8/geLxdo8k7taT2AxMkZPyq23gY9xn3r23Y/8Adb8qNj/3W/KpWiiuyt8v+B+RTd3J99f69T51h8I/Eb4t/EDQ/EXj3Q4vC/h/RJGktrAk+fI+QfmB55Krz0+XpzW9pXhvxL4g/ahvfF2u6Pd2miaHZ+RpEs0e1JXP8SHv1fJ+le2bH/ut+VGx/wC635VUXytW6X+99SZXknfrb7k72FEkgIO9uPevDPhl4Z8SeC/2hPFUUGhXn/CJ62ouI7xV/cxyjkAn15fj3Fe5bH/ut+VGx/7rflSjpLm8mvvG9Y8vp+B4t8KvDXiDTf2gfH+uaho95baZfhPsl1JHiObGPunvUv7U/gvWvEnhjStb8K2Ml34g0O/S4t0hTdI6Z+YKO/IQ49FNeybH/ut+VGx/7rflStaMIr7NrfJ3Hf3pS7/qrGZ4Yu72/wDDmnXmpWU1jey26NcW8ww8cmPmBH15/GvJF8LeIj+1u3ij+x7saINJ8r7cU/dF8Ebd3rz0r27Y/wDdb8qNj/3W/Kqb9/nXn+OhNvc5PT8BtFO2P/db8qNj/wB1vypDI5QTE4HJKmvHf2UfDev+GvDOvW/iDSLvTJp9VaWJLiPaXQ5+Ye1ezbH/ALrflRsf+635UR91t91b8bhLVJdnf8Gv1PHfgv4d17Sfi18RtT1PSbuzstRvVeznlTCTrk8qe9X/ANpH4f3njfwZHc6HlfEWjSi80514dmXkoD6nqPcCvU9j/wB1vyo2P/db8qlxvCMOyVvkNP3pS7/qeLfsieG/EvhnwFqNv4o0q7029nvzKI7lNrsMfexWF4s+Hfj74f8AxFvfHnwpih1Gz1EltQ0aU/eJOTtGckZ5GMEV9DbH/ut+VGx/7rflVzblJSWjSt+Fv0JirJxet3f8bnhMnjf48eI4hpmifDRfDVxImJNQ1MnZEf7yA8Ejrgg13XxB+H//AAnXwt/4RLX9REmoeQh+3pHgC4XnzNvoT1A7V3mx/wC635UbH/ut+VTJJxcRxbTTPnjwz4g+O/w/s4fDWreAn8YWdmnl21/YszSMg+6GYcHj1GfUmoLzwf8AFH40a1pzfEPTYvC3hOym806bGxE9wQejAknJHfoOwzX0dsf+635UbH/ut+VXzNvmlqxWsrR0RyHxY0u5vvhP4h0fSLN57iXTJYLa3hXLMShCqorP+Aei6hovwc0LRtbsZbS8itys9vMuGXPYiu/2P/db8qNj/wB1vyqf5r9bfhf/ADH/AC26X/G3+R8ofDr4L+JrD45Cy1Kyvh4K0a/kv7CSUHyJWzmMKe56Z+leqftXeHdc8T/CeTTfD+l3OpXv2yFxBbpucqG5IHtXrex/7rflRsf+635UpK9OMO1vw/4ZDTtNz7/1+rPPvHejapefATUNCtbKWfU30QW6WyDLtJ5YG0D1zXmvww8YfErwb4D0rwy/wU8TXbWEPlmYNtD++NvFfRex/wC635UbH/ut+VU23KUu/wDwf8yUkoxj2/4H+Rx/w18UeIPE1teSa/4I1PwrJA4WJLxsmYEdRwOlb/iOPVJdAv49Enjt9TaBhaSyKCqSY+UkHjFaOx/7rflRsf8Aut+VKS5lbYcXZ3PBrf4h/HbSYZNP1j4Svq97GoWO80/d5Mhx1bBIP4Yq58F/h74s/wCFh6r8UviCLa21q/j8q2sbc5WCMqF59MABcdeMk17bsf8Aut+VGx/7rflTTs+br/mJq65ehwnx90vUtb+EHiHS9Isp76+uLbbDBCu53OegHep/ghpeoaL8J/Dul6raS2d7b2arNBIMNG2TwR612mx/7rflRsf+635Uo6X87fh/w43q15X/ABt/keJv4b8SeJf2ok8QaxpF5b+HfD1oF02eVMRzSkbtynv8zN+Qr20SSZzvb86TY/8Adb8qNj/3W/KhaRUe36u4PWTl/Wh4Z4M8M+JfB/7S/iG6stCvJPCviGJZnu41zFFNjJ3Hsd28/iK7P9obSdT134Pa/pWj2M9/fTxKIreBdzudw6DvXoGx/wC635UbH/ut+VTKN6ah2KUmpufc5D4NabfaP8LfDumanayWt5b2SpNDIMNG2TwfevOP2ndD8UX3ifwPrXhzwzqGvLpN1NNcRWiZI+5gE9s4P5V7tsf+635UbH/ut+VXOTlUVTre5EIqMOTpax4y/wAWPiQSW/4UT4o9f9Z/9hW38ZbXW/FnwE1WCz0G9TV76yjYaaBvmR96kpgdSOa9L2P/AHW/KjY/91vyqJRUo8pUZOMlI434aaHNF8IdH8O63avbynTPs11BIPmTcCCCPUZrwj4F/CHxVpfxhaTxLZXqeHvDsk0mkNOp8qR3OAU7H5eT7gV9U7H/ALrflRsf+635VpzfvXV6u/8AXy6EKK9kqXTT+vn1PGf2r/DPiDxR4T0K38P6TdanPBrMU0qQJuZECtlj7cjmt348aJq2tfAzVdF0nT573UZLSBEt4V3OzKyZAHtg/lXpOx/7rflRsf8Aut+VZuN4uPd3/L/I0UrTUu2n43PAfBPj74k+HfCOlaC3wQ8T3BsbZYTKH278d8beK9T+HXiPXPEuj3N1r3g/UfC9xHKY0t7xstIuPvDgcdq6vY/91vyo2P8A3W/Krm+e/N1IjHlSS6Hj37L3h3XfDuieJIde0m702S51qWaFbhNpkjPRh7VnftVfDfWfFOmWXijwfDI/iLTA0RjhH7y4gkBVlHqRnp6Fq9y2P/db8qNj/wB1vyqZrnS8rfgrFRfK353/ABdzzT9mjQ9Y8O/CDTNL13T57C/SSRpIJl2uoJ4yO1c/+1b4Y8QeJ9I8LQ+H9Iu9SkttajmnECbvLjCsCzeg5617Xsf+635UbH/ut+VXOXPJS7NP7iIx5YuPr+JDaqyWsKMMMsagj0IAqSnbH/ut+VGx/wC635Um7jSshtFO2P8A3W/KjY/91vypDG0U7Y/91vyo2P8A3W/KgBtfOn7fP/JNfD//AGGD/wCiXr6N2P8A3W/KvnP9vpWHw18P5Uj/AInB7f8ATF6AO51z4Kw6xrN7qx+JXxCsjeTvOba01YJDDuJOxF28KM4A9Kp/8KDh/wCirfE3/wAHQ/8AiK9ii/1a/QU6vEniaqk/ePahh6TitDxv/hQcP/RVvib/AODof/EUf8KDh/6Kt8Tf/B0P/iK9koqPrNX+Yr6tS/lPG/8AhQcP/RVvib/4Oh/8RR/woOH/AKKt8Tf/AAdD/wCIr2Sij6zV/mD6tS/lPG/+FBw/9FW+Jv8A4Oh/8RR/woOH/oq3xN/8HQ/+Ir2Sij6zV/mD6tS/lPG/+FBw/wDRVvib/wCDof8AxFH/AAoOH/oq3xN/8HQ/+Ir2Sij6zV/mD6tS/lPG/wDhQcP/AEVb4m/+Dof/ABFH/Cg4f+irfE3/AMHQ/wDiK9koo+s1f5g+rUv5Txv/AIUHD/0Vb4m/+Dof/EUf8KDh/wCirfE3/wAHQ/8AiK9koo+s1f5g+rUv5Txv/hQcP/RVvib/AODof/EUf8KDh/6Kt8Tf/B0P/iK9koo+s1f5g+rUv5Txv/hQcP8A0Vb4m/8Ag6H/AMRR/wAKDh/6Kt8Tf/B0P/iK9koo+s1f5g+rUv5Txv8A4UHD/wBFW+Jv/g6H/wARR/woOH/oq3xN/wDB0P8A4ivZKKPrNX+YPq1L+U8b/wCFBw/9FW+Jv/g6H/xFH/Cg4f8Aoq3xN/8AB0P/AIivZKKPrNX+YPq1L+U8b/4UHD/0Vb4m/wDg6H/xFH/Cg4f+irfE3/wdD/4ivZKKPrNX+YPq1L+U8b/4UHD/ANFW+Jv/AIOh/wDEUf8ACg4f+irfE3/wdD/4ivZKKPrNX+YPq1L+U8b/AOFBw/8ARVvib/4Oh/8AEUf8KDh/6Kt8Tf8AwdD/AOIr2Sij6zV/mD6tS/lPG/8AhQcP/RVvib/4Oh/8RR/woOH/AKKt8Tf/AAdD/wCIr2Sij6zV/mD6tS/lPG/+FBw/9FW+Jv8A4Oh/8RR/woOH/oq3xN/8HQ/+Ir2Sij6zV/mD6tS/lPG/+FBw/wDRVvib/wCDof8AxFH/AAoOH/oq3xN/8HQ/+Ir2Sij6zV/mD6tS/lPG/wDhQcP/AEVb4m/+Dof/ABFH/Cg4f+irfE3/AMHQ/wDiK9koo+s1f5g+rUv5Txv/AIUHD/0Vb4m/+Dof/EUf8KDh/wCirfE3/wAHQ/8AiK9koo+s1f5g+rUv5Txv/hQcP/RVvib/AODof/EUf8KDh/6Kt8Tf/B0P/iK9koo+s1f5g+rUv5Txv/hQcP8A0Vb4m/8Ag6H/AMRR/wAKDh/6Kt8Tf/B0P/iK9koo+s1f5g+rUv5Txv8A4UHD/wBFW+Jv/g6H/wARR/woOH/oq3xN/wDB0P8A4ivZKKPrNX+YPq1L+U8b/wCFBw/9FW+Jv/g6H/xFH/Cg4f8Aoq3xN/8AB0P/AIivZKKPrNX+YPq1L+U8b/4UHD/0Vb4m/wDg6H/xFH/Cg4f+irfE3/wdD/4ivZKKPrNX+YPq1L+U8b/4UHD/ANFW+Jv/AIOh/wDEUf8ACg4f+irfE3/wdD/4ivZKKPrNX+YPq1L+U8b/AOFBw/8ARVvib/4Oh/8AEUf8KDh/6Kt8Tf8AwdD/AOIr2Sij6zV/mD6tS/lPl+++G95B8edN8Ar8TfiEdNutBk1J5jrJ84SLI6hQcbduFHbPvXef8KDh/wCirfE3/wAHQ/8AiKdq/wDyeLoP/Ynzf+j5K9irWpiKqUbPoZ08PTblddTxv/hQcP8A0Vb4m/8Ag6H/AMRR/wAKDh/6Kt8Tf/B0P/iK9korL6zV/mNPq1L+U8b/AOFBw/8ARVvib/4Oh/8AEUf8KDh/6Kt8Tf8AwdD/AOIr2Sij6zV/mD6tS/lPG/8AhQcP/RVvib/4Oh/8RR/woOH/AKKt8Tf/AAdD/wCIr2Sij6zV/mD6tS/lPG/+FBw/9FW+Jv8A4Oh/8RR/woOH/oq3xN/8HQ/+Ir2Sij6zV/mD6tS/lPG/+FBw/wDRVvib/wCDof8AxFH/AAoOH/oq3xN/8HQ/+Ir2SjjucDufSj61V/mD6tS/lPG/+FBw/wDRVvib/wCDof8AxFH/AAoOH/oq3xN/8HQ/+IrO8JfGrXNV+K8Oj32lafF4T1K9utP0u+RXEzzwBC28lipByRwB29K6X4sfErVtB8V6X4G8GaLBrHinUozMq3MhWC2jH8cmOSDg9COlaupiFy6/F/X4dTPkw/vafDv/AF66epl/8KDh/wCirfE3/wAHQ/8AiKP+FBw/9FW+Jv8A4Oh/8RWhZ6r8d5dJvbObwz4Qi1yKSJre4+0S/YZom3bx97cHUhe+Oa5b4X/EL42eMvEl9Y/2P4HjtNI1BLXU2DTq4BJ3GPLkE4BxmqjOvJtKe3n6f5kuNBJNx38vX9Fc2f8AhQcP/RVvib/4Oh/8RR/woOH/AKKt8Tf/AAdD/wCIre+DPjvVvGmr+LbPU7aygj0bUha25t0YF0O7l9zHJ47Yo+EfjzVfF3iXxnpup29jBBoWoLbW7wKwZkIYkvuYgnjtio9tX/m6KXydv80X7Kj/AC9XH5q/+TMH/hQcP/RVvib/AODof/EUf8KDh/6Kt8Tf/B0P/iKzvAvxq1zW/ilBo+o6Vp8HhfVbi6tdHvY1cTSSwYJ3ksVIIz0A5xXYa1471ay+POieAYrWybTb+wluZZmVvOVlUkBTu2449KrnxF4q+6b+5Nv8ieSh72mzS+9pfmzA/wCFBw/9FW+Jv/g6H/xFH/Cg4f8Aoq3xN/8AB0P/AIivZKKx+s1f5jX6tS/lPG/+FBw/9FW+Jv8A4Oh/8RR/woOH/oq3xN/8HQ/+Ir2Sij6zV/mD6tS/lPG/+FBw/wDRVvib/wCDof8AxFH/AAoOH/oq3xN/8HQ/+Ir2Sij6zV/mD6tS/lPG/wDhQcP/AEVb4m/+Dof/ABFH/Cg4f+irfE3/AMHQ/wDiK9koo+s1f5g+rUv5Txv/AIUHD/0Vb4m/+Dof/EUf8KDh/wCirfE3/wAHQ/8AiK9koo+s1f5g+rUv5Txo/AOEKT/wtb4m8D/oND/4iuE+Anw3vPH/AMMrHxRq3xN+IVtd3E88bR2usERgJIVGAwJ6D1r6fb7jfQ/yrx/9jf8A5IFpP/X3d/8Ao5q1WIq+zbv2/Uzlh6ftErd/0Gf8KDh/6Kt8Tf8AwdD/AOIo/wCFBw/9FW+Jv/g6H/xFeyUVl9Zq/wAxp9Wpfynjf/Cg4f8Aoq3xN/8AB0P/AIij/hQcP/RVvib/AODof/EV7JRR9Zq/zB9Wpfynjf8AwoOH/oq3xN/8HQ/+Io/4UHD/ANFW+Jv/AIOh/wDEV7JRR9Zq/wAwfVqX8p43/wAKDh/6Kt8Tf/B0P/iKP+FBw/8ARVvib/4Oh/8AEV7JRR9Zq/zB9Wpfynjf/Cg4f+irfE3/AMHQ/wDiKP8AhQcP/RVvib/4Oh/8RXslFH1mr/MH1al/KeN/8KDh/wCirfE3/wAHQ/8AiKP+FBw/9FW+Jv8A4Oh/8RXslYPxC1qfw34G1nXrWKOaewtHnjSTO1mHY4wcUPFVUr8w1haTduU85/4UHD/0Vb4m/wDg6H/xFH/Cg4f+irfE3/wdD/4iuW8MfGv4jLL4Vv8AxJo3hS70nxFMIootHmkN5Fn+J0Ltge3616Rp3jrVrj4+6l8P3trEaZa6Yt2kyo3nFz2J3bcfhW8niIuzl3/BXZzx+ryV0u34uy/EwP8AhQcP/RVvib/4Oh/8RR/woOH/AKKt8Tf/AAdD/wCIrYn+IGsR/HDUfAwtbD+zrXQn1FJSj+cZBngndjbx6Z968/8AC/xV+NmteErnxraeFPCeoaHazSrLb27zR3bLGfmKguw6f/qqY1K7XNzaWv8Ai1+aLlTop25db2/C/wCR1H/Cg4f+irfE3/wdD/4ij/hQcP8A0Vb4m/8Ag6H/AMRUmtfHGw/4QHw5rfh3Rp9T1nxI7Q6dpe/BEinD72x0U49Mg9q0PCeq/HFPEOnR+L/CvhhtHu5Nk8ulTyedaAgnc4diCOg47mnz4hN3drafMnlw9lZX0uZf/Cg4f+irfE3/AMHQ/wDiKP8AhQcP/RVvib/4Oh/8RWFa/E/4sa9408SaP4ZtfAMVro16LYHVZ5YZZAemP3nzHjsB2rR+M3jr4xeBdPfXrbSfBk2iL5Ee6Rpnm811G7gOBt3Zx7YpKpX933t7fjt+Y+SheS5dr3+W5c/4UHD/ANFW+Jv/AIOh/wDEUf8ACg4f+irfE3/wdD/4iqPib4g/Frwl8K73xZ4k0vwgt00tqNPS0MzxskgJYyAvkEfLjB9a3vh/4l+KF7b32oeKo/A5sItMe6gGj3LyTCXbuUOpc4XGc96cqleKk3LRf5XEo0G4rl3/AM7Gf/woOH/oq3xN/wDB0P8A4ij/AIUHD/0Vb4m/+Dof/EVy3hr4r/GrU/BUvjyPwn4U1Hw/bvJ50FrJNHdlEPzEBnYDA56H6V7f8P8AxRYeM/B+neJtNV0t76LeI3OWjOcFT9CKJzxEE25bDhChJ2Uf6R5z/wAKDh/6Kt8Tf/B0P/iKP+FBw/8ARVvib/4Oh/8AEV7JRWP1mr/Ma/VqX8p43/woOH/oq3xN/wDB0P8A4ij/AIUHD/0Vb4m/+Dof/EV7JRR9Zq/zB9Wpfynjf/Cg4f8Aoq3xN/8AB0P/AIij/hQcP/RVvib/AODof/EV7JRR9Zq/zB9Wpfynjf8AwoOH/oq3xN/8HQ/+Io/4UHD/ANFW+Jv/AIOh/wDEV7JRR9Zq/wAwfVqX8p43/wAKDh/6Kt8Tf/B0P/iKP+FBw/8ARVvib/4Oh/8AEV7JRR9Zq/zB9Wpfynjf/Cg4f+irfE3/AMHQ/wDiK8Z/a1+GsfgrwTpF+njTxdrxn1LyfJ1jUPPiT92x3KNow3GM+hr7Kr5w/b9/5Jr4f/7DB/8ARL1th8RUlUSbMcRQpxptpH0bF/q1+gp1eT638dvDOi6ze6PceG/Gc01jO9vJJb6RvidkJUlG3jKnHB7iqn/DRHhP/oVfHf8A4Jf/ALOsp0anM9DaFenyrU9jorxz/hojwn/0Kvjv/wAEv/2dH/DRHhP/AKFXx3/4Jf8A7Oo9hU7Fe3p9z2OivHP+GiPCf/Qq+O//AAS//Z0f8NEeE/8AoVfHf/gl/wDs6PYVOwe3p9z2OivHP+GiPCf/AEKvjv8A8Ev/ANnR/wANEeE/+hV8d/8Agl/+zo9hU7B7en3PY6K8c/4aI8J/9Cr47/8ABL/9nR/w0R4T/wChV8d/+CX/AOzo9hU7B7en3PY6K8c/4aI8J/8AQq+O/wDwS/8A2dH/AA0R4T/6FXx3/wCCX/7Oj2FTsHt6fc9jorxz/hojwn/0Kvjv/wAEv/2dH/DRHhP/AKFXx3/4Jf8A7Oj2FTsHt6fc9jorxz/hojwn/wBCr47/APBL/wDZ0f8ADRHhP/oVfHf/AIJf/s6PYVOwe3p9z2OivHP+GiPCf/Qq+O//AAS//Z0f8NEeE/8AoVfHf/gl/wDs6PYVOwe3p9z2OivHP+GiPCf/AEKvjv8A8Ev/ANnR/wANEeE/+hV8d/8Agl/+zo9hU7B7en3PY6K8c/4aI8J/9Cr47/8ABL/9nR/w0R4T/wChV8d/+CX/AOzo9hU7B7en3PY6K8c/4aI8J/8AQq+O/wDwS/8A2dH/AA0R4T/6FXx3/wCCX/7Oj2FTsHt6fc9jorxz/hojwn/0Kvjv/wAEv/2dH/DRHhP/AKFXx3/4Jf8A7Oj2FTsHt6fc9jorxz/hojwn/wBCr47/APBL/wDZ0f8ADRHhP/oVfHf/AIJf/s6PYVOwe3p9z2OivHP+GiPCf/Qq+O//AAS//Z0f8NEeE/8AoVfHf/gl/wDs6PYVOwe3p9z2OivHP+GiPCf/AEKvjv8A8Ev/ANnR/wANEeE/+hV8d/8Agl/+zo9hU7B7en3PY6K8c/4aI8J/9Cr47/8ABL/9nR/w0R4T/wChV8d/+CX/AOzo9hU7B7en3PY6K8c/4aI8J/8AQq+O/wDwS/8A2dH/AA0R4T/6FXx3/wCCX/7Oj2FTsHt6fc9jorxz/hojwn/0Kvjv/wAEv/2dH/DRHhP/AKFXx3/4Jf8A7Oj2FTsHt6fc9jorxz/hojwn/wBCr47/APBL/wDZ0f8ADRHhP/oVfHf/AIJf/s6PYVOwe3p9z2OivHP+GiPCf/Qq+O//AAS//Z0f8NEeE/8AoVfHf/gl/wDs6PYVOwe3p9z2OivHP+GiPCf/AEKvjv8A8Ev/ANnR/wANEeE/+hV8d/8Agl/+zo9hU7B7en3PY6K8c/4aI8J/9Cr47/8ABL/9nR/w0R4T/wChV8d/+CX/AOzo9hU7B7en3PY6K8c/4aI8J/8AQq+O/wDwS/8A2dH/AA0R4T/6FXx3/wCCX/7Oj2FTsHt6fc9jorxz/hojwn/0Kvjv/wAEv/2dH/DRHhP/AKFXx3/4Jf8A7Oj2FTsHt6fc9jorxz/hojwn/wBCr47/APBL/wDZ0f8ADRHhP/oVfHf/AIJf/s6PYVOwe3p9xdX/AOTxdB/7E+b/ANHyV7FXytqHxi8PzftHaV4uXQfFYs7fw5JZNbtpmLlnMrtuEe7lMHrnrmvRv+GiPCf/AEKvjv8A8Ev/ANnWtSjNqOnQyp1oJy16nsdFeOf8NEeE/wDoVfHf/gl/+zo/4aI8J/8AQq+O/wDwS/8A2dZewqdjX29Puex0V45/w0R4T/6FXx3/AOCX/wCzo/4aI8J/9Cr47/8ABL/9nR7Cp2D29Puex0V45/w0R4T/AOhV8d/+CX/7Oj/hojwn/wBCr47/APBL/wDZ0ewqdg9vT7nsdFeOf8NEeE/+hV8d/wDgl/8As6P+GiPCf/Qq+O//AAS//Z0ewqdg9vT7nsdcV8cdcu/D/wALtavdOguJ7+WH7NaxwIWcySHZkY6YBJz7VyP/AA0R4T/6FXx3/wCCX/7OgftFeEwePC3jsfTRf/s6Pq83utAWIgtUzyLxN4I+M2h/CbRPO0rwx9g8Nzx6pC9i8r6g7k5O4HIJO/5gAOntXY+MNS1nQ/iZ4V+NMOg3+p6Hf6KtnqUdvATPbMeSdh5+90+hrrB+0T4TByPC3jsH/sC//Z0o/aK8KA7h4X8eA+v9jf8A2ddTnVbu49W/vVmv67HKoUkrc3S33O6fyf5nX/DH4gwePLm8l07w/rOn6da7Al1qMAhMznOVVMnpgc571w/7MltdWvif4jPc2s8Kya2jIZIyocYfkZHP4VYb9orwox+bwt48P10X/wCzoP7RXhQ9fC3jw/8AcF/+zrJQmubljurfin+hrzxajzS2d/wa/U5Dwj4nl+DPjzxpZeK/DWvXEGrXy3thdada+ekq/NweRjr/APWqn4fPinw38I/iH4zn0S9sdS8W3irplkFLTKsmUDEAZXhyc/7Nd4v7RfhVR8vhfx4Ppo3/ANnQP2ivCgOR4X8eZ/7A3/2dPlny2ceiT9Fb87LUXNBSupaXcvm7/hdt2PIvFvgz4zeHfhl4emn0nwx9h8KXEV/btpzyvfOxPO4HIbO/5gAOntXU+PPF8GlfHbwZ49vNK1q501tBZpPsli0kis6EY2nGOT612Y/aK8Jg5Hhbx2D/ANgX/wCzpR+0Z4VHTwv49H/cG/8As6056rd3Hq396aZlyUkrKXRL7mpL+vM9F8C+KLHxh4di1zTbXULW3kdkEd9b+TKCvXK5PFbteOH9orwmTk+FvHZPvov/ANnR/wANEeE/+hV8d/8Agl/+zrnlRm3pE6Y1oJe9LU9jorxz/hojwn/0Kvjv/wAEv/2dH/DRHhP/AKFXx3/4Jf8A7Op9hU7Fe3p9z2OivHP+GiPCf/Qq+O//AAS//Z0f8NEeE/8AoVfHf/gl/wDs6PYVOwe3p9z2OivHP+GiPCf/AEKvjv8A8Ev/ANnR/wANEeE/+hV8d/8Agl/+zo9hU7B7en3PY6K8c/4aI8J/9Cr47/8ABL/9nR/w0R4T/wChV8d/+CX/AOzo9hU7B7en3PYm+430P8q8f/Y3/wCSBaT/ANfd3/6OamH9ojwntI/4RXx30P8AzBf/ALOvOv2cPjH4f8I/CXT9Cv8AQfFd3cQ3Fw7S2OmedCQ0hYANuGTzzx1rWNGfs2rdV+plKtD2id+/6H1TRXjn/DRHhP8A6FXx3/4Jf/s6P+GiPCf/AEKvjv8A8Ev/ANnWXsKnY19vT7nsdFeOf8NEeE/+hV8d/wDgl/8As6P+GiPCf/Qq+O//AAS//Z0ewqdg9vT7nsdFeOf8NEeE/wDoVfHf/gl/+zo/4aI8J/8AQq+O/wDwS/8A2dHsKnYPb0+57HRXjn/DRHhP/oVfHf8A4Jf/ALOj/hojwn/0Kvjv/wAEv/2dHsKnYPb0+57HRXjn/DRHhP8A6FXx3/4Jf/s6P+GiPCf/AEKvjv8A8Ev/ANnR7Cp2D29Puex1yPxnhmuPhP4ngt4nllfTpAiIuWY8cAd64r/hojwn/wBCr47/APBL/wDZ0D9onwmDkeFfHf8A4Jf/ALOk8PUatYccRTTTufP/AIe0vRbvw94UsvAHgzxPYfEKC5ia81Ly5YodoJ3klnIxjHQL3r2Lxreaj8Of2gz481jQ9S1PQ9S0lLNrnTYfNaKZeoKcemeo6it8/tF+FSMHwv49P10b/wCzoX9orwov3fC/jwfTRv8A7Ouyc6spX5e/4q1l2RxQhTjHl5u34O6b7swfh7/anjf4ueJviZHod/pmhDRH0+yN7H5ctw205Oztg5/SuN+EPxJfwr8Kb3wbbeEfEuoeIri4uVt4lsCsDeYSAS56Yz6V6ef2ivChOT4W8eE++i//AGdOP7RnhYjB8MePT/3Bv/s6i0mnFw92yX4t7+rNOaN+bn1vf8Lbeh56fh14z8CeEPh34st9H/tXUvDdxPc6npsLZcJMd2FHQlR1x345qDwxqk/iP9oPw3qfhG4+Iv2Ca7kuNYttXLR2sA2/KqKDjbnPBz2r0cftE+EwePCvjv8A8Ev/ANnSn9ovwqww3hfx4R76N/8AZ1cZ1ebmlHvb59PTqRKFNx5VLe1/l19Txi0X4ead8UvGt18RfBHiDV5m1USadLZ2kzKgGd33XQHnb1zXsf7T+7VvgKk2mWd26Tz2csUIhYyKh5AKjJBAxn0qUftGeFgOPDHj3/wTf/Z00ftFeFAcjwt48B/7Av8A9nWbVRqC5fht+FunnY0UqalOXN8V/wAfPyuVP2mbW4uP2dLa3itLi4f/AELdFFGzPgKM8Dmsn4L3vwxSy1jS/BPgzX9G1afQ5GvJ7u1lWOXZHggF5G53McAAZroR+0V4UByPC3jwH20X/wCzpT+0X4Vbr4X8eH66N/8AZ0uWpyTjy/E2/vVvmF6fNCXN8KS+53PLfhX8R5vD/wAGrjwLYeEPEmoeJblrmKCMWBWA+bkAlyewOcYr3v4EeFtQ8G/CzR9C1XYL+NGkuEU5CO7FtufbI/GuXP7RnhUjB8MePSP+wN/9nTf+GiPCf/Qq+O//AAS//Z1VT2k72ja9r/IVPki1eWivb5nsdFeOf8NEeE/+hV8d/wDgl/8As6P+GiPCf/Qq+O//AAS//Z1z+wqdjo9vT7nsdFeOf8NEeE/+hV8d/wDgl/8As6P+GiPCf/Qq+O//AAS//Z0ewqdg9vT7nsdFeOf8NEeE/wDoVfHf/gl/+zo/4aI8J/8AQq+O/wDwS/8A2dHsKnYPb0+57HRXjn/DRHhP/oVfHf8A4Jf/ALOj/hojwn/0Kvjv/wAEv/2dHsKnYPb0+57HRXjn/DRHhP8A6FXx3/4Jf/s6P+GiPCf/AEKvjv8A8Ev/ANnR7Cp2D29Puex184ft+/8AJNfD/wD2GD/6Jeus/wCGiPCf/Qq+O/8AwS//AGdeMftbfFHRfHXgnSNO0zRvEdjJb6l5zPqWn+QjDy2XCnccnnp6Vvh6U1VTaMMRWhKm0mfYsl5HaWfn3V0lvBGuWklkCIo9yTgVBpmvaVqkjx6Zrlhfug3OtteJKVHqQpOBXC/tG/8AJDfEuRn/AEM8etcrZJZ6z8VfCtno/hWbwVeaZG17di4t4raS/gK48tBAWSRc8ncwI64rNU1OTv3f+ZpKfJGOnT/L8z1+98TaFY3DW174j0u1nX70U9/Gjj6gtkVcttRtrptttqEM7bBJiKcMdh6Nweh7Hoa8P8PPYR/E/wCIYuvh1e+KWbVYcXEFjaTCH9wvykzSKR64AIrovGVuvhf4reEPFlrClpp+oRjQ76JFCKu4/uCQOBhiB7YpKknyr+ZL8VdL79ByqNOemkW/wev4anp8t/DDMIZr6KOUoXCPMFYqOrYJzgetUbbxR4furlLa18TaTPO52pFFqEbux9AobJNeaTQHxB4o8feKpAr2um6c+i2BPOCqlpmH/Ayy/hTPgF/Zk3g7wnGfhnd2c66XAw1mXT7MRuwjX5w6yGX5uoJXPrilGmnFtvovxu/yS+8JzalZLq191r/i2vketxahbzXctpDfwyXMIBlhSYM8YPTcoORn3pRfQmSaIXsRkhAMy+cMxgjI3DPy8c8185/Z73QfiR43+JelRzTzaRriQanbISftFi1vEXwvdk5YV1uhXVpf+Nvinf2U0c9tc6dZyxSoch0NohBB+lKVO0OZfy3+dk7fc9/XsVGV6jg11t+Nv6+Xc9iiulmgW4huVkhdQ6yJJlWXrkEcEe9VbjW9Nt7JL641myhtH+5cSXaLG30YnB/OuS+FpX/hRfh3kY/4R2D6f8e4ryNhEvwV+EZm0l9VjGsQE2SRI7TjLfKFchTn3IFW6NqkoX2aX3tr9CI1b01O28W/uVz6J0zXNM1QuNL1myvzHjeLW7SXbnpnaTirvmSf89G/OuV8JCB9Ovp9J8ESeFbogokd3Z28HnMBlSfIdsrk9znrWt4Y/tz+wLP/AIST7D/a/l/6X9i3eRvz/Bu5x061lKKTdjWDutTU8yT/AJ6N+dHmSf8APRvzptFQXZDvMk/56N+dHmSf89G/Om0UBZDvMk/56N+dHmSf89G/Om0UBZDvMk/56N+dHmSf89G/Om0UBZDvMk/56N+dHmSf89G/Om0UBZDvMk/56N+dHmSf89G/Om0UBZDvMk/56N+dHmSf89G/Om0UBZDvMk/56N+dHmSf89G/Om0UBZDvMk/56N+dHmSf89G/Om0UBZDvMk/56N+dHmSf89G/Om0UBZDvMk/56N+dHmSf89G/Om0UBZDvMk/56N+dHmSf89G/Om0UBZDvMk/56N+dHmSf89G/Om0UBZDvMk/56N+dHmSf89G/Om0UBZDvMk/56N+dHmSf89G/Om0UBZDvMk/56N+dHmSf89G/Om0UBZDvMk/56N+dHmSf89G/Om0UBZDvMk/56N+dHmSf89G/Om0UBZDvMk/56N+dHmSf89G/Om0UBZDvMk/56N+dHmSf89G/Om0UBZHj+ru//DY2gnc2f+EOm5z/ANN5K9i8yT/no35143q//J4ug/8AYnzf+j5K9irartH0MaS1l6jvMk/56N+dHmSf89G/Om0VibWQ7zJP+ejfnR5kn/PRvzptFAWQ7zJP+ejfnR5kn/PRvzptFAWQ7zJP+ejfnR5kn/PRvzptFAWQ7zJP+ejfnR5kn/PRvzptFAWQ7zJP+ejfnTLi6W3gee4ulhiQZeSSTaqj1JPApa4f4+gH4MeKwcEf2e/X6ilJ2TY4xTaR2Y1C3ay+3Lfwm027/PEw8vb67s4x70x9WsY7BdQk1W1Syb7ty1yoiP0fOD+deO6eAP2OgCAB/wAI6/X8a4G/8G+JPEHwU+GGqaZoR8S6Tpds7ajoX2kwfalYnDZGPu4J9fSuqVBRnOLekZJX/wDAtfw/E5IV+anCdviTf3W/zPp+LWNPlsWv4tWtJLNfvXC3SmJfq4OB+dMsNe0rUJvJ0/XLC8lxnZb3iSNj6KSa+Z31DwHcfAP4j2fg/RtT8PXUcMTaho18WP2Z94wUDEnB55zzgcCofFvw38K6B+zrp/xC8OQvoPiOxtLe7F7b3EgM7l1BVgSQc56DHOO1N0YxvzNpXS+/9PQFVlLlUUru/wCFvx16n1Z5kn/PRvzo8yT/AJ6N+dY/g2+n1PwlpOo3QxPcWcckn+8VGa1q55xcJOL6G9OSnFSXUd5kn/PRvzo8yT/no3502ipLsh3mSf8APRvzo8yT/no3502igLId5kn/AD0b86PMk/56N+dNooCyHeZJ/wA9G/OjzJP+ejfnTaKAsh3mSf8APRvzo8yT/no3502igLIVpJNrfvG6HvXj/wCxs7j4A6SAzAfa7vof+mzV6833G+h/lXj/AOxv/wAkC0n/AK+7v/0c1ax/hy9V+pjJfvI+j/Q9j8yT/no350eZJ/z0b86bRWRtZDvMk/56N+dHmSf89G/Om0UBZDvMk/56N+dHmSf89G/Om0UBZDvMk/56N+dHmSf89G/Om0UBZDvMk/56N+dHmSf89G/Om0UBZDvMk/56N+dHmSf89G/Om0UBZDvMk/56N+dHmSf89G/Om0UBZDvMk/56N+dQS6jbRXcVpLqEMdzKCYoXnAkcf7Kk5P4VLXh3xMXP7VHw6OMn7JN29zV0o881Hvf8E3+hnVlyU3O21vxaX6ntk2o28N1FazahDFcTZ8qF5wryY67VJyfwqG61vTLW7Fnda1Y29y2MQy3aJIc9PlJzXjfxZUH9pr4XcZIW4PTJHA5rzXxN4Ws/BnijX7/4s+A9S17Tb7UGntfE9hdu8lojEFV2ZG0L6np0Ga1p0lNRbe9/wdv+CZ1arg5JK9rfirn1dqGuaXp0ix6hrVjZOw3KtxdpGSPUBiOKsWl9DeW4uLO8juYW6SQyh1P4g4r5v8daL4X8aftB+A7C+tl1jQ7nw7ujEzsPNQZ2sSpBz/WtPwbo9v8ADr9pseEPDNzPHoGraKbyTTXmZ0tpA5AK56Dg/mfamqKaSb1fN+Df+RLrO7aSsuX/AMmS/wAz6C8yT/no350eZJ/z0b86bRXMdVkO8yT/AJ6N+dHmSf8APRvzptFAWQ7zJP8Ano350eZJ/wA9G/Om0UBZDvMk/wCejfnR5kn/AD0b86bRQFkO8yT/AJ6N+dHmSf8APRvzptFAWQ7zJP8Ano350eZJ/wA9G/Om0UBZDvMk/wCejfnR5kn/AD0b86bRQFkO8yT/AJ6N+dfN/wC3+zN8NPD+5if+Jwep/wCmL19HV84ft+/8k18P/wDYYP8A6JeujC/xYnPil+6Z7Z8QvDI8Y+BtR8NG9NkL6Hy/PEXmbPfbkZ/OofFvhD+29S8Oapbak1hf6HdCaOYRb/NjIxJERkYDDIzzjNa5+Gj6ix1AfEDxvZi5/e/Z7a9gWKLdztQGEkKOwJP1pP8AhU8n/RS/H/8A4H2//wAYrr+p1ea6a3ucv1ym42lHpY5GHwT4r0vxR4g1jw74v0yzh1u5S5lt7vRGuTGyoEwHE6cYHpW3438Kt4u8Cz+HdR1ERXksalb6CDb5U68rKqFjjDc7d341p/8ACp5P+il+P/8AwPt//jFH/Cp5P+il+P8A/wAD7f8A+MVLwVVpK60t+GxX12ndvlev6mP4a8GxaJ8Oz4SXUJLiSSCRbi+eP5pppMmSUrnuxJxnv1qh4F8K+NPDOnaRo0njHR73SdNhjtxENBaOaSJFCgeZ9oIDYHXafpXT/wDCp5P+il+P/wDwPt//AIxR/wAKnk/6KX4//wDA+3/+MVX1Ordu61/4Pl5sn63SslyvT9bf5GZ4W8JR6Lqvie8kuxeJr96Lp4mh2iIeUsZTOTu+7nPHWsP4ZfC3T/A914h8jUpr2x1dwIrWWPH2WELgRBsncAOAeOAK6/8A4VPJ/wBFL8f/APgfb/8Axij/AIVPJ/0Uvx//AOB9v/8AGKn6lVs1zLZL5LYf1yne/K97/M4uz+H/AIm07Qm8LaX45S28N7TFFC+lB7yGA/8ALNLjzQvA4BMZwMdetXPE/wAPFu/DvhnSPDuqR6P/AMI3cwz2Tz2v2pT5S4Add6Zz3ORXUf8ACp5P+il+P/8AwPt//jFH/Cp5P+il+P8A/wAD7f8A+MVX1St/Mu/3fmL63S/lfVffuU9FsPFkdveR654k069eWPbbSWekm1MDc/MczSbu3HHSrvhix1DTdBs7HVdXk1i9hj2zX0kQjads/eKjIFJ/wqeT/opfj/8A8D7f/wCMUf8ACp5P+il+P/8AwPt//jFS8DUfVf18iljaa6M06KzP+FTyf9FL8f8A/gfb/wDxij/hU8n/AEUvx/8A+B9v/wDGKn+z590V9fh2Zp0Vmf8ACp5P+il+P/8AwPt//jFH/Cp5P+il+P8A/wAD7f8A+MUf2fPug+vw7M06KzP+FTyf9FL8f/8Agfb/APxij/hU8n/RS/H/AP4H2/8A8Yo/s+fdB9fh2Zp0Vmf8Knk/6KX4/wD/AAPt/wD4xR/wqeT/AKKX4/8A/A+3/wDjFH9nz7oPr8OzNOisz/hU8n/RS/H/AP4H2/8A8Yo/4VPJ/wBFL8f/APgfb/8Axij+z590H1+HZmnRWZ/wqeT/AKKX4/8A/A+3/wDjFH/Cp5P+il+P/wDwPt//AIxR/Z8+6D6/DszTorM/4VPJ/wBFL8f/APgfb/8Axij/AIVPJ/0Uvx//AOB9v/8AGKP7Pn3QfX4dmadFZn/Cp5P+il+P/wDwPt//AIxR/wAKnk/6KX4//wDA+3/+MUf2fPug+vw7M06KzP8AhU8n/RS/H/8A4H2//wAYo/4VPJ/0Uvx//wCB9v8A/GKP7Pn3QfX4dmadFZn/AAqeT/opfj//AMD7f/4xR/wqeT/opfj/AP8AA+3/APjFH9nz7oPr8OzNOisz/hU8n/RS/H//AIH2/wD8Yo/4VPJ/0Uvx/wD+B9v/APGKP7Pn3QfX4dmadFZn/Cp5P+il+P8A/wAD7f8A+MUf8Knk/wCil+P/APwPt/8A4xR/Z8+6D6/DszTorM/4VPJ/0Uvx/wD+B9v/APGKP+FTyf8ARS/H/wD4H2//AMYo/s+fdB9fh2Zp0Vmf8Knk/wCil+P/APwPt/8A4xR/wqeT/opfj/8A8D7f/wCMUf2fPug+vw7M06KzP+FTyf8ARS/H/wD4H2//AMYo/wCFTyf9FL8f/wDgfb//ABij+z590H1+HZmnRWZ/wqeT/opfj/8A8D7f/wCMUf8ACp5P+il+P/8AwPt//jFH9nz7oPr8OzNOisz/AIVPJ/0Uvx//AOB9v/8AGKP+FTyf9FL8f/8Agfb/APxij+z590H1+HZmnRWZ/wAKnk/6KX4//wDA+3/+MUf8Knk/6KX4/wD/AAPt/wD4xR/Z8+6D6/DszTorM/4VPJ/0Uvx//wCB9v8A/GKP+FTyf9FL8f8A/gfb/wDxij+z590H1+HZmnRWZ/wqeT/opfj/AP8AA+3/APjFH/Cp5P8Aopfj/wD8D7f/AOMUf2fPug+vw7M8w1f/AJPF0H/sT5v/AEfJXsVeQWnhVdD/AGy9D06bXta1kSeEJpfO1KZHkT9+42goijbxnp1J5r6C/sOz/vTf99f/AFqdTB1Ha3RE08ZTV79TnKK6P+w7P+9N/wB9f/Wo/sOz/vTf99f/AFqz+o1TX67SOcoro/7Ds/703/fX/wBaj+w7P+9N/wB9f/Wo+o1Q+u0jnKK6P+w7P+9N/wB9f/Wo/sOz/vTf99f/AFqPqNUPrtI5yiuj/sOz/vTf99f/AFqP7Ds/703/AH1/9aj6jVD67SOcoro/7Ds/703/AH1/9aj+w7P+9N/31/8AWo+o1Q+u0jnKpa7pdlrei3mj6lF5tneQtDMmcEqwxwfWuw/sOz/vTf8AfX/1qP7Ds/703/fX/wBah4Cq1YPr1LzPmYfAHWTo48Kv8Vdabwd5n/IIFmgby927Z527PX/Zx7V2Piz4bajcw6Qvgrxtqfg99LtTaRCCJZ4njOPvIxGW4659a9o/sOz/AL03/fX/ANaj+w7P+9N/31/9atXh8Q7Xf9ba9/mZKvh1ey/rf5fI+frP4IW8fhDxVp174ovdR1zxOiLf6xcQAn5WBG2IEAf99elZdl8BNTvLTTtH8ZfEvVfEHh7T2RodLSyS2jO3orMGYlfb9R1r6V/sOz/vTf8AfX/1qP7Ds/703/fX/wBamqGJTvddPw2+4TrYdq1n179d+vU5m3hit4I4IY1jijUIiL0VQMAU+uj/ALDs/wC9N/31/wDWo/sOz/vTf99f/WrH6lVNVjaSVjnKK6P+w7P+9N/31/8AWo/sOz/vTf8AfX/1qPqNUf12kc5RXR/2HZ/3pv8Avr/61H9h2f8Aem/76/8ArUfUaofXaRzlFdH/AGHZ/wB6b/vr/wCtR/Ydn/em/wC+v/rUfUaofXaRzlFdH/Ydn/em/wC+v/rUf2HZ/wB6b/vr/wCtR9Rqh9dpHOUV0f8AYdn/AHpv++v/AK1H9h2f96b/AL6/+tR9Rqh9dpHNt9xvof5V4/8Asb/8kC0n/r7u/wD0c1fQb6JZ7G+abof4v/rV4p+xHpltdfs8aRJIZN32u86N/wBN2rRYOpyNen6mbxdNzUvX9D0miuj/ALDs/wC9N/31/wDWo/sOz/vTf99f/WrP6jVNPrtI5yiuj/sOz/vTf99f/Wo/sOz/AL03/fX/ANaj6jVD67SOcoro/wCw7P8AvTf99f8A1qP7Ds/703/fX/1qPqNUPrtI5yiuj/sOz/vTf99f/Wo/sOz/AL03/fX/ANaj6jVD67SOcoro/wCw7P8AvTf99f8A1qP7Ds/703/fX/1qPqNUPrtI5yiuj/sOz/vTf99f/Wo/sOz/AL03/fX/ANaj6jVD67SOcoro/wCw7P8AvTf99f8A1qP7Ds/703/fX/1qPqNUPrtI5yuA+LHwzt/HFxpmq2etXega/pLlrHUrZA5QHqChI3Dj1HevYv7Ds/703/fX/wBaj+w7P+9N/wB9f/WprBVk01uhPGUWmnseF+CPhJcaZ4x/4THxf4xv/F2uxwG3tZ5oFt0t0PXCKT83J5z36Vkaz8FfEeqRXWj3XxZ15/C91Kzy6W9qjOVL7innZzjPtX0X/Ydn/em/76/+tR/Ydn/em/76/wDrVp9XxF09Pw/K1jP2+HtbX8fzufP3jL4MXmoeItB1rwj41uPCsuiacNPttlitw2wE8ks6jJzzxWz8MvhZa+EtdvfE+ra7feJfE18gim1G7UJtT+6iDIUHjPJ6Dpzn2j+w7P8AvTf99f8A1qP7Ds/703/fX/1qPq+Ita/f8dXr5h7fD3vbt+Gi08jnKK6P+w7P+9N/31/9aj+w7P8AvTf99f8A1qy+o1TX67SOcoro/wCw7P8AvTf99f8A1qP7Ds/703/fX/1qPqNUPrtI5yiuj/sOz/vTf99f/Wo/sOz/AL03/fX/ANaj6jVD67SOcoro/wCw7P8AvTf99f8A1qP7Ds/703/fX/1qPqNUPrtI5yiuj/sOz/vTf99f/Wo/sOz/AL03/fX/ANaj6jVD67SOcoro/wCw7P8AvTf99f8A1qP7Ds/703/fX/1qPqNUPrtI5yiuj/sOz/vTf99f/Wo/sOz/AL03/fX/ANaj6jVD67SOcr5w/b9/5Jr4f/7DB/8ARL19Zf2HZ/3pv++v/rV8w/8ABRWwgs/hh4daIuSdax8xz/ywk/wrWhhKkKikzKviqc4OKPc/iz4m1Pwf8GNS8R6P9n+3WVkskPnoXTOB1AIz+dYcnibxx4S8d+FdF8RazpPiS38SSvAsdrpxsp7Qqu4y4MsnmJ2P3ce/SrP7QNjeal+z3rljYWdxe3M2nhUgt4mkdzxwFUEn8KxJ/B9v8NfiJ4Z8Q+EtDum0nVCNM1e1hWSf7OW/1c4B3FAG4YggY616kPjV+9vw28rvS55lT4NOz/TX5b26mhpGr/EbxZ488ZabpHinRtF0/QtQS0gSXQzdPIGiVyS/npz82Ola3/CW69ovxg0jwZrstpc2Gr6SZLS7itzEWu4v9apG4jBHzAds4ya8yTSfAsPxZ8fXXxB8Ma3cSXGqRSafPDo2oTo8QhQEq1uhUjdnrzXoPxusbnUPAmk+L/DNhdXeoeH7mHVbK3WB1mliXBeIIwDgsnG0gHtilFpQhJ7Wjf5rV/Ju9vIc1ec4rfW3yen37fMm1/xxra/EDxFo+kC0/s7w/of2q7eSIsxu3BaNM5GAF2sRjnNN+FEnxI8ReG/DnivVvGWjNZ6lZQXs9hFoBjYLIgYoJftBxjON238Ko+BtK1Wb4R+JPEGp6Zc22t+JxdahLavGfOjVwRDEV67lj2Lj1Fc3+z1a/DfR9I8KRp4b12w8XLp0FvcyTaHqSKs5jUSBnePyhznnOPQ1VNNNxlulH73zN6dbaL5ImbTSktm39y5UvS+r+bNHRviz4hh+N+s+HtftbGPwmNTXSLC8jUiSK78pJAshzgh9+AeOa6a28a61J4y+ImksLT7N4et4JLHER3Ze3WQ7zn5vmJ9OK5rRPAv/AAlU/wAWdD1qzu7W31LXFls7ho2Q7hbRbJYmI5ww6j0NZnwQ03xrq2sfEf8A4S/SZ9P1S5igsGuHiKw3UkVusRmjJ+8jFd3HTOKz1dOy35L+raX4p3+9eZp7qqtvbmt6Wf5Nfk+6PV/Auv3+tfCfRfE955P2+80WG9l8tCE8xoQ5wM8DJ6ZrzZ/iP401D4X/AA61WwutMstX8UahFaXM72RmiiD7vmWPevoP4ql8HeM5PDvwosfBGo+G/Eh8V6bpq6WLKHSJ3inlRPLVluAvkbGADZMgwDzg8Vz3jvwZLofwg+Fvh/xBpN5qNvpeo2razFZW01z5a7SZOIQWIDHGRW1RxdSTj8LlG3azbv8Aha5nTuoWl8Vpfel/nt3Pb/COn+LbFrg+JvE1hrQcDyRbaSbPy/XP72Tdnj0rmfH+seMH+JOheEvDGsadpEd7YXF1PcXOmm7OYyoAAEiY6+pq58JG8CRW17Z+B9L1LT4Q4luEutMvbUMxGAQblF3cD+HNYPxJ8H2Hiz40+F49b0SXUNKh0q73vtkEccm5doLqRgnnAJ5qWrzivXy+y/1+8E/ck/T80HxD1rx/4XsPCmjw+I9JudW1vWhYy6g2jlY442UkYh87kjHXfVnwv4v8SaZ8SdU8D+Kr7Tta+y6Uuq/2lY2ptvIQsy+VLEXfB+QsDu5B6Dvh/GPwFpRtfh94Z0vw9NNocXiJGubeFZZEjjKsSzsCSq5PUkVN4b8Lv4N+IuueC9N0u6PhjxJprXVpcbHkSyuADHJC0pBIUjYygnqWxU3etvO3naKt6a6+drdSpJaei/8ASn9+mnlv0LvhjVviZ4/0h/FWg6zonhvSLh5Bplpc6Y17LPEjFRLI4lQR7yMhQGwMHJzisTX/AIu+Jv8AhSut63Y6fZWHi/RNTGk3ltNma3+0blAdT8pKMrqwzyM45xzZ+F3i4fD3wLb+C/F+geILbVdE320IstIub2G9iDExSRywoyDcpAw5Ugg5AHNcx4k8JeJF+CniTU7zQ7qLWPEniSHVDp0K+dNbxeZEqKwTPzBIwxxkDJ54quVOfLF+7pr/ANvJfle66eQ49HLe708rP8L2s+vdnqvw/wDHq6t8K28Va4sdvd6ck8OqxoMKk8DFZABycEjI9mFYH7PHj3xZ42uPE6+KrextzZXURso7eJlZYJYxLGHyeW2sueBXJ+OPC/ib/hatz4N02wuX8KeMri21PUrpIW8u1aEFZ4yw4Bk2QEZxn5q7r4VabeWPxQ+JM0thcW1rPf2n2V3hZI5EW1RfkJGGAIxx0xTg+ZuT6rbzTV/xul5LzM7WSj2/Xb8N/M2fjD4m1Tw34XhXw/Hby6/ql5HYaYlwCYzM+TlgOSAqsfwrD0/4hand/AvV/FYW2XX9IhuobuMxny1uYGIPy5ztOFYDPRhzWb440nxX4x+NtjFol42h2fhWxNwl9eaUbmCe5uDtwgLIGKIn3gTjfjvXJaloPjLw5cfEzwxf+fr0HiPRG1a2u7HSmhi+1hfKkhCqzgMVERAzk8msW/3cvNNr5f8AAUn9xtFL2keyav8AP/h4+mp08viT4n+Hvh/YfEPUtY0TxDpn2SG81DTYdLazljgdQWaOXzZAzJnO0qMgHkdK6Hw54+u734r/APCOXHkPo+raHFq+hXCxlHdd2JUbJ5I3xkdOprjbnxPP4g+C1l4A8LaHr9z4hvNJh0+VbrR7mzhtBsVJZHlnREIUZ4UsScYBGSNP4q+HtT8I+BvB3iLQNPudZ1TwU0atBaxlpbu3aLypUVRycnY2P9mt6jUZt/ZvZfO6+5Pld/VemEE5QS+01r6qzXzeqt6fO14s+IniC31D4hy6Mtl/ZvhTSEKNLEWMl8wZypIYfKqBcj/bHNbvw7g+Id9aaRrmueMtIvLK6tUuJbKDQTA/zoCAJPPbGCf7vOK5QeHNWt/2aPEv2nT7htf1y0ur+6t0jLSmWUfKm0clggRce1J8DIfhnpjaNDovh/WtP8RPYJBO8+i6lCgYIC4MksYjHK+v0pQjZuL3SX3+9f8AHr2sXNpxUls2/u923+fq2VYfGPxH1DRvG3im38TeHrDT/DWo3MCWNxpJPnxwor4afzhtLbiudhwccHpWz4p8TeOrz4UD4jeH9W0/Q4Y9FOoSaXeaUbpmcKWx5olTAP8Aun1rh9J+FMev6F8QdXfSLqx8UR+Iri50m6lEkfmeWkbRjafleNiCvQg5Nei+IdQ1LxX+zZqt22i31rqd3oU8b2DWrLMJghUqI8Z5I4AHIIrJ3VG/VRi/vi7+t3uulvM0svbpdHKS/FfdZbPr8irFrXj/AEn4Q6r441XxJpGpzDQmvrS2i0Y26wy+XvG5vObeO2MD61D4o+IOvIPAOkWupaToV14ntjNNq19B5kETrGrCJIy6gu7NwC46HGTWj4msL6T9mS902OyuXvm8MGIWyxMZS/kY27MZ3Z4xjNVtWm8LxfDbw74f8f8AhXVL/TZ9Nh3smkzXaxTIqEIyQq0qP1IO0D5SM5wDtUspyXRNf+3dfu9dEc9Jtwg3u07/APkv/B/El+JPiDx54R+HdnI2oaNLrs+sWmnrfJZu0LxzTLH5hhLja2GPyhyOOvNdHpFn430i21C98QeK9M1mNLR2hig0U2hSQDIJbzn3DjpgdeteDaj4e1pPgHLp+oaT4gu/D48WW02mWl1BLPeppYnQtvRMyAAByARuA7dK9X8Aj4exabrlj4E0bVrGeayd51uNJv7cSYUgANcIoJy3RTmsp39lNrfX1+GL26Wd/nfsbRS54rp+HxNb+enyOOsPiD8SLD4VaN8T9U1vQdRs7yeBZNEj0s20sglmEQWOYzNlxkMBs5wenWuq8R+MvEup/FgeAtC1vSPDEiaWl9HNqNmbqS+dz/q4k8yP7gBLEFj7V5v4a+Hr+Gvgv4W8f6J4bvYvFejOt3e2RjlMl5EZCs0ZhbPz7GLLgA5Ar0L4v3ngPxBpzab4z8I+Ippha/aNNuLXR7iaXe8ZH7qSBWMTqTjEmwZI6gEjSraMpWWzenlbS3fXVd7NbEQ1+a3+fXtpp809z1PR/wC0f7Lt/wC1hbC/2Dz/ALMxMe7uVJAOPqKt1xvwUtfE1l8L9DtfGDStrMdsFn85w0gH8IcgkFsYzg12VOorSaFB3igoooqCgooooAKKKKACiiigAooooAKKKKACiiigAooooAKKKKAPC9e/5Pi8O/8AYlTf+lEle6V4Xr3/ACfF4d/7Eqb/ANKJK90oA8o+DXxA1/xZ8RfiDoOrCzFn4fv0t7LyYirlSCTvJJyePauZi+NPiGx1L4uyahYWl7Z+DfKNhBChjeTcOd7ZOecdAK56w1TxF8FvjL45vtU8A+JvEWkeJrhLyxu9CtftJUgcq65G3k459Ohq38JrDxnpOk/EX4o6p4Dup7jxLdJLa+H5HVZ3tlGMup6MQfunnIPFZxfNTUr/AGNf8Xu/jv8AiU9JtW3np/h1f3bG58E/GPxi8VXek67qdx4F1jwvqCbp00ed/tWn7l3L5gbgkdCo5zXCX3jD4mfFL4tT3fgq78NWUPgjVZY4dFvb2SK61DACuxUDDLwcZwFNZ3hHRZtW+Nnh3W/hR8N/GXga1t5mbXv7Uh+yWkkeOipuO4k5zj244qh8ctQ0fxl4ivtB0/4R+LNI+KYlJtL6wRUidBJtSZ5VYFoyoznbgHjPFa396DS76dd1r5/P9CFflkm+2vTrp5dNv1PsvT5Liawt5rq3+z3DxK0sO7d5bkcrkdcHIzU9ZHgq31W18H6Pa65IJdUisoUu33Z3ShAGOe/Oea16c0lJpCg7xTCiiipKCiiigAooooAKKKKACiiigArlfibc+OYNDhi+H+n6XdatcTiNpdRmKQWse0kyMFBZuQBgc/N7V1VeZftIeNfFXgn4fm88GeHL7W9Zu5hbQi2tXnFvlSTKyoCSBjjtkiom7IuCuzkPgf8AFXx9q/xH8WfDvxxpmlXesaHbNcJcaRuWGQqVHl/P3O4YJx7irfwt+JXxA1v4+a34H8XaTpOlWtppIvobW2czSxkuiqHl4DHDHIC46c1z37LWs6Vo0WpWP/CDfERPEF5BJqOr61rWkeSL2VRkxod5x1IVe9cz4N8d6h/w1JqXjaT4Z/EGHS9Y0+LSovM0VlaKQyp+8k52iMYJJBJ9q2iv3sIvX3Xftezs/v0+V9LmUn7kpLurd7afpr87H058QPEcPhHwTrPiae3e5j0yzkuTChwZNqkhc9snv2r570j4yfFvST4N8XeMbHwvJ4O8WX0drBFYGT7VaCU/IXJ4bA5OM5x2r0hvHjeK/Fvj/wACz+ETqei6JprC4lhm3m7kZObbYQAHIz/FXzp4d+Gem+LvH3hqx8F+APiF4f07T9UivdTu/Er+XFBFGd3lwJnByRjIyenaoo61Ivo7fdd3v8uvT5l1NKcu6v8AfZW/4bqeqfHD4o/FbwlqWq32lXXgGy06wkVbfSbu9M2qX6MwCukS9N2eAefrXceJLz42a7oWgaz4H/4RLQxc2Am1K015ZjJDKQDhSingDOc4ryL9pGHS/EV9rujv8DfE934ylxb6Xrtpb77dgpAjlMyt8uB2K+xI612njm7+IXhD9lrTvDzafqeteNNQsk0xvssTTtCzjazO6ZA2rn5icZxzUJv2La1d1bzvfT8r9F5DdvapbaO/ltr+du5qfsteP/Hnj+HxHc+LH0W4s9PvPslndabA6RXDLneylzll4HYVL8f/AIkeLfDHizw14P8ACMehWN7rnmMNV1yVks4tn8Bx/Ee38q09M0+6+C37P0Vv4f0GfxBqGlWiu1nACHupmI3n5Qx6kngHpXmn7REniHxBqfgbVPE/gPxDrHgZrYXWo6VpEPm3Ud2VyquvDYB+g6854rSpbnUYvRNJ+ej/ADt+S6k0m+Vya1abXlt+V1+LLuj/AB28aWfwi8b+INa0TS9V1Twzeizju9LkY2V2S20yKSDlF6nHX2q38K/il8Srj4q6N4S8WT+DdetNZsHvEuPDkzv9hVVLDzc5HPA7DngnpXnXhjSPitZ/BDx3aeC/DOtad4euLsf2NpepIov0tWb9+FU9yueDk56Zq38DNGubf416De/DPwB4x8JaFHZ+T4jOv24iS4UD5duTlmzg5HfsBV00nU17L/0nr216/IVTSDt5/mrW76dD7Ak+430NeHfsMf8AJuej/wDX5ef+j3r3GT7jfQ14d+wx/wAm56P/ANfl5/6Pesxna/tA+LdW8D/CbWvE+iC2N/ZRq0QuIy6ZLAcgEfzrL8eeO9d0X9nN/H1mLQ6wNHhvMPETF5jIpPy5zjJPetP9oXwrqnjT4P8AiDw7oqo+oXNsfs8bsFEjLyFyeBnGOa8E8R+NvGPjD4L2vwj0z4TeMbXxDNZw6bPcXlmI7GMIArOJicHgcZAHvWT5pRnGPxaW/G/6XLVlKEn8Ot/wt+p1njf40eNIV8AeH9Bk8M6XrPiXR49Rn1PWneOyRimTGAMkEnOOT2Fb3iv4kfEL4e/BHVvE3jfSNGuddtbhbe1l06VjaXCuQEl5+ZVGeQcZxWP8VE0nw/4Y8P8Agfxp8Jde8a6PZaTDDDqOj2wuZI7hU2MAuVZBxnOfwrnfhJB4u8F/CLxLda54B1/W/Ct1qhNhoN66zX0Vg33mKHqQP4eDnnitaji/acr0u7P/ALe28tPlbUzptr2fN2V112u/X/PQ6/8AZptvibaarqGp+ItR8N+IdC8RyPqYvtKvnkFpMwz5W1gML0G0Z246171XyT+zjYx6v8bY/Fvwx8L+I/DPgF7GRL6HUiEgmmOceSgZgQDjoTg56V9bVpO1o6W029HZfht5Exb5pXd/6/r5hRRRWZYUUUUAFFFFABRRRQAUUUUAFFFFABRRRQAUUUUAFFFFABXj37RHxH8UeD9V8L+HPCkOjW194guJIl1TWZClnbFADtcju2ePp3r2Gvnj9ri01y81rwomoeFdZ8SeAYp3l1ez0aISXTzAfusr125z0wOuSOKl/FFef9f18i47N+TOo/Z0+IPi7xhe+KNF8XQ6Nc3Og3UcI1TR3ZrO6LAkhCepXAzz35AqD9pP4geL/BuoeE9M8JX/AId0+bWruSCW61vItogqbgWcEbRx157V5x8ENW1z4ceEfiL4rg8MavovgO0UXWiaVrhEE/nZww6FlDEgcg/w4zzXYfEzXtP17wX4S8QePvgnq/iWzvLUzyW+nxi6m0+ZsbVMZKMQy5O7tgetVV2jb+7f+vOz/DuTDeXzt8rfldHVeENX+K0nw11PVLm58FeK9eeVV0v+xLpls2UsFYvIw/hBLYHpiuL8EfFD4paT8frH4X/Ee08O3ranaNcQXGiiQLBhGcFt/JHyEdBye9c18FoPFvwz+HvxC8b6b4F1m3sL65jk8PeG5FaS4QFiuWjXLKBvBIxnAP1pv7NniF/+FgPrPi/wJ8Qrjxx4hcxXOr3miGGwsYuoijYtlI+ByRknHFXDWpt0V15taL1T1b/4YmWlJ+rs/nv6W0SO5uvid8RLb9ozw14I1TQtM0nQdYW6MamXz7mVIo2YOWUhUyQPl+bjNe6Pu2HbjdjjPTNfJHxM8d6hP+0l4W8X2/wz+IM+neGku7a6MeiszTl0ZFaLBwy5Ockjive4vHWtzfFPTPCsfg3UV0e90w3r6vIrKsD4yImG3aG7Y3Zz2rOn71GHd3/Vr8Fcqp7tWXay/wAn+LPHPi/42/aM+G+kR6rqeqfDq6S7vUtLG0tLe5e4nd2wqqrAAnHJ57V3vxu+JviLwZ4O0nT9FtbO88b6nAZUgZCYYUjTzJ5nXOdgVSOvUisHUdL1f4kftTWU2o6PqNr4W8FQtNby3Fs8cV3eEgAqWADAHkEZ+771m/Fj4a/F/wD4Tvxh458M6h4TuLW/0l7OOG9SeW7jtgh3RxKqYDN7E5OKzlJ+yT73fyW33vfyLSTqvysvm3r9y/E9Z+AvirVfG3wo0PxNrQtxf3sO+byEKJnPYEn+deJ/8FI/+SXeG/8AsN/+0JK9B/Y903xjpPwa0+z8WQ29sqDFjbCCSKeGLnImDgfNn0rz7/gpH/yS7w3/ANhv/wBoSV1VklN2Oei24K59KaZcTLp1sq2M7gRLhgyYPHu1WPtVx/0D7j/vpP8A4qsrVvEOk+FfBTa/rt0bXTrO2WSeURtJtXHXaoJP4Cs/w98SPCet6xDo9vcajZ306F7eHU9KubA3AHXy/PjTzCO4XJrJauyNHors6X7Vcf8AQPuP++k/+Ko+1XH/AED7j/vpP/iq5LUfip4Qstd1DRd2u3l7p0giu1sNAvbtYXIDBS8UTLnBB61taV4u0HUte/sG3u5V1P7FHffZZ7aSGTyX+62HUc9iOoPBAoWqTX9dfyB6bmn9quP+gfcf99J/8VR9quP+gfcf99J/8VWZq3i7w/petnRb6+Md+ti9+0QhdtsCEguSAQOQeCcntWL4Z+KXhTxJNZJpEfiKeO+Cm2uG8OX8du6sMhvNeEIFI/iJx70LXb+t/wDJ/cD03/r+ro637Vcf9A+4/wC+k/8AiqPtVx/0D7j/AL6T/wCKrC0jx94R1bxvqfguw1iOXXtMVWu7QxupQEA8EgK3BGdpOO9W08WaA+p61pq3xN1oaI+op5T/ALlWQOpzjDfKQflzSurX6Wv8u47O9uppfarj/oH3H/fSf/FUfarj/oH3H/fSf/FVDpOtabqvh218QWFx5um3dqt3DNsZd0TLuDbSMjg5wRmudvvid4Ms/Cuk+JpNSuZdN1iRYtPa30+4mkuHOcKsSIXycHjbTas2mJaq6Oo+1XH/AED7j/vpP/iqPtVx/wBA+4/76T/4qsvwn4t0rxM066bb6zCYAN/2/R7qyzn+758abvwziq3i/wAeeHfCupWem6rJqL3t5G8sFvY6Xc3kjIv3m2wxuQBkdaHpuBu/arj/AKB9x/30n/xVH2q4/wCgfcf99J/8VXLaj8TfCenaHZaxfvrFtBfXX2S1ik0S8W5llxnasBi80/Xbg1f8I+OPDfim5urPSrq4S9tcGezvbKazuEU9H8qZVfaezYwSCM8GiwXNr7Vcf9A+4/76T/4qj7Vcf9A+4/76T/4quT1b4p+DNO1K8083epX8tkdt2+maRdX0VuwGSskkEbojAclSQQOtXdX+IXg7S/An/Cc3WuQN4dKBxe26tOpBOOiAnOeCMZBBBpXVuboOzvbqb/2q4/6B9x/30n/xVH2q4/6B9x/30n/xVR6FrGm65odprel3S3Gn3cKzwTAEBkIyDg8j8ax/A3j3wp43k1NPDGqjUDpdybW8KwugSQdgWUBunUZFVZ3ceqJTTSfQ3PtVx/0D7j/vpP8A4qj7Vcf9A+4/76T/AOKrlPGXxQ8J+ELmaHX21u2WAqJLhNCvZrcFsBR5yRFCSSBw3XipV+JXhUaBda9dSavYafayxRSSX+jXdqd0jBU2rLErMCSOVBAzziktdhvTc6b7Vcf9A+4/76T/AOKo+1XH/QPuP++k/wDiqzvFfivQPC+nxXut6gtuk7BLeJUaWa4Y/wAMUSAvI3fCgnHNZNt8TPB82malqEl7e2SaZCJ7uK+025tZ0iJwJBDLGsjLnjcqkZ4pXWvkHbzOn+1XH/QPuP8AvpP/AIqj7Vcf9A+4/wC+k/8AiqydR8aeG7CfQ7e41A+frzAabDHC7yTjbu3bVBKqBjLMABkZIzWI/wAWfBv9pXun251++msbg2ty1l4ev7mOOUAEoZI4WXIBHfvT62/r+tQ6XOx+1XH/AED7j/vpP/iqPtVx/wBA+4/76T/4quR8VfFbwh4XlZdcOvWqKYwZh4fvnhy+Nq+YsJQkkgYznJx1re8J+J9N8TW80+mwarEkLBW+36Xc2ROem0TohYe4zQtVdA9NzQ+1XH/QPuP++k/+Ko+1XH/QPuP++k/+Krmtd+JXhHRtam0e7vbyW6tgpujaadcXMdoG6GaSJGSLoT85GAM9K1vFXinQfC/hmbxJreoJbaVCqs04VpMhiAu1VBLEkjAAPWldW5ug7O9upf8AtVx/0D7j/vpP/iqPtVx/0D7j/vpP/iqz5vFOgw+DpPF73w/sSO1N41ysbHEQGS20Dd07Yz7VfttSs7jSE1aGbdZyQC4WTaRmPbuzjGenanL3b36bii+a1uuwv2q4/wCgfcf99J/8VR9quP8AoH3H/fSf/FVx+gfFjwfr0loukL4iuortwkFyvhy/Fu+TjPmmHYFz/FnHvVrWviX4P0jWp9Iur67kubYqLtrXTri4htN3TzpY0ZIuMk72GACTxTswOm+1XH/QPuP++k/+Ko+1XH/QPuP++k/+KqzG6yRrJGwZGAKsDkEHvS0gKv2q4/6B9x/30n/xVH2q4/6B9x/30n/xVWqKAKv2q4/6B9x/30n/AMVR9quP+gfcf99J/wDFVaooAq/arj/oH3H/AH0n/wAVR9quP+gfcf8AfSf/ABVWqKAKv2q4/wCgfcf99J/8VR9quP8AoH3H/fSf/FVaooAq/arj/oH3H/fSf/FUfarj/oH3H/fSf/FVaooAq/arj/oH3H/fSf8AxVH2q4/6B9x/30n/AMVVqigCr9quP+gfcf8AfSf/ABVH2q4/6B9x/wB9J/8AFVaooAq/arj/AKB9x/30n/xVH2q4/wCgfcf99J/8VVqigCr9quP+gfcf99J/8VR9quP+gfcf99J/8VVqigDwXXZpD+254ec2sob/AIQqb5Mrn/j4k98V7h9quP8AoH3H/fSf/FV4rr3/ACfF4d/7Eqb/ANKJK90oAq/arj/oH3H/AH0n/wAVR9quP+gfcf8AfSf/ABVZHhjxr4a8S63rOi6LqJub7RZhBqEXkSJ5LnoMsoDdP4Sarad8Q/B1/qXiDT4NaiWfw5t/tbzo3iS2yMjLuAp49CaV1a/lf5d/QLfnb59vU6D7Vcf9A+4/76T/AOKrOXTbBfETeIh4fP8AazWwtWu8p5hhDFgmd3TJJ/GuT8E/HL4W+NPEg8O+HPFcN5qZDbITbyxiTHXazqFb8CawPiN+0N4K8I/EfRvB39o2Vw89y0OrT7326cMDYSQpDEk4IzxjnFNfFFdXsFtH5bnrn2q4/wCgfcf99J/8VR9quP8AoH3H/fSf/FVPBLHPCk8MiyRSKGR1OQykZBB7in0Ancq/arj/AKB9x/30n/xVH2q4/wCgfcf99J/8VVqigCr9quP+gfcf99J/8VR9quP+gfcf99J/8VVqigCr9quP+gfcf99J/wDFUfarj/oH3H/fSf8AxVWqKAKv2q4/6B9x/wB9J/8AFUfarj/oH3H/AH0n/wAVVqigCr9quP8AoH3H/fSf/FUfarj/AKB9x/30n/xVWqKAKv2q4/6B9x/30n/xVH2q4/6B9x/30n/xVWqz/EOt6R4d0ifVtd1K102wgGZJ7mURovtk9z2HU0m0tWNJt2RN9quP+gfcf99J/wDFUfarj/oH3H/fSf8AxVYXgzx/4T8YeFLjxT4d1T7bpFuZFkuPIkTBjGW+VlDHA9Bz2rkfDP7Q3wh8SeI7Tw7o3iprnU7yXyYITp1ym9/Tc0YUdO5qrPm5evYTdo83Q7nQdK07QhdjR/Dv2L7ZcNc3Ji2Ayyt952O7kmtL7Vcf9A+4/wC+k/8AiqlvLm3srOa8vJ47e3gjaSWWRgqoijJYk8AADOa868LfHf4T+J/FKeGdF8YWtzqcjmOOMwyxpIw7JIyhGJ7YJz2pLV8q3B6Lmex6B9quP+gfcf8AfSf/ABVH2q4/6B9x/wB9J/8AFV5x4z/aA+E3g/xFdeH/ABD4oaz1K1O2aEafcybT/vJGQfwNanjb4w/DvwZpGlat4j142dnq0fmWUgs55PNXGc4RCRx64pJpx5ug7O/L1Oz+1XH/AED7j/vpP/iqPtVx/wBA+4/76T/4qsH4ceP/AAn8Q9Hl1bwhqh1GzilMTyG3kiw/piRVP6VY8eeNPC/gXQ21rxZrFvpdkG2h5MlnbGdqqoLMcA8AE05e78Wgo+98Oprfarj/AKB9x/30n/xVH2q4/wCgfcf99J/8VXE6N8ZfhxrHgfUvGuneIhPoWmNtvLgWkwaI+6FN5/AVH8O/jZ8M/iBrp0Pwn4iOoagIjKYjZTxfIOpzIgH607O/L1FdWv0O5e5n2N/xL7jof4k/+KrxL9h6aWP9nbRwtpLKPtl5yrLj/Xv6mvd5PuN9DXh37DH/ACbno/8A1+Xn/o96Qz2j7Vcf9A+4/wC+k/8AiqPtVx/0D7j/AL6T/wCKqj4y8TaL4Q8O3XiDxDeGz020UNNMInk2jOPuoCT+AqDV/GXh3SfBJ8aahqBi0IWy3RufJdv3TAENsALdCOMZpXVm+w7O6Xc1ftVx/wBA+4/76T/4qmyzSyxtHJps7IwKsCycg/8AAq5Hxb8Xvh14U8O6Zr+v+JYLOx1SFZrImKRpJo2GQwjVS+MHuOKs6J8T/Aes+B5/G2n+JLR9At93nXbhoxGV6hlYBgfbGTRK1pX6b+XqCvpbrt5+hseH7Cz0DR7fSNF0FrGwtl2wwRFAqDOcD5vU1f8AtVx/0D7j/vpP/iq8w+B/xw8NfFHWde0vT57eGawu3Wyj3MHu7Ufdn2soxn+7yR3r1mqaejfXUnS7XbQq/arj/oH3H/fSf/FUfarj/oH3H/fSf/FVaopDKv2q4/6B9x/30n/xVH2q4/6B9x/30n/xVWqKAKv2q4/6B9x/30n/AMVR9quP+gfcf99J/wDFVaooAq/arj/oH3H/AH0n/wAVR9quP+gfcf8AfSf/ABVWqKAKv2q4/wCgfcf99J/8VR9quP8AoH3H/fSf/FVaooAq/arj/oH3H/fSf/FUfarj/oH3H/fSf/FVaooAq/arj/oH3H/fSf8AxVH2q4/6B9x/30n/AMVVqigCr9quP+gfcf8AfSf/ABVH2q4/6B9x/wB9J/8AFVaooAq/arj/AKB9x/30n/xVH2q4/wCgfcf99J/8VVqigCr9quP+gfcf99J/8VR9quP+gfcf99J/8VXMeMvih4D8Ia5YaHr/AIktbbVNQmSG3tEDSylmOF3KgJQEn7zYHvS/Ev4meCvhvaWd14y1g6bDeOUt2FtLNvYDJGI1bHHrSurc3TYdnexq+IdM0/xDp40/W/D5v7QSpN5MxQrvRgynG7nBANaC3EyqFXTpwAMABk4/8ern/hr8RPB/xG0y51Lwdqx1K1tpRFM5t5YtrEZxiRVPSpfiH498I/D/AEhdV8Xa3Bpls77I94Z3kPoqKCze+AcU5e7voKPvbam59quP+gfcf99J/wDFUfarj/oH3H/fSf8AxVc14S+JvgPxV4VuvFGh+JrK40mzBN1O7GLyMf31cBl9sgZ7Vm/D/wCNHwz8ea3JonhbxTb3uoIpbyGhkhZwOuzzFXf6/LnjmnZ35eoX05uh2/2q4/6B9x/30n/xVH2q4/6B9x/30n/xVef6t8d/hNpfi7/hFb7xnZRap5oiZQkjRI57NKFMa++WGO9ekoyuiujBlYZBByCPWktVzLYHo+V7lb7Vcf8AQPuP++k/+Ko+1XH/AED7j/vpP/iq8/1P48fCXTfF3/CK3njOxj1TzREyhJGiRz2aUL5a++WGK0viP8Wvh58PGtk8W+JbewluRuhiSN55GX+9sjViF9yMUrqyfRj5Xdx6o677Vcf9A+4/76T/AOKr5d/4KOSySfC7w5vtpIv+J11Yqf8AlhJ6E19MeFfEWieKtCt9c8Palb6jp1yu6KeFsg+x7gjuDyK+bf8AgpH/AMku8N/9hv8A9oSVTTTsyU01dHpv7SWf+Gb/ABDtxn+zhjP4VhXJ8Qav8ZPBOm/ES30vTVslkv8ARX0uZpory4CYaN3kVWQqvzYAIPrXqmu+G9L8XeBX8O61HK9he2yxzLHIUYjA6EdKf4o8I6L4jbSH1KObzNIvI7yykilKNHInTkdQehHcUoaST8/6fqt/kOfvRsuz/G2no9meTeBpfHSfFb4mjwnZeG7i3/tqHzzqd3PE4b7On3RHGwIxjqRzW58Y4T4c8d+CviSSIxa3I0nVCp+X7PcHaGJ9EY7q3b/4U6JceIdU1yz17xXpN1qkwnvF07WJYI5HChQ21eM4AFdD4g8J6T4g8Fz+EtaFxfadcW32aVppS0rjGNxfrv77uuaE2owtvG34KzXo1dfMcrSlLs7/AI7fdueY6RCviAfEv4gs/mRXMU2k6c3UC3tgUYg+jSB2/GtH9nSXx83w58GpqFl4ZTQP7EtvLlt7udrsr5K7Mo0YQH1w3HbNd7ovhHQ9H8EQ+DdPtmh0iK0+yrGHO4oRgkt1LHkk+prA8KfC3S/DMmnjTfE3jD7Lp6olvZTa1K9sEUYVDGeCoAAxThaLcelor7ua7+d7/eTK8kn1u/xtZfK1jyGXw/qU/i34i+M/DEIbxL4b8Trc2yg4N1B9lh823Y+jD9a2fAGv6d4s8S/FXxDo0pns9Q02ymhOORmyTKkdiDkEdiDXtHh7wvpOhanrWoafHKs+tXYu7wvIWDSbFTgHoMKOKzvBXw98K+D9T1zUNB0820muXBub1d5KFz12r0UdeB61HLeHJ/dS9HZJ/LS//DmnNabmu/4Xuvu/XyRi/Ce4h/4Zz8Nz+YPLTwzAGb0xbgH9Qa8eC6pD8EPgl/ZkNq+oHV7V7ZLt2SJiwYruZQSAQewNewy/Bvwmxmt47rXrfSJ5Wkl0aHU5E099xyymAfLtYkkjoSTW14y8AaB4o0jS9MuvtthDpMyTWDadcNbPbsgwu0r0AHGK1lPmm6ndxf3Nt/mZwXJHk6Wa+9WX/BNDwjJ4sktJj4ttdEt7nzP3Q0u4llQpgfeMiKQc56A1538S38SR/HbwofC9vpM99/Y95ldSnkii27kzzGrHP4YrvvB/hSLw21w0eveIdU88DI1TUnugmP7u77vXmrV34d0y68V2PiaVJTqNlbyW0LCQhQjkFsr0J4HNT9uMu1//AElr9Q+y16fmmeSfG6Txd5Xw3kvLXQl8Q/8ACTJsijuZTZltj4y5QPjHX5etN8MHVtS+KXjLVfE8drYeMdL0NbS0srN99u1qwd0nSQ4d9zlwQyjbtr1nxP4W0nxHeaPdanHM0ukXq3toUlKgSgEAnHUYJ4pt34T0e68a2XjB45l1aztHs0kSUqrROclXXo2DyM9MmptdNd7/ACvG2n5ej7lN7eSXztJv+vNHI/sxrZn4IaBLbiFpJklkvGXBL3BlfzSx7ndnrXjOtW8Ufwe+I8NqEOit44VbONeYwpeDzQvbHmb+PXNe4X3wj8NS3t9Pp+oeIdDh1CVpruz0rVJLa2mkYYd2jXjLAcnvWrqPw78J3ngaDwUNNFpokDRtHb2rmLaUfeDkc8tyfXJq73qc78tP+3ot/day9egRfKuX53+TX66nj3/CQ3XgjQ/Ffwqs2catJqSR+HVIIMlvfbnyuO0bC4HHTaK6X9njRbXw343+IWhWf+psrqxhDHq5FpHuY+5OSfrXoOq+A/DWp+OtK8aXlmz6zpUDQWsu8hQreq9CRk4PbJq7ofhjSdG13WtasY5VvNamjmvC0hZWZECLgduAKUHbV72t9zVvwTb82Tbtt+r3/HbyOI/al/5I3qH/AF+Wf/pRHUf7Tf8AyRS4/wCvux/9KI67zxp4Z0rxdoEuh61HK9nLJHIwikKNlHDryPcCm+MfC+k+LPDr6DrEcz2TPE5WOQo2Y3DLyPdRSjov+3k/lp/kN/En5NHnMpjm/an0yHVDuSHwo0mlJJjaJTMBMyZ/i2iPp2ro/wBoRE/4Uz4qk2Lv/s8jdjnG4cZ9K2PG/gfw/wCL7ezXVYZ47mwfzLK9tZjDc2rdCY5F5XIGD61nRfDHw+dG1PTNQvdc1YalB9mnuNQ1F55xFnOxHPKrnnAqJxcqTh/i/Ft/rb+rDpvlmpf4fwSX6X+fzPOf2dFePxnfL45WM+Nm0u1bTpA2bdtL8tdots8jD58zgHJXPGKf8F5fHi6z41Xw7ZeGptK/4Sy489767njnB2Q7tqpGynjpkjn0r1LWPAfh7VG8PSzw3Edx4dkV9OuIZiksYCbCpYcspXgg8GsT/hUehxanqF9p3iHxdpR1C6a8uIbDWpYYmlYAFtg4GQo/Ktub3+bya/FNP52189epCVocvmn+DX+VvLTprQ/ahz/wqhs9f7W07OP+vuKvT4P9Sn+6P5Vi+K/Cuk+KPDqaDrH2ia0WWGXImKuzxOroSw5PzKM+tbiqFUKOgGBUrSLXnf8ABL9BvWSflb8WeL+NdI8X/DPWfE3xC8Kix1zQr9ft2t6NdkxzqUChpIJMEHCBiUbA44qp8SvGuj674s8BaW9jql1ozRf8JBexWWmT3kmxU2wI8cKMQC8m7JGMx13GvfCnw1rV/dTXd3riWV7KJbzS4dRkSyuWyCd8I4bdgZ9cVt6B4N0LQ/EupeINPt5EvtRhht5S0hKJFECESNeiKMnge1TFaJPp+i0X32t2t91Se9uv62/S9/U8G0HXoH+BPxV8FqNQj/sK2u2skvrOW2mNnMjNEfLlVXAyHHI9K9u8O/8AJJLL/sCL/wCiab4h+HPhnXdZ1XVr6C5+06tpLaRe+VOyLLbk5wQP4h2bqMmoPC/w40/w+wWDxF4rvbYWzWwtb7V5J4QhXbwjcZA6HtSmnOnKPVpL5q6/HR+twTtUjLom39/K/wALP5WOH/Zhl8ef8K08LI9l4ZHh37O2JVu5/tmzc2Ds8vZnOMjdil8ZaX4u+Fmq+J/H3hoWOu+G74nUNa0i5JjuIyuN8kD4IYBNx2NjpxXVeGPhLo/hs2UekeJPGMFnZOGhsjrcptwAc7CnQr7VLrfwn8M6xfXMt5da2LC7mE11pUeoyLY3DZBO+EfKQxAyO9a1Jc0+aPW/6b9/+ATBWVnt/wAOdjomoW+q6PZ6laZEF1CssYIwQrDI4q5TIIo4IUhhjWOKNQqIowFA6AU+pla7tsKN7K+4UUUUigooooAKKKKACiiigAooooAKKKKACiiigAooooAKKKKAPC9e/wCT4vDv/YlTf+lEle6V4Xr3/J8Xh3/sSpv/AEokr3SgD55/Zqmhj+OXxhtXlRbg6pFIIiwD7cH5sdce9cr4F0jR/Gviv496fd61BY6Rqd1BaHURKoRHAI6k4OGGMZr2P4kfAr4c+Pte/t3XNLuItSZAktxZXLQNKBwN+37xA45rV0z4T+AtO+Hs/gO10GBdDuRm4iJJeZuPnZ+pfgc+1RGPuJS3UeX8tfwKb95tPeXN6b6fezxXwzq3iv4VeNPBfgT4j6F4c1vT7iT7Poet2AVZoSqBRuQgNnBGW9+CcVneKtB8S/B6PxX430EeGvHPgPVr57rUrW6dfPidm2vh+QwDfLgEnI5AxXsPgH4BfDTwVr8eu6TpFxPfw58iW9uWnMJ9U3fdPvXK3v7Mngy++LM/ia5tVOgSwiZtMFxJh7wyFmcr93YRj5c9cmtLtyjrrrd/jZrrtv3t6kJJRatppp56q6fTfbtf0PZfBWo2er+D9H1TT7c21pdWUMsMOMeUjICF49Bx+Fa9R2sENrbRWtvEkUMKCOONBhVUDAAHYAVJTm05NoUE1FJ7hRRRUlBRRRQAUUUUAFFFFABRRRQAVk+LdH0vWtHkg1bT7e+ihzNGkyBlWRQcNg9xWtXM/ErwNoPxB8OHQPES3TWRlWXFvcNE25enzL256VFSLlFpf1/wxcHaV2eL/sgQxy/s6a/byXEFpHJf6hGZpm2xxgjG5j2A71yui3XxM+At74H0PWrnwhr/AIc1TUV0+3Sxjxcr5jcSb2UFsZzkZ7AnpXsfgD9n/wCG/gm9vbnRtPvnF9aSWdzDdXjzRSRPjcCh45x1o8F/s+/DDwn4nj8RaZo08t9Axa3+13LTJbt6orcKR29K2unVU+ml/l0/4Jk1+7cfN2+Z3Oo6x4Y1AanoF3q2kTTR2rG/spbmMtHCwwTKmcqhBxk8V8pePbXxX4P+Lvw41P4lL4Y1vSf7REGkw6Cn2doGZgEcptBdR8p7j3z1978IfCyKDxd418T+KmtNSu/Exa18mMN5cVjjAiOQMk9z7cVW8G/s9/C/wp4li8Q6dos817bvvt/tdy06QNnIKK3CkdvSop6ThN+Tf+Xr59yp/BKC81/wf+B1R5n8S/D/AMRfBviHx18VfB2veC7nSJSs15aXaebMPKHMeSu1W56bs/jWv4k0vxX8YNI+HHjnwhqHhvQtbtbRr8WOp7pF2uu0lUCksoz1IHUV23iz9nz4X+JvFcviTVNGnN3PIJbiKK5dIJ3zks8Y4JPf1rW+Ifwc8A+ObDTrPWtIaJdNj8qzeylMDxR/88wV/h9vaojG0EuzVvK1+vXWxUmnNvve/ne3T9Tjv2dfijqGsaN4qtPHjaFptx4Yvfs13qVvIkNpKDn5s8KvTrnmuL/aTOueIP2g/hxpvhy50R/Os57jTpdSzLZNNg7ZCqghiONvB5xXs1v8HfANr8N7v4f2ujm30S9A+0rHIRLMwIO5n6luBzTfGvwd8B+L/DOleH9a0uR7bSEWOxlimZJolAxgOOcY61T+KMu1vK+jTflrqiY7SW17+dtrevW543pOoeK/iR4J+JHwp8U3nhiy12yuUsk1S3AhtJnZgFU4Gd2eAMZ5xjNavw18VfETwZ8a9H+FvjkeGNUj1DT2e1utIh8p7cRoT84wCc7e4HrzXpukfBf4d6Z4BvPBNvoKNpN63mXPmOWmlkH3ZDJ13Dse1J8MPgx4A+HWozan4d0uX+0JV2G6u52nlVe6qzdB9KqNlO/kr+dk1t01dxS1jbzdvK7X37Hocn3G+hrw79hj/k3PR/8Ar8vP/R717jJ9xvoa8O/YY/5Nz0f/AK/Lz/0e9IZr/tfqzfs9eKNqk4gUnA7bhXK/F3U9OX9idJjfW/l3GgWsMLiQESOUUBVPc54r3zVLCy1TTrjTtRtYrqzuY2imhlXckiEYII7ivItL/Zl+Een61FqiaJdT+VIZEtbi8eS2B7fuzxgdhWbhzKcHtK34X/zLUrOM1vG/42/yOO1D4c+Ida0r4deKvBOu6PbeMNB8NwRtpepAOksLR8kryVJJIyRj3FVdMm0/42fC3xb4J1ez0zwL4it9YWC8a3lRre4vFI28g4fJABAz7Zr134nfBjwF8RNQt9Q8RadcfbLePykntLhoHKdlJXqKik+CXw8X4cXHgW10GOLTJnE7ESMJWmH3ZDJ97cOOa0qS5udtbtu3/b19/wBO5nTjy8lnqrK/orbf1oef/C3xN4l8P/GLSvht8RvDegSa0unO+ma7pm0GSEDBDLgFQdpHOCT2r6JryP8AZ++B+g/DHTob64iivvFDxFLrUDI0gwSflj3cquMD3r1ytJu9tbv/AILJirN22/4AUUUVmWFFFFABRRRQAUUUUAFFFFABRRRQAUUUUAFFFFABRRRQB83fthaLpVnfeA9VtdNt4r688YWQuLlIwJJcBsAnvXYftAeB/EfjLWfCM/hHXPD+n61otxLeRQ6oC4kUoEJEYU7gN3PGORVj4hfs9/Dnx34nn8ReILfVJb6fbuMV+6INowMKOBVnWvgP8OtY8HaR4XvtPvXtNIDCynF44uI1Y5ZfM6kE449hUxXuJP8Amv8Al+TVypNc1+lrfn/nY539nb4lazqj+MtD8ef2HaXfhW4VbrU7JlitZFbdyTwFxt6/yxWH8TrvS9a/aq+E1xJc2moaNPaXkllKkiywSyeWcEEZVu2Peu41n4OaXpvwh1TwB8PobTRV1UpHd3VwWeR4yw8xi2CWfZuAzxzWh4i+C3gPxD4E0bwfq2mySWWjIq2UsUpjmiwMHDjkZ7iq+1GX8tvK/utN+W6a8yLe7KP81/lqret9b+R8o/F0G3vfjnb6OBHpBv8AT/tghwFVvOXI4/GvTfi3b2Nn8VPgrJ4Yht4tQa0n8oQKAWi8jqcdR1/WvbfC3wj8A+HPBN/4P07Q4m0rUVIvlnPmSXOe7ueSR29Kzfhp8DPh18PdcbW/D+lznUNhjinu7hp2hU5BEe77uQcHFKMUkoX0VnfvZWt6fpcqTu3K291b1tr/AF5HzXpFroUn7DPjK6vI7c3/APa8heVgPME/2iPYM9c/0zX1J4L1yBfh9pGj3GqWa+I5NDWZLJrhBcNiP7wjzuIzjnGKwb79nb4VXnjF/FFxoMjXMlx9okthOwtXk9TF908812Enw/8ADL/EW18em1lGt2tmbOF1lIjWIjGNnTOOM0370HF6c1r+Votaer/AW0lJa2v87yT19EvvPkfSrXQn/YR8VXV3Hbm//tVy8rAeZ5/2hNvPXP8ATNdz8E4o739pTVv+Epihlu18H2vkrcKCAmE3EZ46fpmvT7v9nX4U3XjF/E82gyNcyXH2h7bz2Fq0nqYvu9ea1fif8FvAPxFvrW/8RabOLu1j8pJ7SdoHKf3WK9QO1HeVt+nRe7b+ttAauuX1d/WSf6fecF+wzkfDrXY7f/kHJrtwLP02Z5x+lc3/AMFI/wDkl3hv/sN/+0JK+j/B/hrRPCPh+20Hw9p8Vhp9suI4ox37k+pPc184f8FI/wDkl3hv/sN/+0JKubTat0SX3KxMU9W+rb+93PpPTLCzk062d7WJmaJSSV6nFWf7NsP+fSH/AL5rG1bw9B4j8O2NrPqes6esaK4fTNQktJDx0LRkEj2rzL4CaLNf6fqXiHVfFvi+9m0zXb+3ijuddneExQzMqK8Zba3ygZz1rNNa36a/LT/MqWiTXXT83+h7N/Zth/z6Q/8AfNH9m2H/AD6Q/wDfNeRfDfSdS+KPh8+ONe8W+I7OLUZZG06x0jU5bKK1tg5CBhGR5jkAEs3rinfDsat4vtvEXgnxX4i1pr7wpqhtU1PTb6SymvISgaNpDERltpAPqRmnZ6p72v8ALT8VdA7LXpe35/hoet/2bYf8+kP/AHzR/Zth/wA+kP8A3zXjv7Pegz6pYXWvan4r8X31zY65f2sUdzrk8kLRw3DogaMttb5VGcjmsv4geL/EUPj3VPGWm6xer4X8IX1tp99ZQyEQ3Ifa1zIw6MYw+3noVNO2sV3t8k7a/iha+95XXq1fT8Ge7f2bYf8APpD/AN80f2bYf8+kP/fNefeONY1GD41fD7T7PUriPT76K+a4gjkIjn2xqVLDocZyK9LpL4U/X8HYL629PxKv9m2H/PpD/wB80f2bYf8APpD/AN8185XWvaDc+M/iJB4p+KOuaNqVjqhi0iwtvEEkDFPIjZRHbqw8zLlhjBz0rR8feIvFEPwr+G11421y+8MXeoanbx67PBdNp7pEQc72BBj4xkcYOaUXeKl35f8Ayb/LqU1aTj25v/Jf8+h75/Zth/z6Q/8AfNH9m2H/AD6Q/wDfNeR3dlp2ofC7xNdfC34javrmoxxhobkeIZL/AMqWP5wgJZtu4Hkd8ipfGnjzUda+B+g6j4bmlttc8U/ZrS1MJKvBM/8ArSMcgoVcH0p90t9Px2Eul9tfw3PV/wCzbD/n0h/75o/s2w/59If++a8E8T6poVt8bNX0Dxr8TdW8PaZZaJYmxX/hI3sBNKTIJHOGXexCqSff3q/8b/7Yj8H+BND8A+NNUtv7V1ZI4NUGoPPJOhRpF3SkkupOOpIxjtR0vvrb8bf0gSd2n0V/wue2f2bYf8+kP/fNH9m2H/PpD/3zXh3iX4h6trPwz8L39veXOk65D4nttK1yCGQoyTLuEsbAfwNhXA7qy13eganqM3x68UaTLfXD2FvomnzQ2zOTHG7yXIZgvQEhVyfYVSjf73+Sd/Rpibsrvy/F8tvkztv7NsP+fSH/AL5o/s2w/wCfSH/vmvO7vVtUX9oO/wBIXULoaenhOO5W1Eh8sSmeYFwvTdhQM+1effBDUvCXiHTdOfX/AIs60/iyW/uVfTD4slRmZbiQIn2cP02Kvy45FTD3ref+bX6FTXLf5filL9T6F/s2w/59If8Avmj+zbD/AJ9If++atUUCKv8AZth/z6Q/980f2bYf8+kP/fNWqKAKv9m2H/PpD/3zR/Zth/z6Q/8AfNWqKAKv9m2H/PpD/wB80f2bYf8APpD/AN81aooAq/2bYf8APpD/AN80f2bYf8+kP/fNWqKAKv8AZth/z6Q/980f2bYf8+kP/fNWqKAKv9m2H/PpD/3zR/Zth/z6Q/8AfNWqKAKv9m2H/PpD/wB80f2bYf8APpD/AN81aooAq/2bYf8APpD/AN80f2bYf8+kP/fNWqKAKv8AZth/z6Q/980f2bYf8+kP/fNWqKAKv9m2H/PpD/3zR/Zth/z6Q/8AfNWqKAKv9m2H/PpD/wB80f2bYf8APpD/AN81aooAq/2bYf8APpD/AN80f2bYf8+kP/fNWqKAKv8AZth/z6Q/980f2bYf8+kP/fNWqKAKv9m2H/PpD/3zR/Zth/z6Q/8AfNWqKAKv9m2H/PpD/wB80f2bYf8APpD/AN81aooAq/2bYf8APpD/AN80f2bYf8+kP/fNWqKAPBdctLVf23PD0IgjEZ8FTErt4z9okr3D+zbD/n0h/wC+a8V17/k+Lw7/ANiVN/6USV7pQBV/s2w/59If++aP7NsP+fSH/vmvGv2ffEGu6v8AFn4p6fqmsX17aafqkcdnDPMXS3Ug5VAfuj6VymleMPiB/wAJH8c00S/v9UvtHMH9jWcjNMsBKnPloePU4HpU83uqX93m/L/Mrl1a/vcv5/5H0h/Zth/z6Q/981SvpPDtheWdnfTafbXN85jtIZZFV52AyQgPLEDsK+b/ANmrWpfEHiDStRt/jlrGr6oVI1jw3rJ2kNt+cQo3Pyt3HGK4/V9Su/Fnxt1ZPiB8TNS8B+I9D1Jz4ZtbiIR2YhOAr7m4y4Az/eFXyvnjHv8A1p3IUouLl2/rXt5n2b/Zth/z6Q/980f2bYf8+kP/AHzS6X5/9mWv2qeO4n8lPNljGFkbaMsPYnkVZoas7AndXKv9m2H/AD6Q/wDfNH9m2H/PpD/3zVqikMq/2bYf8+kP/fNH9m2H/PpD/wB81aooAq/2bYf8+kP/AHzR/Zth/wA+kP8A3zVqigCr/Zth/wA+kP8A3zR/Zth/z6Q/981aooAq/wBm2H/PpD/3zR/Zth/z6Q/981aooAq/2bYf8+kP/fNH9m2H/PpD/wB81arzf9oq9uNN+Hcmof8ACaXXg/ToLhP7R1C0tWnuBC2VCxBQSrF2T5uwBqZSsiox5nY77+zbD/n0h/75o/s2w/59If8AvmvmX9l7W/EXjPUfHWh2fxL1bW/DYtjDp2o3suNSglcYEqq3zKBzjIxnFZPjHw5438N/GHwX4I0H4yeONd1LULtbnUIbm8Ijgs4zudmw3UgHAPB5rTl96Mf5rf18t/Qhv3ZP+X+v+B6n1h/Zth/z6Q/980f2bYf8+kP/AHzTNZh1CXQ7y30q6jttQe2dLW4lTescpUhXYdwDg4r5b14/Er4efHzwLoVl8TNa8X3OuT51TTbpsxQw7h5jrGDhFC7iDxjbSh71RQ7/ANf8ON6Qcu2p9T/2bYf8+kP/AHzR/Zth/wA+kP8A3zXxz438deINe8S/EW+1D4xT+B73wzPJDouhxXSwpeBAxAZcgyFiAOAetdb4x8fXmtfBrwR4u8T/ABM1bwRYajbbLttHsme4ursDIIZB8iYDHHGeKhSTgp+n3Pb/AIYpxtPl9fw3/wCHPpn+zbD/AJ9If++aP7NsP+fSH/vmvGf2NfEHifxH8Oby98Q+Ihr0CXzx6fcyzCS58oZ/12DkN04bmue/bE8T3eg+JfBltJ4417wjo128wv7vSmfzAAvy/Kv3ucCqq/u2l3t+JMPeTfa/4H0P/Zth/wA+kP8A3zR/Zth/z6Q/981418KvHXhHw38F9X8X/wDCzNU8aadZM0sl1qbn7TG+Plh2t8wLHGAeueK474Ba98Rrj9oK7s/Guu37rqOiDVV0lp2MFl5pDJGqE4BUHFO3v8nl+l7fg/6aJ5vc5v63Sv8AivvPpR9Osdjf6JD0P8NeJ/sPWdrN+zto7S28bt9svOSvP+vevd5PuN9DXh37DH/Juej/APX5ef8Ao96RR7R/Zth/z6Q/980f2bYf8+kP/fNedftS6vqmhfA3xDqmi6hdadfQRKYri2kKSIdw6MORWN8Tde1ux/ZLk8QWerXtvqw0GCb7bHMVm8wxqS24c5JPWolO0Zy/lt+N/wDIpRvKMf5r/hb/ADPXv7NsP+fSH/vmj+zbD/n0h/75r5T+K/jbxZaaB8Mk1bxh4h8M+FNS0SGXVNf06NpJzdmPhXcc88E/XNdRret+MvD37Net6p4K8dy+P7hZ/wDQ9WiAnuYLc43l8Zy6c/T8KufuKbf2W19zt8u+vTUmDU3BL7ST+9X+fy6nu+myeHdSluotOm0+8ezmMFysDq5hkHVHx91vY81d/s2w/wCfSH/vmvnP9kq20VdYuNU8K/FmfxLBqaNdaxpWoKFulum6y7fvDngk9a+lqucHG1/6/rp5ExmpXtsVf7NsP+fSH/vmj+zbD/n0h/75q1RUFFX+zbD/AJ9If++aP7NsP+fSH/vmrVFAFX+zbD/n0h/75o/s2w/59If++atUUAVf7NsP+fSH/vmj+zbD/n0h/wC+atUUAVf7NsP+fSH/AL5o/s2w/wCfSH/vmrVFAFX+zbD/AJ9If++aP7NsP+fSH/vmrVFAFX+zbD/n0h/75o/s2w/59If++atUUAVf7NsP+fSH/vmj+zbD/n0h/wC+atUUAVf7NsP+fSH/AL5o/s2w/wCfSH/vmrVFAFX+zbD/AJ9If++aP7NsP+fSH/vmvnr9qHSfHWh+HPEHxAX4t6rosNm8Y0nSrE+TE4JUbHI5dydx78D61F488T+IP+FJ+CfEHjz4hat4DS8h26k+l2LNd3E5G6LBUZjG1WJ9cikneDl2aX37f8N6FOPvJd7/AIf1ufRX9m2H/PpD/wB80f2bYf8APpD/AN814j+xl4i8S+I/Bus3OteJ28RWEOoGPTLm4lD3flc587nKk/LgNz1rO/bK8TXnh+78FR/8JnrnhTSru9mTUbzSmfzQgjyPlXlucce9Or+7a87eW9v8yYe9fyv+H/DHv/8AZth/z6Q/980f2bYf8+kP/fNeK/Bxm8TfCnWbfwD8YtV8RahcXCKup6sheewG4bl8tuRlQ23PfntXIfD688e+Ff2qoPh/D491jxroz6e1xqp1CTzDZnaxB6kId+wcf3sVSjefJ5fpf+mK/uOfb/O39Lc+mf7NsP8An0h/75o/s2w/59If++a+etX1H4h6R+1l4L0nWvGc11perR3sn9mWgMVskaROUVl/5aNnBy3oK+jnG5GUMVJGMjtUrWmprrf8G1+g5aTcPT8St/Zth/z6Q/8AfNH9m2H/AD6Q/wDfNfJ3x98LeNfA0OlWuh/Gvx7qXiLX9SS007T2vCqfM3zMSpyFUHqPau8+PXirxNb6TZ/DXwfrdzH4jTTG1DWNTjkIls7WGPezFh0eRlCj/eqXJKHN52/C7+5blcvv8vlf8bL73se6/wBm2H/PpD/3zXy7/wAFHLa3g+F3hwwwpGf7b6qMf8sJK9i/Zi1XU9b+B/hvU9Y1C51C+mt8y3FxIXkc56ljya8j/wCCkf8AyS7w3/2G/wD2hJWk48knEzhLmjc+nNJ/5BVr/wBcV/lXGfBfwzq3hvw7rNjrUCQyXeuX93GEkD5ilnZkOR0JUjjtXBan40+P1nqVzaaH4A8KXelwytHZTzantklhBwjMN4wxGCRjg1X/AOE8/aS/6Jv4O/8ABt/9nWHtqV3eS7fl/kbexqNLTrf8Gv1Oh8FWPxE+GulT+E7DwinirSbe4kfSry31CC2aOB2LLFKshB3LnGV4IFdR8JfCeqeHrHV9T8Qz202v69fNf34tgfJiYjCRJnkhVCrk9cZrzb/hPP2kv+ib+Dv/AAbf/Z0f8J5+0l/0Tfwd/wCDb/7OhYimr+8r2t8v6S89BujUb+Hrf5/02d78KfD/AIi8J+BtctriwjfUpdW1G8tIBOuJFlnkeLLdBkMOvSuW8K/A23uPh29j4p1fxJFq+rRy3Gr21prtwlqbmYl5B5avsIDNjpg4rL/4Tz9pL/om/g7/AMG3/wBnR/wnn7SX/RN/B3/g2/8As6l1qTTvJbJfJf56X9ENUqid0nu383/l09SWz8NfE7TY/hpq154aGt6l4atruyv4otShjeRSojilDOcHcqhiOozXs/hbUNW1LTPtGteH5dCut5X7LJdRznHZt0ZK814n/wAJ5+0l/wBE38Hf+Db/AOzo/wCE8/aS/wCib+Dv/Bt/9nWjxNN3vJdfxdyPq81tFnW6J8OZr0fErT/EthA1h4j1U3FoSyuSn2eJA+P4SGQ9eeKwdb8M/Em68AeAftuix6rrvhrWI5buJL6JDdQwlkWQOx27mXaxBPUmqH/CeftJf9E38Hf+Db/7Oj/hPP2kv+ib+Dv/AAbf/Z1Cr01a0lpy/wDkuxTpVG3eO/N/5Nuev+ENW8Qar9pTXfBk/h5FA8vzb6C487Oc/wCqJxj39a82+Hvw28UaP8VJ21P7N/wh2jXF1d6AFcF2lu23yBl6qEbcBn14rJ/4Tz9pL/om/g7/AMG3/wBnR/wnn7SX/RN/B3/g2/8As6axFJS5lJbW/rzE6NRxcWn/AF/Vjp9T0/xpoPxp17xVpXgt/EOnanpdpaxtFqNvA0bxNIWyshBwd46elXvHOh+JvFk3gHVF0MadLpmtreahay3cbtbxBXXIZTtc8jhfWuK/4Tz9pL/om/g7/wAG3/2dH/CeftJf9E38Hf8Ag2/+zojiKat7y0d/xuN0ajbfLurfhb8i/wDGD4V+I9T+Iuj6/wCEPI/s681G2uNftZJAg32+4JcLnq21tpxyQq11PibR/FWg/E+bxx4Z0dPEFvqOmxWF9p4ukt5UMTyMkqNIQhH7xgQeemO9cP8A8J5+0l/0Tfwd/wCDb/7Oj/hPP2kv+ib+Dv8Awbf/AGdKNenFKKls2/vVvu/Lp0B0akm247pL7nf+v+HO58IeHPEeoeNdb8eeJdPh0q6vNNj02x01Z1meCJGkYtJIpKlmZ/4eAAO9YXwgj+IPgzwvY+Fr74bTXCwXdwWv4tXtdmyS4eQMFLbuA44xmsP/AITz9pL/AKJv4O/8G3/2dH/CeftJf9E38Hf+Db/7OnHEUltJW/p/m2J0ajWqf9K35H0FRXz7/wAJ5+0l/wBE38Hf+Db/AOzo/wCE8/aS/wCib+Dv/Bt/9nR7el/Mg9jU/lZ9BUV8+/8ACeftJf8ARN/B3/g2/wDs6P8AhPP2kv8Aom/g7/wbf/Z0e3pfzIfsan8rPoKivn3/AITz9pL/AKJv4O/8G3/2dH/CeftJf9E38Hf+Db/7Oj29L+ZB7Gp/Kz6Cor59/wCE8/aS/wCib+Dv/Bt/9nR/wnn7SX/RN/B3/g2/+zo9vS/mQexqfys+gqK+ff8AhPP2kv8Aom/g7/wbf/Z0f8J5+0l/0Tfwd/4Nv/s6Pb0v5kHsan8rPoKivn3/AITz9pL/AKJv4O/8G3/2dH/CeftJf9E38Hf+Db/7Oj29L+ZB7Gp/Kz6Cor59/wCE8/aS/wCib+Dv/Bt/9nR/wnn7SX/RN/B3/g2/+zo9vS/mQexqfys+gqK+ff8AhPP2kv8Aom/g7/wbf/Z0f8J5+0l/0Tfwd/4Nv/s6Pb0v5kHsan8rPoKivn3/AITz9pL/AKJv4O/8G3/2dH/CeftJf9E38Hf+Db/7Oj29L+ZB7Gp/Kz6Cor59/wCE8/aS/wCib+Dv/Bt/9nR/wnn7SX/RN/B3/g2/+zo9vS/mQexqfys+gqK+ff8AhPP2kv8Aom/g7/wbf/Z0f8J5+0l/0Tfwd/4Nv/s6Pb0v5kHsan8rPoKivn3/AITz9pL/AKJv4O/8G3/2dH/CeftJf9E38Hf+Db/7Oj29L+ZB7Gp/Kz6Cor59/wCE8/aS/wCib+Dv/Bt/9nR/wnn7SX/RN/B3/g2/+zo9vS/mQexqfys+gqK+ff8AhPP2kv8Aom/g7/wbf/Z0f8J5+0l/0Tfwd/4Nv/s6Pb0v5kHsan8rPoKivn3/AITz9pL/AKJv4O/8G3/2dH/CeftJf9E38Hf+Db/7Oj29L+ZB7Gp/Kz6Cor59/wCE8/aS/wCib+Dv/Bt/9nR/wnn7SX/RN/B3/g2/+zo9vS/mQexqfys+gqK+ff8AhPP2kv8Aom/g7/wbf/Z0f8J5+0l/0Tfwd/4Nv/s6Pb0v5kHsan8rL2vf8nxeHf8AsSpv/SiSvdK+L9T8VfGh/wBpnSNUm8FeG18Tp4akigsRqH7hrbzXJkL7uG3ZGM9K9O/4Tz9pL/om/g7/AMG3/wBnQ61NfaQlSm+hHe+Dfi58PPij4n8SfDfSdG8S6Z4mkS4nt765ED20qjHUkZB5/Cr3w4+HPxL8L+F/GHif+0NJ/wCFgeJbpbsxuu62gC9Ic9+CRnp0qr/wnn7SX/RN/B3/AINv/s6P+E8/aS/6Jv4O/wDBt/8AZ1Ma1KMeVS6Wv1tpp+CG6VRyvy9b+r7/AImZF8O/il49+LHhzxd408L+F/CP9hTGZ7rTphNc3vACoWBJwMcZ9TWF8V4/i78QPEF/8GtX8L+Er2V0N9BrjN89tatMQkgXPyyALtwBk4z3zXYf8J5+0l/0Tfwd/wCDb/7Ok/4Tz9pL/om3g3/wbf8A2dP21LRNqyvp/XnYPZVdXZ3019P+Hf8ASPbfBukNoHhLSdDe4Ny1hZxWxlP8ZRAuf0rWr59/4Tz9pL/om/g7/wAG3/2dH/CeftJf9E38Hf8Ag2/+zqpYmnJuTktSY4ecUkos+gqK+ff+E8/aS/6Jv4O/8G3/ANnR/wAJ5+0l/wBE38Hf+Db/AOzpe3pfzIr2NT+Vn0FRXz7/AMJ5+0l/0Tfwd/4Nv/s6P+E8/aS/6Jv4O/8ABt/9nR7el/Mg9jU/lZ9BUV8+/wDCeftJf9E38Hf+Db/7Oj/hPP2kv+ib+Dv/AAbf/Z0e3pfzIPY1P5WfQVFfPv8Awnn7SX/RN/B3/g2/+zo/4Tz9pL/om/g7/wAG3/2dHt6X8yD2NT+Vn0FRXz7/AMJ5+0l/0Tfwd/4Nv/s6P+E8/aS/6Jv4O/8ABt/9nR7el/Mg9jU/lZ9BVyPxSk8fW+jW918PrTSr+/inDT2WoPsS4i2kYV/4WBwfwryv/hPP2kv+ib+Dv/Bt/wDZ0f8ACeftJf8ARN/B3/g2/wDs6TrU39oFSqL7JN8E/hr44h+L+t/FXx1Z6Vot5f2htY9K02QOo5U73YcE/L65zWr8GfAfiqP4p+LfiT4+sYLbVL9haaVAlws32e0BzjK8AnC+/WsT/hPP2kv+ib+Dv/Bt/wDZ0f8ACeftJf8ARN/B3/g2/wDs6axFKNrNaKy+e/8AXmJ0KjTunq7v5bfp9xueHfFnxE8R+NviMdAa1u9C0i3ey0RJYkRZdQUc/vP4lB4JJxyK87+Efhf49+E/Fdzr2sfD/QdY1nVblV1DWrzWFedLcsMpGofCqo5wo5wK6f8A4Tz9pL/om3g3/wAG3/2dL/wnn7SX/RN/B3/g2/8As6UK9KDT5le1v8/v/KyHOlUkmuXRu/8Al9356lD4yeA/iV4x8TatY2Pw38BfZ73dbweJ7gI15BAwwTg/NuAJGQO/FdfqOg/Ev4e+E/Dug/DLR9B8Q6dYWItbq11CXyHaQY/ehsgHPOR71z//AAnn7SX/AETfwd/4Nv8A7Oj/AITz9pL/AKJv4O/8G3/2dJVqSjyqS/r/AIdjlSqSlzOP9f0in8MPhh8UPAPw88Z6vpUmlReN/EE63NtZQ7Ps1q27lfm+QnBOO1d14vufjbp+maHe+G9H8O67dGyWPVbG7lEJW44JkR8gbeoxnvXI/wDCeftJf9E38Hf+Db/7Oj/hPP2kv+ib+Dv/AAbf/Z03Xp2spLp+Ctb8dfkSqNS92nfX53t/lp8zL8Jfs56pqngfWbfxhrf9iatrespq8sejBdloyklY1zxwecjpineCvgX420H9oSHxRdeOPEWp6Nb2kedQur1Wnu2BGbeRc5MdaX/CeftJf9E38Hf+Db/7Oj/hPP2kv+ib+Dv/AAbf/Z044ilFpxaVv8rflb9QlQqSTUk9f87/AJn0DJ9xvoa8O/YY/wCTc9H/AOvy8/8AR71nN48/aS2nPw28HYx/0Fv/ALOvM/2Y/Ffxp0v4PadZ+DfBXhvU9HW4uDFc3moeVKzGViwK7hjBJA46Ue2p2vzIPZTvax9RfGHwd/wn3w41nwmLr7JJfwFIpiMhH6qSO4zjNeE6n4R/aG8UfD61+FeraP4b0vRlijs7jW47sPJJBGMD90DwWAHQflXQ/wDCeftJf9E38Hf+Db/7Oj/hPP2kv+ib+Dv/AAbf/Z1Kq0bu8lZ2uummxXsqmmjutn6nQ+NNO+K/hm203RfAGg+HfE3huDS47F7HUpRC6sg27ySQGBA6VyXw6+HPxQ+G3gPxFrWhReHYPEGqaoNRbRE+WyhgH3oFbopxkAjgDFXP+E8/aS/6Jv4O/wDBt/8AZ0f8J5+0l/0Tfwd/4Nv/ALOm8RD3nz6vr87/AJ/hoSqE0lHl0XT5W/r7zF+Avh3xX4/+KGn/ABw1rQdE8MWTWMkMMGnnMl+zEgyyd/bnkgCvpyvnz/hPP2kv+ibeDf8Awbf/AGdL/wAJ5+0l/wBE38Hf+Db/AOzqniKVlFNJLz+YlQqXcmndn0FRXz7/AMJ5+0l/0Tfwd/4Nv/s6P+E8/aS/6Jv4O/8ABt/9nS9vS/mRXsan8rPoKivn3/hPP2kv+ib+Dv8Awbf/AGdH/CeftJf9E38Hf+Db/wCzo9vS/mQexqfys+gqK+ff+E8/aS/6Jv4O/wDBt/8AZ0f8J5+0l/0Tfwd/4Nv/ALOj29L+ZB7Gp/Kz6Cor59/4Tz9pL/om/g7/AMG3/wBnR/wnn7SX/RN/B3/g2/8As6Pb0v5kHsan8rPoKivn3/hPP2kv+ib+Dv8Awbf/AGdH/CeftJf9E38Hf+Db/wCzo9vS/mQexqfys+gqK+ff+E8/aS/6Jv4O/wDBt/8AZ0f8J5+0l/0Tfwd/4Nv/ALOj29L+ZB7Gp/Kz6Cor59/4Tz9pL/om/g7/AMG3/wBnR/wnn7SX/RN/B3/g2/8As6Pb0v5kHsan8rPoKivn3/hPP2kv+ib+Dv8Awbf/AGdH/CeftJf9E38Hf+Db/wCzo9vS/mQexqfys+gqK+ff+E8/aS/6Jv4O/wDBt/8AZ0f8J5+0l/0Tfwd/4Nv/ALOj29L+ZB7Gp/KzC+K/hH43a/8AGb+3v+EP0jxL4Y0mTdounXmqJFAHwMTugYFnHP3q9E1nU/juvhrRtT0zwl4Yl1MrImp6NLeYRDkeW8cucdAcjPeuY/4Tz9pL/om/g7/wbf8A2dH/AAnn7SX/AETfwd/4Nv8A7Okq1NRUeb+v6/rRDdKo5c3KYHhbwx4w+Dnw/wDiB8QtalsLPxR4geP7DpunxiSKCdnKxoF+65LOOnYGvRdUufjpZeD/AAzqGkad4f17V/se3WbG7YW5MzYIkRhgDaMgr7+1cx/wnn7SX/RNvBv/AINv/s6X/hPP2kv+ib+Dv/Bt/wDZ0/b0rW5l0t5JJ6fO+vy6q4vY1L3abbvfzbt+VtPmU/BXw3+KnhHwN488R6ZDpEXjvxRPHLBY2zqlvZDcQ2GPylgrMfTIFM/Z48N/GHwRqkNjrHw90KOHUbgy65rz6sJ724OCd5+Y55wAo4GTV/8A4Tz9pL/om/g7/wAG3/2dH/CeftJf9E38Hf8Ag2/+zojiKUXdNbJfJdP8+4pUaklZp7t/N9f8jA8eaB8ftV+NejePLHwD4fkXw99phskOqqFuY5FKhnywIODnAxXsULfFCT4q6ZJLFp8PgxtLJvo1ZGkW7x0U/eIz+GK88/4Tz9pL/om/g7/wbf8A2dH/AAnn7SX/AETfwd/4Nv8A7OlCvTjGMeZaX/G/6u/qOdGpKTly7/o1/lb0ubVj4E8V+IP2lJ/Hfi2xgh0DQ7Vrfw9F9oWQvI3DTFR93ILcHvis/wCJnwCvdd1/xN4q0H4geJdK1DWLVkeytJlihnwhCxOeMoTxz6mqv/CeftJf9E38Hf8Ag2/+zo/4Tz9pL/om/g7/AMG3/wBnUupR5VHm2T/Hf7ylTqczly72/DY639l7wD4g+HvwyttI8SaneXF85DtayzrLHZ/9M4iCRt715d/wUj/5Jd4b/wCw3/7QkrpP+E8/aS/6Jv4O/wDBt/8AZ14d+2N4j+K2teBdHg8f+E9B0axTU99vNYXvnO8vlONpG44GCTn2FbPEQqS3VzJUJU47H1P4n1/TfC/hq617V5JI7Gzj3zNHGXYD2UdaztC8aWur3f2eLw74rtP3bSebe6NLBGQBnG5hjJ7DvWD+0Zn/AIUb4kx1+xnGa6LwjH40Qg+JLjw5La+SvlDTreeOQN/tGR2GMegrw5RVpSfdnt8zXIl2/wAiG28f+GJ/As/jRbyRNItw/mmSIrKjISrIYzyHyMbeuar6p8RNGsNUTS/7K8SXl6bRLx4bLSJZmhifoZAv3T7GvG9XGnL8ZJtUFrdD4d/25HHqBDL9mk1cYUSlcZMYfAY5xuBNd7ql/r9j8dNYOgeHE1uWTQYA6tqEdsIh5hwfmB3fQU/Zxspd/wDK9v19Ld9JlUkm49rfi7fhs/O/bXqb74j+FbbwvpviSK5ur+x1Odbe0FjbNPLJKxwI9i87s8EdjxV3R/F1nqNte3MmkeINMhs4vNlfU9MktgV77d33j7CvJPFfhfWfCvgnwbp4urCTW7nxhHeszRt9mjnmmL7cKQxQFscHJxXpuqJ4oTwJr/8Awk82iyzfZJfJOmQyxqF2fxeYzEnPpU1YxjTlKPnb5JP57l0nKVWMX1t+bXy0Rc8CeN/Dnjbw23iDw7ePcWKsyvvjKOhXqGU8jjkeoIqtJ8RPDC+F9M8RRzXk9tqr+Xp8ENqz3Ny+cbUiHzE15L4R/wCLf+FvCPjCP934f17QbSy1pR92G48hVhuMe/CsfQCtjwB4QuPFHwT8EXWk6ydH17SVe40252LIgcnDB0OdykDnvWtSjCMpdk0vzv8Akn6MypVpzir7tX/y/wAn6Hodz8QfD9r4SvvE16mp2lpYOI7qCeydLmJjjAMR+bJBBHqCDVjw/wCMLXWL02q6D4n08CMyGbUdIltoQB1+duM+1eTfEjxVreu/B/xxoniGys7bXNDu4raZ7UsbeYNteORckkZDDK5yDmvW/D9v4vdLmLxXceHZbWSHYg02CeNhkEHcZHYYx6YrOVNKDl933J/qWpyclH79POxS0X4i+HdY1KG1sYtWa3uJmgt9QewdbKeQEjakx+ViSCBjrg119eOWTeJfhFeaJoxu7XXfBN/qAsrQsmy90/zOUXI4lTdu5wWAxzXpekaObHXtX1E61f3ovnRhaTzborTaoXEa/wAIOMn3NKcI2vHb/htPJ6lRnK7T3/TX/I2KKKKxNQooooAKKKKACiiigAooooAKKKKACiiigAooooAKKKKACiiigAooooAKKKKACiiigAooooAKKKKACiiigAooooAKKKKACiiigAooooA8d1f/AJPF0H/sT5v/AEfJXsVeO6v/AMni6D/2J83/AKPkr2Ktqu0fQypby9QooorE1CiiigAooooAKKKKACiiigAooooAKKKKACiiigAooooAKKKKACiiigAooooAKKKKACiiigBG+430P8q8f/Y3/wCSBaT/ANfd3/6OavYG+430P8q8f/Y3/wCSBaT/ANfd3/6OatY/w5eq/Uyl/Ej6P9D2GiiisjUKKKKACiiigAooooAKKKKACiiigAooooAKKKKACiiigAooooAKKKKACiiigAooooAKKKKACiiigAooooAKKKKACvnD9v3/AJJr4f8A+wwf/RL19H184ft+/wDJNfD/AP2GD/6JeujC/wAWJhiv4TPdPEun+H/EWgXWg65JbzWVzH5dxD9q8tiPTKkEVl6N4U8L6TcGe11vV5CY2j23Pia6nTaRg4WSUgH0OMjtTrz9nH4OeILuXXdW8JNcahqDm6upRqV0m+VzuZtqyADJJOAAKi/4ZZ+Bn/Qlv/4Nbv8A+O12vAt397c4ljdFeOxaj8M+C4/BT+DFisf7DeFoXtjdZLK3Ul924sTzuznPOasaTpPhnS9S/tKznhF39jjsjLJfGRmhT7oO5jk/7R5Pc1m/8Ms/Az/oS3/8Gt3/APHaP+GWfgZ/0Jb/APg1u/8A47R9Revv7h9dWnubGh4v0Xwv4rsrez1q4SSO2nW4gaDUWt5I5F6MrxsGBH1qvpHhvwxptre2serX11DexeVOl9r892Nv+z5sjbfquDVf/hln4Gf9CW//AINbv/47R/wyz8DP+hLf/wAGt3/8dpfUNHHm0H9f1UuXVGidF8Jt4OXwg4sZNEW0WzFrJchh5IXaFyTnoOuc1nHwZ4HGg6ZosDCztdLQx2T2mqyQTwqeqiZHEmD3G7nvR/wyz8DP+hLf/wAGt3/8do/4ZZ+Bn/Qlv/4Nbv8A+O0/qLu3z7/13F9dVkuTYP8AhC/Af/CKXnhgxW7adfSGW73agxmuJCc73m3+Yze5YngCpdE8L+FtJuHmg1fUbnfG0TRX/iG4u4ip6/u5ZWX8cVF/wyz8DP8AoS3/APBrd/8Ax2j/AIZZ+Bn/AEJb/wDg1u//AI7R9Revv7h9dWnubDNK8EeBdN1S11GGRp5bIk2cd5rEtzDak8ZiikkZI8DAG0DA4GK2NK0zwzpetaprNjLaxX2quj3sn2vd5hRQq8FsDAA6YrK/4ZZ+Bn/Qlv8A+DW7/wDjtH/DLPwM/wChLf8A8Gt3/wDHaHgW/t/194LGpfYOq+3WP/P/AGn/AH/X/Gj7dY/8/wDaf9/1/wAa5X/hln4Gf9CW/wD4Nbv/AOO0f8Ms/Az/AKEt/wDwa3f/AMdqf7O/vfgV/aD/AJTqvt1j/wA/9p/3/X/Gj7dY/wDP/af9/wBf8a5X/hln4Gf9CW//AINbv/47R/wyz8DP+hLf/wAGt3/8do/s7+9+Af2g/wCU6r7dY/8AP/af9/1/xo+3WP8Az/2n/f8AX/GuV/4ZZ+Bn/Qlv/wCDW7/+O0f8Ms/Az/oS3/8ABrd//HaP7O/vfgH9oP8AlOq+3WP/AD/2n/f9f8aPt1j/AM/9p/3/AF/xrlf+GWfgZ/0Jb/8Ag1u//jtH/DLPwM/6Et//AAa3f/x2j+zv734B/aD/AJTqvt1j/wA/9p/3/X/Gj7dY/wDP/af9/wBf8a5X/hln4Gf9CW//AINbv/47R/wyz8DP+hLf/wAGt3/8do/s7+9+Af2g/wCU6r7dY/8AP/af9/1/xo+3WP8Az/2n/f8AX/GuV/4ZZ+Bn/Qlv/wCDW7/+O0f8Ms/Az/oS3/8ABrd//HaP7O/vfgH9oP8AlOq+3WP/AD/2n/f9f8aPt1j/AM/9p/3/AF/xrlf+GWfgZ/0Jb/8Ag1u//jtH/DLPwM/6Et//AAa3f/x2j+zv734B/aD/AJTqvt1j/wA/9p/3/X/Gj7dY/wDP/af9/wBf8a5X/hln4Gf9CW//AINbv/47R/wyz8DP+hLf/wAGt3/8do/s7+9+Af2g/wCU6r7dY/8AP/af9/1/xo+3WP8Az/2n/f8AX/GuV/4ZZ+Bn/Qlv/wCDW7/+O0f8Ms/Az/oS3/8ABrd//HaP7O/vfgH9oP8AlOq+3WP/AD/2n/f9f8aPt1j/AM/9p/3/AF/xrlf+GWfgZ/0Jb/8Ag1u//jtH/DLPwM/6Et//AAa3f/x2j+zv734B/aD/AJTqvt1j/wA/9p/3/X/Gj7dY/wDP/af9/wBf8a5X/hln4Gf9CW//AINbv/47R/wyz8DP+hLf/wAGt3/8do/s7+9+Af2g/wCU6r7dY/8AP/af9/1/xo+3WP8Az/2n/f8AX/GuV/4ZZ+Bn/Qlv/wCDW7/+O0f8Ms/Az/oS3/8ABrd//HaP7O/vfgH9oP8AlOq+3WP/AD/2n/f9f8aPt1j/AM/9p/3/AF/xrlf+GWfgZ/0Jb/8Ag1u//jtH/DLPwM/6Et//AAa3f/x2j+zv734B/aD/AJTqvt1j/wA/9p/3/X/Gj7dY/wDP/af9/wBf8a5X/hln4Gf9CW//AINbv/47R/wyz8DP+hLf/wAGt3/8do/s7+9+Af2g/wCU6r7dY/8AP/af9/1/xo+3WP8Az/2n/f8AX/GuV/4ZZ+Bn/Qlv/wCDW7/+O0f8Ms/Az/oS3/8ABrd//HaP7O/vfgH9oP8AlOq+3WP/AD/2n/f9f8aPt1j/AM/9p/3/AF/xrlf+GWfgZ/0Jb/8Ag1u//jtH/DLPwM/6Et//AAa3f/x2j+zv734B/aD/AJTqvt1j/wA/9p/3/X/Gj7dY/wDP/af9/wBf8a5X/hln4Gf9CW//AINbv/47R/wyz8DP+hLf/wAGt3/8do/s7+9+Af2g/wCU6r7dY/8AP/af9/1/xo+3WP8Az/2n/f8AX/GuV/4ZZ+Bn/Qlv/wCDW7/+O0f8Ms/Az/oS3/8ABrd//HaP7O/vfgH9oP8AlOq+3WP/AD/2n/f9f8aPt1j/AM/9p/3/AF/xrlf+GWfgZ/0Jb/8Ag1u//jtH/DLPwM/6Et//AAa3f/x2j+zv734B/aD/AJTqvt1j/wA/9p/3/X/Gj7dY/wDP/af9/wBf8a5X/hln4Gf9CW//AINbv/47R/wyz8DP+hLf/wAGt3/8do/s7+9+Af2g/wCU4rVrq1P7YOhSi6tzGPCEwL+au0HzpOM5xXr/ANusf+f+0/7/AK/418/6t8CfhZb/ALVGjeCIvDJGgXPheW/ltft9wd04mdQ+/wAzcOAOAccdK9W/4ZZ+Bn/Qlv8A+DW7/wDjtXLA81ve2IjjXG/u7nVfbrH/AJ/7T/v+v+NH26x/5/7T/v8Ar/jXK/8ADLPwM/6Et/8Awa3f/wAdo/4ZZ+Bn/Qlv/wCDW7/+O1H9nf3vwL/tB/ynVfbrH/n/ALT/AL/r/jR9usf+f+0/7/r/AI1yv/DLPwM/6Et//Brd/wDx2mH9l34ECQRnwd85GQv9rXeSPXHm0f2d/e/AP7Qf8p1v26x/5/7T/v8Ar/jR9usf+f8AtP8Av+v+Ncr/AMMs/Az/AKEt/wDwa3f/AMdo/wCGWfgZ/wBCW/8A4Nbv/wCO0f2d/e/AP7Qf8p1X26x/5/7T/v8Ar/jR9usf+f8AtP8Av+v+Ncr/AMMs/Az/AKEt/wDwa3f/AMdo/wCGWfgZ/wBCW/8A4Nbv/wCO0f2d/e/AP7Qf8p1X26x/5/7T/v8Ar/jR9usf+f8AtP8Av+v+Ncr/AMMs/Az/AKEt/wDwa3f/AMdo/wCGWfgZ/wBCW/8A4Nbv/wCO0f2d/e/AP7Qf8p1X26x/5/7T/v8Ar/jR9usf+f8AtP8Av+v+Ncr/AMMs/Az/AKEt/wDwa3f/AMdo/wCGWfgZ/wBCW/8A4Nbv/wCO0f2d/e/AP7Qf8p1X26x/5/7T/v8Ar/jR9usf+f8AtP8Av+v+Ncr/AMMs/Az/AKEt/wDwa3f/AMdo/wCGWfgZ/wBCW/8A4Nbv/wCO0f2d/e/AP7Qf8p1X26x/5/7T/v8Ar/jR9usf+f8AtP8Av+v+Ncr/AMMs/Az/AKEt/wDwa3f/AMdo/wCGWfgZ/wBCW/8A4Nbv/wCO0f2d/e/AP7Qf8p1X26x/5/7T/v8Ar/jR9usf+f8AtP8Av+v+Ncr/AMMs/Az/AKEt/wDwa3f/AMdo/wCGWfgZ/wBCW/8A4Nbv/wCO0f2d/e/AP7Qf8p1X26x/5/7T/v8Ar/jR9usf+f8AtP8Av+v+Ncr/AMMs/Az/AKEt/wDwa3f/AMdo/wCGWfgZ/wBCW/8A4Nbv/wCO0f2d/e/AP7Qf8p1X26x/5/7T/v8Ar/jR9usf+f8AtP8Av+v+Ncr/AMMs/Az/AKEt/wDwa3f/AMdo/wCGWfgZ/wBCW/8A4Nbv/wCO0f2d/e/AP7Qf8p1X26x/5/7T/v8Ar/jR9usf+f8AtP8Av+v+Ncr/AMMs/Az/AKEt/wDwa3f/AMdo/wCGWfgZ/wBCW/8A4Nbv/wCO0f2d/e/AP7Qf8p1X26x/5/7T/v8Ar/jR9usf+f8AtP8Av+v+Ncr/AMMs/Az/AKEt/wDwa3f/AMdo/wCGWfgZ/wBCW/8A4Nbv/wCO0f2d/e/AP7Qf8p1X26x/5/7T/v8Ar/jR9usf+f8AtP8Av+v+Ncr/AMMs/Az/AKEt/wDwa3f/AMdo/wCGWfgZ/wBCW/8A4Nbv/wCO0f2d/e/AP7Qf8p1LX1jtb/T7Tof+W6/415D+x5dWsXwF0lJbq3jb7Xd/K8qqf9c3Ymu0b9lr4GBSf+ELfp/0Fbv/AOO15X+yn8CPhX44+C2m+IvE/hlr7U5rm5SScX9xHuVJWVRtSQKMADtVrA2i48xDxrclLl2Pf/t1j/z/ANp/3/X/ABo+3WP/AD/2n/f9f8a5X/hln4Gf9CW//g1u/wD47R/wyz8DP+hLf/wa3f8A8dqP7O/vfgX/AGg/5Tqvt1j/AM/9p/3/AF/xo+3WP/P/AGn/AH/X/GuV/wCGWfgZ/wBCW/8A4Nbv/wCO0f8ADLPwL/6Et/8Awa3f/wAdo/s7+9+Af2g/5Tqvt1j/AM/9p/3/AF/xo+3WP/P/AGn/AH/X/GuTj/Zd+BMi7o/BxdckZXVrsj/0bTv+GWfgZ/0Jb/8Ag1u//jtH9nf3vwD+0H/KdV9usf8An/tP+/6/40fbrH/n/tP+/wCv+Ncr/wAMs/Az/oS3/wDBrd//AB2j/hln4Gf9CW//AINbv/47R/Z3978A/tB/ynVfbrH/AJ/7T/v+v+NH26x/5/7T/v8Ar/jXK/8ADLPwM/6Et/8Awa3f/wAdo/4ZZ+Bn/Qlv/wCDW7/+O0f2d/e/AP7Qf8p1X26x/wCf+0/7/r/jR9usf+f+0/7/AK/41yv/AAyz8DP+hLf/AMGt3/8AHaP+GWfgZ/0Jb/8Ag1u//jtH9nf3vwD+0H/KdV9usf8An/tP+/6/40fbrH/n/tP+/wCv+Ncr/wAMs/Az/oS3/wDBrd//AB2j/hln4Gf9CW//AINbv/47R/Z3978A/tB/ynVfbrH/AJ/7T/v+v+NH26x/5/7T/v8Ar/jXK/8ADLPwM/6Et/8Awa3f/wAdo/4ZZ+Bn/Qlv/wCDW7/+O0f2d/e/AP7Qf8p1X26x/wCf+0/7/r/jR9usf+f+0/7/AK/41yv/AAyz8DP+hLf/AMGt3/8AHaP+GWfgZ/0Jb/8Ag1u//jtH9nf3vwD+0H/KdV9usf8An/tP+/6/40fbrH/n/tP+/wCv+Ncr/wAMs/Az/oS3/wDBrd//AB2j/hln4Gf9CW//AINbv/47R/Z3978A/tB/ynVfbrH/AJ/7T/v+v+NH26x/5/7T/v8Ar/jXK/8ADLPwM/6Et/8Awa3f/wAdo/4ZZ+Bn/Qlv/wCDW7/+O0f2d/e/AP7Qf8p1X26x/wCf+0/7/r/jR9usf+f+0/7/AK/41yv/AAyz8DP+hLf/AMGt3/8AHaP+GWfgZ/0Jb/8Ag1u//jtH9nf3vwD+0H/KdV9usf8An/tP+/6/40fbrH/n/tP+/wCv+Ncr/wAMs/Az/oS3/wDBrd//AB2j/hln4Gf9CW//AINbv/47R/Z3978A/tB/ynVfbrH/AJ/7T/v+v+NH26x/5/7T/v8Ar/jXK/8ADLPwM/6Et/8Awa3f/wAdo/4ZZ+Bn/Qlv/wCDW7/+O0f2d/e/AP7Qf8p1X26x/wCf+0/7/r/jR9usf+f+0/7/AK/41yv/AAyz8DP+hLf/AMGt3/8AHaP+GWfgZ/0Jb/8Ag1u//jtH9nf3vwD+0H/KdV9usf8An/tP+/6/40fbrH/n/tP+/wCv+Ncr/wAMs/Az/oS3/wDBrd//AB2j/hln4Gf9CW//AINbv/47R/Z3978A/tB/ynVfbrH/AJ/7T/v+v+NH26x/5/7T/v8Ar/jXK/8ADLPwM/6Et/8Awa3f/wAdo/4ZZ+Bn/Qlv/wCDW7/+O0f2d/e/AP7Qf8p1X26x/wCf+0/7/r/jXzn+3vcW83w20BYbiCUjWCSEkDEfuX9DXsX/AAyz8DP+hLf/AMGt3/8AHa8D/bY+Dvw7+HHgHRNT8HeHzpt3c6p5E0hvJ5t0flO2MSOwHKjkDNaUsF7OalzGdXGOpFxsfUPxe8Sa14U+EM2taDHm7jjhQzeT5v2aNiFebZ/FsUlscjjkUeELPVNb0CabSvizfa1p97CkltqUdrZG5gbr8u2ER7SOzxlge9dFq2p32keFLe+stDuNa2JH51tbMBKYzjcUU8OwH8ORn1Fec/Cfw3PH8W9Y8VaH4RvPBnhu509LeawuY1gN3dA580QISqALxuByTmu6Cu2v6Wn9arq/u4pOyTX9a/18vxj8BQeONY+IPi/RLz4peImtfD95bxQBbHTgZleFZG8w/ZvUkfLjirHxx8YeMLHX10rwPdrFLo+mPrWqp5KSG4hUkJANwO0sVPIwcdDW78N9G1bTvif8RdSvdPmgs9QvraSzlbG2dVt0VivPYgiub8HeA/FWva54q8Yap4i8ReErrWr54UsbeGzf/RIv3cRbzoZCCyqGwCBzSblaNt+W/wA7Lf5u9vJgrJyvte3y/wCGur+aOj8dfEK4j0fwrH4OFpcal4tljTTpbpS0UMTKHaZlUgttU5xkc1NpGk+I9N16yEvxZuNXkRwt5p2oWtkFkUjnYIY45Fb0yxHqDXmnh7wD4703w3pNta2c1zqPw/16caR9slWJNW05jwodRhW8shQcYyOlaWs6YPG/xD8JaxpXwt1Dw/qFlqiX+qanqWmw27NGoGV81CzO3YA1cbc3u9X9ydrfcr36307Eu6jZ9E/m1e/36W9fUvaJqXiHxJ488b2d58UtQ8O22kautpZWltDp4HlmGN8kzQO5O5jzmvZrCKSGyghlupLuRI1Vp5AoaUgcsQoC5PXgAegrwG00fTtK+JHji98V/B/UvE32/V1uNPvY9Et7xfJEMa8PIwK/MrcfjXqdz43S38beG/CkOi3Xm6xZSXjl2CNZRoBgOnPJOV4PBB60oawgurS+/lu/1uVPScn0Tf3XMD4++L9S8LDw5DDq7eHtJ1G+MOp62sCSGyQAFceYrIu4nG5lIFL4q8T6z4D+Gk2orr0Xi6+ubtLXSLm4jjQyvKQFEphCo2G3cqq8ADrknpviFqsmn2UcFx4NvfE+lXatFdw2kSTuvoDC+A6nnJzx6GvHNN+F/iDUPh/4oj0PSf8AhHYJ9fj1jw3ot+//AB7GMDcrAEiESOHYIMhdwqY9U9ur8rq69bXat/wSn0tv+utn99k7nYeLtN+J3hTwdceKrX4g3Gt6np8f2q50y7sLVLGdRzJGnlxLMox90mQnjnNXLTx1fa146+Hh0y4aDRvEWiXOoT2zIpJYJEyZbGQV3kcEZqh4r8V+MPF3hGfwvpPw617TdY1KH7NPcakiJY2u4YkfzAxLgc7QFG72p3iXwnqvhG78A654e0641u18K2Emm3dnb4FxLC6Rr5kanhmBjztyM561cHaV5bX/ADUl91+X8X3IesbLez/NW+fxf1Y3PiF4i1nSvif4B0awvPJsdWlu1vYvLVvNCIhXkjIwWPQiuB8N/EzxdY/GbXYfEt9FP4Mm1s6HZYgRDYXKwxyJucAErJ5jDLE4K8Yrp4YNa8e/FLw74jk8N6poOi+HYrg/8TVFiuLi4lCgBI1LfIAv3ieScY4qt4b+H0ut6b8TdE8SadLbWmta+9xZyOBkr9ngCTJj0dD+VTC8dWr6Sdv+3or77Xt9+xUrSVlpqlf5Sf3bX+4dd+MvEkd/8W411HCeH0iOljyU/cFrVZD2+b5iT82azo7j4j6T8JtN+I1t46v9euF02DUb3StRsbRbeaNo1aRUaGGN1YZJUliOOQaxfAHhX4iDwt8Uo/FelSPq+oRpa2sqYxqHlW6xLKvPG/aDz3JrTtdQ8Y6x8HtO+HWj+BfEGm6tJpMGn3N9qsKQWtuojVJXDKzFzjO1cDPqKTTUXyaytC3rZ33+V/xKTi3Hm0V3f/yX/g2/A9m8MavbeIPDmm65Zhhb6hax3MQbqFdQwB9+a8h8SfETxJZ/E6XU7e+RfA+l6pb6FfwrAjb7iWMu02/G4BC0KYBAyxzXpMVlN4N+Gkem6La3Gpz6TpiwWsKAeZO8ce1fbJIrybS/gx4ivfg3c6XqHjXxDZ3uqRSahdaUkNkYVu3bzQhZoDLwwUE+Znjg44qpyiqknH4V/n/kn87GdNN01GW7/DT/ADa9Vc0Pjt408eeHfiRoFt4SuIpNOttMudV1SwMCObyGKSNWVWI3KVVyw2kZxzXQ6r45ub7x98N18P6kDoXiK1vLidBGh84IkJjySCVILtkAjnr0rB8D6b4w1Tx74F8QeJNAu7WS38LXdjqjTBcJcebEADg/xhCw9jWTovw98VeG/j7oVrY2L3HgewN9fWNwCMWTXATzLc98b0Lr/vkdqcY8rjFvrLX5yVvS1mvTzQSd7y8lp/26vxT0fr5G14K/4TrxrqHjK4j+JGr6T/ZeuzWFjawWFk8CokUbLv3wGRuXOfnBx0Irr/gz4w1DxZ4fvo9bt4YNb0a/k03URACInlQAh0BJIVlZTjPBzXEeBNW8QeCNU8aWdx8P/FWoy6j4gmvbKW0tkNvIjxRKpMhcbRlDk4OBzXZ/BTwnq3hnQ9TvPELxf21rmpS6lexQvvjgZgqrGrYG4KqLz3Oamn8K7csf/AtPn/Nf/hiqnxO38z+7X/gW/wCHOWutV1/WvjH4r0CX4k33hfTdKtLKS1htobH52l83eS08LsfuL0PGaZ8cda+IHh7TPBWj+B/EZu9W1C/dJLm7t4HN8scEkvlsFQIu/ZtygU9Kzdf0WytPjV4r1jxR8KtQ8Xaff2lklhPFo8F6qGPzfMH7xht+8nTrj2rpvF+m6hrniD4X6ppPh2+srHT9TlmubeWFYmsovs0qLvQHC8kDAz1FEVeEfVf1/wADYJ2U5ejt/wCA/wCf4lPXviZean4P8BeIPDl19k/tfxDBYajC0asyjy5fNhIYHaQ6DkYOAPWoPifD410Pxd4Us9O+J3iGK28Qay1nNEbHT2FvH5Esg8sm3znKAfMW4zWH8RPh34osfixoc/hbT2uvC+p69Dq+oxIQBY3UUbo0v+7IrjOO6D1r0D4s6LquqeLvh7dafYy3MGna61xeOmMQx/Zpl3N7bmUfjThaSUn1lt2Vo3+V728iZ3jzRXSP4+9b57X8/kYXxJu/FHh3UvAvhqL4h6pbrq+pzw32rTW9iJzGtvJIq8w+UvzIOdmea0fF93rfhP4P+Lde0/x7feIb62snmtLq5hsz9ndR2EMSKev8QPSqX7QOizajr/gbUJvCN14o0nTtSml1CzgtI7nKNbyIpMbkK3zsv061H4is7fXPgh4x0Lwf8OtS8Nyy2UiQ2D6bDZ/aZHHVFjbBPHJOO1Q23TlbfX9P60NYJKrC+2n5szbbxH4p0LU/A8lr49uPGL+ILiO3vtNuoLT9xG0Rd50a3iQrsKgfOSCGx15q18SIfG2i+NPCOnWHxQ8Qx23iDVZLWZDY6c3kRiCWUeWTbZzlAPm3cZptz4Em8G3Pgvxd4G8KwWuoQ+TYa9Y6fAkP2m1kUB2dVwrNG4V8nJwDXT/FLRtV1Pxz8O76wsZri207WZJ7yRQMQxm1mQM3tuZR+Nau3Mv8Vvlp+Hn5tdDCLfI/8N/nZ/j5eSfUm8d6nq3gX4YXci65dazrcjpaWFzexQiR7ieRY4srEiIQrMD93oDmqfwi8Sa9eaH4g0LxPf8A2zxJ4euHgubjyUj85Cu6OXaoCgHB6DtVT4p+G/EPjX4k+GdIt5NT0fRNJWTVJdWtVhY/agNkUaiVXUn52blT045rMtfB3izwr8ZF1aDVNa8Uab4h0maz1S6uorZDbyxLugYiGOMYPzLnBOWrGTbhJ907fLb53TXzRqkk0u1vx3+Vmn6powtU8dePrv8AZq8M65pOvR23ijWdQtbL+0HtYmCmW4EeShXZ0PpWtrPxP1y5+BV1rlrKul+KtL1G107VIhGreTP9pijlAVgRtZWODjvx0rMsvB3ihfgB4D0JtDu11Ow1ywnu7Ygb4Y0uw7secYCjNL+0T8PfFE+qjWPA+nm8h16ezt9es0wCfJnSSO5GeMqEKn2bPat5W52ujn9ytG3yeqfn6MzjtF9l+rv87Wa+7qS/Fj4h+MvDHxi0dLLUgPDFpp0V5rNmbeMmSOSeOFpA5Xcuzzd/BAwprf8A2lPG3iDw/wCEEsvBN8lrr13BNeR3PkpKILa3iaaR9rAryE2AkHlhTtc8F3mvfGO+/tLTZm0C/wDB02lz3PGze8iZQd923J6dq4vwf4J8e3vgPxtdeL9Oml1uDw9ceHtEjwu6eIRMDIPeRgnpXPO/smluuZ/i7L8I6dm+xtBL2qfT3V+C1/8ASrvul3N/xJ4q8TXUvwv0+PxhPoEfiCCR9SvYYLbexW2aQY86NkXLAdBW18QdR17wb8E/FWvaX46vNf1C3tHktL66htG8hwMcCGJEODz8wNcr408NXwj+Fdxq/ga98R6dpEEi6pYR2Ud0UY2zIu6NyFOHI+mK2fG+np4h+AXizQfB3w91Lw9JJbPHb6a+nRWhmduSURGKn3PFb1km5qPd/df+tjOhvT5uy/4P9Mg0P4heKE+EXjSy129ji8c+FtMnkluEhQLOBEzw3KpjaQwAJGMA8YqX4kXvjK3+Cs3xA0vx7q+m3ttoS3f2SGzsngklEe4s3mQM/J6gMB6Yqt+0P4E8R3/hUeJPBVibjxANJl0m+sl4a9tJkKsnpuRiHH+7iuh8f+HtavP2aNQ8NWmnyz6u+gfZktUwXaXysbR75qJO8Zy66f8At2q9dPnp0QUd6aezvf8A8l0fpr8vVnUfD/SdasrBLzVvGWr+IDdQIwS9t7WNYiQCSvkRIfzJrqap6HHJDotlDKhSRIEVlPUEKMirlXUtzOxnSvyJvcKKKKg0CiiigAooooAKKKKACiiigDwvXv8Ak+Lw7/2JU3/pRJXuleF69/yfF4d/7Eqb/wBKJK90oA4b4Za9q2seI/HNpqV158Ol64LWzXy1XyovssD7cgAn5nY5OTzXKap468XWV98WTYj+0n8PfZjpVp5CnZvt43b7oDNyzNyTVqzl134e+PPFdxL4V1vX9I8QXiahaz6REszwyCGOJ45EZlx/qwQcnOegxU/gTT/E2kjxl48u/DrtqOu3sdzbaR54WZLeOJI1VjjAkIVm29s4z3qd4rp7qX/b3ur876/O5SajN6X978L3/LT8B/wn1LUtW8PxeJLH4jN4xtp7AvNazW1uhhuAPux+SiMo3BlKybjwORg55H4VS33jzVrbxxJ8RHtfFdrLJZ32hG1txBaxiRs2+xk84EgK27eTnvjAFzw/o13f/GKLxv4V8B6l4UtYNMnTVkvIkszq0ztuiXykLAsCGJkPPzgc1h+NRB8T9Tht/Dnw41TQfHenahbPea1cW6W/2Aqqswa4Q7pcx4CqRhgQeK0TvOLtb9NWr+at36abbw17kot6d++n4a9uvnt9HUUiBlRQzbmAGTjGTS1I0FFFFABRRRQAUUUUAFFFFABRRRQAUUUUAFfPHw+8b3Gta1Pa+JvjFqujat/bUttBpAsLKON41cbE3PbFvmGRnfk9jX0O2dpwMnsK8U+Juo+IviP4LufBFt8PNe03U76RE+26jDH9jsyjhjMsoJLEBTtwoJJHSkvjT/D5r5dPxG9Ytfj8n8/+GPaWZY4y7uAqjLMTgY9TXimi+PfFHiD4teHbuxvvs3gzVbi7tLS0Num68WGGRvtBcjcFLKNoBHGc5rpvEN9H4g1q5+D8h1KD7R4faW81aznVJIVJWPaAVOGYM3PsfrXL6r8M/E9l4+8Cmw8a+KbvTNOedXmNtp6rZoIGCgBLdRhuEOQeDxg81UfjT6a2/FP7rf1oTK/I116/g199/wBOrK/if4n2t7441zTL74j/APCD6Vo0v2VGtbaGW4uph/rGczRSKka9AAAT1z2q38WPFt/outeCbKP4hX+kaDfwTNe6zb2dtM8xWMmNiWhdF3Nj7qgc0yKDXvAfiXx5a/8ACD6p4ltPEtw19ZT2EKMju6FWhuCzDYASBnB4J47VreB5Nb+FfgLw14VvvCuua/5Nhia40dFnEEoP+q2synbgnDZ7dKmOsF8vm7O6+T+W2mxU/jdvP7tLP+tfxOx+GV5a6h4YS9sfGlx4vt5XYpfzJArf7uIY41GPdc1z/jrW/EGpfE3Sfh94f1iTQ1msJNSv9QghjlnSNWCrGglVkGWIySp46YPNYfgKy8VeEtF8b+Nk8JTzXGt3wvrDw5DIscyrjGHONqyNncw5we5q74ztte0f4n6D8RbPw3qGqWj6VJp2pWVjtkuoNzB0YKSAwDDB5HrTduaN/n68rsv/AAKy/MSulK3nb0TV/wANvwOdv/iR4t8MWfi7wxdXkWra7pmpWdjpWoXMCoZlvGVY3lWMKhZN/O0KDjoK6D+0fFvgj4keFNF1jxVe+JtL8RedbSNeWlvHJbXCRl1ZDBGg2nGCGDH3rlNa8DeLfE+l+LfGkejvZarfapYahpWl3bhJvKs3VlWTGQrvt6c4z1NdOg134gfErwpq0vhbWPD+k+HDNdTtqsaxyTzvGUVI1VmyBnJYkdMYp07+7ffS/py/nv8AO3kKdrO22tvW/wCW1r9Lnrkn3G+hrw79hj/k3PR/+vy8/wDR717jJ9xvoa8O/YY/5Nz0f/r8vP8A0e9IZ3vxz1zVPDfwm8R65ot19l1Czsnlgm2K+xgODhgQfxFT/FbWNS0T4S+Idc0u4+z6hZ6VLcQTbFbZIqEg4YEHnsRipfi34bufGHw217w3ZzJDc39lJDC7/dDkcZ9s1594v1vxj4z+Hd54Ft/h/r2na3qVmbG5u7xUWwgJG2SQSgkuvUr8o3cdKid5QlGO/T5/1qaQcYzhKWyvf8P+CQ+LvHGtJrvgbRdQ8Vy+FNM1rS1nl1mK3gLT3hA2wBpUeNM9fu89ARWl8VfE/iLwZ4M8Px3XiZBa3uoLa6l4lW0QtbWzH5ZtuDGHIwC2zZnJ2gcVt+MpbfSdHs/C2q/D3UfFuhfZI4wbW1juxvQYw8UhG3gAhsnn0rjvB76l8L/g5Db+KvCOoaloEk13JPYRut2+lWLMzRQyK/8ArFCEKwz8uO9aVJRbk1te/rrt5aadree+VNStFPe1vw389fx/Du/hB4d/4RvR5bOw8YyeJNFY+ZaNNHB5kTN8z/PCqhgSS3Izz1rua8b+CXhuW28fa/4q0Pw5c+EvCep2sKwaTMghM1wOWn8hSViBGAMdcZr2SnJbCj1sFFFFSUFFFFABRRRQAUUUUAFFFFABRRRQAUUUUAFFFFABRRRQAVj+MLfUbrRHh07XxoDl1Mt+Io3eKPPOzzAUDHgZYMME8ZwRsVznxDuxa6Bi48Jz+KbGaUR3ljDEkz+WQTuET/LJ8wUbcjg57YKlsOO5yPwm17xBceP/ABV4ZvPELeKtI0xIJLfVpIoUkSV9263YwokbEAA5CgjPNVfjz4o1LQPEnhGzTxZeeFtHv5rhdRvra0imZQsRZB+8ikC5bA6d6o/DXTLzTPHmv+LdP8O33g3wVHpWwaPcotustyp3POIEJSMbVxuGC2eRxXQaR8UNQvvC+h+Il+H/AIiubTVYJJCmnhLiS3ZXAUMpKcMMsD7YxzQ9Yx7q1/vf52/z1Et5dnt9y/L89jM1Hxv/AGD8HbzxL4f8ZyeNbie6itLG7vI4FCTTSpEoZYI4xhS+4gjJxjNJdan4v8B+MfCMOueLbzxHpfiCWSyu1u7O3jNrOIWlR4jDGh2/u2Uh93BzmuXn+HnirXfCfjvW4NJXSrvXNTs9V0rSJiEdTayLJ+92jCySbcEc44yTXRzrr3xH8Y+EWuvCes6BpmgTSX1/JqkaxmWUwPEscQVjuGZCxbjhenNGvTfT7rK/zvzed7A7W121+++n6eW/QxR4m+IWq/CrVfi3Y+KJbRbYS3tnoK2du1pJbQtykjshmLMqt8yuoBxxXteh6tFqfhuz1oKY4ri1W4II+6CuTXhNjYeNtL+Eep/B5PB2qTajMs+n2mrIqHT/ALPKx/fNITuBVWY7dpOQBnnI9W0OXUtO1Wz8D/8ACOXTaPBpA3a0Jh5RkGF8rb1yQSc57U5fC+Ty5fubd/w+d+oP4ve87/ekrfj8tzzMeJ/iFqXwn1L4vWfiiW1W3WS+tNAWzt2tJLWJslJHKGYsyK3zLIoBxxXQWfiLxH8QvHVzouheIrvwzpWmabbXU89nbwSXE8067lQ+ejqqqAei5JxzXKWWn+NtO+D+ofBxfB+qSajKk2m22rIqHT/s8pI85pM7gQjMdu3OQBnnNdDZadrXwz+Il/qlv4Z1fxBouq6XawbtKjWWaGe3Xb86My/KwJIIP4Ue7f8Au9O+z369vmEr2f8ANrf05la34/L5HU/BDxRrHiPw9qNr4gaOXVtF1OfTbmeOPYs5jbAk2jgFhyQOM14v/wAFI/8Akl3hv/sN/wDtCSvZ/gd4d1bQ/D2pX2vQLa6lreqT6nNbBt32cSNlYyehIHXFeMf8FI/+SXeG/wDsN/8AtCSm76X3sr+ttfxEuttru3pfT8D6T0yS8GnWwS0jZfKXBM2MjHpirPnX/wDz5xf9/wD/AOxrF8Q+JbDwh4Ck8RanFcy2lnbK8iWyB5GGBwoJAJ/Gszw58StL1XxLF4b1DRdd8O6rcwNPaW+rW6Rm6RfvGMo7gkdwSDSWrshvRXOt86//AOfOL/v/AP8A2NHnX/8Az5xf9/8A/wCxrziP42aE1nc6o3hfxYmh2l1JbXOsNZRfZYTG5SR2IlL7FYHJC9uldT4u8eeH/Del2F7cSzXsmpkLptpZR+bPesRkCNcgHg5ySB6mlfS/9a7feHW39ab/AHdTe86//wCfOL/v/wD/AGNHnX//AD5xf9//AP7GuR8P/EzSNS8TQeGtT0jW/DerXUZls7fV7dIzdKv3vLZHdSR3BIPtVO8+K9mmv6zo+m+DvF2svo04t72ews4XiSTYHwC0qk/KwPApvT8wO686/wD+fOL/AL//AP2NZ0WlRR+IJtfXR4P7TmgW3e4NyxbylJIQAjAGSTwBnNZNx8SvCqfDibx9b3U15o0KFpPIizKpDbWQo2CGByCD6VteLvEVh4Y8K3/iTUlnaysbc3EwhTc5UegyMn8aJe7q+gRXNZLqXfOv/wDnzi/7/wD/ANjR51//AM+cX/f/AP8AsawPEvj3QNA0TTtSvGuZZNUVTp1jBFvubtmUMERM43YI6kAdzWdbfEhZYrlX8EeMYL+FFkTT5bKITzoTguhEpQgEcgsD7UPRtdgTuk+52HnX/wDz5xf9/wD/AOxo86//AOfOL/v/AP8A2Nef6D8XYNa1i70ux8A+NzcWNytte77KALbSMoYBz5391lPGeDXVaH4w0fVtQ8Q2UDTQt4fuRb30kyhUDGJZcqc8rtccnHejpfyv8tNfxQX1t8v6+5mt51//AM+cX/f/AP8AsaPOv/8Anzi/7/8A/wBjXnsnxm0Q2E2sWvhnxXe+HoiS2t29ghtCgOGkGZBIUBzyE7ZGRWh4++LPg/wb4R0rxVf3Fxe6Vq0scdpNYRiXeHGQ/JHy45Pf2o6X/rXYOtv603+47Lzr/wD584v+/wD/APY0edf/APPnF/3/AP8A7GsTxN430PQNF0nWLmSa5s9WuoLa0ktkDhmmBKN1Hy4HWulp2f6f194r7FXzr/8A584v+/8A/wDY0edf/wDPnF/3/wD/ALGrR4GTXAXnxU0xr67tvD/hzxL4ois3MdzdaRaxyQRyjO6PdJIm5hjnbkc9c8VN1exVjtfOv/8Anzi/7/8A/wBjR51//wA+cX/f/wD+xrj/ABD8T9F0jRNB1JdK1zUH164NtZWdpar9oMoUllZXZQpG1s89qveDPHul+JdWvNFbT9U0XWbNFll07VIVjn8puFlAVmUoSCMg9QeKqzu0TfRM6Lzr/wD584v+/wD/APY0edf/APPnF/3/AP8A7GuZvPiN4ctfiTbeAZDdnVZ4RIJFiBgQkMVjZ88OQjkDHRTSeMfiBa+HfEdp4ei8O+INc1G5tXuli0u3jfZErKpZi8iAcsPzqb7eY+/kdP51/wD8+cX/AH//APsaPOv/APnzi/7/AP8A9jXGL8WPCbeCx4qU3xtV1CPTZ7fyALi3uXcJ5ciE8EFhnk8HIzW/4v8AFel+F00ltSW5YarqEen2/koGxK6sw3cjC4Q8/Sqs/wAbfPT/ADX3h/w/3b/kzU86/wD+fOL/AL//AP2NHnX/APz5xf8Af/8A+xrL03xXpmoeMtW8KQLcC/0q3guLgsgEZWUuF2nPJ+Rs8elc3P8AFjSJLu6TQ/D/AIk8RWdm5judQ0u0SS2idfvrueRSxXGTtB9snipugsdx51//AM+cX/f/AP8AsaPOv/8Anzi/7/8A/wBjXIa38TtHsb+007TNJ13xDqFxZ/bjaaXaq0sMBOA8gkZAoJ4Azng8V1uh6lb6xpNvqVqsqw3CblWWMo6+oYHoQeKq3ULjvOv/APnzi/7/AP8A9jR51/8A8+cX/f8A/wDsa5HWviZpdnrtzoej6Jr3ie+suL6PR7dJBaMeiyNI6AMfQEnjnFT6l8SPDeneFLXxBdG9RbyYW9rZfZj9rmuD/wAsVjPV+D3x3zjmpTTV0O2tjp/Ov/8Anzi/7/8A/wBjR51//wA+cX/f/wD+xrjtG+J+lXXiOy0DWNC8QeGb7UQ32BdYto41umUZZEZHcbgOcHGe2afbfFLwrP8AFef4aeZdx65FB5wMkQEMnG7Yr5yX2gnGBwD6VVtUu/6bk30v/Wp13nX/APz5xf8Af/8A+xo86/8A+fOL/v8A/wD2NY0fjLR38W6v4Z23K3uk2SX1yxjHl+W+cbTnk8HjFZ3wn+Jnhn4maLdap4be6VLWYwzw3UQjlQ9iVBPysASDmktU38/lt+Y3pv8A1pf8tTqvOv8A/nzi/wC//wD9jR51/wD8+cX/AH//APsa4eb4ueG18A2XjKCw1m6s769SxtreG3U3EkzyeWqhS4HLEd63fCXiu4165nhn8I+JdCWJN/m6pBFGj89FKSPz9QKdt/68/wBQem/9dDb86/8A+fOL/v8A/wD2NHnX/wDz5xf9/wD/AOxrhW+LejzyXEui+HfE2vaXbOUm1XTrNHtVK/fwWdWbb32qfbNR+K/i7Y+HCkt14N8YXFjNPFb219b2URhneVgsYXdKG+YkAZUdalO9rdf12+/p3B6X/r+rdex33nX/APz5xf8Af/8A+xo86/8A+fOL/v8A/wD2NcnP8R7Kx0ODVta8OeItGSfUYNPihvbeMStJM4RGwsjDZlhk5z7VraB4u0nWvE2t+HLb7RFqOivGt1FMgXKuu5XTk5UjvxVW/r7v80K6/r5/5M1vOv8A/nzi/wC//wD9jR51/wD8+cX/AH//APsa5PX/AIm+HNFk8Urcx38q+F7VLnUXhhDKAy7gincMvjnHH1qDxz8TrTwjYy6le+E/FN5pUNqLqbULO1ieGNCMnO6UNkd+Km6tcqzvb+un+aOz86//AOfOL/v/AP8A2NHnX/8Az5xf9/8A/wCxrhbj4safYaN/bWueE/FeiacJ4YjcX1pEFHmsFDnZKxCjIJPYV0WteMdI0vxbovhaQXNxqesCR4I4EDCONBlpJDkbV7Z55qrO9vl+v5Eppq5sedf/APPnF/3/AP8A7Gjzr/8A584v+/8A/wDY1aopDKvnX/8Az5xf9/8A/wCxo86//wCfOL/v/wD/AGNWqKAKvnX/APz5xf8Af/8A+xo86/8A+fOL/v8A/wD2NWqKAKvnX/8Az5xf9/8A/wCxo86//wCfOL/v/wD/AGNWqKAPBdce5/4bc8PMbeMSf8IVNhfN4x9ok74r3Dzr/wD584v+/wD/APY14rr3/J8Xh3/sSpv/AEokr3SgCr51/wD8+cX/AH//APsaPOv/APnzi/7/AP8A9jWf4b8Tadr2oa1Y2KziXRr37FdeYgAMnlpJ8vJyNsi88c5rNk+IPhuG68UQ3c01qvhjy/7RmlTEY3xrIu0gknhgOg5pX0v5X+Xf8RpNu3yOi86//wCfOL/v/wD/AGNQW8MlvNPNb6TaRS3Dh5nSQK0jAAAsQvJwAMnsBXP+EfiBZ+IJxHJ4f8Q6Kklsbq3m1O1SOO4iABLIUdsYBU4baeR7456w+LE2p+LLNtL8M61deDpw0A1tLMNE9xvKhlPmbhENrAsU6+3Jqz5lHv8A1+at6kt2i5dF/X/B9D0jzr//AJ84v+//AP8AY0edf/8APnF/3/8A/satUUhlXzr/AP584v8Av/8A/Y0edf8A/PnF/wB//wD7GrVFAFXzr/8A584v+/8A/wDY0edf/wDPnF/3/wD/ALGrVFAFXzr/AP584v8Av/8A/Y0edf8A/PnF/wB//wD7GrVFAFXzr/8A584v+/8A/wDY0edf/wDPnF/3/wD/ALGrVFAFXzr/AP584v8Av/8A/Y0edf8A/PnF/wB//wD7GrVFAFXzr/8A584v+/8A/wDY0edf/wDPnF/3/wD/ALGrVFAFXzr/AP584v8Av/8A/Y0edf8A/PnF/wB//wD7GrVFAGJYaTDY6vf6va6PAl9qGz7VOblmaQICFHI4AyeBgVo+df8A/PnF/wB//wD7GprqeO2tpbmZtsUSF3OCcKBk8DmuF0f4p6VeeJNO0LUfD/iPQZtU3jTp9UtEjhumUZKoyuxDbQSAwHFC1fKgei5jtPOv/wDnzi/7/wD/ANjR51//AM+cX/f/AP8Asa4vxL8VNG0fVdR0+30XX9b/ALJTfqk+l2qSxWQxnEhZ1OdoJwoY4FW/F3xQ8F+GPBdv4t1DVhJp15F5lkLdDJJd/KWxGvUnAJ5wB3IpXXLzdP6/Pp3HZ83L1Op86/8A+fOL/v8A/wD2NHnX/wDz5xf9/wD/AOxqDwzrFr4g8P2GuWKyra30CTxCVdrhWGRkZODWT438baZ4VnsbKWz1DVNUv2ItNO06JZLiUKMswDMoCqBkkkVUk4vle5MWpLmWxu+df/8APnF/3/8A/saPOv8A/nzi/wC//wD9jXJ6b8T/AArc+FtW8QXct1pcejSNDqVrexbLi1kHRGVSQSeMbSc5GKTwv8SdM1rxFB4fvNE17w/qN1A1xZw6tbJEbpF+8YyjsCQOSDg4os72/rv+WvoF9LnVvLfbG/0OLof+W/8A9jXiX7D0l0v7O2j+VbxyL9svOTLtP+vf2r3iT7jfQ14d+wx/ybno/wD1+Xn/AKPekM9o86//AOfOL/v/AP8A2NHnX/8Az5xf9/8A/wCxqj418R6f4R8Lah4k1VZ2srCFpphAgZyo64BIyfxp/ijX7Hw74Vv/ABJqCzNZWFq91MIlDOUVcnAyMnHvSbSTb2Gk20luy351/wD8+cX/AH//APsahvI5ry1ktbzS7W5t5VKyRSyB0dT1BBXBFczr3xK0fTDpFvbabrGsajq9qLu10/T4Ee48nGTIwZ1UAdPvdafqnxG0PTvDFjrNxa6os9/P9ltNM+zYvJbnODCEJC7wQR97bx1xzTate/p89vz09RRd7Nev9fmdQsl6qhVsYQoGABPwB/3zS+df/wDPnF/3/wD/ALGuV+Fni3VvEmnzw+I/D2oaFrNs5M1vc24jQoxJQoQ7hvlwCcjkHgV2lNiTKvnX/wDz5xf9/wD/AOxo86//AOfOL/v/AP8A2NWqKQyr51//AM+cX/f/AP8AsaPOv/8Anzi/7/8A/wBjVqigCr51/wD8+cX/AH//APsaPOv/APnzi/7/AP8A9jVqigCr51//AM+cX/f/AP8AsaPOv/8Anzi/7/8A/wBjVqigCr51/wD8+cX/AH//APsaPOv/APnzi/7/AP8A9jVqigCr51//AM+cX/f/AP8AsaPOv/8Anzi/7/8A/wBjVqigCr51/wD8+cX/AH//APsaPOv/APnzi/7/AP8A9jVqigCr51//AM+cX/f/AP8AsaPOv/8Anzi/7/8A/wBjVqigCr51/wD8+cX/AH//APsaPOv/APnzi/7/AP8A9jVqigCr51//AM+cX/f/AP8AsaPOv/8Anzi/7/8A/wBjVqigDK1mzbWNKudL1HTYprO6jMU8f2pl3oeCuVAOCPepbOOeztIrS102CGCFBHHGs2AqgYAHy1oVzfxE8ceHPAOgPrXiS9MEHKxRRoXlncKW2Ig5Jwp9uOSKTkoq7Gk29Da86/8A+fOL/v8A/wD2NHnX/wDz5xf9/wD/AOxrGsfGWk3ngGDxpDDetp9xbLcRRCHM7BjhUCAn5iSBjOOetZfhX4laXrfig+GLvRtd8P6w1sbqC11a2SNriIHDMhR3BxkZBIIzVNNScXv/AF/kSmnFS6HW+df/APPnF/3/AP8A7Gjzr/8A584v+/8A/wDY1wV/8Y/DVpPdTDTNduNFs7kWt3rsFqjWEEm4Kdz795CkgEhSBmvRYpEliWWNgyOoZWHQg9DSWq5ug3o7Ffzr/wD584v+/wD/APY0edf/APPnF/3/AP8A7GuBvfjJ4atZ7mb+zNdn0S0uRa3Wuw2qNYQvuCnc+/eQGIBIUgZrX8U/EPS9F1mDRLPS9Y8QapLB9paz0mBJZIoe0jl3VVUkgDnJz0pX0T/rv+WvoO2rXb/hvzOn86//AOfOL/v/AP8A2NfLv/BRx7hvhd4c86FIx/bf8Mm7/lhJ7CvpLwT4o0jxh4eg1zRZnktpSVZZE2yROpwyOvZgeCK+c/8AgpH/AMku8N/9hv8A9oSVTTTsyU7nqv7QJcfs/wCsmNQziyTapOATx37UWPhnxh4k+IOheLPFlnpOiWugQS/ZLOxvWvHuJJUKlnkaOPaoB+6FOT3rs7zTtE17wquj61HBdWc8CrNC8mAwwODgg1sC4tQu0XEOMYxvFKOjv/W1hy10PlPT18XQ/AnX7g6hYyeDn1zUY9XtLazZNQjtDdyCZo5y7ITjJwYunGe9ej3j6Tpv7QXgMrPAujTeHJLXRXY/IZPRW6bjHtx3NemaZ4f8K6ZoN1oNjaWkWm3TzPPb+aWV2lYtITkk/MWJ/Gqd74M8EXvhSz8LXWm2cuk2KIlpCZm3W4QYUpJu3qQB1DA+9EW4u/a3/pLi/uvdfMcrSb87/wDpSa/Kz+Rxnx/EN94s+HOk2kiHWR4ihu4UXmRIIzmV/ULjqelWfgt8vj/4qM3CjxCmSen/AB6xV1HhLwT4I8K3st9otjFFeSrsa5nvJLmUL/dDyuzKvsCBWdq/wv8Ahvqus3usXmnN9tv5BJdvDqtxCJmAAyyxyBTwAOlEPcvbrf8AHl/+R/EUve36W/Dm/wDkjxnWF+3fDH43arpMby6Ldau8lm8XzRylERZnTHBHmK/I6nNerfH7U7CT9nvX7yO6ieC90sLbOrgiUyAbAvqTnjFd5Y2ehWOkppFnb6fBp6R+WtqioIgvcbemK5TS/hh8NtN1KLULTR4BJC5kijlvppYI29VhdzGuO2FGO2KTinH2fTReeiS/FL5FRm1NVOt2/vd/67nEyAaP8f8A4f8A9uHyYH8LGzsmlbEYux99Rn+MrtHqcV7ebi3W5W2aaITsu5Yyw3FfXHXFY3izQvDHivSzpniC1tL+2zuUPJtZG/vI6kMh91INU/CXhHwf4Vlmm0S3WKaYAPLPfS3EmPQNK7FR7AgVbk5b+f4tv839xmo8u3ZfgkvyX3nK/Br/AJKR8U/+w9D/AOkcFcLq8N9P4e+PkWm7/tJ1Fdu0EkgWduWwB7Zr3XSNL8P6TqGpahp0Vvb3OqTi4vZBLkzSBFQMcnj5VUcY6UmlaT4d0u91O8sIbaGfVZhPfOJM+dIEVASCcfdVRxjpWbjePL/c5fn7v4aGilaXN/e5vlr/AJmP4T1bw+fg7pmq293Zroi6LGfN3ARJGIgCD2GMEEeoxXhGgabt+GnwgtLyANaXfiq4khgkTj7NK87RjB7FGBHsa9nl+FPwwkvWum0SABpTM1ut/MtqWJyf3Ak8rGecbcZ7V02raL4a1WTS5L+2tJm0mdbiw/ebRBIBtBUAgcA4x0rWUlKbm1u1p5J3+f8AXcziuWHIuif4ppf1/kfN3jia48HzaT8KdTld4rTxPZ3/AIemfnzbFzJmLPdon3Lj+6Ur6qlkjhiaWWRY40BZmY4Cj1Jrn/E3hrwj4mvdMvddsLK+udKn+0WMkj4aGT1GCPQcHjiq/wATbG78QeB9T0PR7yxiub+L7OZJ5cKiMcOeM5O3OBWfNJU7bu/36JK/3av5l2TqX2Vv1bf56fcafiZpr3wdqbaRIJpprCX7K8TAhmKHaVPQ84ry74O3Wqzfs+6IPBuq6Rpt/psMq6lHf2LXRSdGcyoyJLGUcvk5JPB6V6l4YsdM8P8AhzTtCsbiP7Np9rHbRZcZ2ooUZ/Kub1/4a/DrXNUn1O+0uNbq4AE7WuoTWqzdeXWKRVY8nJIJNE42clF6O2vpe356ii7qLktV+u/5HlPiLxF4i8a+HPg7rwudLstbvNfmxN9keS2RlSZM+V5gYghem8cnrXUfD24lsvi14wvfH13bt4q0/TYvKmtk8q0fTAXYPFG2WU7w+/Lv/D0r0aTwz4ReLRYjYWSx6HL5umqj7RbvtK5AB54J6561H4j8J+DvEV+1/rFja3Vy1lJYNJ57IWt5CC8Z2sMglRVSercfP8VZf8HybBK6Sl2X4Sbf56eaR833uqa5qfw+1jxnF4H8VS6xNrw8QWmpQwQfZkgg/dqATMH2+SJD93q54r0S/wDEWsat8XfCviHwbpGn6w2oeE551ivNRa0RUaWE53rFJkg8Yx688V6/aWei2uiR6Jbpax6dFbi2S3DjaIgu3b16Y4rL8O+E/Bvh6Wxk0ewtbR7C1ktLUrOzeVC772QZY8FgDQrRaS2W3f4XH/5H8RSvKOu7+74lL8Nbep4v8TfB+r+F/gzqU+o31o+u654rstRnMURNvbytNEqooyC6qFXJypbnpWp8X7Lx3b3fgSTxJ4i8P6jYnxVahYbHRZbWQP5U2CXe5kGMZ429xz6+x+JdK8P+JNOXT9bitry1WaOcRvLgCSNgyNwQeCAaTXtJ8Pa6tiurQ210LC6S8td0uPLmUEK4wRyAzdeOaIPl5fKSfyXKrf8Akv5ajlqn5qS+bv8A5nljRXk/xd+LEOnb/tknhizW32HDeYVutuPfOK6H9ma90ub4IaAtjJEv2SBortNw3RTKzeYH6YbOSc+tdnZ6V4fs/EF9r9tFbR6nfxRw3VwJeZEj3bARnHG5ug71zmq/DP4calq8+rXGlRx3Vwwac22oTW6SsO7xxyKjH1JBz3zSjdLl8l+F/wDMJayv5/ol+hleOvCd9feJn8e/D3xbZ6b4itrLybqG4VbmyvoAGaNJVDBk+bkOrDGDwa3PhN44Txl8P9H8QX8Vvpt5qG6PyPOBV5UJDeWT94fKSPak8RfDz4f6/LHLqWmQ7o4RABbXstsGjHRWETqHAyfvZ6n1NU9W8G2l9438J3cLadZeH/DUc01tawuFZrhl8tPlAwEVGk75JIoitOXp+W7f39u4Su/e6/npZL/g9jn/ANlaaGPwpr+l3Lga5a69dnU45GzLvZgVZu+CuMH2p/xBvrOP49/Dm/u7u3OmMl/awyFgY1vGQbF3dAxUOAOvOO9dV4n+H/gHxJqx1bVNPj+3lNj3FrfS2ryL/tmF1347bs4q9e+E/Bl74XTwzdabYS6SmCkBflGHRw+dwf8A2wd3vQm/db3X3bW+Wn3P0G9XLs7v73f8/wADiv2lfJvLHwho9vIh1m58TWMtjGOZQI5A8rqOuBGHyenOO9cfqPhO68VfET4of2RItv4h0u40y/0e4PGy5jjkIUn+44yjD0Y1634V8CeBfDGpnU9IsI0vthjW4ub6W5kRT1CtK7FAe+3Ge9a+m6T4e03WtS1mxhtob/UzGb2YS5M2wEJkE4GAT0x1oSsnZ66v0fu2+7lv6g5X3XZfK7b++9jwz4W+LLbxp8RvHGuQxvDM/ha3iu7dxh4LhQ4kjI7EGsz4eRyeBvAHgL4pWSkaZJpsWm+JYkHBt3bEdzj+9G5XJ/uFq9603wp4N03WdY1ix06xt7/WgF1KZJCDcDGORnA69sVY0/QvDFh4UXwra2lmmirbm2FmX3J5RBBXkkkYJ70nfk0309PtXXo+awPV2e347RSfr7tz5s0/7Rcfsz+CP7MuIY7iXxbZfZppYjLGrG9XazKCCwzgkAjPqK9y8Q6f47/4Vr4st9T1rS9T1KbS7hdPOmabJZlJDEwGd00uTnGMYq1P8Pvh/N4MtvBzaTarodrIslvax3UieW6tuVg6sGBB5zmrXhHwf4R8KXU11oazQyzJskM2qT3AIzngSyMB9RTqJThOHe//AKTFfoOM2pxqdv8A5Jv9TK/Z+1DR7j4K+GptLmhW0t9PSOUBh+5dV+dX6YIOc5xWT+0hJHN4N8PywyJJG/ibSirKcgj7XHyDWxffDD4bXmrTanJpMUVxPIJJlt9Qmgikb1aKOQIc98rz3zXRa1ovhrWdPtdP1K2tJrS1niuIIg+xY5ImDRkBSOhAOOnFXKfPUVR/zJ/c7v8A4BlGHJBwW1mvwsv+CcN+0n/yKnh7/sZ9K/8ASqOqHxFuLPwD8ZtC8fXUy2ul6xaSaTq0rHCIVUvC5/4EoX8a9L8Q6V4f8QWsFrrEVtdw29zFdRK0uNssbBkbgjowBqDxl4f8K+MdCk0PxNaWmpadIys8EkhAJU5BypBHI7Gs1dLTfmb+TSi/wT/A00b12tb7m2vxseJazp0n/DLHjrxXeRuuoeKLW51WYP1VJATEn/AUwK7j48f8m0eIv+wG3/ouu81rSvD2s+Hbjw9qUNrPpVxCYJbbzNqtHjG35SCBj0o1vSvD+teHZ/D2qRW1zpdxD5Etu0uA0eMbcg56e9OVmnGO2lvRaBBtSjKW6vf1bTILrRdP8SeAToOqw+dZX2niCdPVWTBx6GvL/wBl/RryZNZ8Sa9qR1bU7S6k0G0uHTDR2to5iHr8zldzHuTXs0EtlDAkMU0KxooVV3jgDoKoeHdK8P8Ah61ntdGitrSG4uZbqVVlzulkYs7ck9WJNU2vaSkuv+f+V18zOMWqcYPp/l/nZ/I2KKi+1W3/AD8Q/wDfYo+1W3/PxD/32KksloqL7Vbf8/EP/fYo+1W3/PxD/wB9igCWiovtVt/z8Q/99ij7Vbf8/EP/AH2KAJaKi+1W3/PxD/32KPtVt/z8Q/8AfYoA8Q17/k+Lw7/2JU3/AKUSV7pXhGuzQn9t/wAPOJYyv/CFTc7hj/j4kr3L7Vbf8/EP/fYoA81+Ds0cfj/4nafIwS6Gvx3HlE4by2s7cK+OuCVYZ9jXP+HNJ0TxZ4r+MNrq06f2HqF/bWMk6zBBvS1iDBX6ZDYH1GK9A8WeBvA/inUE1HWrGOS8RPL+0W99LbSMv91midSwHYHOO1Xbbw14RtvC7eGYdPsE0h1KvbbuHz1ZjncW77ic55zSS91J9I8v3W1+5feyuZqTcerv+v5/gedeGtR8VeCvHOm/DHxZrFn4l0PU9MuJLDUTEILyBIjgpcAHay7HUCQBeVORWZqq+KPgfoNvqOh+ILHxF4GbUY0i0u9h23dtFM33be4Rtsg3MWCshOP4jjNek+GfAfgPw5NdTaXp0ImuofImlubyS6kMfOUDSuxVTk5AIB71h+E/hL4J0HxHd6v8t2n2hZdNtZruaSGwUIF2ojyshO4MwO0bd2BjFWn7yb+b767W9NL+vUiys7L0XbT+tD0xG3IrYIyAcEcilqL7Vbf8/EP/AH2KPtVt/wA/EP8A32KkaJaKi+1W3/PxD/32KPtVt/z8Q/8AfYoAloqL7Vbf8/EP/fYo+1W3/PxD/wB9igCWiovtVt/z8Q/99ij7Vbf8/EP/AH2KAJaKi+1W3/PxD/32KPtVt/z8Q/8AfYoAloqL7Vbf8/EP/fYo+1W3/PxD/wB9igCWiovtVt/z8Q/99ij7Vbf8/EP/AH2KAJaKi+1W3/PxD/32KPtVt/z8Q/8AfYoAdPLFBA888iRRRqWd3YBVUckknoK8Q+JJ8QaN8RPAmseML7TfEGlvrQtdOs9OtGs3guJVZUnffJL54RS3CmPGd3OMV7Pe/wBnX1nPZ3bW09vPG0UsbsCrowwVI9CDXJ+Hfh18PtA1eLVtN05PtkIIhkudQmuRFnuiyyMEPbIAOOKI6TUn0a/r/g9Nwl8DS63/AK/zXXY5P4LXFnaWHxMTUpokmtvEN9Lel2A2xkEqzeg2g81m/DnS4f8AhkqC4vLGNriHw9dyWryxgyQq0T42k8rlTjjtXf8AiT4d/D3xFrD6vq+lW815IqrM6XkkSzgdBIqOFkH+8DxxV3xd4R8H+K9Pg0/XLdZrS3BWOGG9lt0CkY2kROuRjjByKzlBypOHVpR+5NX/AK2LjJKopdE2/vd7f15FT4R3NvY/Bzwxc3txFbQJpUBeSZwiqNg5JPArm9Skjj/al0SS4kQx3Phm4SyJIwziVWYL6naCfpW/Y/Df4eWfhW/8LQ6ajaLfhVuLSXUJpUYL0A3yEoB6KRWj4n8I+DfEunWdhrNlb3ENkQbUpcPFJDgY+WRGDjjjg8963qz5qrqLu/xTT+6+nfyMacOWkqb7L8LNffbX9T5/+JRjbxf4/wBUiYf2Vb+JNAW+fd8mUkj8zPb5e/pXqHxSMdz8Zfhbb2rBrtLy6uG2NyIBbuCTj+E9PQ12eneFPBun+FpvDFrptgNInVlnt5H8wTbvvF2YlmJ9SSfeq3g/wR4I8JXkl5oNjFBcyIIzNNeyXDhP7qtK7FV9hgVELRUY9Fr87JfddfdoXP3uZ9Wmv689fyOtk+430NeHfsMf8m56P/1+Xn/o969re6ttjf6RD0P8YrxH9huaGP8AZ10cPNGp+2XnBYD/AJbvQB2X7ScUk3wL8XJDG0jf2ZKdqjJwFqv8b9V0+T9nfxFqEd1E9td6I4t3VwRKZI8IF9SSRgDrXoc01lNE8U0lvJG4KsjMCGB6gjvXFad8L/hrp+pR6hbaPAJIpDJFFJfTSW8beqws5jGO2F47YqZR5ouD2f8ATLjPllGa3jf9P8jD1PwDealD4Y1rw74mHh/xlo2lwwZeJbiKWDA3RTQkglSc/MCpHrWXpP2j4zfD2wn1XUo/DHjHR9TuI7S9051liW7t3KNLEj58yI7clT2OM969C8XeDfBviy5hutctVmuIlKLLBfS27lf7paJ1LD2ORWX4w+HPhDXPA8XhmyjtdJFlEy6ZcW0jo1k5GN6lHVifXLfN3zVzk5cza63t2d73T/TvqZ04pKMb+V/K1rNf1poUfhv4t8Vt8RNb+HvjBtK1C9020hvINS02J4UlifgLLEzNskyCeGIII4r02uZ8E+GPC/g+wa10WOKN5cG4uJLhpZp2AxlpHZmPsCcDtXQ/arb/AJ+If++xTk9hRJaKi+1W3/PxD/32KPtVt/z8Q/8AfYqSiWiovtVt/wA/EP8A32KPtVt/z8Q/99igCWiovtVt/wA/EP8A32KPtVt/z8Q/99igCWiovtVt/wA/EP8A32KPtVt/z8Q/99igCWiovtVt/wA/EP8A32KPtVt/z8Q/99igCWiovtVt/wA/EP8A32KPtVt/z8Q/99igCWiovtVt/wA/EP8A32KPtVt/z8Q/99igCWiovtVt/wA/EP8A32KPtVt/z8Q/99igCWiovtVt/wA/EP8A32KPtVt/z8Q/99igCWiovtVt/wA/EP8A32KPtVt/z8Q/99igCWub+JVlZ3HgrWbie0gmnttNumgkeMM0TGFwSpPKkgkcdjW/9qtv+fiH/vsVgeM/DPhbxhZR2fiBDdW8ZJCR38sAORgg+W67hg9DkVFWLnBxXUunJRkpMxPgnd22n/A3w7fX08dtbW+lrLNLIcKijJJJ9MVzng6HUfiF8Rn+Jgt5LHQ9O06bT/D6SoUmuzIR5lwwPRPlAUdTkk101j8M/hzZeFtQ8L2+mKNG1FUS5tH1Kd0ZVOVUbpCUGey4B707w58N/AHh7UrXUNItp7ee14gzrF1IiDGMbHlKkYPQitatqlSUujvb53v+DsvvMqacKcYdrfha347/APDnlvhm50+P9ijW47ho90emX1tcKTz9oJdQuP7xZlGOuSK9k8GyeT4J0rSZLqIaqulRnyGlHmj5AN2DzjOOaz5/hv8ADmbxC2vSaPam9acXDgXUgheUch2hD+WzZwcleoBraGg+F/8AhLR4s+y2v9ti1NmLvzTu8kkHZjOMZA7VMvfUub7W/lZPb5v7itmrdL2+bW/yXzZ4h4eudPT9iLV45mj3R6TeW0655+0HcoXH94sVGOuSK6D4IpJZ/FvxNZak2L9tC0p4w7fMYljIbrycMRmu1l+G/wAOZfEJ159HtTetOLlgLqQQtKDkOYQ/lFs85K9eat+MPBXgnxbdQXeu2MU9zAhjjnhvJLeUIeql4nVivsSRT5nzOdtXv9z2+b+4Gk1y9Nfxaev3fecr+zcFksfGN7bc2Nz4ovXtmByrLv5Ze2Ce4rzD/gpH/wAku8N/9hv/ANoSV9KaJaaLoul2+l6THaWdlboEihiYBVAr5o/4KPyxSfC7w55ciP8A8Tv+Fgf+WElGiSS6JL7lYXVvu2/vdz6b0q3t20y2ZoIiTEuSUHpVn7Nbf8+8X/fArzP45WWsyfCWPWvDss6atoRh1S3WJyvmiIhmjIHUMoIwfWqnxJ1k+M18CeH9AupRb+IbqHUbmWGQowsYwJW5BBAb7tKPvO3ml9/X8/uY5aK/k393T8vvPV/s1t/z7xf98Cj7Nbf8+8X/AHwK+bIpPh7dfF34hRePo9avJ4tViSyFvFqMyRRmFPl/0YFV+bJwcGtX4+aLq2oeN/h/4e8Iaxe6RNb2l1c6eElba0sEQaJZAxyykgA7s0k9IvvZ/hd/NLoNqzku1/zse/fZrb/n3i/74FH2a2/594v++BXhmoeNT4w1z4SaxatcWMk+q3MGpWQkZfJuI49skLjvtcEc/Wuw+FNxcS/ET4mRyzyyJFrUCxq7khB9khOFB6DJJ4q4xvfyv+Divx5iW7JPvb8eb8uU9D+zW3/PvF/3wKPs1t/z7xf98CvFpLu8/wCE9+Msf2u42QWFsYV81sRE2anKjPy888Vlfs72/wAL9R0fwlcW1rrMvioabBcTTzxakI2mEal23yDyW5J7kHtmph733J/ff8rFTXL/AF5L/M9++zW3/PvF/wB8Cj7Nbf8APvF/3wKoeLNatPDvhrUdcvpBHb2Vu0zsfYcfrXjHwbk13wr440qPxFdXkv8AwnWmNqjLcSswtr4M0jwqDwoEbxqAMfdNEfely/11f6P+mKWkeb+ul/uuj3b7Nbf8+8X/AHwKPs1t/wA+8X/fAr5m07Wtb8JfFvxl8QZtSvbrw9F4iXSNYtHkLR20BghaO4UdtrOwOOxFdTPf3T+IPjY0d9OY4ra2a32zNiMGyQ5TnjJOeKhytT5/7t/wTt9zRcYXqcnnb8bfn/Wp7h9mtv8An3i/74FH2a2/594v++BXgGm+AdPsvgNpHjfw1dahpPim30O31Fb5b+WQTSeUrusiSMylX5yMD2xXsXgvXZPE3w50nxFJCIJNR0yO6eNTwjPGGIB9MmtakeTnXWO/4/5Mzg+blf8AN/wP80bv2a2/594v++BR9mtv+feL/vgV89fCz4neH9O+Cl1pmq6hrb6pG+pqXXSr24AJuJ9v75ImU4GOQ3GMcYqPQtW1fVfht8JPBUOsX1mPEcEj6jeRuTO8EIBaNXOcFi4BPXApWbbUfL8b/lYei38/w/zPon7Nbf8APvF/3wKPs1t/z7xf98CvD/ix4XsfhVoth438ByXmm3NlfQQ3ls15LPDfW8jhGR1kZuQcEEYIOazfHsujaf8AFTVrz4tW2uxaDeRwHw9rFvJN9jsFVQHSTyTmOQyPndIpU8cjBFJWdrd7fk9PW/5/Ms+va/42/D+vL6C+zW3/AD7xf98Cj7Nbf8+8X/fArxH4jw+D734s+F7LxhrcJ0L/AIR6eSKa71Y20c0geIK5ZXQMxUk/ieK5G61HVV+Afiz7JqWpS6La+J4YdAu5ZGWR7TzoeFfhnQOZFDHOR3NOK5ref/yXL9/W3a4m7f1/d5vu6H059mtv+feL/vgUfZrb/n3i/wC+BXiH7TfhDQB4DuvFSW11HrMlzZRtcxX88Z2tNGjDarhRlSR071213Y+GvhX8Pda1vRrN7VVtvNKvcyzeZNjbGo8xmIyzAcetS3aEpPpp+T/Ua96UUup3P2a2/wCfeL/vgUfZrb/n3i/74FeJ/BOPWPBvjaPw5r95eXX/AAlOkjWIpLqVmMd2rn7REM9AFlhwB/cNdD8CLi4n1f4hrPcTTCLxRKkYkkLbF8iLgZ6DnoKvl1t5N/c1F/i/wJ5tL+aX3ptfh/Wh6X9mtv8An3i/74FH2a2/594v++BXlGkWkWufHP4g6HqrT3GmyaRpoNv57qoy0+cbSCpOByMdK5rwj8OfB9x8cvF+hzafdvp2nWGnz2kB1O62xO5m3sP3nfYvX0qY6281cqXu83lb8bf5nvn2a2/594v++BR9mtv+feL/AL4FeCeMda134T+Ldc0jTor2+s/F6KfDm5mlFtqRIjeLnO1NpEvPaNq9d+GnhtvCfgrTtDmvbi+uYY91xczyF3llY5c5JPc8e1Efejzf1fqvl+q7hLR8v9W6P5/o+xvfZrb/AJ94v++BR9mtv+feL/vgVLRQBF9mtv8An3i/74FH2a2/594v++BUtFAEX2a2/wCfeL/vgUfZrb/n3i/74FS0UARfZrb/AJ94v++BR9mtv+feL/vgVLRQBF9mtv8An3i/74FH2a2/594v++BUtFAEX2a2/wCfeL/vgUfZrb/n3i/74FS0UARfZrb/AJ94v++BR9mtv+feL/vgVLRQBF9mtv8An3i/74FH2a2/594v++BUtFAEX2a2/wCfeL/vgUfZrb/n3i/74FS0UARfZrb/AJ94v++BR9mtv+feL/vgVLRQBF9mtv8An3i/74FH2a2/594v++BUtFAEX2a2/wCfeL/vgUfZrb/n3i/74FS0UAeEa7DEP23/AA8giQL/AMIVNxtGP+PiSvcvs1t/z7xf98CvENe/5Pi8O/8AYlTf+lEle6UARfZrb/n3i/74FH2a2/594v8AvgV578H7i4m8WfEdJp5ZFi8RhIw7lgi/Y7Y4GegyScD1rk5P+Eqv/EfxosPC95MNXVrRdOVpsCNjaxkhN3Ck8/iaTdkn/dUvwTt+JUY3k49nb8bHt32a2/594v8AvgVRe90ZNcj0RjCNQkga4WHyuTGCFLZxgcnHWvIvghceCZJJbHw9/bmg+M4dOK6jpOrSzCSSQZXzmEhZXAdWIaI4+bnqAOZ+H8fgm11+ytviVFruhfEqPUGjOqXkkyR30hZmTyZlJgMZQqNh2njpnmr5ffUf6fTTv/Xyzb9xvr/T17f18/pH7Nbf8+8X/fAo+zW3/PvF/wB8CpaKkoi+zW3/AD7xf98Cj7Nbf8+8X/fAqWigCL7Nbf8APvF/3wKPs1t/z7xf98CpaKAIvs1t/wA+8X/fAo+zW3/PvF/3wKlooAi+zW3/AD7xf98Cj7Nbf8+8X/fAqWigCL7Nbf8APvF/3wKPs1t/z7xf98CpaKAIvs1t/wA+8X/fAo+zW3/PvF/3wKlooAi+zW3/AD7xf98Cj7Nbf8+8X/fAqWvD7/R9b0n9pnwre6l4s1DVF1KLUDHaY8m1toljyqLGCdxHdmJz6ChayS9fyB6Rv6Htf2a2/wCfeL/vgUfZrb/n3i/74FLdRma2lhEskJdCokjIDJkYyMgjI+lfPVjH4WsfjJ4Us/h3daxY3YuJxrcmotdRQ3UAQgoBc4Eshk2keUDjk9BRHWSj3/r7gekXLt/X39j6E+zW3/PvF/3wKPs1t/z7xf8AfArwP9oDUdU8XaT4mh0q5u7TQPC1u0k91bTNGbu/H3Ygy8lI8ktz94KOlbXxi8O6prHiHwXeyeGNc8R6FaQS/wBo2mm3qwyFmiwhIaaLOGwfvUr6J9/y7/15PqN2vb+r9v6810PYvs1t/wA+8X/fAo+zW3/PvF/3wK4j4KX/AIRuvD13a+FNN1HSfsd00V9p2oM5uLabur7nf8CrEHsawfH0P/CXfGvSPAmpTXH9gw6RLql1awzNF9pkDhEDMhDbV3ZwCOQPpTe6S6/5X/LbuSno2+n+dvz+49V+zW3/AD7xf98Cj7Nbf8+8X/fAr5q1zWNa8Hnxr8P9F1S7gsv7Z0y00yVpjJLZQ3rosiozZPG47SScV199oNp8Nviv4Gj8LNd29hrss9hqVrLeSTJNiJnST94WwwYDpjPSnG0rNbPRetr2/FL/AIA5XjddVr8u/wCZ7I9tb7G/0eLof4BXiP7DcMMn7Omjl4o2P2y85Kg/8t3r3ST7jfQ14d+wx/ybno//AF+Xn/o96QHtv2a2/wCfeL/vgUfZrb/n3i/74FcF+0hPPbfA/wAVz200sEyafIUkjcqynHUEcirHxsmmg+B/imeCaSKZNFnZZEYqynyzyCOQamcuWDn2LhDmnGH83/A/zO1+zW3/AD7xf98Cg21t/wA+8X/fArwD4gLchfAuq+KtP1zV/Aa6RGl8mmvIzw3TKNs8qxkSMgB6rnHXFaHj3y7v4TeHL7wLc6v4l8ExXYn1OCwuC91cWGcmJCxVyF6bch8DBOaua5b+Tt6a2u+3f0M4PmSfdX/C9l37ep7Fol5o+tacmoaX5NxauzKkgiwGKsVbGQO4Iq79mtv+feL/AL4Feb/Av/hWgi1NPhzdXEMSOi3ulzNMjWsm0cmKYb0JGMn7pr02hqwRdyL7Nbf8+8X/AHwKPs1t/wA+8X/fAqWikMi+zW3/AD7xf98Cj7Nbf8+8X/fAqWigCL7Nbf8APvF/3wKPs1t/z7xf98CpaKAIvs1t/wA+8X/fAo+zW3/PvF/3wKlooAi+zW3/AD7xf98Cj7Nbf8+8X/fAqWigCL7Nbf8APvF/3wKPs1t/z7xf98CpaKAIvs1t/wA+8X/fAo+zW3/PvF/3wKlooAi+zW3/AD7xf98Cj7Nbf8+8X/fAqWigCL7Nbf8APvF/3wKPs1t/z7xf98CpaKAIvs1t/wA+8X/fAo+zW3/PvF/3wKlrG8Z6XqmteH5tN0fXpdCuJmQNexQCWREDAuEBIAYjIDHOM5waTbS0GtzU+zW3/PvF/wB8Cj7Nbf8APvF/3wK8r/ZVSaH4aXVrNfXl8bfWbuJZruYySsAw6sa7fxr4R0XxVHbr4gku5LG1LSG2S6aGJmxw7lCGO0Zx82OTkGnLSzXk/vVxR1un5r7nY3fs1t/z7xf98Cj7Nbf8+8X/AHwK+Z9B8RazpXwV8Wy+HtVvv7Gn8SRaX4cvJnMjxW0s8cTsjP8AMQN7bWOefWus13QrP4X+NvAt/wCGXvIoNUu5dP1aCW8kmW6U28kgchy2GDxggjHUii6spPRO33tJ2/FILPVdVf7k7foz2z7Nbf8APvF/3wKPs1t/z7xf98Cvm610R9e+A2r/ABautR1AeMfIuNUtL5LuRBbeSxaONYwdmzCYIKnIY81754Z1aTUPBdhrVwgEk1ilxIoPfZk0S92Lct1a/wA7/wCTDdpLre3yt/mrGr9mtv8An3i/74FH2a2/594v++BXzbbaLJrfwC1T4uXOoX//AAmRtp9Wtb9buRVtzES6RLGDs2YTaQVOQTzXR+HoYvix8RdSt/FRuJtK0jSbJ4LGK5khTz50LPIxjKljwQMnABPFOzu49Vv5af8AAaBtW5unTz1S/W57f9mtv+feL/vgV8t/8FH4o4/hd4c8uNE/4nf8Kgf8sJK9b/Z3v9Sk8P65oOo3k17/AGDrVzp1tPM+6RoEb5AxxyQOM968n/4KR/8AJLvDf/Yb/wDaElGmjWzSf3q4tdU+l192h9M6fFHNokEMqhkeAKynoQV5rzH4JfC/XPBev6he69q1pqFrbRHT/D8cO7dbWIcsqvkDD844yPevSNMivDp1sUu41XylwDDnAx9as+Tff8/sX/fj/wCypLR3/r+t/vY3qrHmWleHPiR4Y8ceL9W0LTPCup2GvX6Xcf2zV57aWLbEqFSq20gP3c5zW1rHhPXNW+JPgzxbO2nW6aRa3KX0CTO58yWPGIyUG5Qe52nHbtXZ+Tff8/sX/fj/AOyo8m+/5/Yv+/H/ANlRHS3lp+FvyBu9/M8m1n4Q6kfjppXjjRdStbfQ1uWvtR0+QsGN0YwnmRADHzBRuyRzk85raufC/jLw5471vxH4LTQ9StdeMct5Y6pdy2phnSNYw6SRxS7gVUZUqMHvXf8Ak33/AD+xf9+P/sqPJvv+f2L/AL8f/ZULRJLpf8enpovuQPVtvrb8P6/FnAaD4B1iLRvGF9q99ZTeIvFWWnEO4W1riIRxxKxG5lUKMsVBJydo6UfC7T/ib4c8P+HvDGraJ4SbT9Ms4LOa8ttauHlZY0C71ja1UZOM4Lj613/k33/P7F/34/8AsqPJvv8An9i/78f/AGVNO222n4Xt+YPVff8Aja/5HIfGfwjq3jjw7aeG7Oezh0y4vYzrHnO6vJaqcske0HLN7kfWuW8afA/RVj0rVfh/Y2mk+IdJ1CG7tp7m7naMop+eM5L4DLxwOwr1jyb7/n9i/wC/H/2VHk33/P7F/wB+P/sqUfdd13v+X4abevcHrv2t+f8AmcT4R8Ay2c/jyHXvsd1YeJtUa6jijJYiFoI49r5UYbKE8Z7c1yHw6+D/AIl8M6B470m+1yz1D+2o1ttLmZn3pbpCIohMSv3goAJGc4z3xXsvk33/AD+xf9+P/sqPJvv+f2L/AL8f/ZVLinFx8lH5LRFKTUubre/z3/r0R5HaeDfihqHw3074dao3hjRdLhsIbG71Kwv57u4lijQKypE8EaoXA+9vO3PQ16vpmk2uleHrbRNNjENraWq21uhP3UVdqj8gKl8m+/5/Yv8Avx/9lR5N9/z+xf8Afj/7Krm3K9+u5EVy2t02OL+G/gzVfDfwlk8JX1xaSXzG+xJC7GIefNK6clQeA4zx1z1rnY/hXr1v8OfBFnYaxZWfirwj89vNtaS1nJGHibgNsYY+bGRjoa9W8m+/5/Yv+/H/ANlR5N9/z+xf9+P/ALKhttt+n4Xt+ZSf6/jueca54V8eePLzTbLxlH4f0bQLK6S8nttLvZbyW+dDlEZpIYhGgPJwGJ46Yq58QNJ+I+t2Os+HLK18JXWj6nGYUu7yeZJbaN1AYGARMspHJB8xM5HAxk935N9/z+xf9+P/ALKjyb7/AJ/Yv+/H/wBlUtJrla0/O/8AwyBNp8y3PPNJ+Fsdj4l8LyXP2DVNJ0Pw++lkXkW+SSQtGVcKQVAwh75Gcc1r/GDwfd+LPh5N4a0Q2VpKZ7eSMS5SJVjlVyPlBxwpxxXWeTff8/sX/fj/AOyo8m+/5/Yv+/H/ANlVOTdr9Hf535vzZMUo7en4W/JHKfGHwnqPjH4fSeHtMmtYbpri1lD3DMExHKjtyAT0U44qt8XfBepeONM0Tw95tmuhC/jm1uOV3WSeCNSVjTaO77SckcCu08m+/wCf2L/vx/8AZUeTff8AP7F/34/+ypf53+en+QWt91vkeV+JvgrpNnqnh7X/AIf2drpWtaTqcc7SXN3OyS2xVlli5L4yGBHHVRU/hXw78SPCXiTxPJpWl+FNR03WtZbUEludXuIJo0ZEQqUW2dSRsJ+93r03yb7/AJ/Yv+/H/wBlR5N9/wA/sX/fj/7Kmm1+P42/yX49waT/AK9f82cn4b8J6np/xX8S+LrmW0NnqthZ28UUbsZEeIyl92VAx+8GCD2PApfDvhPUdO+LPifxbPNatY6tZWdvBGjMZVaEy7iwIwAd4xgnv0rq/Jvv+f2L/vx/9lR5N9/z+xf9+P8A7Kkna3loDV7+dvwt/kcr8Q/CeoeIvEvgzUrOa1SHQ9Wa9uVmZgzoYJY8JgEFsuOuOM812lVfJvv+f2L/AL8f/ZUeTff8/sX/AH4/+yoWisN6u/y/P/MtUVV8m+/5/Yv+/H/2VHk33/P7F/34/wDsqALVFVfJvv8An9i/78f/AGVHk33/AD+xf9+P/sqALVFVfJvv+f2L/vx/9lR5N9/z+xf9+P8A7KgC1RVXyb7/AJ/Yv+/H/wBlR5N9/wA/sX/fj/7KgC1RVXyb7/n9i/78f/ZUeTff8/sX/fj/AOyoAtUVV8m+/wCf2L/vx/8AZUeTff8AP7F/34/+yoAtUVV8m+/5/Yv+/H/2VHk33/P7F/34/wDsqALVFVfJvv8An9i/78f/AGVHk33/AD+xf9+P/sqALVFVfJvv+f2L/vx/9lR5N9/z+xf9+P8A7KgC1RVXyb7/AJ/Yv+/H/wBlR5N9/wA/sX/fj/7KgC1RVXyb7/n9i/78f/ZUeTff8/sX/fj/AOyoAtUVV8m+/wCf2L/vx/8AZUeTff8AP7F/34/+yoA8V17/AJPi8O/9iVN/6USV7pXguuJcj9tzw8rXCGT/AIQqbDeVxj7RJ2zXuHk33/P7F/34/wDsqAOAfwz418MeNNe1rwZHoWqWOvypdXVnql5LaNb3CxrGWR44pd6sqLwQuCOpzxN4T8HeJ9C0zxHq41PTJPFuvXYvZmMLm0hKoiJCvRioVAN+ASSTtHSu58m+/wCf2L/vx/8AZUeTff8AP7F/34/+ypLRadrfLt+C+62wPV3+fz/r/Pc84g8H+NNc+Ilj408SR+HdHudI0+e10+HTbiW7M0kuMtNI8cR2LtXCAHOWORWDrekfEL4oW9x4L8U6RoOkWOl39ubzVre4mle6ZFWTNvG8KBc5ALbzt+Zfm617L5N9/wA/sX/fj/7Kjyb7/n9i/wC/H/2VNaW7L873v94d+7/yt+RZRQiKgzhQAM0tVfJvv+f2L/vx/wDZUeTff8/sX/fj/wCyoBKxaoqr5N9/z+xf9+P/ALKjyb7/AJ/Yv+/H/wBlQBaoqr5N9/z+xf8Afj/7Kjyb7/n9i/78f/ZUAWqKq+Tff8/sX/fj/wCyo8m+/wCf2L/vx/8AZUAWqKq+Tff8/sX/AH4/+yo8m+/5/Yv+/H/2VAFqiqvk33/P7F/34/8AsqPJvv8An9i/78f/AGVAFqiqvk33/P7F/wB+P/sqPJvv+f2L/vx/9lQBaryTxZ4f+KOo/E/RfFdjo/g822ircxQRTa1cK9wsq7dzYtSEI64G7616j5N9/wA/sX/fj/7Kjyb7/n9i/wC/H/2VC3TDpY4dvEnirVPibqfhjRv7PisrDRDJcXLxNIIb+QjyVzkblADErgEgdqydd8IeO/HGt+G28XWvhrSbDQtSj1PzNNvprqe4lj+6gDwxiNSTkkM3TGD1r0qO0uY3d47i3R5Dl2W2ALH355qTyb7/AJ/Yv+/H/wBlRHSz6rX53v8Ah+iB63Xf8rWf3/qzy34i/AnwZrfhjWrfQdCtLPWL8O6TyXc6R+cxyXYKxGT3+U10TaT4u8LWem6Z4D0rw7caVBbGOW11HUbiBkkyMMkgjlLDGRggdjntXYeTff8AP7F/34/+yo8m+/5/Yv8Avx/9lQtFZbA9XdnnPh7wT408P6D4q1nTdR0aTxt4huBdt54kNhbuBhYwQN7Kq5G7AJ64FWvGHhPxW/jHQvHPhuTR5tasrJ7G9s72WSC3uYn5JWREdlIYAj5TnpxXeeTff8/sX/fj/wCyo8m+/wCf2L/vx/8AZUdrdLW+St+Wgd79b/jr+e3Y8lvPhLrWteHfE95rGqWNr4q1y+t9Qie2DS21nJbMGgjBYKzqNoDNhSeeK2dO8K+Mte8d6H4l8brodjFoEchs7TS7qW5E08iFDI7SRR7QFJwoB5716D5N9/z+xf8Afj/7Kjyb7/n9i/78f/ZU07NW6f5W/L+rg9VqWZPuN9DXh37DH/Juej/9fl5/6PevZnivtjf6ZF0P/LD/AOyrxL9h6O6b9nXR/KuEjX7ZecGLd/y3f3pAeu+PvDdr4w8Gat4ZvJnhg1G1e3aRBlk3DG4fSuA1vwx8U/E/g1/A2uSeFrPTriEWl5rFpdzyXM0IGGK27RKqMw/6asFz/FXqPk33/P7F/wB+P/sqPJvv+f2L/vx/9lSsv68v6+fUd3p5fqc3rsHjfTJLaHwhZeHb/TUtlh+zaldy2rRMvAYOkUm8EcbSq/WuL03QfGnwq+G7XWhRaPrl0lzd6nq2nhZYUkaVjJ5dqURyArEgAp8wH8NeseTff8/sX/fj/wCyo8m+/wCf2L/vx/8AZU3fV31fX8RRSVlbRdPlb8jgvh34R1v/AITvU/iL4mj07T9T1SxhtF07T5GljhjT5tzyMiF3JJ/hGBxk9a9Hqr5N9/z+xf8Afj/7Kjyb7/n9i/78f/ZU2+i2Ek93uWqKq+Tff8/sX/fj/wCyo8m+/wCf2L/vx/8AZUhlqiqvk33/AD+xf9+P/sqPJvv+f2L/AL8f/ZUAWqKq+Tff8/sX/fj/AOyo8m+/5/Yv+/H/ANlQBaoqr5N9/wA/sX/fj/7Kjyb7/n9i/wC/H/2VAFqiqvk33/P7F/34/wDsqPJvv+f2L/vx/wDZUAWqKq+Tff8AP7F/34/+yo8m+/5/Yv8Avx/9lQBaoqr5N9/z+xf9+P8A7Kjyb7/n9i/78f8A2VAFqiqvk33/AD+xf9+P/sqPJvv+f2L/AL8f/ZUAWqKq+Tff8/sX/fj/AOyo8m+/5/Yv+/H/ANlQBarO8RS63Dpbv4estPvb/cNkV9dvbxEZ5y6RyEcf7Jqfyb7/AJ/Yv+/H/wBlR5N9/wA/sX/fj/7Kk0CPK/hhp3jL4a+ENdPi618Nx6bCbvVPtNjqU0zh2wwjMbwIMcHkNknAxzWf4g034s/EP4WeGodmh2hv8z6/bSXc1k88OcxwoyRylAwxuPXHA68ewzWt1NG0U1zBJGwwytb5B+ozThDfKABeRADoBB/9lQ1fR+X4f0vuBOzuvP8AH+med6r4N8S+KPhrf+D9V0vw74ZWJYG0l9LvpbtIpIZFkQsrwxYAZF6ZyCaLLwn428ReLPDuq+OV0C0tPD2+aCDTLqW4N3cNG0W9zJFHsUK7HaN3JHPHPovk33/P7F/34/8AsqPJvv8An9i/78f/AGVPq2/6ff1/4HYVtLf1bseNxfDbx/aeB9Q+GVneaA3ha9lkjXVHuJRewWkjZeMQCMozYLKG8wdc44xXo2nab4msfEltYwyaR/wh0GmCBYir/bDOMAHP3dm3Pvmt7yb7/n9i/wC/H/2VHk33/P7F/wB+P/sqOln/AMPpbX+t9RvV3/re7+88bh+Gvj+18C33wwtrzQD4Wu5JIRqjXEovYbSRsvGIPL2M20sobzB1zjjFb1z4L8WeGfHU/iXwImiXsF9p0Nld2GqXUlsFaEYjlSSOOTPGQVKjr1r0byb7/n9i/wC/H/2VHk33/P7F/wB+P/sqNe/9Wt+X+e4273/rrf8ANL8tjmvhP4Qn8H+HJ7a/vI73VL+8lv7+eNSqNPKcsEB52joM14R/wUj/AOSXeG/+w3/7Qkr6c8m+/wCf2L/vx/8AZV8u/wDBRxLhfhd4c86dJB/bfaPb/wAsJPc027kpHvHxD8WS+B/hTe+KYbFL6Sws1kWB5DGHOBwWAOPyrIs/HfivSvGWhaB428PaRaw6/vjsLrSb+S5VZVXcVkWSKMqCOhGffFUf2k8f8M3eIdzbR/Zo5zjHSuDvJNBtfH/gfUvAnj6bx3rn29baWzuNUj1P7PaOMTyDZ/qcLn5z16Uqes0vNL+v8+g6mkL+T/C39W6noA8eePtW8VeK9L8L+F/DtzbeHbpbd3vtWmhmnYxiT5VWBlHBxyw5rpvDPxA0fXPhfH8QFjns9Na0e6kS4ADxhc7gcHHBB5BxXj9t4N1HxX4w+L/9j+KNa0i/j1JEhhtbnbbTN9mQ4ljx8wPQ8jiovEPiaHxj8IfBXgTwbp1hp9/r8otbjSmdoobaK2P+lRMVDMqAqy5AP41Ku4JdWof+TLV+nXyKlaNRt7Jy/Dp69j1X4O/EC68babf/ANr6KND1axeMzWJn8xljkjWWJs4HVHGeODkZrI+DnxgHjrxHq+haloh0W5t55/7OLTb1voIpWiZ1OBhgyNlecetc1LdeLvCXx30PWfFWneH7Cx8UWv8AYz/2XeSzL56ZaFn8yJME5CDGelYvg7w3qWpfBu28U+GU3eJvDfiDVLywUHH2hPtkvmW5P911GKtuOk+mz8tbX/J27P0I5ZW5et1b5pu33pq/kd5qvxcu7P4deLvFUegwPL4f1e406O3a6IWfypfLDltvy564wat6j4+8XeEZrC88f+HNHtdCvJkt21DSNRkuRaO5wpmWWKMhCeNy7sdxXiy6xBrn7LfxD1+KOS3t7/xDd3SLMu1kVrjOGz0Izg/SvRvjb4p0Dx54B/4QXwRq2m+JdZ1iSKBY9NnW6W1TcC00zRkiJQB1bGT0zRFNcvV+7p6xjf8ANv8A4BUuVt20V5fg9D0KHxlJJ8Vb/wAF/YE8m10eLUhdCX5nLu67NuMADZnOe/SuY+C/xgHj3W9W0fUdEOi3dvNM2n7pt631tHK8RkU4HIeNgV5xx61BpieT+0vrMO7cY/CFopPriaUZrhvBvh3Urz4K6V4w8Mx7/EnhvW9UurRFODdRG9m823J/uuB+YpXSSk9tf/Smr/Ky+V+pNm00t7r/ANIvb5v+rHp2mfFewHgzxB4n1uxe0g0jV7nTEht2Msly0chRdowPmYjp0HrU9prvxWY299c+BtDTT5ZAXtY9ZY6hFET3QxiHeBjIEuOuCa8S8Ox6h4v+BN/4m0DTLi7Fv43n1v7D5ZMssKzszIE6lwG6eoNdV8XPGmh6zY2OteAviXqLa/PdW8EWhWGpKJCN+HV7PBkDAZDAgEY5xTin7t9/dX3xjr82392g5te9y7e9+DenySX3n0JRQOgopAFFFFABRRRQAUUUUAFFFFABRRRQAUUUUAFFFFABRRRQAUUUUAFFFFABRRRQAUUUUAFFFFABRRRQAUUUUAFFFFABRRRQAUUUUAFFFFAHhevf8nxeHf8AsSpv/SiSvdK8L17/AJPi8O/9iVN/6USV7pQBy/gnxVJ4i1nxRp72S240PVBYK4k3ecPIil3EYGP9ZjHPSuf1L4pwaVP4/bUdMZbTwj5PzxSbnufMiR+hAC8uB1PrWL4Q8S6H4H+I3j7TvGOrWGgHUdVj1Gwm1GdbeK6hNtDGTG7kKxDRsCAcjuORVfwLcaNeXnxM8aa1bvJ4T1e+hiilltXeO6gjt442lAAy0Zbd8+NpAyDjmlvFW/lX/gXu3/G/+WhSspvm25vwvf8AI7Pwh4i8aXNsuo+KPDmk2emTWP2yGfTdRa4aMbQ2yVXjTDEHjZvGQckcZ5fwl4o+Ivi7VtM8caPpGmnwbdK8CWDaky3hTzCpuGTy/L3DbwvmdD68Dm/h/daN4Y+J9tofw68Wv4k8DyaXcXOp2UNz9vt9JKvuQxyJuC7tzgRZJITisjxHceEdBmtdf+CPjjfrGo6pDM/hewvFuILrfgSb7UfPDgZZmIG09cVas5xaWj/za1/zXrvtm0+SSf3/ACvp29H+W/01RSRliill2tgZGehpakpMKKKKACiiigAooooAKKKKACiiigAooooAKKKKAKms38OlaPe6pcLI0NnbyXEgjGWKopY4Hc4FeVad8VPFS2fhjxBrHhTTIfDniO8htbVrTUmlvYTNkRNJEY1TGcbtjtgZPODXo/jnUNQ0rwZrOp6TpranqFrYzTW1moyZ5FQlUAHJyRjA5NfL3hu38J6SfBfivwb4r0/XfFsuoR+Z4aikEkcX2lwLjybUMWtSil2LEHAU5xminrUs9vd/Fv8APv031HPSnf1/Bf1p18rHuXxp+JzeBLRYtK0lNa1XyWu5rVp/KWC1T78rtgkDJCgY5Zh25q14u8eala+JNE8JeGNJtNR8QarbPebby5aC2t4EHzM7qjtkkhQAp5POBXlfxX8OfEXR/BnxB17UrLwheDVo2Mt5/aFwLiK1Ujy4VTydvyj/AGgCeTXW+LbS3t28MeKte8e+GfAPiy2tHt1lkuEmtri3ZfmjCzmItg7Wz2IpRfupv5/NOy++1/n5A/isvP8AC2v52+V+p2fwy8Z3Pig6xpur6Wml65ol19lv7eObzYskZV43wCysORkA+1X/ABZP45iuYR4U0vw5eQFD5zanqM1uytngKI4ZARj1Iry74TX8Hhez8dfFDxZrs9xo1/cQumpyWLxCeKJdnmpCoLCMk/L1yK7v4v8AjX/hGPhtc61pO241K9RLbR4ehuLmbCwqAefvMD9KJu0U+tlp5tbfN/iEFeTXS718l1+Ryuj/ABi1OPQPFeq+IfD9iE0O/TTLY6VePOl/dMwTy0aSOPo5CknjPtW5pHjrxNYeNtI8MeOdA0vTZNbikbTrjTb97mPzEXc0Um+OMq20EjaGBx1rkfiD4Mk8H/ADRbG1juL59C1Gx1PUGSMvJN5dwkk8hA5J4Zvwq7r2v6J4/wDi54Aj8IanZa3BpE0+oahc2MyzR2yGFkRXZchWZiBtJz7VaS5uXfWz9OXWX33fysQ37vNto2vW+i/L7z2eT7jfQ14d+wx/ybno/wD1+Xn/AKPevcZPuN9DXh37DH/Juej/APX5ef8Ao96ko9N+KPieTwZ4A1jxRFZrevp1s04gaTYJMDpuwcflUnj3xE/hnwBq/iiO0W6fT7CS7EDPtDlV3bd2Dj64rH+Pmk6hrnwc8UaXpds91ez6dKIYUGWkbb90e9cX8TfiR4R8TfBfVdH0DWrPU9e1bTWtLbRraQPfec67djQD94hUn5tyjbjnFRO7hJR+Lp89vxNIcvPBy+HW/wCH6XOi1b4i6xNrHh3w54Z0TT7nXNY0sao66hetBbQQ45G9Ed2bPGAn1Iqz4r8ea14f0TQ7e78Owp4n1u9/s+2tDeD7Ks2ceY0oG7yv4h8m/B5UHisD4gaP8NW0rw9onjrxBD4c1vSbOKTT9Ua7FlLGyAA+VO2FY5HKAnjqKwPD2p+HPFHwasNL+M2rRtbXd7cQaVrN+Gs2uo4nPk3QkYAROyBWUkjdnjNazteSj0f3q+yfe2n497ZU78sXLt+Nr3a7dfw9fTfhYnjyz06fTPHcFjLdQuXi1CzvGmjuFYltpDIjKVzjGMYA5rs68Z+CGpaiPiB4h0HSfFV34w8GW1tDJZ6pPKLgQznhrdbhfllAUAnHQnB5r2ah7J/1/X/DiW7QUUUVJQUUUUAFFFFABRRRQAUUUUAFFFFABRRRQAUUUUAFFFFABWP4y17/AIRvQJdUGl6lqsiskcVnp8BlmldmCgAdAMnlmIAGSTWxVHXNY0nQtOfUdb1Sx0uyQgNcXlwsMak9AWYgClLbca3OX+C/ja+8e+Dm1zUdGXR7pLya1ktBP52woQOWAAzz24963fG3iOx8K+G7rWr7LLEFSKJT888zkLHEvqzMQo+teWfsr+J/Dd14Q1ewtfEGlXN4mrXt01vDdxvKId4/ebASdnI+bGOav+II9f8AiDrHhrxl4Kfw3rXhqxEs9tBqdxc2u+7yUE2FhbOwbwAQOWz2FVLXl6XSv5XWv628yY6c19bN/Oz0/wCD5FrQ/ivct8JNd8ca/wCHjZXGj3EtvLYW1x5pZ1KhRuYKBkuM9hzU+j+PfFdr4y0DQfGHhzSrSLxDDK9jPpeoPcmN408wrMrxoVG3PzLuGcDuK8w0DXPGWk/Bb4hX1xoOhXkX9s3EcqwtLdqm+SNJ3eIou6JEZm4OSAcgdaZ4G0zwr4d+JHhaP4c+LrbxjLqlm+n6lD9rW8bTrURs/mxurH7PGH2LsbqWAznipTb1S6L73G/5212+5jasn5N/cn+i6b/gd7c/FnxE/hzUfHWmeFbG48FafMwknkv2S/mhRtsk0cPllCoGSA0ikhTx0z6zYXlvfafBf20ge3niWVG9VIyDXzZovijR9L/Zp1j4eXV3Cni+O2utIj0R2xezTyFlQrD99lO8HcAVwCc4Br2Twvq+j2MWnfDabUNviKPRFma28p+IwAhbdjbwxAxnNOWkXy67W89G3+SfzD7Svpvfy1SX5tedjlLj4teIn8NX/jzTvCtjP4IsZW8yd79kv5YEbbJNHD5ZTaBlgGkBIU8ZwK3tU8e6zqXiv/hGvAWkabql1BYx315c6levbW8Ucn+rVSiSMzt1+7gAHmvJ9I8UaRp/7MeqfDu5uoU8YR2lzo6aGzYvZZ5CUTbD98qdwO4DbjJzgGuj8E6hpfw1+KmtWvjLU7TRbfUtFsHtLy/lWCGVoUKSRq7EKWBb7uc+1O0b2vp0ffRv/J/MJXs3bXXTt7yX6tfj0PTvhd4yi8beG31A2T2F9a3Mlnf2jOGME8Zw6gjqM9Dxkdq8E/4KR/8AJLvDf/Yb/wDaEleq/s52876F4h1+S3lgttc166vrMSRlC8DN8j4PIDDnkV5V/wAFI/8Akl3hv/sN/wDtCSh30urOyv5O2q+8S3dtrv7r6H0jY3Fq2lQQTQyyL5ShlNuzKePpg062/sq2k8y30/yXxjdHZMp/MLUlpc29noEV3eXEVvbw24eWWVwqIoXJJJ4AA71U0Hxb4V1+yub3QvEujara2v8Ax8TWd9HMkXGfmZSQvHPNK+4y6l1aIzskEys5yxFs4LH345pqS6ejh0tHVhnBFowIz1/h71iaZ8Svh3qmoQ6dpvj3wve3s7hIbe31aCSSRj0CqGyT7CtPxN4o8NeGIYZ/EniHSdFimYrE9/eRwK5HUKXIyaHoG5akurSQr5kEz7TuXdbOcH1HFLFdWsS7Y4JkXJOFtnAyevaq8PiLw/Np1lqUOuaZJZX8ix2dwl0hjuHY4VY2zhiTwAM5q1qmpadpdutxqd/a2MLyLEslxKsal2OFUFiOSeg707MLkPm6f5LQ/Y38piSyfZG2n6jbTbVtMtWLW1iYGYYJjs2Un8lqh4i8deCfDd8LHxD4w8P6RdFA4gvtRigkKnvtdgce9aMmu6JHoa69JrGnppLRiVb5rlBAUPRvMztwfXNJbXQeQ/7VaeaZfIm8wjaW+zPkj0ziiO6tIk2RwTIuScLbOBz17Vj658QPAehagdP1vxp4c0y8Chjb3epwwyBSMg7WYHBHNGlfEDwJqxVdL8aeHL4tKsCi31OGTMjfdQbWPzHsOpoWuwNmxDdWcKbIbeaNc5wtq4GfyqFBpMc/2hNOCzZJ8xbJg2fXO3NWLzVNMs761sbvULS3u7wsLWCWZVknK/eCKTlsZGcVboAq/b4f7lz/AOA7/wCFH2+H+5c/+A7/AOFWqKAKv2+H+5c/+A7/AOFH2+H+5c/+A7/4VaooAq/b4f7lz/4Dv/hR9vh/uXP/AIDv/hVqigCr9vh/uXP/AIDv/hR9vh/uXP8A4Dv/AIVaooAq/b4f7lz/AOA7/wCFH2+H+5c/+A7/AOFWqKAKv2+H+5c/+A7/AOFH2+H+5c/+A7/4VaooAq/b4f7lz/4Dv/hR9vh/uXP/AIDv/hVqigCr9vh/uXP/AIDv/hR9vh/uXP8A4Dv/AIVaooAq/b4f7lz/AOA7/wCFH2+H+5c/+A7/AOFWqKAKv2+H+5c/+A7/AOFH2+H+5c/+A7/4VaooAq/b4f7lz/4Dv/hR9vh/uXP/AIDv/hVqigCr9vh/uXP/AIDv/hR9vh/uXP8A4Dv/AIVaooAq/b4f7lz/AOA7/wCFH2+H+5c/+A7/AOFWqKAKv2+H+5c/+A7/AOFH2+H+5c/+A7/4VaooAq/b4f7lz/4Dv/hR9vh/uXP/AIDv/hVqigCr9vh/uXP/AIDv/hR9vh/uXP8A4Dv/AIVaooAq/b4f7lz/AOA7/wCFH2+H+5c/+A7/AOFWqKAKv2+H+5c/+A7/AOFH2+H+5c/+A7/4VaooAq/b4f7lz/4Dv/hR9vh/uXP/AIDv/hVqigCr9vh/uXP/AIDv/hR9vh/uXP8A4Dv/AIVaooA8F125jP7bnh6XbNt/4QqYY8ps/wDHxJ2xmvcPt8P9y5/8B3/wrxXXv+T4vDv/AGJU3/pRJXulAGddPpt1t+1WTT7enmWbNj81qQXVoIfJFvMI8bdgtX249MYqSy1CwvZrmGzvba5ltJfJuUilVmhk2htrgfdbDKcHnBB70yDVNMnury1h1G0knsSBdxJMpe3yu4bwDlcqQeccc0ARWz6bahltrJoA33hHZsufrhay9E0Tw9o+s6pq9jYTJeanMs1w5tm4IRUAX5flGFBx6knvVrw54u8KeJJ7i38O+JtG1ia2x58djfRztFkkDcEJxyD19Kx5Pid4NT4ixeBRrmmtqzxF2QXsWUkB4hK7t3mEc7cZxzQviS6v/hweibeyOp+3w/3Ln/wHf/Cj7fD/AHLn/wAB3/wq1RQBV+3w/wBy5/8AAd/8KPt8P9y5/wDAd/8ACrVFAFX7fD/cuf8AwHf/AAo+3w/3Ln/wHf8Awq1RQBV+3w/3Ln/wHf8Awo+3w/3Ln/wHf/CrVFAFX7fD/cuf/Ad/8KPt8P8Acuf/AAHf/CrVFAFX7fD/AHLn/wAB3/wo+3w/3Ln/AMB3/wAKtUUAVft8P9y5/wDAd/8ACj7fD/cuf/Ad/wDCrVFAFX7fD/cuf/Ad/wDCj7fD/cuf/Ad/8KtVSn1jSYNYt9Gm1Syj1K5RpILN51E0qL95lTO4gdyBxQA/7fB/cuf/AAHf/Cq0I0mGbzodP8uXn51smDfntrTrA0Lxt4N17UpNM0PxZoWqX0QLSW1nqEU0qAHBJVWJGDQtw6GnJeWsiFJIZ3U9Va2cg/pUVy2m3W37TYmfb93zLNmx9MrVHVvGvg3SNZj0XVvFmhWGpylRHZ3OoRRzOWOFwjMGOe3HNX9f13RfD+nHUte1jT9KsgwU3F7cpDGCeg3MQMml0uHWw5riyaDyGtpWixjYbV9uPTGKV7mzkCh7eVghDKDaudpHQjjijRNX0rXNOj1LRdTs9Tspc+XcWk6yxvjrhlJBqPxBruieHtPOoa/rGn6TZhgpuL25SGMMeg3MQMmm9NwWuxM19bspVo7ggjBBt35/SorWTTrXd9lsmg3fe8uzZc/ktLpWtaPq2kLrGl6tY32nMpZbu2uFkhIHU71JGB9ap+GvF/hPxNJNH4b8T6LrLwAGZbC+jnMY/wBoIxx+NFtbCvpc0HvodjfJc9D/AMu7/wCFeJfsPXUcX7O2jqyzE/bLz7sLMP8AXv3Ar3eT7jfQ14d+wx/ybno//X5ef+j3oGe0fb4f7lz/AOA7/wCFVo/7LjuPtEen7Jsk+YtkwbJ687c1b1O/sdLsJr/Ury3srSFS8s9xII441HdmPAH1pb69s7Gwlv767gtbSFDJLPNIEjRAMlmY8AY70eYeRWupNOutv2qzafb93zLNmx+a1Q8T6foviLw7d6DqVrctZXUJhdUt3UqpGPlO3g+9T654p8M6FpsGpa34i0jTLG4x5Nzd3kcMUmRkbWYgHjnipZ/EOgw+Hv8AhIpda05NH8kTC/a5QW5jIyG8zO3B9c0pJWd9uo4t3TW/QXTm07TrKKzsrWWCCJQqolq4AAGOy1Y+3w/3Ln/wHf8AwrC+G/jrw/4+0E6v4fvre4iWVo5I47iOR4iCQNwQnbkYYA84Irp6p3vdkxtayKv2+H+5c/8AgO/+FH2+H+5c/wDgO/8AhVqikMq/b4f7lz/4Dv8A4Ufb4f7lz/4Dv/hVqigCr9vh/uXP/gO/+FH2+H+5c/8AgO/+FWqKAKv2+H+5c/8AgO/+FH2+H+5c/wDgO/8AhVqigCr9vh/uXP8A4Dv/AIUfb4f7lz/4Dv8A4VaooAq/b4f7lz/4Dv8A4Ufb4f7lz/4Dv/hVqigCr9vh/uXP/gO/+FH2+H+5c/8AgO/+FWqKAKv2+H+5c/8AgO/+FH2+H+5c/wDgO/8AhVqigCr9vh/uXP8A4Dv/AIUfb4f7lz/4Dv8A4VaooAq/b4f7lz/4Dv8A4VHcXFlcRGK4tpZYz1V7V2H5EVeooA5zXdPsL7QtQ06xWTS5ry2e3+1QWB3xhhgkcDmpvCtlpXhvw7Y6FplvcR2llCIox9nfnHUnjqTk/jW7WJ4m8YeE/DEkMfiTxPouivOCYVv76K3MgHUrvYZxkdPWi9vn+l/82Frl4XNmqMgt5Qr53KLV8HPXPFRWx0u1cvbWBgYjBaOzZSR+C1m6b4+8C6nY3l9pvjPw7eWlige7ng1OGSO3U9C7BsKPc4p3h3x34I8R350/w/4x8P6veBC/kWOpQzybR1O1GJx70dQNEtprXIuTYkzjpIbNt357c1J9qs/O877PN5uNu/7K+7HpnFZ934z8IWniCPw9deKtDg1mRlVNPkv4luGLdAIy24k9uK3aFtcOtjOLaabkXRsSZx0l+xtu/PbmlupNOugBdWbThegktGbH5rVK58Z+ELXxCnh258VaHDrMjKqafJfxLcMzdAIy24k9uKm8TeKPDPhiGKbxJ4h0nRY5mKxPf3kcAc9cAuRk0rq1+gdbFxb23VQqxXCqBgAW7gD9K+Xv+CjlxHN8LvDgRZR/xOv44mX/AJYSeor6msbq1vrOK8sriG5tpkDxTQuHR1PQqw4I96+X/wDgpH/yS7w3/wBhv/2hJVO/US8j2j4qeEb/AMbfCptB0y7gtrthBNF54JikMbBtj452tjB9jXLaV4vh1aDxJoPiPwb/AMIt40tdCZ54vkkjuICp+aGVCQ6Bux5HevR9V0m81jwrbW2n61eaNdqsckN1bYJVlwRuU8Ovqp4Nc9o/w1dNR1XWvEXia917W9QsDpy3kkCQrb25/hSJPlBySSeprGcXKE4rqn99rafhe+lvM1hJKUX2a/PX8PxOc/Zv1XWpvh14MsZ/h7eWliujW4XV3u7Ro3AiXDBFkMg3e65Geaf8FbW317x98QvE2sRx3eqwa7NpcJlXJt7WLCoig9AQNxx1zW34D8AeLPCdppGlRfEe4u9F0yKOCOyfSLdS8SAAIZB83QdetS618N7geLrzxR4P8VXnhfUNSCjUlito7iC6KjCuY5PlVwAPmHJ7101Zp1XNbO/rq07/AHXWncwhFqmo9rfhfT8n8jE+N2maZpMHhH+z7O3s0n8ZWM83loFDyNKMsfc1N+1B83gPSkAyzeINPCjuT5w6V0Op/D+DW/BkmgeI9c1LU7p5hdDUS/lSxTqcpJEF4j2nGFHFULb4capf6tpt5408a3viaDS51urO1azitYxOv3ZHEf8ArMdg3APNRB2aXaSf3cun/kv5Fye8l2a/P/M4rxDq+oaN+0h4ku9P8HXvifHhq1MsNrLAjRKJJDnErLuz6Lk8dK5y+sIoP2RvFWqwXUMsOtXFxqUdvCGEdkJZs/ZwrAFShyrDH3ga92s/B9vbfEnUfGwvZnnvtPhsWtio2KsbMwYHrk7q5q7+EWnzeEPFvhaLWryDTfEV694saxqRZM5DOsY7gtlue7GpWi+X/t17fr8rdS21z36XX/pNr/Lb5+RQ/aThhP7PmtyNDGX+xRfMUBPVe9dF8RPBVp4x+Gk2iRiO0umhjns7hEAMFwgzHIMeh/nWl8QfB9v4w8B3nhK4vZrSG6hWIzxqC6gY5APHauihhEdqluGJCoEz9BinLVSt1d1/XqZU7x5PJa/geL/AYav481+f4leLLVIb3TojolhArhlRojtuphjj55Q4H+yor2yub+HXhK38F6BLpFteS3aSXtzeF5FAIM0zSleOwL4/CukqpO9v613f43BKzf8AWmy/CwUUUVJQUUUUAFFFFABRRRQAUUUUAFFFFABRRRQAUUUUAFFFFABRRRQAUUUUAFFFFABRRRQAUUUUAFFFFABRRRQAUUUUAFFFFABRRRQAUUUUAeF69/yfF4d/7Eqb/wBKJK90rwvXv+T4vDv/AGJU3/pRJXulAHmfwYZf+Ex+JqgjcPEqkjv/AMeVtXKQ+HLjxf4p+Nfh+zvfsct/NZwJcYyEb7JEcHH6+xrutb+H+of8JRfeIvCPi678M3ephP7RjS0juYrh0UKsmyThX2gAkdQBnpVnQ/h/b6R4Z1PTrTW9TXVNVnN3e6wJcXEtwQo3+gUBVAQfKAMdKm14q/SKj91l+lylJxm3Hq7/AK/nocd8P9ckj1mw+H/jbwfF4b8UxaTLDpt9bFJba7gXEbGGQcqcLGxRsEZHFYfh+7vPhTodl4U+IvgqK78Owaj5dp4ks9k0JMjl0knjJ8yNtz7S23Ge9egaT8Ob5vES+IfFXjC/1/U7a0ktdPkFvHarZrJ/rHVY+C5wvzHkbRWDafDbxdr11c6N4+8YXureF7G7haytmt4Y5L5URWDTSIdxw+QQfvbcnrWileSb369vi/Oz6aXI5UotLbp91vu9dbHrykMoZSCCMgilpFAVQqgAAYAHalqRoKKKKACiiigAooooAKKKKACiiigAooooAK8N1Lwhofhz9pnwhqWnwStf6qmpT3l1PK0kkh8rhdx6KOyjgV7lXl/iL4Z+KdW8a2fipfiVdWtzp/nLYRro9sywJKMMpyMvx3NEdJp+v5A1eLXoemXMMNzbS29xGssMqFJEYZDKRgg/hXhHjG5x8UvALa54Vk8E6Zp+pPHZX7SRS/bJXRo47ZfIZvLVt2f3m0HGBya7Yaf4q1r4oaqk2pavYeHbXRPsKMhaEXF1KQTPH/tIFOGHQtxTY/hrqmo6zpV74y8bXviO10i5W7srRrGK2UTrwjuY+XxnoeM80Q+KMv60b/G2q6a6hJ+7KPlb71/no+umhl/tDR+H7L4e6v4dsdHtrvxD4r32thZwxAzXNy4x5x74T77N2Cms6y0uRPjh4K8O604u00fwtLPEJPmRrkMkZcA9SFZhn3rZv/hXrz/EXUvG+nfEK5tL+8QQxLLpNvcfZIR/yziLjKg98de9aviH4e3+rSaHrCeLbuz8VaRG8S6xFaR/v0cYdXhPyEHg47EA0qfu2l96+TS+69/y2HPW6v8A1dN/fa349TE+FkS6f8cPiVptlhLBns7sxKPlSeSMlyPQnqaXXo01P9pzQrHUEEtrYeH7i7tYpBlPOaRULgHjcFYjNa1l8NJLTwtrtjb+K9Vh1/XZBNfa/CFjuS4+7sUcIoHAUcAVa8X+AJNZ1DRtc0zxFe6P4h0mJoItSSJJjLEww6SRv8rA9eeh5pr3eTryq34Nfhp8kJ683n/mvz1+88P+IS/YvEnxC8O2jGLRtS8RaIt5GnCKLiSMTjjgBwTkd816X8R7O30v4yfC+80uKK2nkuLmxkWJAN9v5DMVIHYEZ9q14/hJo8/hHW9G1jUr3UdQ1ydbq/1UkRztOpzG6BeE2EDao4GKs+Gvh7eW3im08SeKfFd34n1DT4Wh04zWsdulsHGHbbHwzkcbjzg06fuqMX0tr391K34W9GE/e5n3uvx3/X1R3kn3G+hrw79hj/k3PR/+vy8/9HvXuMn3G+hrw79hj/k3PR/+vy8/9HvSA6z9pn/khHi7/sGyfyqb45On/ChfFb7l2nQ58HPBzGa7HxDo+n+INDvdF1W3FxY3sLQTxn+JGGCK89l+FOq3+lR+HNe+IOrar4XQCNtNe2jjkliX7sclwv7xxwAc/eHWolHnjKHfr+ZcZ8k4T/lv+n+Rga14b8W21z4I8f8AhvR7bxCdN0WOxu9HnlWKQxuoLSws/wAvmAHGGIyOKZrFv/wsn4e6B4q+G+l20F3omrvfvoOor9nElyjnzYJOySb93J4zz0r0fxV4Y16+vobvw34zvfDuyEQyQpax3MLqOhCScI3uOormtS+Het+HPASWvw+8R6jba7aPPeGWXZKNTuZcs5nWT5fmYkg/w54rWpPmbl53XdPmv6Nde5nThZRj5WfZrlt8n0Lvw08X6ZrfirV9HvfCdx4W8V2kMbXtrcIhM0JHyyJJGSsiZyMg9q9ErivAHgaTRNXu/FGvavNrnia/t44Lm8kiWJUiTpFHGvyqAcnI6nmu1ol0/pf1+oo/h+P9foFFFFSUFFFFABRRRQAUUUUAFFFFABRRRQAUUUUAFFFFABRRRQAUUUUAFZ/iK80vS9Hu9Y1fyUs7GB55pJFBCIoyx59hWhXNfErwnH428LSeHbjUZ7KzuJomu/JUEzxK4ZojnoGxgkds1Mr203Kja+ux5T4R8C6p40+EHi/VpfJsdc8cv58f2lSEgt1b9whCjIAXcf8AgVdFofijxR4X8WaR4Q8YaFoET6nZyrpl7pEzsrSwx7mjkWRVYZVSQRkcV6B4g0Se98Nf2Ro+q3GhSxiMW11bKC0OxgQNp4ZSFwQeCCa5zw/8PrmLxZbeKfFnia68TapYxPFpzSWsdtHaq4w5EcfDMw43HkDIHWqkrtqOitb5JNL5/wBeRCvy3lq9/m2r/L9DyvQtL0+//Y51/VLxI3vryxvNRuLlwDJ9pVmdXLddwZFx9K9w8H3l5N8PtMvrjL3TadHI2Rgs2zPSuIf4NbbS88P2/jDU4PB17cme40IQIQQzBniWY/OsbEcqOMEjvXa2/hq4t/GcWuQ6/qCadFp/2NNGBH2UHIIlx/eAGPoaJe9GSWl7fKyf/AXyQ9pJ72b+d2v+C/yPENG0vT779jLW9Uu0je/u9Pu9SuLlgDJ9qUs6uW67gyLj6V0fwfLa98XNf1HXEW4vLLQtNhthKudiSRlpCoPTcyjOK1z8GQtldeHYPGGpw+Dbu5M8+hCBCCpbc0QmP7xYyRyo7ZHetnxF8Op5vFI8TeE/E914X1N7NbK6aG2juIp4l+4DHJwGXsw5xxT5tXK2/Tto1+tvRBJXXLfvr3vJP9L+pi/s1p9k0rxZpNu3/Ev0/wAS3sNkoHyxx787V9ga8x/4KR/8ku8N/wDYb/8AaElfQ3gDwnp3g3w6mj6e802ZGmuLiZt0lxM5y8jn1Jr55/4KR/8AJLvDf/Yb/wDaElD2SveyS+5WuLdt92397ufSemWaPp1s3n3IzEpwJmA6VZ+wp/z8Xf8A3/b/ABplhNHBokM8rhI44AzMTgABeTXkvwe+IXibWvGKW/ieaH+zfElnJqnh1EgCGOBXIEbMBlmMeH59aS1dv67/AKP7hvRc39f1seu/YU/5+Lv/AL/t/jR9hT/n4u/+/wC3+NeOR6t441/xd8QFh+Iv/CO6f4cvFhtov7NtpIwnkrIWkeRS2Mk9+laWi6t418cfCfSPGtr4kn8J3UmntcTWtvYwXEczDJDAyqSFIAIAPQ1LklDne1k/k1dFKL5+Tza+aPUfsKf8/F3/AN/2/wAaPsKf8/F3/wB/2/xryz4UXnjfUPhhY+Ota8bz6k99oou/sLabbRRRSNHuBDIoYgH1PNYWp/EzxHF8J/hvql5rdto0niVYBqmvSW8Zjs90YbdtYeWpYnA3DArSUXGTj1TS+bbS/IiL5kpdHd/ck3+Z7h9hT/n4u/8Av+3+NH2FP+fi7/7/ALf41yMeg+N7jQBa/wDCxnWdJjJFqcGmWzSTxEA7XQqYwQc4KgZGM81yXwYuvH3iDSLjxHrHj26vorLUr61bT10q1jSdYJnjXLqm4FggJwepqdr36aj6J99Pz/yPW/sKf8/F3/3/AG/xo+wp/wA/F3/3/b/GvJvgr4h8WeOLS38UHxxZSn7VJHqfhz7HEFsPnI8reB5okUAfeODmvXNRu4bHT7i9uGCRQRtI5JwAAMmiXuq7BauyGfYU/wCfi7/7/t/jR9hT/n4u/wDv+3+NeTfBbx94n1nxQ1j4tmiMOu2A1rQFSAR7LVpHUREj7zBBG5J5+esnw78UfFVr8atb07xJNbP4Ok1j+xbCRYlVrS6EMcih2AyRJ5h5J4K01FuSj1af4O1vW+nqJu0XLt+qvf0tr6Ht/wBhT/n4u/8Av+3+NH2FP+fi7/7/ALf415fc+NvEUer/ABVt1u4/L8OxQtpo8lf3Ra1WQ54+b5iTzWPa6j8UdL+FWmfEhfGQ8Qn+zYNQvdIutNt4I5I3jVpBG8ShgwyduTjjmpTVuZ6Kyf33/wAtS+V3SW7v+Fv80e0fYU/5+Lv/AL/t/jR9hT/n4u/+/wC3+NVNF1q21zwnaeINOZvs97ZLdQFhyFZNwyPXmvDR4x+IukfDG0+J1x4vTU4DqLQz6NPp8EUTQ/aXhwkiKH3ABSMnnnNU01Llfp97sQneKkuv/Dnvv2FP+fi7/wC/7f40fYU/5+Lv/v8At/jXldzqXjLxJ8YfEPhzTfG83hzTdM02yuYo4dPtpmdpjLu3NKpPGwdPWpvihqXjDQYvAvh/TvF8kd5rGrGzvNVawgaR08t3BEZXyweAOBS1svP/ADsPq/JX/C/5Hp32FP8An4u/+/7f40fYU/5+Lv8A7/t/jXmfg7xJ4nsfiNr/AIH1TXI/E0NjpUeorqf2eOGS3kcsogkWMBD9zcDjODz2qH4SDx14n0HTPFGpfEm58u4nmaTTk0u0WMqkzoE3bN+MKOc5oWuvT/gtfoxPS66/8BP8mj1L7Cn/AD8Xf/f9v8aPsKf8/F3/AN/2/wAa8w0DVPG3xI1LV9Q0PxQPC3h/T76Sws/s9lDcz3jx4EkjmVWCqG+VQvoc9qzF+Ifi3TfC3xE0PWZrVvFHhK0FxbahFCBHdwyKxilMfQNlGDKOOBilze7zeV/l/X9blqLcuVd7fPb89PX5HsX2FP8An4u/+/7f40fYU/5+Lv8A7/t/jXikXibx14Zj8B6ne+MR4o/4SeeC2m0qaxt4HQSRGRpo2iUMdmOQcjDeuKTVfiV4r0j9oyfRLy7gfwcjWljJF5Ch4bi5SZo5C+M4zCVxnq4q+V83L52+en+at6mfMuVy6WT+T/4Zntn2FP8An4u/+/7f40fYU/5+Lv8A7/t/jXj/AO0v8Q/FHhaOx07wVcw29/EFv9SmkgEojtPOjh24YEAs8owfRDXUfFXxJr2n+EdHsfDNzDB4l8QXUNlYyyxh1jYoZJJCp4IVEc+mcVCd48y72/r56F21s+1/1/LX5ncfYU/5+Lv/AL/t/jR9hT/n4u/+/wC3+NeXR/EPVrj9nfWfFscqR+IdJtLiK53RDEd1ESCSvT0bHTms/wAAfEbxPdfC3xRbeJZrePxt4f0p7x5EiUJPG8LSQTquNpBIIIAxlfenNqPN5K/qvL+tginLlXd29Hpv99vU9h+wp/z8Xf8A3/b/ABo+wp/z8Xf/AH/b/GvKJPiF4kufC/gPRdKe1k8VeLLcu11PHiK2iSMtLPtHBI42r0JIzxmup07S/HWg/arrUfGw8QWYtJWdbrToYJIpFXKmPylAIz1DZ9qKn7vm5ul/wFD3+W3W34nXfYU/5+Lv/v8At/jR9hT/AJ+Lv/v+3+NeUfBg+PPFnhHQfFuqfEq5IvV8+bT00q0WNlDnKBtm8DAxnOagsvE/ivxV8T/E/h6y8aWvhq60SdVstHks4ZGv4QM+c5cb9jEhcxkYz64qnFqXI99fw/roJO65uh699hT/AJ+Lv/v+3+NH2FP+fi7/AO/7f41Yi8zyl83b5mBu29M98U6pGVfsKf8APxd/9/2/xo+wp/z8Xf8A3/b/ABq1RQBV+wp/z8Xf/f8Ab/Gj7Cn/AD8Xf/f9v8atUUAVfsKf8/F3/wB/2/xo+wp/z8Xf/f8Ab/GrVFAFX7Cn/Pxd/wDf9v8AGj7Cn/Pxd/8Af9v8atUUAVfsKf8APxd/9/2/xo+wp/z8Xf8A3/b/ABq1RQBV+wp/z8Xf/f8Ab/Gj7Cn/AD8Xf/f9v8atUUAVfsKf8/F3/wB/2/xo+wp/z8Xf/f8Ab/GrVFAFX7Cn/Pxd/wDf9v8AGj7Cn/Pxd/8Af9v8atUUAVfsKf8APxd/9/2/xo+wp/z8Xf8A3/b/ABq1RQB4Lrlsq/tueHo/MnIPgqY5Mpz/AMfEnevcPsKf8/F3/wB/2/xrxXXv+T4vDv8A2JU3/pRJXulAFX7Cn/Pxd/8Af9v8aPsKf8/F3/3/AG/xrk/hr4g1TWvEXjez1CdZIdJ1sWlmBGF2RfZoJMEjr8zscn1rlNW+IPibTbv4rSQQpqI8NfZzptqIeRvt0dslRluWJ/Ck3ZX8ub5af5lRi5ScV3t+Nj1f7Cn/AD8Xf/f9v8aT7DHn/j4uv+/7f415/wDC2/8AEWoeHofFA8eWnjHTruwMpijtIY/KnAzsjaIDI3blIfJG0d81yPwrfxB8QtStfiLB49tYtXtpJbK90FbOForOISndAxx5quQqtknP4Yq+VqfK/n5f0/w+SefMnDmXy8/6/P7z2/7Cn/Pxd/8Af9v8aPsKf8/F3/3/AG/xq1RUlFX7Cn/Pxd/9/wBv8aPsKf8APxd/9/2/xq1RQBV+wp/z8Xf/AH/b/Gj7Cn/Pxd/9/wBv8atUUAVfsKf8/F3/AN/2/wAaPsKf8/F3/wB/2/xq1RQBV+wp/wA/F3/3/b/Gj7Cn/Pxd/wDf9v8AGrVFAFX7Cn/Pxd/9/wBv8aPsKf8APxd/9/2/xq1RQBV+wp/z8Xf/AH/b/Gj7Cn/Pxd/9/wBv8atVR8QXGpWuh3txo9guoajHCzW1s0ojWWTHyqWPAGe9JuyuNK7sSfYU/wCfi7/7/t/jR9hT/n4u/wDv+3+Neb/ArxJ411rV/GWneNrqwmu9L1COKKOyi2xQKyE7AerY9TWZ8UNS+I3gXTI/GMvjC2vYf7Ut4H0MafEsDRTSrEESXHm7huDZJ5xT6xXe342t+ZKd032v+F/8j1v7Cn/Pxd/9/wBv8aPsKf8APxd/9/2/xqXzJDaeckReTy9wjzjJx0ya8n+F/in4iX/xf1vw/wCNhplpBHpUV5badZgP9mLOBhpertg84OPSmleXL/Wmv6A3aPN6fjp+p6n9hT/n4u/+/wC3+NH2FP8An4u/+/7f414/Hr3xD8ZXPjPU/DfiOPQbbw7eTWdlYNYxTC8khBLGZnUsoYgAbCMA+tdJo2qeJPiH4C8OeIdC8Rx+F4r62W4unitY7iQsR/q1EoKhc98Z4qU7x5vT7ns/wG9JW9fvW6O8+wp/z8Xf/f8Ab/Gj7Cn/AD8Xf/f9v8a4b4D+J9c8TeGdQbXbiDUJdP1Kexi1OCMJHfpG2BKFHAz3xx6VH491/wARX3xG0n4f+GNTXRpbiyk1G91IW6TyRRIwUIiOCuWYjJI4Gcc0+qt1/wAr/kHe/T/O35ne/YU/5+Lv/v8At/jR9hT/AJ+Lv/v+3+NeKXXxO8VeGtO8W+HdSkt9W8RaTqNpY6beSQiJboXbKsTyIgCgqWGQoGcVuw6t4z8GfEbwxoXiPxMfEum+I/NgEslhFbva3CIXG3ylAKEDHzZIpxXNa2z2+69vX9dBPS9+n9XPTHsU2N/pF30P/Ldv8a8S/Yetll/Z20djLOp+2Xn3JSB/r39K94k+430NeHfsMf8AJuej/wDX5ef+j3pDPaPsKf8APxd/9/2/xo+wp/z8Xf8A3/b/ABrlvjdr2p+F/hT4h17Rplg1CysnlgkaMOFYDg4PBqb4p63qOg/CnxBr+mTLFqFlpctxBIyBgsioSDg8HntUykoxcn0KjFylGK6/8D/M6P7Cn/Pxd/8Af9v8aPsKf8/F3/3/AG/xrx7xR468QSeIfBHhs+J4fCsWuaUt1Jq720Tme5IGLdBKCgJJzjrzgVofFPxV4n8E+EvD9rqGv2MEmoaitjfeInt1WO0hJ+WZkI8sORjqNmc9qucXH77fO9vz7+pEWpK/lf5Wv+R6gLGM/wDLxdf9/wBv8aX7Cn/Pxd/9/wBv8a5L4SeF9U8J6TLp0vilfEOlMfOs5Xto45ULks+TGArAkls9ea7ehqwJ3Kv2FP8An4u/+/7f40fYU/5+Lv8A7/t/jVqikMq/YU/5+Lv/AL/t/jR9hT/n4u/+/wC3+NWqKAKv2FP+fi7/AO/7f40fYU/5+Lv/AL/t/jVqigCr9hT/AJ+Lv/v+3+NH2FP+fi7/AO/7f41aooAq/YU/5+Lv/v8At/jR9hT/AJ+Lv/v+3+NWqKAKv2FP+fi7/wC/7f40fYU/5+Lv/v8At/jVqigCr9hT/n4u/wDv+3+NH2FP+fi7/wC/7f41aooAq/YU/wCfi7/7/t/jR9hT/n4u/wDv+3+NWqKAKv2FP+fi7/7/ALf40fYU/wCfi7/7/t/jVqigCr9hT/n4u/8Av+3+NH2FP+fi7/7/ALf415p+0V4k+IXhvwxLqHg2HTrW0tYhNealdESMn72NRFHFzksGb5iMAD1xXZ6pH4i1fwnZLoerw6Ve3KRPNeNbrK0alcsURhtLE4HzDGCfahaq/nYOqRsfYU/5+Lv/AL/t/jR9hT/n4u/+/wC3+Nec/DTxB4oj+KPiXwF4h1iPX49NtLe9t9R+zJBKBKWHlOsYC5G3IIFXfiLr+vzeOdB8BeGdRTSbrUree9u9R8hZnt4ItowiOCpZmdRlhgDPfFC15bdf+Df7rMO9+n9fjdHc/YU/5+Lv/v8At/jR9hT/AJ+Lv/v+3+NeLX3xM8UeD7bxn4f1meHW9a0d7IaVeSQLCLoXknlR+YqAKCjHJ2gZFa7ax418D+MfClt4n8Uf8JDpfiGWS0n32EUBs5xE0qFDGo3KdjKd2TyDQrPW+nfz7evT1B3XTX9O56l9hT/n4u/+/wC3+NH2FP8An4u/+/7f414efF3xG1P4a6p8WtP1+K1sLTzbu10D7DE8U1rC3zB5SPMDsqtypABx717VouqQan4ftNZTKQ3FstxyMbQVzQ9Itvpv5X/p/cHW3r+G/wChN9hT/n4u/wDv+3+NH2FP+fi7/wC/7f414d/wl/xG1H4Zaj8XLHXorawthJeW3h/7DE8U1pE3zB5iPM3sgY5U4BxXQR+JvE3j3xvcaF4V14+G9O03Tbe8ubuOziuJppZ1ykYEoKqoAJJxnOKLPa2vbtpf+vMHpr0/4KX6o9R+wp/z8Xf/AH/b/Gvl3/go5brD8LvDhEkz/wDE7/jkLf8ALCT1r3H4KeKtV8T+Hb6HX1i/tjR9Rm028kiTakzRNgSAdtw5wOleKf8ABSP/AJJd4b/7Df8A7Qkptf16iT/r0PW/jRHrt/8ACqPw74dsby4vNcMOnPNbxlhaxSkLJMx7KqknNcd4/wDh/wCNfDVl4a8TaP4m1bxRP4WvITb6Wml2sbNbHEcqL5Masf3eeM17Tpk12unW4Wy3KIlwfNAzxVj7Ref8+H/kYUo+6+Zb3T+7p+f3sb1VntZr79/0+48RtPhNpfi7xV8TZ/E3hhI7i91CNtI1Sa2CzxqIEw8MuNwAfPQ9a7vwPeeJtZ+EBTxNpd3a+IIrSW0uo5IyrTyoCnmKO6vjcPrXZ/aLz/nw/wDIwo+0Xn/Ph/5GFTKKdN0+lkvuVr/5/wDAKUrTU+t7/wDA/r9TgvhdpOp2H7O2iaNe2Fxb6jFoCQyWskZWRZBFjaV65z2rH8HSy+G/gV4P0LxR4H1bVrSTSIrXUrSLTzdSQsIwNkluAWYE8HjA716r9ovP+fD/AMjCj7Ref8+H/kYVpOXPKcv5rfhf/MzjHljGP8t/xt/keYfs9eHr3Q4/FMttpF9oXhi/1Jp9E0q8UpJbxlQJCIjzErSBmCcYB960fgNpuraH4D1OG/0u5guzrepzxW8y+W0iPdSMhGezAgg+9d99ovP+fD/yMKPtF5/z4f8AkYUm/wArfl/kO353/P8AzPC/E1gfF/xD8Ma54W8A694d8VWuopLq2rXGntaR/ZlAWWJ5sAXIIAVQCcgZHFdx+0Hba9rHgiPwr4fs7yWbXbuOxuLmCLctnAxy8rnoAAO9d59ovP8Anw/8jCj7Ref8+H/kYVLScVHpe/5aemn5lXfNzX1tb89fXX8jxHxz4E8beGbzwn4s0vxJq/iqXw9eR266cml20bfY5AElC+TGrHAVeOnFafh/wC/iG0+KWh+INOubW11fX2nsppEKbgLeAJNGe+HU8j0Ir1v7Ref8+H/kYUfaLz/nw/8AIwp7p363/Fxf5xv82JaWt0t+F/8AM+fPh3oPxAk0D4qN4s0W6XV7yGO0hkWI41BobZYhLH6h9oPHckVqWGueJNT+Cul/D7QfBfieDX5NHg0+abU9NltLW2xEqSOZXAVsc4Uct2r2/wC0Xn/Ph/5GFH2i8/58P/IwofvJqWzST+V/zv8A5DT5bOPS9vnb8rL9TO8MaEvhzwJp3hyCRpxp+nJaK5HMmyMLnHvivNfg58K9L/4RTSr/AMU2WtS31ve3NwunalfzyWsMn2iQo62zsY1O0gghe+e9et/aLz/nw/8AIwo+0Xn/AD4f+RhVOTc3PqyFFKKh0R4V4t0XQU+OviTVvGnw11HxRp1zpllHp88fh1tRjR0MvmAEKdp+ZPr+FbXxN8P23jCL4aQ2ng+4l0CHWN11p93pmxLe3WF1AlhYYVchcAjHSvW/tF5/z4f+RhR9ovP+fD/yMKmOiS7O/wCNy5O7b7q34WPL/Cfhy88B/ELW/Deg6JPH4O1qwa/tRbxn7PYXi/JJEOyBxsIUcZVqX4F/DXwzpvhHSdW1XwNpVp4ljmuJHup9OjW7VjNJhi5G7O0jnPQivT/tF5/z4f8AkYUfaLz/AJ8P/IwoWi/rz/zt8kJq/wDXp/w/zPIvAl5q3wrm1zw1rHhXXtQ02XUpr/Sr7RtPkvFkjmO5kkWMExurZ69QRjpWfdeGfE2seE/if4wvdBuLPUvElgtrpulgbrkQRI+zeB0d2kY7eowBXtv2i8/58P8AyMKPtF5/z4f+RhUuN48r7W+W332KUrT5l3v873/PU8Rj8CN4EsfA3jTwT4RFpqkMdvY+ILDT7Xy3ureVFDs6KBl0kCsWPON1WPEHgXU/Eniz4q281jdW0OpadpraXdtHhXuIDM6lCepV9mfrXs32i8/58P8AyMKPtF5/z4f+RhVzfNfzv8r229Hr6smHuJfL52f9L0PnNvDPjbxB8FvFviTxF4fvV8Xa1NZW6WAgPnR21tPHgBevJ81z7Eelddqfhnxb4t+LdrcW9/qnhex8MaSkVnfCxilFzcTgeZsEysp2qgBIGRux3NevfaLz/nw/8jCj7Ref8+H/AJGFF9b/ANbW/wCD6it7vL/W6/yt6HzzrXg/xroFp8UfCqpq3iWy8Q6MdStL1bFE3Xv+rkh2xKFDMNhAA52mtn4x+C/ETfDnTPFHhPTZZvEtloTaXeWKqfMvLSaHY8WO7I+xx/uEd69t+0Xn/Ph/5GFH2i8/58P/ACMKiUeaHL/Wl1+Tt6FqVpX9fxt+qv6nilx4Y8U6JoXw08Zabo1zfX3hqza31LSlO2d7eWMB9g/idSqnb1OMV31l4xm8UQXljp/hPxNaRmzl82bU9OkswpKHaqiQAyEnj5eldb9ovP8Anw/8jCj7Ref8+H/kYVVX97zJ9b/K/wDVyafuctulvwPAvgFp/hPw9o3hy31T4S6xZ+LYMxz6o3hNwySszAubjZ0weWz0rU+PENr4y0rUNBl+Guvz+LID5ehanBYtst5SwMcy3qjbEoYBmGRwuD1r2n7Ref8APh/5GFH2i8/58P8AyMKc3zu7/r07BH3dv69SPw7DfW+g2EGqTCe+jt0W4kH8TgDcfzq/VT7Ref8APh/5GFH2i8/58P8AyMKJO7bJjHlSRboqp9ovP+fD/wAjCj7Ref8APh/5GFIot0VU+0Xn/Ph/5GFH2i8/58P/ACMKALdFVPtF5/z4f+RhR9ovP+fD/wAjCgC3RVT7Ref8+H/kYUfaLz/nw/8AIwoAt0VU+0Xn/Ph/5GFH2i8/58P/ACMKALdFVPtF5/z4f+RhR9ovP+fD/wAjCgC3RVT7Ref8+H/kYUfaLz/nw/8AIwoAt0VU+0Xn/Ph/5GFH2i8/58P/ACMKALdFVPtF5/z4f+RhR9ovP+fD/wAjCgDxbXv+T4vDv/YlTf8ApRJXuleC65JcH9tzw8xtcP8A8IVNhPMH/PxJ3r2/7Ref8+H/AJGFAHl2n3mp/Dvx94uk1Hw3r2q6Vr98mo2V1pFg92VYQRxPHIkYJQgxggng59qm8A23iDS28a/EC88N3puNcvo57XStwFz9mjhjjUsp6OdrNs69B1r0v7Ref8+H/kYUfaLz/nw/8jChXS9Fb5af5JA9W/N3/r8/U8S8M6SJvjMnjLwL4J1nw5pyaZONcS6sW09dTmZt0KiFwN8gO8mTHG4AmsXxyNJ+IurW83gzwFrWi/ESz1C3kutUl0x7NrLCguJrjAEg8vAC5O4EEcV9D/aLz/nw/wDIwqvawC1uLm4tdEggmupBJcSRsitM4UKGYgfMdqgZPYAU46OPZbfff7gevN3f+VjSQMEUMdzYGTjGTS1U+0Xn/Ph/5GFH2i8/58P/ACMKQJWLdFVPtF5/z4f+RhR9ovP+fD/yMKALdFVPtF5/z4f+RhR9ovP+fD/yMKALdFVPtF5/z4f+RhR9ovP+fD/yMKALdFVPtF5/z4f+RhR9ovP+fD/yMKALdFVPtF5/z4f+RhR9ovP+fD/yMKALdVdWvV03Tbi+e3urlYELmK1haWV8dlReWPsKT7Ref8+H/kYUfaLz/nw/8jChgjx74L6xdJ8SfGLXfhTxZYQa9qKXFlcXmjTQxbFjbJdmGE9ADjJIrGuPEN94m+I51rxv4K8bpo2g3RbQtLg8PXEqSSjI+1ysoIY4J2r2znrXvX2i8/58P/Iwo+0Xn/Ph/wCRhQtHF9l+Wl/X/h97WOkl3/W916P/AIG1znV8cWr+P08Ix6ZevN/ZDapJNt/1ShlURsn3t53cD2rznw74iuH/AGgdR8QN4O8aQ6bqGmQafDcTaDOirKJBksSPlUDnceK9V0/SLew1zUNbttHxqGohFuZ2uNzMqAhVGfugZPAwK0/tF5/z4f8AkYUR0cZPpf8AG/6O3yuKWqce9vws/wA1f8Dxf4kaRodz4g1uLQ/CPjx9f1HEUn2Fryy0u8lxtDzujLC6YPzFgcjI5zWtc6HoHg/wD4a8D+JvAd54u0mztFXzLfSP7QRJ045iCkjILENjHGO9epfaLz/nw/8AIwo+0Xn/AD4f+RhSStHl9Pwvb8ym7yv6/j/wx5B8MG8UeDfBfivXB4b1250g3nneHPDmD9qgtegjVG5jHcRn7oGMVoeM11fQ/iroPxEi8ParqGmzaTJp2oQWNu09zbMzCRG8peWGRtOOlen/AGi8/wCfD/yMKPtF5/z4f+RhTd7p9rflZ/ehdGu9/wA7r7n/AME8B13wf4r8Uad4v8cW2hXVve3eq6ff6Tpl0PJuJYbJ1bDqfuM+w4U8jIzXVGbU/iH8TfCOpW/hvXNH0nw6013dS6tZPatJM8RRI41cAtjOSw44r1T7Ref8+H/kYUfaLz/nw/8AIwoj7tktlt62tf8ABP1CXvX7vT5dvzXzLUn3G+hrw79hj/k3PR/+vy8/9HvXszz3mxv9A7H/AJbCvEv2H5bhP2dtHEdr5g+2XnPmAf8ALd6APTfjB4cvPF3wy8QeHNPdEu76ykigLnC7yOM+2a4Dxp4m8Q+Mvhte+CbDwL4mtPEOp2RsZjeWDxWduzLtkf7QRsZRyRg/N2r2D7Ref8+H/kYUfaLz/nw/8jClyp3T2f8AX49RqTTTW62/D/I4Lxu+jaboVl4R8S+A9V8T6ILONEe10s6ghkQYw0aglCMAhj+dcj4Kmufh38Gbew8beFdYv/Ds813m0aE30mm6eWZoYp05LAIQpH8OMHpXtf2i8/58P/IwqDUIjqFlNY3+jQ3drOhSWGZkdJFPUMpGCKcm3zPq/wCv6/4cUFFcq6L/ACt/XmeU/Avw/wDYvH3iDX/C+g33hrwRqFtD9m065ga2Et0PvzJbtjyl24HQBsZFe0VTSW6RAiacFVRgASqABS/aLz/nw/8AIwpt7JdBJPVvdluiqn2i8/58P/Iwo+0Xn/Ph/wCRhSGW6KqfaLz/AJ8P/Iwo+0Xn/Ph/5GFAFuiqn2i8/wCfD/yMKPtF5/z4f+RhQBboqp9ovP8Anw/8jCj7Ref8+H/kYUAW6KqfaLz/AJ8P/Iwo+0Xn/Ph/5GFAFuiqn2i8/wCfD/yMKPtF5/z4f+RhQBboqp9ovP8Anw/8jCj7Ref8+H/kYUAW6KqfaLz/AJ8P/Iwo+0Xn/Ph/5GFAFuiqn2i8/wCfD/yMKPtF5/z4f+RhQB5r+0tqFzL8O9T8M6d4e8Q6rf6jAvk/2fpklxGCsiEhnUYU4B61Jr/jvW9O+EUeqeGPBniS81hfLsYbO40mVJY32jMzRkbjGuCcjqQAOtejfaLz/nw/8jCj7Ref8+H/AJGFK3utdx31T7HlfwTuNK0Kw1Pz9J8V/wBs3aPqWtavq2izWi3UijkBnAAAHCoOgB96zJde1DVvEHgr4yad4W1i40qWwu7C9s7aLz7qFJHUxyiNeXXdFzjoGFet65ZnWtHu9J1DTXktLuJoZ0W52FkYYIyuCMjipdPjksLGCxs9KWG3gjEcUayqAqgYAFVfXm7Wt9zT/B2Jtpbve/4NfjqeFeI/B/ifxtaeOPGVrod3Z3F5JpraNYXqGCeZbKYSsXRuUL9AG5rorybVPiX4y8HBPDGvaPp2hTyX+pTapZPa5kMDxJFHuHznMhJI4wvvXrX2i8/58P8AyMKPtF5/z4f+RhUpKyj0X523/X1Q227vrt8ux8/6fH4r0v4N6n8H/wDhD9ck1yVJ9NtLxLNmsGhmYgTNcY2KArEkE5yMd69Y0K5u9O1Ky8At4f1JrGHRwW1gD/Rt4whiz13nJP0FdR9ovP8Anw/8jCj7Ref8+H/kYU37yalrffz0aX53/wCAHW607eV2m/ysfPunxeLNO+C+ofB3/hD9cfXJI5tLtb1LNjp7QykgTm4xsACsSQTnIx3rotNtdS+GHxH1G/l8Pa3q+iatpVpCs+lWb3ckVxbrtKuiAsAwJIPTivYPtF5/z4f+RhR9ovP+fD/yMKLy3vq9330t/wAH1+4HZ6W0/LVP9EvQ4j4E6Dq2keHtU1LXbQ2V/rmq3GpvasctAkjZVGxxuA6143/wUj/5Jd4b/wCw3/7Qkr6b+0Xn/Ph/5GFfL3/BRuSd/hd4c8238r/id/3wf+WElN20S2Wn3aCXVvrr9+p9Ga14h03wp4Fl8Rau0qWFhaCacxoXYKBzgDrWu99bppZ1Ji32cQ+cTt524z0+leb/ALQn/JuPib/sDv8A+gV2twrP4EdFUsx07AAHJPl1nOTVOcluv8maRSc4Rezv+n+ZY8N69p/iDwxYeI9NaRrC+tUuoGdNrGNl3DI7HB6VyOtfGPwTo/w5sPH17c3q6LfyLHAy2zGQknA+Tr2qH4GX1qv7O/he5aZFit9BhWViQAhSIBgfTBBryTT7T/iw/wAG7e7gVo59esGKOuQyPJkZB9Qa2qQtVlCPSUUvnJr8jOm701KXZv7lc+gfEfjTw/oPhuy8Q3l00um30sEVvNboZA5mIEZGOxyOai8aeOdD8K3FrZXn2u81O75ttNsIDPdTKOrLGvJUdz2r55+Is0vgrTG+FGoysbWHXbG+8NyOc77JrgFoc+sR3KB/dC16d4Skjj/al8ax6k2LyXSrI6Z5hHNuF+cR5/6abicVKtKzjs2/uSTt63un6PsN3infdW/F2v6Ws0dLL8VPDNt4X1PX9Rg1fTo9LKi8tLuxeO6iDY2kxnnByMGt3xh4r0jwppdtqWrvMlvc3UVrGY4i58yQ4XIHQZ71w/7VrhvgZ4ijjdPNWOPgnOCXGMj0rj/jlD8Rk8K6E3iTUvCk+nf27YZTT9PuIps+ZxhnmZcevFEPekl/eS++3+Y5Kyv5N/cfQtcppnxB8M6j8QL/AMD2t1M+sWMYeYGIiInaGKq/QsAykjtkVseKtYtvD/hvUdavHVILK3eZyTxwK+WovEN1oXhTwr44ufCfi611a01iXVtYvZdLZLdre8fMq+Zu5RUMaj2UUoNOdntp970Xy3bFJe5db/5av9EvU+h7/wCJfhOx+Jtr8O7u9ki126txPCjRkRsDnC7+m44OBWrN4q0iLxn/AMIk7zf2p/Z/9obREdnk72XO7pnKnivFvFvheLxx8ZvGlpZ3Hk3yeH9MvNKvYz80E6vM0bqffofY0z4a+LX8Y/G6K+vIhbavaeEjZatbDjyLuO5mWRfoSNw9iKFfRPf3vuSlb7mrP5dxytq1t7v3vl/Ru3o+x3UHxt8LS2cmpf2P4pTR45nil1VtIkFnHsco7NJ0ChlIJ9q9IsLu2v7KC9sp47i2njWSGWNtyujDIYEdQRXlX7PclpD8BDLfvGlot1qpmaQgKE+2T5zntirf7LSXCfBfSvMWVLdri7eyWTqLY3Mhhx7bCuPbFVbddrf1/XmTLv5tfd/X5FrUPjB4dtdR1a1j0XxReRaRcG3v7u00mSW3gcKrNuccYCspPoDWp4m+JXhnQ9E0XV1a91a31yVYtNGl2xuXuGKlhtC+wP5V4vbTePrO1+Ld54XfRpNNTxBN9sglgkN6VNrB5jRPu8sEIcgMh5B9qv8AjGztLXwb8F7T4f3dubcapEdNnv0MiEGB23SrGVJPJyARzUQ96Ee75P8Aybf/AIHzLkkpyXbn/wDJdv8AgnrunePrG40TVNYvND8R6Ra6ZF5s39o6a8DOuCTsB+9jHb1FV/CvxIsfEU0C23hnxbaW88Hnx3d7pDwwFNu4HeeOR0qh41j8VR/CDxSPFd1otzd/Y5fKbTLaWGMJt4BEjuSc56Gq/wALofHyeCtJbXNQ8MTaP/Ykflx2VjPHcD9yu3LvKynjr8vPtQ3bmfZL8b/5CS+Fd2/wt/mFj8bvCVzbxX76f4jtNHkuDbjV7nS3jslYOUyZTwBuBXPrW34v+I2i+G9csNEfT9b1XUL62e7gh0qwa5YxKVDOdvQZZfzFfPWk/wDCTj9n7SoNbudM/wCFf3mrTQak1lAy6hbwm9kwxd2aNlMgAOEBAPWvR/Glvri/tAeEbfwXc6PbzR+F7tY31CCSaHyRLAMARupz93BzjGapL3lHza+6Ll/XzE9L/wBfaS/z/pnoFz8RNFsfCLeJdWsdZ0mD7QLaK1vrForqeU42rHEeWJ7Y64PpTbT4jaJJ4d1jW7yx1rS49Hh8+8tr+weG4WPBIcIeSDtYAjupqp418Gal4y8D2Wl+IdbtrDxDa3S3lnf6ZCUjiuUDbGWOUvuGCcqSc89K898S+LPFdx4H+JPgPxxHp0+r6PoS3Meo6epSK8glVgGZCT5cm5GyM45GAKicrKXdXt8l/wAPp2+ZdOPNKKezav8AN2/y+e567rfjPRNH8DDxneyTjSTDDMGWIs+2UqE+Xr1cfSsvxH8UPCXh/wAW6B4Y1S6uIb/Xk32P7kmMjj7zdF6gfjXj3xCg+JC/s2QvqWp+EpNG+wafujt9PuEuNnmQ7QHaYrnpk7cdeBVz4q+Gz4r+JOmaRCD9r/4Qe4uLJh1W4iuLWSIj/gSgfQmtJJRm10TfrZRb+/QzheVNPq18r3iv1Pa/iH4x0PwH4UuvE3iK4eHT7baHMab3YsQAFUdTz+QJrG1j4peHNO0Pw/qq2usX6eITjTbeysWmnlOwufkHI+VSfwryHVvE4+LWgxJtb7J4b8N3eo6xEQQBqBhlgjibntid8H/ZNOuV1eTw58CF0Kawh1IzyeS99E8kIP2ObO5UZWPGehHOKSi/ev3VvR3X6aeVmO+nylf1ST/XXz9D2W2+IGmnwxq/iLUdH8Q6NY6VEZp/7S054HZQCSUU8t07eoqTwz8Q/DHiL4eSeO9Ju5J9Git5Z5W8s+YgjUs6lOoYAdPcetcv8XE8TR/s/eMx4qutIuL3+zp9r6ZbyQxhNvAIkdznrzmvOvFOfhv4cvL4Yi8K+M/DckM6j7lpqYtGKMB0AlUMD/tKtRUlyqT8lb11/O1vWy6lwjdwv1bv6K35Xv6HrOu/FjQtJ0K3159F8T3ekzWQvje2mlPLFFFjJLsPukAZI7VLpnxS0G60K91290vxBoul2dsLlrvVNOe3jkQkBQhb7zHIwB1zXJ6j/wAmdXf/AGKsn/oo11LeGdN8Y/BPT/Deq3E1tbXmnWoE0LhXjddjoyk8ZDKpwc5rWrHklOK6P87/AORlCXMqbfXf5cv+Zq+DfHGneJrySzi0vXNLuFi85I9UsHtjNHkAum77wBK5+orqa8o+H3iLxtoXxCg+Gvjm407WWl0trzTtYs4fJeVY2VXWeLJCt8y4ZcA4PFer0naya2/4Nhq92n/WgUUUVIwooooAKKKKACiiigAooooAKKKKACiiigAooooAKKKKACiiigDwvXv+T4vDv/YlTf8ApRJXuleF69/yfF4d/wCxKm/9KJK90oAyPD/iPTNcv9YsrB5Wm0i8+x3YdCoEnlpJgHuNsi81Qbx34bju/ElvcXptv+Eb2f2lJMm2OPfGJFw3fhh+PFcv8G5EXx18TrRjtnXxCkpQ9djWduA30JU/lXP+H9B0zxh4v+Mel6lKw0rUL21s5Jo5ApDraxZ2t0yDj8aWrStu4J/O0f1ZStzPm2UrfK7/AEO+8I/ETR/Elz5EWna5pm+3NzbyanYPbJcRDkvGzcMACpPswrn7X4u2t94xtLbT9H1a58LThoBrqafI1s9zv2gLKDjZwwLY+9xWZ4W1Xxf4U8Z6b8L/ABteWOv6XqenTnTdWhi8i4CREAx3CA7ThGTDqFzg55rK1B/GXwN0SCay1LTvEngNdQSOO1uI/Lv7OGZukcqkLKA7EgMpbHerVuaLWz/HVrXs/wAL67EPm5Wuv/Avp3/O2m+3vFFIjB0VxnDAEZpakadwooooAKKKKACiiigAooooAKKKKACiiigAooooAK5O4+IXhqH4i23gEz3EmtXEZkCxwloo8IX2u/RWKqxA9q1PG2p6ho3hPU9T0nSp9W1C3t3e2s4Bl5pMfKo/HGfavnfQNTGheOfAC3PhjxtNqk19eXOp3V3pBR7q4lt3DMo3fdXPQcKoJohrPl/rr/X3BPSF/wCv6/roe7/Ejx94c+H+kw6l4innWOeXy4o7eEyyOcEkhRzgAEk9gKPF/jvQ/DI06K6S+vb7Us/Y7CwtjPczALuZljHOAOSe1eCfFnV9QvbDx3r3iPwf4xjufscmnaRnTC1ra2oYEylw2MyEAk4yBx3r0O/0zxJe+KPC3xN8L+HZryaDTJNOudJ1ST7DMsbgMJFLBgpDKARjkGlHWKf9LR2/S/a/kOWkmv6urf1528z0HwN4v0Xxlpkt7o8kwNvM1vdW1xEYp7aVeqSIeVb2qPxt400fwmbOG+S9vL6+cpaWFhbme5nwMsVjXkgAEk9hXn3wJn1Sfx38R9c1i1tdNiuL63UxRXIlijkSMhx5nAZgeCQAM1f1JlX9qbRmuWXZJ4YuBZknq/nKWx/wHNO13Bd1f/yXm/QWyl5O342/C+vodNpXxJ8J33hbU/EUl9JYWuku8eoxXsZhntHXqkiHlW9B3qPwp8SdC8Qa9Hof2LWdI1GaA3FtBq1i1q1zGPvNHu+9jvivC/iXsPjPx9dRN/xK4/Enh8Xx3fJlZIt+e3HevUPipsl+Mfwsjt2Ju1vbqQ7W58n7M+4n2pw95Rl309NE7+mv3IJrl5l2Tf8AwPXT72j1eT7jfQ14d+wx/wAm56P/ANfl5/6PevcZPuN9DXh37DH/ACbno/8A1+Xn/o96QHrnjDxDpvhTw1feIdXaVLGxiM05jQuwUdcAdaf4k13T/D/hq+8Q6i0i2NlbNczFE3MEUZOB3OK479pZHf4E+LwiM5GmynCjJwBTPjjf2bfs9+JrxZ0ME+hyeU4PD74/lx65yKicmqcpLdGkIp1IRezv+n+Zq+IPiR4f0ePSVEOqaleatB9ptLHT7Rp7losZLmMchR6mnaj8RvDdj4WtNfna8UXkv2e2svszfbJbjODAIupkBBBX1FcrqfgLWr238K+JvCuvRaL4s0jSobVkuYhNb3EGAWilThgCc4ZSCPWqFit98Zvh/YajPdDwt4y0HU5kgntis0Md7A5RiqvkSREr064PWtaiSlKK6P8AC9rrvp+JjTleMZPqvxtez7a/h5na/CvxpdeLNOnj1jRdQ0TWLZz59nd2bwEISdjLuJ3DbjJHfNdpXmnw38ZeKpvH2seAPGttpcmqafaxXkF/pgZYbiF/l+ZGLFHyDxnGMYr0uk7WTQ1fVMKKKKQwooooAKKKKACiiigAooooAKKKKACiiigAooooAKKKKACiiigArnvGPi6w8MC1jnsdU1G6umIhtNNtGuJ2VRln2r0UcZPuK6Guf8f+LtJ8F+HZdZ1Z3K7hHb28S7pbmZuEijX+JiamTsrjirso6B8R/CeseEb/AMURagbSw00uuoLeIYZbR0+8kiHlW9veq/hX4m6Br+uW2i/Yta0q8vIXmsV1Swa2F4i4LGIt9/AIP05ryDxT4X1vQ/gfrmveJo44NS8QeJbHVNUtozlLaE3cOI898KOT6/Su4+MwE/jP4XRae3+nHV5ZIdjYPlCyn3H6cj86q9ldrsmvOyb+Sb/Bite9n3d/JPT8F+KNvUPjB4Rsr+5iePVpdPtLlbW61eGxZ9Pt5SwXa84+UYYgH0yK9BjdZEWRGDKwBUg8EetfO3hqSwX9ijW1uCny6Vfx3A7+flxj67itey+DDPH4B0q0klH9oDS4/kZ8vnYME5564on7kZdWrfO6f+X4oN5Lpdv5Wa/z/Awr74weEbS/uI3j1aTTrW5Frc6xFYs+nwSlgu15x8owxAPpmtTxZ8QtE8Papb6T9l1XWNSnhNwLPSbNrqZIenmMq/dXJAye5FeQ+HpLBf2INWWcr8ujXsc4zz5/zjH13EfjW/8AA9ZYPiz4ng1In7f/AGHpRTecsYxEQfrziny+84X2699Ht91/QG7R5rd/lZpa/f8AeereD/Emj+LNAt9c0O6FxZz5AOMMjDhkYdVYHgg9K+cP+Ckf/JLvDf8A2G//AGhJXp/7OAVrPxnPbkmyl8U3zW/OVI38ke2a8w/4KR/8ku8N/wDYb/8AaElDs0muqT+9XFs2uza+52PofU9G0fxL4MfQNchW50+9tRDcQ+ayb0K4I3KQw/AiqnhXwT4c8M3n2rS7nWWfy/L2XmvXl3GF9kmlZR9cVtaXZ2j6bbM1rAzGJSSYwSeKsfYbL/nzt/8Av2KS02G9dzirr4U/D+4up5m0+5ihuZTNPYwatcxWUrE5bdbJIIWDHkgphsnOc10Os+GvDesQaXBfWUDQ6VcxXVjHHIY1gkj+4QEIGBgcHj2rU+w2X/Pnb/8AfsUfYbL/AJ87f/v2KFokl0/TYHq2/wCtdzD8Y+DvCXjCXTZfEem29/JplyLqzdpGUxSDoQVIyOOh4PpSeMPBvhXxZLaz61Z77u0Oba7trqS2uYfULNEyyKD3AbBrd+w2X/Pnb/8AfsUfYbL/AJ87f/v2KVl+vzD/AIY5Q/DnwS3hy+0C4sZruyvyDdtdajPPPNj7oaZ3MhAxwN2B2ra8TeH9B8SafBp+tW6XVtb3EdzEnnMm2SM5RsqQTg9ulaP2Gy/587f/AL9ij7DZf8+dv/37FVcDO8XaBoXizQZ9D1+EXenzkebCJ2j34OQCUIOM9s1PrelaPrWg3Ohanbw3Gm3MJgmgLYVkIxt4OR+FWvsNl/z52/8A37FH2Gy/587f/v2KlpNNdxptNPsYvh7wl4Y0DUzqWlWghuzYQaeZWuZJCbeEERp8zHpk89T3Jpll4N8I2XjLUPGFrplvDrmpQLBd3SyMDKijAyuducdwMnA5rd+w2X/Pnb/9+xR9hsv+fO3/AO/Yqm23d7/57/eTbS3p+G33HB2/wf8Ah3ArQrZag1m0zzPYSa5ePZuzOXbdbtKYmBYklSuMnpXfW4tbe3jt7cQwwxKEjjTCqigYAAHAAHam/YbL/nzt/wDv2KPsNl/z52//AH7FLpYfW5m6L4e8P6O+rNp1tHCdXuWur7MrN5srIqFvmJx8qKMDA4rBuvhf4DuPDmm+Hzp88Nhpl093Yrb6ncQyW8rlizJIkgccs3GcDPFdh9hsv+fO3/79ij7DZf8APnb/APfsUW/T8Nvu6Bf+vXf7znNM8D+GdP0rUdLSTVLq01GPy7mO/wBau7vcvPCmaVinX+Eit6xtNPstKg0u2CJZwQLbxx7ydsartAyTnoOvWpfsNl/z52//AH7FH2Gy/wCfO3/79ih67gtDCtvBvhO28FS+DItPiGhTLIslq07sCJHLv8xbdyzE9eO1Z2s/DXwVqsmlS3EN/DNpNp9isprPWbq1ljg4+QvFKrMPlX7xPSuu+w2X/Pnb/wDfsUfYbL/nzt/+/Yoerv8A1/Wr+8P6/r7kczJ4B8KSeH00Of8AtKe2juPtEUs2s3Ul1DJjG5LhpTKnHHysOCfU0mnfD3wVYaHq2jw6eZLfWVK6jJcXs09xdDGMPPI5lIAzj5uMnGM10/2Gy/587f8A79ij7DZf8+dv/wB+xR38wWlrGTqvhnw5qnhEeE761SXRhFFELfz2X5IypQbgd3BVe/anr4d8Pr4ktfES2yDU7Syaxgm85vlgZlYptztPKLyRnjrWn9hsv+fO3/79ij7DZf8APnb/APfsU7u9/wCu35BbS3T+v8kc9o/gbwbo9nr1ppulwW0PiCR5NTVZn/fs6lW53ZXgnhcYycVW1f4c+CtU0bRtJubO4jttEOdNNrqdxby252lcrJHIr/dJHJ711X2Gy/587f8A79ij7DZf8+dv/wB+xS6W9Pw2+7oF/wBfx3+/qc1beA/CsPh3VPD8h1K907VI/Lu4r7Wrq6LLgjCtLKzJ1/hIq94h8LeGPEHhCTwlrFhBeaLJCsLWzyH7i424YHcCMDkHPHWtf7DZf8+dv/37FH2Gy/587f8A79ih+8rME7bGXP4c8PTeD38IyWsZ0V7Q2bWwmYZhK7Su4Hd075zS6j4d8P6h4aTw5d2ySaakaRxxiZlaMJjYVcHcrKQCGBBBGc1p/YbL/nzt/wDv2KPsNl/z52//AH7FDd736iSStboc94T8E+FPC+oXGpaXbzPqFxGIpLy+1Ca9uDGOQglnd3C552ggZA4rpvNj/wCeif8AfQqL7DZf8+dv/wB+xR9hsv8Anzt/+/Yp3GS+bH/z0T/voUebH/z0T/voVF9hsv8Anzt/+/Yo+w2X/Pnb/wDfsUgJfNj/AOeif99CjzY/+eif99CovsNl/wA+dv8A9+xR9hsv+fO3/wC/YoAl82P/AJ6J/wB9CjzY/wDnon/fQqL7DZf8+dv/AN+xR9hsv+fO3/79igCXzY/+eif99CjzY/8Anon/AH0Ki+w2X/Pnb/8AfsUfYbL/AJ87f/v2KAJfNj/56J/30KPNj/56J/30Ki+w2X/Pnb/9+xR9hsv+fO3/AO/YoAl82P8A56J/30KPNj/56J/30Ki+w2X/AD52/wD37FH2Gy/587f/AL9igCXzY/8Anon/AH0KPNj/AOeif99CovsNl/z52/8A37FH2Gy/587f/v2KAJfNj/56J/30KPNj/wCeif8AfQqL7DZf8+dv/wB+xR9hsv8Anzt/+/YoAl82P/non/fQo82P/non/fQqL7DZf8+dv/37FH2Gy/587f8A79igCXzY/wDnon/fQo82P/non/fQqL7DZf8APnb/APfsUfYbL/nzt/8Av2KAPEtddT+3D4dYMuP+EKm5z/08SV7l5sf/AD0T/voV4Trttbj9t7w9GLeIIfBUxK7BjP2iTtXuP2Gy/wCfO3/79igDmvE/gLwj4i1caxfQ3VvqPliJ7rTtTuLGWVB0WRoJELgc43Zxk4qza+DfCNr4Vl8LwaVaJpM2TLDuJaRycmRnJ3NITzvJ3Z5zmtz7DZf8+dv/AN+xR9hsv+fO3/79ilZWsHW5y+g/D3wZot5c3tvaT3d3c25tZLjUtRnvpRCc5jV53dkU5OQpAPesLwx8I/DWk67c3t5cXep2MVzHLpGnXepXM9tYKsYUBYpZWQkNuKnb8oIAxivRfsNl/wA+dv8A9+xWbquo+GtK1LTdN1CWwtrzU5GisoXQBp2UZYKMc4FUm7p9Qto10NfzY/8Anon/AH0KPNj/AOeif99CovsNl/z52/8A37FH2Gy/587f/v2KQEvmx/8APRP++hR5sf8Az0T/AL6FRfYbL/nzt/8Av2KPsNl/z52//fsUAS+bH/z0T/voUebH/wA9E/76FRfYbL/nzt/+/Yo+w2X/AD52/wD37FAEvmx/89E/76FHmx/89E/76FRfYbL/AJ87f/v2KPsNl/z52/8A37FAEvmx/wDPRP8AvoUebH/z0T/voVF9hsv+fO3/AO/Yo+w2X/Pnb/8AfsUAS+bH/wA9E/76FHmx/wDPRP8AvoVF9hsv+fO3/wC/Yo+w2X/Pnb/9+xQBL5sf/PRP++hR5sf/AD0T/voVF9hsv+fO3/79ij7DZf8APnb/APfsUAS+bH/z0T/voUebH/z0T/voVF9hsv8Anzt/+/Yo+w2X/Pnb/wDfsUAS+bH/AM9E/wC+hWbqGj6NqGtabrN3Ckl9pjO1pL5rDyy6FG4BwcqSOQau/YbL/nzt/wDv2KPsNl/z52//AH7FAFTxHpWk+IdEutF1iNLmwu0Mc8XmlNy+mVII/A1neJvCeg+Io7WPULnVYltV2xCx1q6s+P8Aa8iRN345rc+w2X/Pnb/9+xR9hsv+fO3/AO/YpWC5z114G8GXPgaXwRJpNuNAmTZJaRysm8ZySXUhixIyWzknqaXxN4K8J+I7Swt9Us2J04j7FPbXkttcQcY+SaJlkAI4IDc966D7DZf8+dv/AN+xR9hsv+fO3/79im9dWC0/ruc/Y+B/Btn4Vu/C8ek20ulXu/7XFcSNM1wz/eaR3Jd2P95iT71F4T8B+EfC+otqWl29w96YfIW4vtSnvJI4/wC4jTu5RfZcCul+w2X/AD52/wD37FH2Gy/587f/AL9ijrcLaWJHlj2N+8Tof4hXiH7DTov7Omj7mUf6ZedT/wBN3r2p7Kz2N/olv0P/ACzFeI/sOW1tL+zro7SW8Tt9svOWQE/696APcblbW5t5Le4EM0MilZI5MMrKeoIPBFcRY/Cj4fWc8Dx6fcy29vIJILG41W5nsomByu22eQwqF/hATC8YxXa/YbL/AJ87f/v2KPsNl/z52/8A37FC0d1uD1Vmc/4q8F+GPE17Hfakt5FdpH5Xn2GqXFlI6ZzsdoJELrnnDZArH8VfDLwzqHgiDw9oaJoU2nxSDSbuzuJYZLSRxgvuidXYn+LLfNznNdx9hsv+fO3/AO/Yo+w2X/Pnb/8AfsUmlaw02ncwvBPhHw/4StpBpqPJeXAX7Xe3V1JcXNwygAb5ZWZyBjgE4HQAV0Xmx/8APRP++hWRouoeGtamv4dKlsbuTT7lrW7WNAfJmXqjcdRWl9hsv+fO3/79iqbb1ZKSjoS+bH/z0T/voUebH/z0T/voVF9hsv8Anzt/+/Yo+w2X/Pnb/wDfsUhkvmx/89E/76FHmx/89E/76FRfYbL/AJ87f/v2KPsNl/z52/8A37FAEvmx/wDPRP8AvoUebH/z0T/voVF9hsv+fO3/AO/Yo+w2X/Pnb/8AfsUAS+bH/wA9E/76FHmx/wDPRP8AvoVF9hsv+fO3/wC/Yo+w2X/Pnb/9+xQBL5sf/PRP++hR5sf/AD0T/voVF9hsv+fO3/79ij7DZf8APnb/APfsUAS+bH/z0T/voUebH/z0T/voVF9hsv8Anzt/+/Yo+w2X/Pnb/wDfsUAS+bH/AM9E/wC+hR5sf/PRP++hUX2Gy/587f8A79ij7DZf8+dv/wB+xQBL5sf/AD0T/voUebH/AM9E/wC+hUX2Gy/587f/AL9ij7DZf8+dv/37FAEvmx/89E/76FHmx/8APRP++hUX2Gy/587f/v2KPsNl/wA+dv8A9+xQBL5sf/PRP++hR5sf/PRP++hUX2Gy/wCfO3/79ij7DZf8+dv/AN+xQBL5sf8Az0T/AL6Fct458CeEvGl3p134ghupbjTHZ7OW21O4tWhZhgsDDIvOOM9cE+prpPsNl/z52/8A37FH2Gy/587f/v2KLBc5zTPAvhWx0rUdKZb7ULHUo/LuoNU1a5v1deeAJ5H29e2O3pUfhT4f+DvDGprqWl21w14kJghmvdSnvGgjOMpF5zv5anAyFxnArp/sNl/z52//AH7FH2Gy/wCfO3/79ijrcOljjZvhb8P5tYk1NtLYNLci7ltV1CdbOSYEESNbB/JZsgHJQ8gHrW4PDHhseMh4wFnGNbFmbIXImbiEkNs2529QOcZrW+w2X/Pnb/8AfsUfYbL/AJ87f/v2KFokl0/yt+WnoD1vfr/w/wCepxsnwt+H8msPqbaWwaS6F3JarqE62ckwORI1sH8lmyAclOoB61e8WeBPCPifUYNS1O2njv4YjCl1Y6jPZTGM9UZ4HRmXj7pJFdJ9hsv+fO3/AO/Yo+w2X/Pnb/8AfsUrKyXQd3dsq+HtL0fw/o9vpGjW1vZWNsu2KGLgKP6n3PJr5p/4KQsrfC3w5tYH/id9j/0wkr6g+w2X/Pnb/wDfsV8uf8FHbeCH4XeHDFDHGf7a/hUD/lhJVNtu7JSS0R9E6p4b0vxN4dsrTVvt3lRorr9k1C4tGzju0LoxHsTivLv2ffDOlz6XqviG+vNfur3TNe1CG3afXr2RFihndUUxtKUYBQB8wOe+a9p0n/kFWv8A1xX+Vcj8H/Cup+FdA1ew1Y25kvNavr2PyXLDyppmdc5AwcEZFSrpy5d7fjdDlrFJ9/ws/wBbHG/C7w9F8UPC48d+LtV1u4n1WWSSytrPVbmyhsrfeRHGqwOm44AJZ9xJ9uKX4a2c3imPxP4D8Zajqmqjwnqv2azv4r+e0nmhZA8fmvbuhdlVgpJ64yeav+EtC+JHw7sLnw14d0nRfE2hpcSS6bNd6m1jNbRuxYQuoikEm0nAYFcjsK6f4V+D73wvp2pXes38V/r2tXj32pTwx+XEJG4CRqSSEVQFGSScZpq2tvhtt53X4rW7693cJX+d/wANfwemn4aHCfs5+FtMvNMvNevLvXrq/sde1C3t3n169kRY4rl0jUxtKUYBVA+YHPfNY/xA8Q68/jTWfiHpupX/APYPgzULewktIZmWC5jGDeOyjhmXcVyc4K16N8MvC/iDwj4J1uxdbKXUrjU9QvbRRMfLImmeSMM23I4YZ4OPeuZ8K/Abw7/wgQ0/xWl9da3fxSS6tJb6zeR28tzKS0hEayKhXcx6ryByKOZpqS+yl9+n+TT9UFo+8n1b+67/AOBbyua3jnUrofG/4cwWl/cLZXcN80kUczCOYCJSpZQcNjqM16hXhNh4H+Jmk2/w5v8A7Ho+t6n4Vt7qzuUl1R4BPGyiOJxJ5TfNsVSQR17969h8MXWu3mm+d4h0e00m83keRbXxuk29jvMafliqsuWyezf5u34E6815dl99tT5/sNT8A3HxM8eW3j/xHrkd3DrixWEEWr6jCiQmCIgKtu4QDcW967L4yXV58OLnRviXpl5fTaFplutjrGmvdvIJbY/clQO2DKp7nlgeScVPoOk/Ejwj4v8AGF3pXhfRNZsNc1UX0Ekuutaug8mOPaU+zvz8mc571q+KfB2r+OPGGiN4ps9OXwtpkAupNO84z/ar4jGJAVCtHH2yPmJJwKhX5IcujSj/AOk63X3rzb6bly5eefNtr+eln9z/AOGPP/Ev/CQH4Ga5451jWL21v/EtzBdpFBfyIlhaEqIokKsAp2YLMuCWZq1tIe10D426boPgfXNQv9HvNGuJtYtpNSl1CKB0P7mQSyu7RsSWG0MAQo470+++GHipfh/4j+Htr/ZtzoJvkn0Jric7kgZw8lvIu0gKjFgvXK4GBivWNH8O6HodlcW2g6JpmlLOMyLZ2qQK7YwCQgGaelm1t0XlypJP0/NfMWt7P7/+3r3XqvuWnkfP3wRvPh1rVjaR+JPEWv3Hi2XVbtDGda1NVLLdSiNdqSCLGwLx09asfEfVvF2k/HvXPE+j6pqNxp/hnSrGa80ZZSYbi2leUTME6b12qwOM4BrsfhbpvxO8E+HoPDLeD9Bv7WK+uZfto8QNGxSa4eXPl/ZzyA+Mbucda6PSfCOoQ/F/xP4nvFtZNK1XSrSzjTcS5aMy7wy4xjDjue9N9HHpf027fgDt76fX8ubv6fcc7aeIG1b48LNpuqTz6Pd+Cor23RJm8li80uJAucbiMc4zxXN/CXwTD4q+Eo8Rtr/ia28SyXN80OoJrl0wjeO5lWP9y8hhIAUDaUIx781r/DX4Ta94P+Ket6mNQt7jwy2nG00eJnPnW6vK8rREYxsV5G289CB2pPA+gfFrw34DPgiz0Pw5bhprrZrL6s8vlLNNJJv+zCFdxAfGPMHIzntU6ci5d7ad170nv80U99drr5pRS27X6GO3jfXfEng34WavdXU1pfz+KfsOo/ZpDGlw0XnxtkKcFWKBtvT8qvfG7wfpNj4l8HzWd54htm1rxGlvqAi8Q3ypLG0cjFQomwgyo+6B0rbvPhVcad4d+H+heH5opofDusrf3s1y5R5srIZHAAPzM8hOOgB68V0XxS8K6p4k1Twdc6abYJo+uJfXXmyFT5QjdTtwDk5YccVo+XmT/vfh7t/luZO9n/hf3+9b56o53x5p0XhLUvh3pOg3eqW9pP4mxMsupXE7SqbeUlWeV2ZlyoO0nGR0q5+0HfX1jYeD2sb25tTN4otIpTDKyb0KS5VsHlTgcHjitr4s+E9R8TadpV1ol1Bb6xomoJqNj9oBMUrqrKY3wcgMrkZHQ44PSsK/0Dxx4517QJPFuk6R4e0rRL1dQMNpqLX0l5MqMqLuMcYjVdxJ4YnjpjmYyvKN+kk/krP9Grf5lyVk7dYtfP3v81qcF4y1jwXH8cPGNr8QvEes2Nlb6bYvp8Vvqt9bojN53mEC3cLk4T73+NReKtS8V2f7L0N74m1TUrWRtZgWK5E7RXP9nG4UJveI5LGPqQckEd69V0jwXdr8S/GutapHaT6Pr1hZ2scW7czeWJhIHUjAGJBjk964vUPhv45/4U1P4JhfTbyfTtbiuNHaW6ZA9nHMsqpI2w7WHzKMAjAFTDSyf930+JX07/mrly1m2v6938r/AI2Oq+Ei/De41C7uvBOqarfXEMQS4+1anqFwqqxyMLcuVzleoGa9IrmPCepeNry9eLxJ4T0vSLVY8pNba0btmfI+UqYI8DGecnp0rp6uXQyiFFFFSUFFFFABRRRQAUUUUAFFFFABRRRQAUUUUAFFFFABRRRQAUUUUAFFFFABRRRQAUUUUAFFFFAHhevf8nxeHf8AsSpv/SiSvdK8L17/AJPi8O/9iVN/6USV7pQB4T+zrq2q3/xe+LFrfane3dvaarGltFPcM6Qrg8ICcKPpXKaHrfjyfxV8ebfwzqF/eatZGAaTbyTGRYWKHIjRyVU4z0HWuj1X4dfFjwX8TPEXir4U33hm9svEjLNeWeuCRfIlUYyjRnJzyecdcYNXvh78K/Hnhfwj4q1ZPFFgPiB4kuVu57r7NvtYWXpEoPJXqN3oRxWcVemr9Icvnf3f8mU3abt1nfytq/1Ssee/s2X+iXvi3SZv+FqeN4vFQUjVfD/iKbdFcNt+cQoQNoDdDknHGK5bxA0OqfGbWZPi/wCNfF3gzXLDUmbwxcxbRp0UPGw/dPLADOCMjqeK9Tg+F/xU8bfErw74q+JUng3S08PymaJ9BgkM90cAAO8hyAMcdQOeOawPiRo3xt8ceJdQ+D+rDwje6PPF9uXXJbCTz4LdpmCqpzsEoAxgDOBnPNa3vKDS110/G6fR2v30uQtIyu9NNevVW81t6u3Y+ndILtpNmZLxb1zAm65UACY7RlwBwAev41arL8I6Onh7wtpehRzPOmn2kVsJXGC4RQufbpWpTnbmdhQvyq4UUUVJQUUUUAFFFFABRRRQAUUUUAFcp8TvC+peLtCh0mx8Val4bhM4e8uNP2rPJCFbKK7A7OSp3AZ4966uvM/2j/D3xE8VeAToXw51Kz068upgt7NPM0RNvtOVRlBIJO38M81E9trlw+Lex5X+y9ceK1+Knj/w5pfi3VfEXhDTkaGz1LVJjclbvIC4fjdgb8gYHHbitD4RHxRpn7WXibw9r3jHVfECR6AtwftD7IRI0kfKQrhEwOBgZ6810XwL8OfF/wAHacPDupaB8PdN0G2spPsw0p7kzPc4+VpC7HcCfvHrXKeGPAv7Qdj8bZ/iNe2vgDzdQgjsb6OOe4KJbCRSxjB58zC8ZJHtW0X+9hre0Wr/ACaX4/hYylrCbta7Tt939etz3L4satq2hfDTxHrGhR+Zqdnp001qNm751QkHHfHXHfFfGnh7x2ugz+AvFei/FzxBr3ibVNUgh8QaHe3ReCNJWxIFjK7Ux0HJxnjFfSXgzVfiH4k+IPxAuba+MXhyzibT9EhvbVVja8UcyD5Q7Rg8HJ5zxXHaN8HviB4n8b6LqXxB0/wDoukaPfLqH2fw3YlHv50+6ZWbnAOD3B5471FG6qRn0fK/Ra3+9br0LqW9nKPVXXztp9z697md+1d4b1jQfDGq+P3+Knim21Z7uNdF0uzuRBb4ZxiHy0GZGAJO7PbkV3Oq+EPFHjL4aeHb7xt4/wBc8Ji00kTawmlyJbSPPtB3vLg7QBnKjrXG+Nvhz8dNR+NE3ja2g8E61ZWUjDQ7TWLicxWa5+WQRptHmY7kn164NaXxv8D/AB1+IPhbw7pizeFoVRfM16xS6nitrqQMMR5HzmMjORuB96hXdHl7tfLT+m/O3XUtv94nfZPXvt/S+ZZ/Yh1bxhq3gDVZvEWpXuqaXHftHpF5eMWlmiGdx3HlhnHJrtfjV8PdN8UxjxBqnjrxh4ZtdLtJGm/sbUhbRsg+ZmcbTkgDrWHo2l/HZfhnrOiGHwP4d1aGCOLQG0YSCGEAjcHEoYDjpwfpVv4z+E/iR4v+Dln4P0u/01NVv0ig1u9klMYEeB5pjCr8245GOODV1253cd1ZL7rXf5v1M6Vk/e0Tve3TrZfp6Hz74Y8S+N/CX7OXibxrp/iTXZn13Vo7LQpdVuzcywW+/YZDu4DEdwAPau/0Sw8RfCT49eCdBj8ceJPEOk+KLZ0vodXuvtG2YA4KZHyDODxz2JNem/FH4RWPib4HD4c6NMmm/Y4Ihp8m3KpJFgrnvgkYJ681y3gj4bfE7XPihoXjb4q33h6M+HLZodPtdIEjCZmBBkkL9COvHX2q4Ne18k/vjy2++936tP0iV3T82np2k3+SWnyZ71J9xvoa8O/YY/5Nz0f/AK/Lz/0e9e4yfcb6GvDv2GP+Tc9H/wCvy8/9HvUFm/8AtX39/pnwG8R32m31zY3UcKmOe3laORDuHRlIIrE+KWqapbfsgyarbalew6gPD9vJ9rjnZZt5jXLbwd2ffNejfFbwfb+Pvh/q/hO4untFv4DGs6ruMbfwtjvg44rwy++Gv7QPiPwTafDLxBrPg608LxpHbTalaJK17LBHwAVJCZIAzjH1rJxcozh1drfK9/zLTUZQn0V7/O1vyZz/AMV9a8UJ4X+GM2ta14xsfA9xocD6rqGgSf6X9qMeQXcgtjoTn3710t5e67Z/sz67P8J/Hmq+N3Fx/o93KwkvrWA48xCxALOoyQcA+ld5400H4uaH/Ztj8MLnwteaHb6dHYtpuvQvhdg27w8ZBYkYBB49q5XwR8K/iR4A8D+INU0HXNBg8W6rqQ1Oa1S0K6cqjloFA+YKemRggce9aVZRl7R7Jt/+lflb8NDOnzR9n3SWnTbv3v8AjqY/7JcHgqHxFNP4S+IniO5vbyFpta0DXdpna4PWYfKpBz1PJIxmvpyvm/4E+E/G/jf4hab8bPHFtoeiyiyeC1sdMtXieYMSC828k5+pPGOlfSFa1NlfR9u2r/T7tiIbvr599P69QooorM0CiiigAooooAKKKKACiiigAooooAKKKKACiiigAooooA+a/wBqtfGGjeK/BmtQeNtSh0678SWlnFpdp+4jVCSXMjL80hOAME4x2qX9q3xJeWvjnwV4W1bxZqfhDwdqQnk1PVNPcxTb0UFF8wAlRn65zyOKtftF+BPjP498SaZHoEPg9dD0bUYdSsHuZpkuHlQHiTGVK89Bg+9dJ440v4y614M0KNND+G2pauBJ/a1nqlvLNZh8jy2hycggZznPWoj/AA15Sbt5NJfnr93QuXx+sbfm/wAtDlP2QfFtxqHiXxt4Qg8WXvizQtKmil0rUryQvM0b7twLEAtzj8uOtemfGHwXdeLrW3M/j3W/Cui2UUst6NKlWCSUjBVjKQSqqA2QOufavNdO8H+JPhD8KfGfiiS6hu/HfiGSMRDSbIeXDMxCRRxJgjaC5JJAGB04pfjH4B+N3jX4c+E/D9prGkXDrAJPEa3U7W4vZeCI28pQdmMghSuaqpeUUt2rJvzs/vt187PqTT0k3sndr00/Pp8+xwfwt1z4gXn7NPxMnfW9a1OytXMfh/UWlc3UmG+cq4+cj7vOe5xWj+zX4g8EQ+K4C3jz4mXHiRNNkkbS/El0fss7BCz+WhGSRgkZPQV6h4M0j4323gm/0S5h8BeGp7OGEaGNIhmkhGxstHKjt91gNuRyNxNY/hr4Z/EnxT8WdJ8e/Fe48M250S3lhsrLRI5Cs3mIVJkaQ54yTjn8OaqV3Ubi90lf0T19W90Tpyarq3b1a09F3PIJpfHfiD4Na/8AHj/hYniO01zT9SY2mnwXISwEKSqu1ocYJwx6+nOa+u/DGvNqPw/sfEcy5aXTlunGMZOzca+dpvgZ8Wbfw5q3wt0zW/DqeANT1E3L30iyG/jjLhygUHZ1UD+texWfhnxxYfEDSrOz1SzHw9tdHNnPYsq+c823aG+7n/x7HtSf8Nxjpe1vK0Xe/q7L1H/y8Upa2vfzTkrW9Fd+SPmqabx5rnwW1r49f8LE8R2uu2WpFrXT4bkLYCFJVTaYcYJwT1445BrtftniH43/ABdl8MSeMNf8N6JpmgQX4XR7gW8slxIFBLNg5XJPFMl+BfxZh8M6l8KtP1zw6ngDUNRNw186yHUI4i4coEB2dVA/rXV+KfhZ8QvC/wARk8Z/CO60B5LnSU0y8tdYDrGFQDbIuzq3APP60rK22nRdU+Xr87fPUbbu9dddfLmVvwv8tDX/AGQfFWu+I/hxeWfiPUJdRv8ARtRlsTdS4LyIp+XJ7nHc81wP/BSP/kl3hv8A7Df/ALQkr2H9n34czfDTwJ/ZF9qC6hqd1cPd3s6JtUyOckDuQPU149/wUj/5Jd4b/wCw3/7QkrSpv8lf1tr+JEettru3pfT8DU13x58frHW76z0Kx+HzaVBO8dm12LnzjCDhC+1wN2MZwMZql/wsb9pT/oH/AAz/ACuv/jlafj3XLPw3ZaprV+k721q7M6wqGcjPYEgfrWdomv3WpXi28nhbX9ORlLCe8ihWP6fJIxyfpXs08DQkktbnlzxdZX7Df+FjftKf9A/4Z/ldf/HKP+FjftKf9A/4Z/ldf/HK3sHOMHPpShWYZCkj2Faf2bQ8yPr1UwP+FjftKf8AQP8Ahn+V1/8AHKP+FjftKf8AQP8Ahn+V1/8AHK3grHoCfoKq6xqFlo+nT6jqdwLW0gXdLKwJCD1OBmh5dQWrv941jaz0Rl/8LG/aU/6B/wAM/wArr/45R/wsb9pT/oH/AAz/ACuv/jlbq8qGHRhkcdq5C+8fWVrcamv9ha9cWuly+XeXkNvG0MRABJ/1gYgAjotTLAYeHxXHHGVpbGl/wsb9pT/oH/DP8rr/AOOUf8LG/aU/6B/wz/K6/wDjlbFhcwahZQ3tlKtxbToskUidHUjII/CpwrEkBScegq/7Mo+ZP16r5GB/wsb9pT/oH/DP8rr/AOOUf8LG/aU/6B/wz/K6/wDjlXvEuqw6DoF9rF1G7xWcRldVHJx2/M1ladrHieaHSZbnwrGi30gM7W9/5otIioKu2UXJOSNoHbrUfUMPfl16fiV9crWvp/wxP/wsb9pT/oH/AAz/ACuv/jlH/Cxv2lP+gf8ADP8AK6/+OVp2GpWN/cXlvZ3AmlspRDcqFI8p9obacj0YHj1q3VLLaDV1cn67VMH/AIWN+0p/0D/hn+V1/wDHKP8AhY37Sn/QP+Gf5XX/AMcreoo/s2h5h9eqmD/wsb9pT/oH/DP8rr/45R/wsb9pT/oH/DP8rr/45W9RR/ZtDzD69VMH/hY37Sn/AED/AIZ/ldf/AByj/hY37Sn/AED/AIZ/ldf/AByt6ij+zaHmH16qYP8Awsb9pT/oH/DP8rr/AOOUf8LG/aU/6B/wz/K6/wDjlb1FH9m0PMPr1Uwf+FjftKf9A/4Z/ldf/HKP+FjftKf9A/4Z/ldf/HK3qKP7NoeYfXqpg/8ACxv2lP8AoH/DP8rr/wCOUf8ACxv2lP8AoH/DP8rr/wCOVvUUf2bQ8w+vVTB/4WN+0p/0D/hn+V1/8co/4WN+0p/0D/hn+V1/8creoo/s2h5h9eqmD/wsb9pT/oH/AAz/ACuv/jlH/Cxv2lP+gf8ADP8AK6/+OVvUUf2bQ8w+vVTB/wCFjftKf9A/4Z/ldf8Axyj/AIWN+0p/0D/hn+V1/wDHK3qKP7NoeYfXqpg/8LG/aU/6B/wz/K6/+OUf8LG/aU/6B/wz/K6/+OVvUUf2bQ8w+vVTB/4WN+0p/wBA/wCGf5XX/wAco/4WN+0p/wBA/wCGf5XX/wAcreoo/s2h5h9eqmD/AMLG/aU/6B/wz/K6/wDjlH/Cxv2lP+gf8M/yuv8A45W9RR/ZtDzD69VMH/hY37Sn/QP+Gf5XX/xyj/hY37Sn/QP+Gf5XX/xyt6ij+zaHmH16qYP/AAsb9pT/AKB/wz/K6/8AjlH/AAsb9pT/AKB/wz/K6/8Ajlb1FH9m0PMPr1Uwf+FjftKf9A/4Z/ldf/HKP+FjftKf9A/4Z/ldf/HK3qKP7NoeYfXqpg/8LG/aU/6B/wAM/wArr/45R/wsb9pT/oH/AAz/ACuv/jlb1FH9m0PMPr1Uwf8AhY37Sn/QP+Gf5XX/AMco/wCFjftKf9A/4Z/ldf8Axyt6ij+zaHmH16qYP/Cxv2lP+gf8M/yuv/jlH/Cxv2lP+gf8M/yuv/jlb1FH9m0PMPr1Uwf+FjftKf8AQP8Ahn+V1/8AHKP+FjftKf8AQP8Ahn+V1/8AHK3qKP7NoeYfXqp45qHjH41SftFaVq81n4H/AOEnj8OyQwIon+xm281yS3z7vM3Zxg4xjivRf+FjftKf9A/4Z/ldf/HK5DUf+TnNH/7FmX/0bJXptZ08voy5r30ZpPGVI29DB/4WN+0p/wBA/wCGf5XX/wAco/4WN+0p/wBA/wCGf5XX/wAcq5o2tWerXWpW9qswfTrn7NPvUAF9iv8ALzyMOPTvVN/Fujxza6lxJLAuh7ftkkifL8yBhtwSTwwHQc1TwGGSu3579CVi67drB/wsb9pT/oH/AAz/ACuv/jlH/Cxv2lP+gf8ADP8AK6/+OU3QfFEWqSBZdG1jS0eD7RFJfQIqSxgZJUo7YwCDhsHn61kWfji4vtctpbLQ9Tm8NzAxLqS26lHl3EZHz7hHwRnb19qX1HD3S11/r/geofW61m9NDZ/4WN+0p/0D/hn+V1/8co/4WN+0p/0D/hn+V1/8creNFX/ZtDzJ+vVTB/4WN+0p/wBA/wCGf5XX/wAco/4WN+0p/wBA/wCGf5XX/wAcreoo/s2h5h9eqmD/AMLG/aU/6B/wz/K6/wDjlH/Cxv2lP+gf8M/yuv8A45W9RR/ZtDzD69VMH/hY37Sn/QP+Gf5XX/xyj/hY37Sn/QP+Gf5XX/xyt6ij+zaHmH16qYP/AAsb9pT/AKB/wz/K6/8AjlH/AAsb9pT/AKB/wz/K6/8Ajlb1FH9m0PMPr1Uwf+FjftKf9A/4Z/ldf/HKP+FjftKf9A/4Z/ldf/HK3qKP7NoeYfXqpg/8LG/aU/6B/wAM/wArr/45R/wsb9pT/oH/AAz/ACuv/jlb1QX11bWNnNeXk8dvbQIZJZXOFRQMkmh5dQSu/wAxrG1nojI/4WN+0p/0D/hn+V1/8co/4WN+0p/0D/hn+V1/8cpngrxfpHi8XzaP9qMdlOIXeaLyw5IyGUHnHHcCqWleOY9Wkf8As3wv4kurdLhrdrpIIREGU4Y8yg4H0qPqOG031/4H+Y/rdfXyND/hY37Sn/QP+Gf5XX/xyj/hY37Sn/QP+Gf5XX/xytqaVIYHmlJVEUsxwTgAZPA5NczY+NrKbWbPS77R9Z0mS/3fY5b6BEjnIGdqlXYg4BOCBTeX4dPl1BYys1cuf8LG/aU/6B/wz/K6/wDjlH/Cxv2lP+gf8M/yuv8A45VfVvFk+mvdeb4Q8Sy29tuL3MUUHlFVGSwJmBxj1AqIeO9Lk0fSb+3sNUuZ9XTzLOwihU3LoBksVLBQAO5al9Sw3mP61XLv/Cxv2lP+gf8ADP8AK6/+OUf8LG/aU/6B/wAM/wArr/45U3hjxDZa/Dcm2iuba4tJjDdWtygWWB/RgCRz2IJFR+JPEtnol3Z2JtL7UNQvNxt7OyjVpXVRlm+ZlUAY7mm8Bh0k9RLGVm7Df+FjftKf9A/4Z/ldf/HKP+FjftKf9A/4Z/ldf/HKl8LeI7HxDHd/ZYrq2ubOYwXVrdRhJYH9GAJHPUEE1W8P+MdI1zxDqGiaet001ipZ5mjAhkAbadjZy2D7AULAYe6V9/MPrlZX8h7fEb9pPaf+Jf8ADPp6XX/xyvPP2c/GXxr0f4UWFj4Ns/A8mjrcXBibUhP55YyEvnY4GNxOOOlewt91voa80/Zi/wCSOab/ANfNz/6NNS8voqoo66p/oUsZU5HL0/U67/hY37Sn/QP+Gf5XX/xyj/hY37Sn/QP+Gf5XX/xyrviXWLTw/oV3rN8srW1rGZJBEoZyB6Akfzp2u6ra6PoV3rN2sptrSBp5BGoLlQMnAJHP41UsBh4pt9CVjKzaS6lD/hY37Sn/AED/AIZ/ldf/AByj/hY37Sn/AED/AIZ/ldf/AByodT8YWFo+n29vYalqV7qEH2iGzs4laURY++25lUDt1p194u06z0a0v5bW/E95Kbe2sfJH2mSbODGFJ25B77se9DwGHV730/r89PUFjKzt5kn/AAsb9pT/AKB/wz/K6/8AjlH/AAsb9pT/AKB/wz/K6/8AjlR+B9c1LVrOWLW9HvNK1KBsyxTRBVKk5UqQzA8YB5654roqccuoNJ6ieNqp20MH/hY37Sn/AED/AIZ/ldf/AByj/hY37Sn/AED/AIZ/ldf/AByt6in/AGbQ8xfXqpg/8LG/aU/6B/wz/K6/+OUf8LG/aU/6B/wz/K6/+OVvUUf2bQ8w+vVTB/4WN+0p/wBA/wCGf5XX/wAco/4WN+0p/wBA/wCGf5XX/wAcreoo/s2h5h9eqmD/AMLG/aU/6B/wz/K6/wDjlH/Cxv2lP+gf8M/yuv8A45W9RR/ZtDzD69VMH/hY37Sn/QP+Gf5XX/xyj/hY37Sn/QP+Gf5XX/xyt6ij+zaHmH16qYP/AAsb9pT/AKB/wz/K6/8AjlH/AAsb9pT/AKB/wz/K6/8Ajlb1FH9m0PMPr1Uwf+FjftKf9A/4Z/ldf/HKP+FjftKf9A/4Z/ldf/HK3qKP7NoeYfXqpg/8LG/aU/6B/wAM/wArr/45R/wsb9pT/oH/AAz/ACuv/jlb1FH9m0PMPr1Uwf8AhY37Sn/QP+Gf5XX/AMco/wCFjftKf9A/4Z/ldf8Axyt6ij+zaHmH16qYP/Cxv2lP+gf8M/yuv/jlH/Cxv2lP+gf8M/yuv/jlb1I7KiM7sFVQSzE4AA6k0PLaC7h9eqmF/wALG/aU/wCgf8M/yuv/AI5R/wALG/aU/wCgf8M/yuv/AI5TPCHi/SvFM2oR6ZHdqLF1V3miCLIGzhk5JI+U9cVc1/Wl0poIo9L1LU7icnZBYxKz7R1YlmVQOnfPPSp+oYflUtbFfXK1+XqVv+FjftKf9A/4Z/ldf/HKP+FjftKf9A/4Z/ldf/HKh0jxfZavodzqemadql1LaymGewWJBdRyA8qVZguR1+90qvD44j/t7TtFvPDPiHTrnUWZbc3MMIU7VLMTtlYgADriksDhnbV6/qP63X18v0L3/Cxv2lP+gf8ADP8AK6/+OUf8LG/aU/6B/wAM/wArr/45VaHx14euPGieErWaa51BhJveKPMMbIMsrOf4vYZ/CumPAPBPtTjl+HkuZPT1JeMrJ2Zhf8LG/aU/6B/wz/K6/wDjlH/Cxv2lP+gf8M/yuv8A45WXrXj3+xrC41DUvB3im3s7cZkmaC32gZxn/XZ5+lbOv+I9P0Pw8Nbv0uFhZV2QogMzs3RAueW59fxqfqWGs229CvrVe6Xci/4WN+0p/wBA/wCGf5XX/wAcrxr9rLxT8WNe8F6Tb+P7XwjDYx6jvgOkCbzTL5bDDb2I24J6d6910HU7fWtFtNWtFlWC7iEsYkUBgD6gE4P4147+2P8A8iJo3/YTP/opqnE4ClTpSkr3RVDF1JzUWehftD5/4V54mx1w2P8Avqr+maX4jeyng1/WLG8tp7fy1W0057V0JHXeZX/QCrPjO98IajNqeja3qujSQvK8dxbTXyIcg8hhuBBrC0S2+HGi3ovdM1TSYJwpUMdaMgwevDykfpXVTimtdml18uxz1G9lum+np/kcvYXN/qOgaJ4Fe7uvt0OpNa38okIl+z27ZLFuvzqOvvVSKx8Q+L7zxHcPplpdT2l/PawTy69PZvZIjEJiKOMr0AbLE5zngcV39vc+A7fXrjXodU0BNTuY1jmuBqEe51AwBjfj8hVLVrT4aarqJ1G+vtCkumADSLqoj346bgkgDfiDSdJyS5pa9fw1X3fi9Rqoley/rX/P8FoYc2n32reKvCel+INUluC+jO98bG6ZYbtwDk5XBKn1GDXO+JLWK4+F3jfTLhp57bRtSkSxDzuWiQ4bBbOWAzxuzxXqH9o+Cf7Qt9QGr6AtzbRGGCRb+IeXGeqgBsY/CoRP4BFtqNv/AGn4f8nUnaS9Q6hGROxGCT83p6YonSUlLVa3/Fpr7vw6ChUcWtNmvyszV8M6TY6PpMNrp8LxQlQ+15nkOSOuXJP6159pcXii+vvG2l6LZ6WLe61Jo3vLm7YPCTEgJEQQh+P9sV2Giah4J0SwWw0vXNGt7ZSSqf2oj4z7s5P61JYar4MsZbqWz1vQoXu5fOnK6hH+8fAG45b0ArepGM5avSzVvW2npp5GUHKC21uv1ONufC8KeM/CvhSTUL1tLstFZZYo5miFzs4G7aQR07HPvVyy02x8TePtb0PVnuns9FhgjsbBLmSLCNGCZiVYM+SSuST931zXTPqngx9Vi1V9a0I3sURhjm/tCPcqHqv3sVQ1+P4da9PHcarqOhTzRqVWRdUWJ8HsWRwSPY1m4LfR6tvzve33XLUnrvsv0OE1mH7d8KvHGn3dzNqFho948WmztM24KoQ7SwI37GZl5z05rd1Gyg0dvh7Y6aZ7e3nvQZUFxI2/dGpIJZiSPboK6Uz+AToDaD/aXh/+zGj8trYX8YVl9zuyfrnJqS5vvA9y9g8+r6DI2nsHtCdQj/csBjI+b0HelGml1V/c/wDJXr9//DjlNtWt/N+K0+45b4W+HNJt/Gni+8itZVmtNVCQsbmUhVaGNjkFsHknkg16bXKpJ4ATxA+vpquhpqbrteddTUbhjHKh9p4A5IzWp/wk3hr/AKGTRf8AwPi/+KrWio06ahpoRUvObl3Naisn/hJvDX/QyaL/AOB8X/xVH/CTeGv+hk0X/wAD4v8A4qtOePcjlfY1qKyf+Em8Nf8AQyaL/wCB8X/xVH/CTeGv+hk0X/wPi/8AiqOePcOV9jWorJ/4Sbw1/wBDJov/AIHxf/FUf8JN4a/6GTRf/A+L/wCKo549w5X2Naisn/hJvDX/AEMmi/8AgfF/8VR/wk3hr/oZNF/8D4v/AIqjnj3DlfY1qKyf+Em8Nf8AQyaL/wCB8X/xVH/CTeGv+hk0X/wPi/8AiqOePcOV9jWorJ/4Sbw1/wBDJov/AIHxf/FUf8JN4a/6GTRf/A+L/wCKo549w5X2Naisn/hJvDX/AEMmi/8AgfF/8VR/wk3hr/oZNF/8D4v/AIqjnj3DlfY1qKyf+Em8Nf8AQyaL/wCB8X/xVH/CTeGv+hk0X/wPi/8AiqOePcOV9jWorJ/4Sbw1/wBDJov/AIHxf/FUf8JN4a/6GTRf/A+L/wCKo549w5X2Naisn/hJvDX/AEMmi/8AgfF/8VR/wk3hr/oZNF/8D4v/AIqjnj3DlfY1qKyf+Em8Nf8AQyaL/wCB8X/xVH/CTeGv+hk0X/wPi/8AiqOePcOV9jWorJ/4Sbw1/wBDJov/AIHxf/FUf8JN4a/6GTRf/A+L/wCKo549w5X2Naisn/hJvDX/AEMmi/8AgfF/8VR/wk3hr/oZNF/8D4v/AIqjnj3DlfY1qKyf+Em8Nf8AQyaL/wCB8X/xVH/CTeGv+hk0X/wPi/8AiqOePcOV9jWorJ/4Sbw1/wBDJov/AIHxf/FUf8JN4a/6GTRf/A+L/wCKo549w5X2Naisn/hJvDX/AEMmi/8AgfF/8VR/wk3hr/oZNF/8D4v/AIqjnj3DlfY1qKyf+Em8Nf8AQyaL/wCB8X/xVH/CTeGv+hk0X/wPi/8AiqOePcOV9jWorJ/4Sbw1/wBDJov/AIHxf/FUf8JN4a/6GTRf/A+L/wCKo549w5X2Naisn/hJvDX/AEMmi/8AgfF/8VR/wk3hr/oZNF/8D4v/AIqjnj3DlfY4jUf+TnNH/wCxZl/9GyV6bXkeoa3ojftIaTerrWmG1Xw3LG04u4/LDea/yls4z7da9G/4Sbw1/wBDJov/AIHxf/FVjRkry16mtWLtHToYHw5dR4q8a2Z4uBqyzeX/ABbGt4gGx6ZB59qydEsdM17WviHDqEqf2VeXkNq8olCgssMYIDdMhuPqMVt67D8ONculutU1DQ5rhV2CVNVWJyvoSkgJH1zVmK58BRaKdFj1Lw8unldpgF9Fgj1J3ZJ98596nkukpW0VvXb7tF5j5rNyV7v8Ov5mFo11r3hnxTaeCPEGpw6zpl5YzPbXToIriFEOCswBwy7WADjb0PFUdQTXfhlpUF9pWrQat4Xe8RI7G5jxPFHKeFhmU4cZJIBXp3NdDosHw30d5306/wBBjeePypXk1NZWZOfly7kgcngVl+H9C+HOkazc6kmtaJNmYSWcMmpho7RQoG1VaUqeQTnAxnAotK611736X289OrC610+Vv6seiA5APIz60tZP/CTeGv8AoZNF/wDBhF/8VR/wk3hr/oZNF/8AA+L/AOKro549zDll2Naisn/hJvDX/QyaL/4Hxf8AxVH/AAk3hr/oZNF/8D4v/iqOePcfK+xrUVk/8JN4a/6GTRf/AAPi/wDiqP8AhJvDX/QyaL/4Hxf/ABVHPHuHK+xrUVk/8JN4a/6GTRf/AAPi/wDiqP8AhJvDX/QyaL/4Hxf/ABVHPHuHK+xrUVk/8JN4a/6GTRf/AAPi/wDiqP8AhJvDX/QyaL/4Hxf/ABVHPHuHK+xrUVk/8JN4a/6GTRf/AAPi/wDiqP8AhJvDX/QyaL/4Hxf/ABVHPHuHK+xrUyaGK4iaCaGOaNxho3QMrD0IPBrM/wCEm8Nf9DJov/gfF/8AFVBf614SvrOWzuvEGjSQSrtdRqUa5H1Dgj8DSclYFF3MX4cKY/FvjjCbVTU0GMYCjYfyrF8VaVN4E8KXPiLw34o1MQJdC4WxmeKW2uWkcBkXCBsnPGGPNbGi6X8L9F1Iajpd7ottdgk+YNZLbiQRkhpSG4J6g0WWl/C2zv4763utBWeNy8e7VQ6Kx7hGkKjr6cdq51B8sVdXSte/p9+3X8TbmXM3Z27W9fuOvjv7YRRtcXEEEpgE7I8gVlXAJYgngDPXpXnnjMaxpni/wrqXiG7tdYs5NQ8iyt7W3Ns0UsikLKcs/m7VJ6FcZzzjFaKf8I1c+NtQ1/VPEXh6WGSxFhbQDUIiPKPMm/J7kDj0zU+kWPwz0m/W+sL3Qo7lAQkj6sJdmf7oeQhfqKtvncZbWd9+z7ea+6/dExXImt9O3l/n95F8WLiW/XTPBVmxFxrs2ydh/wAs7VPmlPHqoK/VqjlhhsfjRo1vtWOE6FLDZqOBlXUlR74Brb/tDwR/bZ1r+2NCOo+T9n+0HUIywjyDtHzYHIHaodfn8A6/BHDrGqaFdLE2+MnUkRkPqGVww/Oly2fNdXvf5Wat9zv6tjvpy2drfjv+iXoZPhKa2j+JHjjUGnihs0a2illeQKgkCHdknjIqLx8ZtU+IHh/SNDuDYa5HDJdx6iSGRYBw8Zj/AOWobPQFcZznjFaoj+HH/CPSeH/t3h/+y5f9ZbnUUIc5zlm37ic9yc07Wx8O9ahtodT1HQZ1tf8Aj3I1NEaPjGAyOGxjtnFJw9yMbrTz9b+mv4aD5vecrb/5JL1/rc4jSpfEVho3ibw3Z2N7qXiUXqLqWpWkkbPIkoyZVDbArKhOI88Hv3q94IuPsXxNOmWvhXW9Pto9Git1S4WHMShx877ZDwfUZOe1dhoN34F0Gza00jVtCtYWcyOBqMbMzHqWZnLE/U1Mmq+DE1WTVV1vQxeyRCF5v7Qj3FAchfvY60Qp8ri+bb9E1+v9aBOfMpK2/wDmn+hvt91voa80/Zi/5I5pv/Xzc/8Ao012zeJvDW0/8VHovQ/8v8X/AMVXnP7N2t6JZfCPT7e81rTLWYXNwTHNdxo4BkOOCc1UpL20dej/AEFGL9m9Oq/U674yI8nwv19Y0Z2Fm5woycAVF8T761b4P6xeLMjQXWmssDhgRIXX5Qp7k+1bj+I/C8iMkniHRHRhhla+hII9CN1c7ZaX8LbO+S8t7jQFlRi6BtVDxqfURtIUHtxx2pVY86lG6tL8AhLlcZW1i7/l/kJfeFLm/TRtR0fWjpPiPTLGOPOwSo8PdJY8g7Sc8gjFUNN874keEbOS+vl0bxHYXsq211ZOHUXELFWkjVvvoduSPTv3rb18fDzXpo5tW1TRLiWNdquuqrE2PQlJASPY1S8R2Hw/1bwyuhw61oNitvGVspYb9FNqxGNy7ZFJ98nnvSqK7k+j1tfre9/J/m9Qhoort1t0tb5r9Cfwdruv/wDCX6p4R8RPZXlxYwR3EV5aRtGHRuAJEJO1+/U5BrtK5Xw3N4F8P2ZttL1nQ4d2DLIdRR3kOOrMzkn8+K1P+Em8Nf8AQyaL/wCB8X/xVbxdkk3dmcld3Ssa1FZP/CTeGv8AoZNF/wDA+L/4qj/hJvDX/QyaL/4Hxf8AxVPnj3Fyvsa1FZP/AAk3hr/oZNF/8D4v/iqP+Em8Nf8AQyaL/wCB8X/xVHPHuHK+xrUVk/8ACTeGv+hk0X/wPi/+Ko/4Sbw1/wBDJov/AIHxf/FUc8e4cr7GtRWT/wAJN4a/6GTRf/A+L/4qj/hJvDX/AEMmi/8AgfF/8VRzx7hyvsa1FZP/AAk3hr/oZNF/8D4v/iqP+Em8Nf8AQyaL/wCB8X/xVHPHuHK+xrUVk/8ACTeGv+hk0X/wPi/+Ko/4Sbw1/wBDJov/AIHxf/FUc8e4cr7GtRWT/wAJN4a/6GTRf/A+L/4qj/hJvDX/AEMmi/8AgfF/8VRzx7hyvsa1FZP/AAk3hr/oZNF/8D4v/iqP+Em8Nf8AQyaL/wCB8X/xVHPHuHK+xrUVk/8ACTeGv+hk0X/wPi/+Ko/4Sbw1/wBDJov/AIHxf/FUc8e4cr7GtXH/ABSXWLrSLfS9N0rUb21vJgmoNYmPzUgHLKA7KMtwvXgE1tf8JN4a/wChk0X/AMD4v/iqP+Em8Nf9DJov/gfF/wDFVFTlnHluVDmi72OL+G1+/wDwnviW1Xw5qumwbLZR9oWILAqK4AfbIeT2xnoc4rrvEvijTdD0Uai0n20zP5dpBasJHupT0RMdfc9Bg1n6lqHhlLTV59H1zw7DqmoQlGmk1GMBmCkKW+Y9NxPArGstB+Gn/CPaPpep6pod82lxlYZTqioVZuXI2SDqayvNR5U/n+ZdouXM18vkbfw18P6joumXl5rWwarq9215dImdkZbogz6DqfWsrwQ3/CTeONX8YMA1nZk6ZpmfRSDLIPqQo/A1paN/wr/R4bmHTdX0iFLldswbWPM3DBH8chx1PTFXdI1TwXpGnQ6dpmtaFa2kAxHEl/FhR17tn86uKinHXSK0/L8Ff7yW21Lu3/wfzMXxBaxwfFvwitvbJCrwXjkRxhQzFOScdT712v2i3+1fZftEP2jbv8nzBv2+u3rj3rhr3Q/hTe37X91daNLdMxbzTrbBgT1xiXjPtithLrwImtLrS6toI1Fbf7MLj+0Y93lcHb9/GOB70U7x3tv3Cavtcx/Grf8ACSeOtH8HRgNaWmNU1PuCqEeVGfq5U89gao+M21aXxVeXt74W1u803TbORNNNqIWiMjIQ8zbpFIwCQBg8EmupstQ8EWWo3mo2usaFFd3xU3Mw1CMtJt6Zy3GM9BirU3iHwtNC8MviHRHjdSrKdQi5B6j71ZTpc0GubV3f36L7lb89y4z5ZLTTT/g/fr8tDK+D13JdfDvR/MsLuz8u2VB9oCjzB/eXax4+uD7V57+2P/yImjf9hM/+imr1PTtZ8IadYw2NjruhwW0CBIo11CLCqOwy1eP/ALXGraTqHgjR49P1WwvJF1IsyW9ykhA8puSFJwKrGzToy1DCxaqx0Pq2T4F/CXWpG1jVPA+nXN9ek3FzMzSAySP8zMcNjJJJpP8Ahnj4Lf8ARP8ATP8AvuX/AOKr0jSP+QXa/wDXJf5Var5k90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t/wCGePgt/wBE/wBM/wC+5f8A4qj/AIZ4+C3/AET/AEz/AL7l/wDiq9SooA8lm/Z9+DK31vGPh/pe11fPzy9sf7dWP+GePgt/0T/TP++5f/iq9HuP+Qnaf7sn9Kt0AeW/8M8fBb/on+mf99y//FUf8M8fBb/on+mf99y//FV6lRQB5b/wzx8Fv+if6Z/33L/8VR/wzx8Fv+if6Z/33L/8VXqVFAHlv/DPHwW/6J/pn/fcv/xVH/DPHwW/6J/pn/fcv/xVepUUAeW/8M8fBb/on+mf99y//FUf8M8fBb/on+mf99y//FV6lRQB5b/wzx8Fv+if6Z/33L/8VR/wzx8Fv+if6Z/33L/8VXqVFAHlv/DPHwW/6J/pn/fcv/xVH/DPHwW/6J/pn/fcv/xVepUUAeW/8M8fBb/on+mf99y//FUf8M8fBb/on+mf99y//FV6lRQB5b/wzx8Fv+if6Z/33L/8VR/wzx8Fv+if6Z/33L/8VXqVFAHlv/DPHwW/6J/pn/fcv/xVH/DPHwW/6J/pn/fcv/xVepUUAeW/8M8fBb/on+mf99y//FUf8M8fBb/on+mf99y//FV6lRQB5b/wzx8Fv+if6Z/33L/8VR/wzx8Fv+if6Z/33L/8VXqVFAHlv/DPHwW/6J/pn/fcv/xVH/DPHwW/6J/pn/fcv/xVepUUAeW/8M8fBb/on+mf99y//FUf8M8fBb/on+mf99y//FV6lRQB5b/wzx8Fv+if6Z/33L/8VR/wzx8Fv+if6Z/33L/8VXqVFAHlv/DPHwW/6J/pn/fcv/xVV7H9nz4MyRyFvh/peVldR88vQMcfx161VXTP9VN/13k/9CNAHm//AAzx8Fv+if6Z/wB9y/8AxVH/AAzx8Fv+if6Z/wB9y/8AxVepUUAeW/8ADPHwW/6J/pn/AH3L/wDFUf8ADPHwW/6J/pn/AH3L/wDFV6lRQB5b/wAM8fBb/on+mf8Afcv/AMVR/wAM8fBb/on+mf8Afcv/AMVXqVFAHlv/AAzx8Fv+if6Z/wB9y/8AxVH/AAzx8Fv+if6Z/wB9y/8AxVepUUAeW/8ADPHwW/6J/pn/AH3L/wDFUf8ADPHwW/6J/pn/AH3L/wDFV6lRQB5b/wAM8fBb/on+mf8Afcv/AMVR/wAM8fBb/on+mf8Afcv/AMVXqVFAHlv/AAzx8Fv+if6Z/wB9y/8AxVH/AAzx8Fv+if6Z/wB9y/8AxVepUUAeW/8ADPHwW/6J/pn/AH3L/wDFUf8ADPHwW/6J/pn/AH3L/wDFV6lRQB5b/wAM8fBb/on+mf8Afcv/AMVR/wAM8fBb/on+mf8Afcv/AMVXqVFAHlv/AAzx8Fv+if6Z/wB9y/8AxVH/AAzx8Fv+if6Z/wB9y/8AxVepUUAeW/8ADPHwW/6J/pn/AH3L/wDFUf8ADPHwW/6J/pn/AH3L/wDFV6lRQB5b/wAM8fBb/on+mf8Afcv/AMVR/wAM8fBb/on+mf8Afcv/AMVXqVFAHlv/AAzx8Fv+if6Z/wB9y/8AxVH/AAzx8Fv+if6Z/wB9y/8AxVepUUAeW/8ADPHwW/6J/pn/AH3L/wDFUf8ADPHwW/6J/pn/AH3L/wDFV6lRQB5b/wAM8fBb/on+mf8Afcv/AMVR/wAM8fBb/on+mf8Afcv/AMVXqVFAHlv/AAzx8Fv+if6Z/wB9y/8AxVH/AAzx8Fv+if6Z/wB9y/8AxVepUUAeW/8ADPHwW/6J/pn/AH3L/wDFUf8ADPHwW/6J/pn/AH3L/wDFV6lRQB5b/wAM8fBb/on+mf8Afcv/AMVXz1+3R8MPAPgX4e6HqHhLwzZ6TdXGreTLLCzksnlOdvJPGQD+Ffa9fLP/AAUj/wCSXeG/+w3/AO0JKAPpzSP+QXa/9cl/lVqvjvxj+2FqfhLxZq3hePwJZ3SaTeS2SznUWUyiNioYjyzjOM4zWV/w3Fq3/RO7L/waN/8AG6APtmivib/huLVv+id2X/g0b/43R/w3Fq3/AETuy/8ABo3/AMboA+2aK+Jv+G4tW/6J3Zf+DRv/AI3R/wANxat/0Tuy/wDBo3/xugD7Zor4m/4bi1b/AKJ3Zf8Ag0b/AON0f8Nxat/0Tuy/8Gjf/G6APtmivib/AIbi1b/ondl/4NG/+N0f8Nxat/0Tuy/8Gjf/ABugD7Zor4m/4bi1b/ondl/4NG/+N0f8Nxat/wBE7sv/AAaN/wDG6APtmivib/huLVv+id2X/g0b/wCN0f8ADcWrf9E7sv8AwaN/8boA+2aK+Jv+G4tW/wCid2X/AING/wDjdH/DcWrf9E7sv/Bo3/xugD7Zor4m/wCG4tW/6J3Zf+DRv/jdH/DcWrf9E7sv/Bo3/wAboA+2aK+Jv+G4tW/6J3Zf+DRv/jdH/DcWrf8ARO7L/wAGjf8AxugD7Zor4m/4bi1b/ondl/4NG/8AjdH/AA3Fq3/RO7L/AMGjf/G6APtmivib/huLVv8Aondl/wCDRv8A43R/w3Fq3/RO7L/waN/8boA+2aK+Jv8AhuLVv+id2X/g0b/43R/w3Fq3/RO7L/waN/8AG6APtmivib/huLVv+id2X/g0b/43R/w3Fq3/AETuy/8ABo3/AMboA+2aK+Jv+G4tW/6J3Zf+DRv/AI3R/wANxat/0Tuy/wDBo3/xugD7Zor4m/4bi1b/AKJ3Zf8Ag0b/AON0f8Nxat/0Tuy/8Gjf/G6APtmivib/AIbi1b/ondl/4NG/+N0f8Nxat/0Tuy/8Gjf/ABugD7Zor4m/4bi1b/ondl/4NG/+N0f8Nxat/wBE7sv/AAaN/wDG6APtmivib/huLVv+id2X/g0b/wCN0f8ADcWrf9E7sv8AwaN/8boA+2aK+Jv+G4tW/wCid2X/AING/wDjdH/DcWrf9E7sv/Bo3/xugD7Zor4m/wCG4tW/6J3Zf+DRv/jdH/DcWrf9E7sv/Bo3/wAboA+2aK+Jv+G4tW/6J3Zf+DRv/jdH/DcWrf8ARO7L/wAGjf8AxugD7Zor4m/4bi1b/ondl/4NG/8AjdH/AA3Fq3/RO7L/AMGjf/G6APtmivib/huLVv8Aondl/wCDRv8A43R/w3Fq3/RO7L/waN/8boA+2aK+Jv8AhuLVv+id2X/g0b/43R/w3Fq3/RO7L/waN/8AG6APtmivib/huLVv+id2X/g0b/43R/w3Fq3/AETuy/8ABo3/AMboA+zrj/kJ2n+7J/SrdfET/tu6o1xFN/wruyzGGAH9qP3x/wBM/apP+G4tW/6J3Zf+DRv/AI3QB9s0V8Tf8Nxat/0Tuy/8Gjf/ABuj/huLVv8Aondl/wCDRv8A43QB9s0V8Tf8Nxat/wBE7sv/AAaN/wDG6P8AhuLVv+id2X/g0b/43QB9s0V8Tf8ADcWrf9E7sv8AwaN/8bo/4bi1b/ondl/4NG/+N0AfbNFfE3/DcWrf9E7sv/Bo3/xuj/huLVv+id2X/g0b/wCN0AfbNFfE3/DcWrf9E7sv/Bo3/wAbo/4bi1b/AKJ3Zf8Ag0b/AON0AfbNFfE3/DcWrf8ARO7L/wAGjf8Axuj/AIbi1b/ondl/4NG/+N0AfbNFfE3/AA3Fq3/RO7L/AMGjf/G6P+G4tW/6J3Zf+DRv/jdAH2zRXxN/w3Fq3/RO7L/waN/8bo/4bi1b/ondl/4NG/8AjdAH2zRXxN/w3Fq3/RO7L/waN/8AG6P+G4tW/wCid2X/AING/wDjdAH2zRXxN/w3Fq3/AETuy/8ABo3/AMbo/wCG4tW/6J3Zf+DRv/jdAH2zRXxN/wANxat/0Tuy/wDBo3/xuj/huLVv+id2X/g0b/43QB9s0V8Tf8Nxat/0Tuy/8Gjf/G6P+G4tW/6J3Zf+DRv/AI3QB9s0V8Tf8Nxat/0Tuy/8Gjf/ABuj/huLVv8Aondl/wCDRv8A43QB9s0V8Tf8Nxat/wBE7sv/AAaN/wDG6P8AhuLVv+id2X/g0b/43QB9s1V0z/VTf9d5P/QjXxh/w3Fq3/RO7L/waN/8bqO3/bd1SFWUfDuyO52f/kKP3Of+edAH27RXxN/w3Fq3/RO7L/waN/8AG6P+G4tW/wCid2X/AING/wDjdAH2zRXxN/w3Fq3/AETuy/8ABo3/AMbo/wCG4tW/6J3Zf+DRv/jdAH2zRXxN/wANxat/0Tuy/wDBo3/xuj/huLVv+id2X/g0b/43QB9s0V8Tf8Nxat/0Tuy/8Gjf/G6P+G4tW/6J3Zf+DRv/AI3QB9s0V8Tf8Nxat/0Tuy/8Gjf/ABuj/huLVv8Aondl/wCDRv8A43QB9s0V8Tf8Nxat/wBE7sv/AAaN/wDG6P8AhuLVv+id2X/g0b/43QB9s0V8Tf8ADcWrf9E7sv8AwaN/8bo/4bi1b/ondl/4NG/+N0AfbNFfE3/DcWrf9E7sv/Bo3/xuj/huLVv+id2X/g0b/wCN0AfbNFfE3/DcWrf9E7sv/Bo3/wAbo/4bi1b/AKJ3Zf8Ag0b/AON0AfbNFfE3/DcWrf8ARO7L/wAGjf8Axuj/AIbi1b/ondl/4NG/+N0AfbNFfE3/AA3Fq3/RO7L/AMGjf/G6P+G4tW/6J3Zf+DRv/jdAH2zRXxN/w3Fq3/RO7L/waN/8bo/4bi1b/ondl/4NG/8AjdAH2zRXxN/w3Fq3/RO7L/waN/8AG6P+G4tW/wCid2X/AING/wDjdAH2zRXxN/w3Fq3/AETuy/8ABo3/AMbo/wCG4tW/6J3Zf+DRv/jdAH2zRXxN/wANxat/0Tuy/wDBo3/xuj/huLVv+id2X/g0b/43QB9s0V8Tf8Nxat/0Tuy/8Gjf/G6P+G4tW/6J3Zf+DRv/AI3QB9s0V8Tf8Nxat/0Tuy/8Gjf/ABuj/huLVv8Aondl/wCDRv8A43QB9s18s/8ABSP/AJJd4b/7Df8A7QkrjP8AhuLVv+id2X/g0b/43XmX7RH7Q158YfDGnaHc+FrfSBZXv2oSx3hlLnYybcFRj72c+1AH/9k=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4676775" y="600075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38100</xdr:colOff>
      <xdr:row>3</xdr:row>
      <xdr:rowOff>160020</xdr:rowOff>
    </xdr:from>
    <xdr:to>
      <xdr:col>4</xdr:col>
      <xdr:colOff>342900</xdr:colOff>
      <xdr:row>5</xdr:row>
      <xdr:rowOff>62865</xdr:rowOff>
    </xdr:to>
    <xdr:sp macro="" textlink="">
      <xdr:nvSpPr>
        <xdr:cNvPr id="9" name="AutoShape 2" descr="data:image/jpg;base64,%20/9j/4AAQSkZJRgABAQEAYABgAAD/2wBDAAUDBAQEAwUEBAQFBQUGBwwIBwcHBw8LCwkMEQ8SEhEPERETFhwXExQaFRERGCEYGh0dHx8fExciJCIeJBweHx7/2wBDAQUFBQcGBw4ICA4eFBEUHh4eHh4eHh4eHh4eHh4eHh4eHh4eHh4eHh4eHh4eHh4eHh4eHh4eHh4eHh4eHh4eHh7/wAARCAF1A7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NUDaOB0pcD0FIn3R9KWgAwPQUYHoKKKADA9BRgegoooAMD0FGB6CivLPj78Q/EXgafw1aeG7LSbm51m7a2J1BZCiEbcH5GB7+9HVLvoPo321PU8D0FGB6CvK7m+/aBsUM7aD4A1RUzm2s7m5ilf2VpDtz9a0fhX8VNO8aaheeH77Tbnw/wCJ7DP2vSro5YAdWRsDcPwH5c00r6IT0V2eh4HoKMD0FeZ+I/iHq2m/HjQfAENnYvp2pWf2iWd1fzlbcwwpDbcfL3Br0t2VEZ3YKigsxPYDqaX2ebpr+AP4uXr/AJi4HoKMD0FfO2n/ALQuryfECFLzQrKHwNdapJptvqoVzIzpgFs7tpGSD93ofY19FfkfpTSvFS6MHpJx7CYHoKMD0FfOvxH+PXi7wx8TNa0Wy8N6Xe6FoskH2yY+Z56xuoJbIbA5J/hPb1r6A0fUbPV9JtNU0+YTWl3Cs0LjurDIpR96Cmtgl7suV7lrA9BRgegrg/jZ4/bwF4ahnsLOPUNb1CcW2m2Tk4lkPUkDnaB15HUVjfs6/EjxB8Q7DXP+Ei03T7C80u9+zFLMOFJxznczcgg9DRH3r26f8D/NBL3bX6/1+h6rgegowPQV5X43+Lk1r4ybwN4E8OS+KfEka7rhRL5VvaD1kfHuOOOvWq1xrX7QljB9tm8H+CtRjUbns7K8lW4x6BmYqT9AaSel+g2rO3U9dwPQUYHoK4H4P/FHSviJbXsEdlc6TrOnP5d/p1zy8R5GQeNwyCOgIxyOlcN8bvjV4p8C/EZPD+jeHLHVLCHT0vrwuJPOEZcqxUhgBjjqD1py91pPqJap26Hu+B6CjA9BWR4L8SaX4u8M2XiDR7hZrS7jDDB5Rv4kPuDxXF+A/iHq3iD4xeLvBl1Z2MVjoiobeWJX8184++SxHfsBT5Xz8nXX8BXXLz9NPxPS8D0FGB6CvHPHfxE8eQfGmD4d+D7Dw07S6eLsTaqJ+uTkZjb2HarGqeIvjp4et31DUvBvhTxBZxDdLFot3NHOqjqQJc7voBUpq3N0Ks+bl6/0z1vA9BRgegrk/hf8QNA+IegNqmiSSI8L+Xd2k42zW0n91h+Bwe+DXWjrVNNOzJTT2EwPQUYHoK8Nh+I/xT8QfE/xP4S8IaV4QMOhy7fM1H7QrupwByj4J/AV23g2b4wSa7Gvi+y8FxaTtbzG017gz7sfLjeSMZxmlH3kpdHqOXutrsd5gegowPQV4D8avjV4x8GfEW58O+H/AA7pWpWdlYJfXJn8zzjHn58FWAGB7HHWvaPBviCw8U+F9P8AEGmyB7a9hWRcHO091PuDRH3o8y/r+rMJe7Llf9bf5o1sD0FGB6CuQ+L3je38AeCbrXZIVubskQ2Nrk5uJ2OFXjk+px2BrjP2fvih4q8da94h0XxVo+mabdaTtytmH4JOCG3M2fwxRH3m0ugS91JvqexYHoKMD0FLXmmtXHx1XV7tdH0/wA+nCVvsrXMl0JTH234bGfpSvqB6VgegowPQV89fET4m/GrwRc6VZ6lo/gO8vtVnENnaWX2qSWQk4zguOM8Zr0rxfP8AF1b6D/hErHwbJZmBTN/aUlwJBLj5gNhA256d6fS/nYOtvmd3gegowPQV89WfxM+NV18Tbr4ex6P4DGrWsHnyOTdeSV254bfnPPpXqXgm4+Jm6+k8c2vhaGBId1t/ZLTFi/ff5hIxj0pXXLzdLXDry9djs8D0FGB6CvN/2e/H+rfEXwfdazrFnY2s8N40CpaK4UqO53Mxz+NaHx08Y6h4C+Gt/wCJ9LtrS5uraSJVjuVYxkM4BztIPT3pz9zfy/H/AIccFzuy9PuO4wPQUYHoKx/A+rTa94N0fW7iOOKa/soriRI87VZlBIGecc1sVUouMnF9CIyUkpIMD0FGB6CvMvjr8RtX8Fro2k+FdLttX8SavOUtrSYMV2DqxCsp65HWtD4F/EFfiN4HTV54YrXU4JWt9QtYwQsUg9ASTgjB5J61MfeTa6FS921+p3uB6CjA9BXA/HzxxqXw9+Hk3iLSbO1u7tbiKFI7kMY/mOMkKQf1rM+BHxVfx7FfaTr1hDo/ifTnIubJCQrp/fQMSce2T69KI+82l0CXupN9T1HA9BRgegrzP42/EPVvA2p+FLXTLOxuF1m/NtOblXJRfl5Xaw5575q78f8AxxqXw88ASa/o9laXl59qjgSO6DFPmJ5IUg/rScko83S9vnp/mNK8uXra/wCf+R3+B6CjA9BXmHwJ+KjePre+0vXLGLSPE+myFbuxUkBl7OgbJx7ZP5U/40/EPVvBGt+ErDTbOxuE1q+a3uGuFclFG3ldrDn5u+atxalGPe1vmSpJpy7Xv8j0zA9BRgegrz79oDxzqfw88DrrukWtndXBvorfZdKxTa2cn5WU549ayfjN8SPEngXwx4c8T2Ol6dd6ZdvGuqear7od6qQUIYAfxdc9KhNP70vmymne3k39x6vgegowPQVBpt7bajp1tqFnIJba5iWaJx/EjDIP5GvNfix8SNY8P+OvDHgnwrY2F9rGrybpxdK7LBBnAbCsOTh+vpVWfMo9W7EppxculrnqOB6CjA9BXlPx3+InibwXrHhfSPDNno9zc65cSQF9QWTYhXbgjYwIHzH1qZpP2ggSPsvwyyP9u9/xpLVXXp9w3o7fM9QwPQUYHoK4z4leJta8HfCfUPEz2+nz6vY2qSSRAObcyEgNjkNt5OOc1xnhjxF8efEPhex8Q6fpnw7e3vIBPFCz3aSkH+HltoP44o6vyDovP+v1PZsD0FGB6CvNvg18Uv8AhOr7VtB1TRJNE8Q6O4S8tTKJEOSRuRuOMjp7jk1neIPif4j1L4jXvgH4c6BYahqOnRh7+/1Odo7aAnHy7U+ZjyOh/Dijqkuuq9O4d79Nz1rA9BRgegrz3wxrXxXh8TWumeL/AAnoc2n3OQdT0a6fZAQM/PHJlsHpnivQJpY4IZJ5nEcUal5HPRVAyT+VD0VwWrsOwPQUYHoK+d/DP7QWs33xBsbfVdBsrPwZql/NY6fqQV/Md0wASdxUglh/CPvD0NfRPfFOz5VLuD0k49hMD0FGB6CvEI/iJ8T9f+Knifwd4R0/wesWiMv7zUxcBnU47o2M5PoKk1P4q+OPAniPStN+J3hnSBYarOIbfU9EuHMaOSBhkkye/qOM4zilF8yi++wS91tdtz2vA9BRgegrzT44+O/Evw/tdK8RafpdjqXhszrHqrMj/aIEYjbIhDBcdeo64Heu1PiXRF8Jf8JWb+L+x/sv2v7QDkeXjP59sevFK65XLotx2d0u+xrYHoKMD0FebfAzxx4m+INlqfiDUdJstO0E3Bj0nYr+fMo6s5LEEdOgHX2r0mqaa3JTTvYMD0FGB6CkkbbGzegJrzb9n/4g6t8Q9D1a/wBXs7G1ksr9raMWquAVGeTuY88Ulq2l0V/xsN6JPvp+v6HpWB6CjA9BXzprP7QuuaF8U9T0jVfD1kfCmnakLC4v4RJ50O7O12O4qehJG0dPWvoSG6guLBL20lSeCSPzIpFOVdSMgg0k17NVOg2rT5OpPgegowPQV5t+z98QNW+InhzUtT1azsbWW1vmtkW1VwpUZ5O5jzWf4u+Ll6/jKbwR8OfDn/CUa9bg/a5Xm8q0tMdd798HjqPrTas0ur1/C4ujfbT8bHrOB6CjA9BXkj+IPjzpMYvdU8D+FtatVG6W30i+kjuFHfHmEhj7Ac13HiXxno/hnwQfFniHz9OtFhWR4ZU/fBm6R7f7+eMUNpK4JNtI6PA9BRgegrxrRfHPxk8ZWqat4T8CaFpGjzDdbza9dyGWZezBIyCAfxHuar33xe8YeBdTs7b4seDLbT9Ou5PLTWNJuDLbq3+0hyR69c47GnZ3s9GHS61PbcD0FGB6Cuf8eeIW0H4f6v4n09IbtrOwkuoAxPlyYUkZxzg+1eUfAv43654u8UQ6B4y0fTtLl1G0+1aVNabwk46lTuZucZ79eMURXNJx6r/g/wCTBu0VLp/w3+aPd8D0FGB6Civnv41fHvX/AAv4k1DT/B+iaZqVho5jj1O8u97KkznAjXay8joevNS5JNIai2mz6EwPQUYHoK5HxZ4qvNJ+Et54xtraBruHS/tqQyZMe7ZuwcEHH41wfgfxR8dPF3hSw8SabY/DqK0vo/MjSc3gcD3AYj9appqTj2/r9CU04qXf/gf5ntWB6CjA9BXOeBW8ctaXB8cR+HUufMH2caOZimzHO7zOc5z0rfupo7a2luJmCRRIXdj2AGTSlaOrGtSTA9BRgegrxbwx8SviP8Rlu9S+HXhvw9a6FbztBHea5cS7rkjuqRYK/jn612PhLWviPfWWr2XiHwnpul6taxBrK5juzJZXbHp0+dcdxyaNlf5h1t8juMD0FGB6CvEPGviz48eEfCt94j1TSfh69pYx+ZKsL3TOR7AuKf4N8U/HnxV4ZsPEGnaV8PEtL6MSxCZ7oOFz3AY80LW/kD0se2YHoKMD0FV7FrldNhk1PyEuVhVrnyc+WrhcvtzztznGe1fP1h+0Lq8nxAhS80Kyh8C3OqSabb6qFcyM6YBbO7aRyD93ofY00rz5FuH2OfofROB6CjA9BVTWTqK6VdNo62smoCM/ZhcsRCX7bivOPpXjPjnxh8d/B3hS98SatpPw9e0s0DSrA10zkE44BcevrUOSW40m9j3HA9BRgegrxbwj4m+PXibw5p+vWGlfDxLS+iEsYle6DhSe4DHmrvxo+InjDwbfeENI0ax0KfU9ddoZ2vBKYY5AEzt2sDtyx65OMVbi01Hre3zJTTV+lr/I9cwPQUYHoK8vaT9oIEj7L8Msj/bvf8a3fiV4o1jwb8KNQ8TSW1hcatY2qPJEN/2cyEqGxyG28nHOamTUY8zKinKSijs8D0FGB6CvFfgL8Y9Y8Z+ILjw54w0mw0nVGtUvbD7KWCXMLdeGZuRx0PrxxXtY61couJKknsJgegowPQV85/E79oLxBovjC5s/Cuh6XfaDY30On3N/c+YS9w+SVTayjgKexwRzXrHxZ8X33hH4V6h4u0+2tpru3t4pUinDGMlyoIO0g/xetRzLk5+hfK+f2fU7TA9BRgegrx7wzrnx48QeHrDXLOz+G6W17CJolkN4GCn1AJ5r0PwS3jA6TI3jWPQk1ASHYNIMvleXjjPmc7s59qqS5b36ERalZrqb2B6CjA9BXzh4J/aL1a58dDTfF2h2Gn+H7m/lsLbUrfzB5cqHgSFmIOcjoB1z0zXvXi7VJNH8J6rrNsscslnZS3MSvko5VCwzjscdqmT5Yc72KSvPk6mrgegowPQV5b4E8Z+PPHHwesvE+g2Hh1NeuJ2VobszJahFPJGGLZ/GuO+JnxK+Nfw/tNOudb0fwHImoXa2kItjdMQ5BIJy4wOKck4y5X/VyU01zI+g8D0FGB6CvM9CuvjrNqFk2q6f8P0053RrhreS680RnBO3LY3Y6Z4r0002guJgegowPQUUUhhgegowPQUUUAGB6CvAv23dZ1jQ/h7oVxouq32mTSasUeSzuHhZl8pjglSCRntXvtfOn7fP/JNfD/8A2GD/AOiXoA+ik+6PpS0ifdH0paACiiigAooooAK8C/ay/wCRk+G//YYb/wBkr32vKP2g/h/4n8bT+GLzwvLpa3GjXjXLLfyuit93AG1T6e1CdqkJdmmDV4Tj3T/I9Zf75+tfOPjlwP20PCo0kJ9p+xIL/Z1K5bO7/gO38MV29yv7Ql4BEsvgHSwx+aeIzzsB7KygZq78KfhVb+D9YvvFGs6xceIvFOoE/adRnG0Kp/hRf4R/TAGAKcFacZPp/lb9Qm7wlFdf87nFeOv+TxvBv/YL/wDZ5K3v2rfHKeEvhy2m29yINR1xzawvnHlR8eZJxzwCPzq/4l+H+ual8f8Aw/48t5rEaVp1l5EyPKwmLbmPyrtwR8w7imS/D3XtY+PieOfEVxYSaJpduI9HtY5GaRXxku4KgA7i3c9vSoUeanGm+8r+l2/x2KcuWpKa7K3rZL8DyzxL4g+Cd18BIfANj4uslvbG3Wa1mFtMM3YGWfOz+Ji35j0r1b9mPx1/wnHwusZrmdZNT07/AEO8GeSV+62PddvPrmvUAFznaPyryjwn8OvEHhX45a14o0ebTh4X1yMNd2pkZZkmA+8q7cHnceo+97VrGV5yv9rX5r/NafcZuNoRt9n8nv8A5/ecV4V0mz179p34m6LqEYktb3TY4ZVIzwY05/A81qfs2a7c+GNW1/4R+JbnZc6DK8+nySt9+0PzdfYHd/wLHaup8HfD/WtI+O3irx1dT2R03VYI47aOORjKCqqDuBUAdOxNYv7Q3wi1rxxrGmeIPB+pW+l6zDE1pdyyzNGJLc84BUHkZb6g1lBuEIW/ls/vbX3P8GzSaUpz9br7kn9/5pGd8Pt3xV+MmqfEKfL+HvDe6w0RCflkmAJeYdu457gj0qt+x1u3/EDbnd/bcmPrlq9i+HvhWx8G+CdO8M6eoEVrBsZ/78h5dj9WJ/CuO+AHw81vwC/idtYuLGX+1dTa6t/s0jNhCTjdlRg89OavlUW4J6ctr93dNv56shtySk1re/orNJHEfsf+TL4m+I1xckvqv9q7ZmflvL3ybf1z+VfRVeQeKPhLrVj46uvHfwz8Rx6Hq94uL2yu4vMtLo+pA5X8j7dTUk9t+0NfQpZtqHgXSQwKy3tsJppAPVUZQAfxpJ3jFdUkvuG1aUnfRtv7zjvBYi/4bX8T/wBl7jB/Zp+2bPuB/wB317en61p6vDFcftmWsE8ayxSeGmR0YZDKXIIIru/hB8MtO+H1te3Bvp9W1zU3EmoajPw0rc8Afwrkn8/pVG68B61L+0PbfEFZrL+yYtJ+xMhkbzvM3E527cY/GiKSdOL6J3+af4a2CTbU5d7W+Tj/AJXPPtLaf4B/FgaXcPK3gDxPPm1cnIsbnPQ+g5x7jH901e+DRVv2n/iUysGUpGQQcgj5ea9d+IvhHS/HHhC98N6sv7i5X5JAMtDIPuuvuD+mRXmH7PHwn8XeAPFuuat4l1ax1GO8gS3t5IZXaRlU8FgyjHAHGTRSfvrm6Jq/k1p81t6WFV1i+Xq1f1T3+f5+pS1L/k9nT/8AsBf1avflzuGOua8W8eeAfiC/xwt/iJ4PPh2VYdPFoIdSnkTnJycIh9R3q3qWk/HzX4ZNPute8IeG7SaMpJPp0cs84B67S4G04zz2pRb9nFW1V/zbKklzt9Hb8kcf+z9IrftI/EcaSEGkHlvL+55m9cY/8f8A1r6OHWuN+E/w70T4daA+m6U81zcXD+be3k5zJcSep9BycD3NdkOtXZRjGC+yrE3vKU+7ufMHgS88ZWn7Q/xIPg/Q9L1WZph56318bcIuRgggHJzXtvg/UfiTdasY/FfhfQtNsPLJE1nqhnff2G0qOOvNYHw3+H+ueHfi54z8WX81i9hrbA2qxSM0i4IPzgqAPwJr1Cpp6UoLyHPWpN+Z8+31tb3v7Z0tndRLLbz+HjHKjdGVkII/I0/4GXlx8O/ijrfwg1advsUzte6FI5+8h5KD6jnH+zXYf8K/1o/tFf8ACw/PshpI0z7KI/Mbzi+Mfd24x75qt+0R8MNU8e2mlan4WvoNO8SaXKfs9zLK0Y8pvvLuUEg9COO3vUxbhGDt0afzbt92j9LjkueUlfs18or89Uc7auvxf+PguEcTeEvBTgxlTlLq9zw3uAQSD/s471U/Zw/5Ll8UP+vs/wDoyvVvg74Jt/h/4FstBjZZbkZlvJxk+dM33myecelc38Jfh1rfhP4keNPEeo3FjJZ63cGS1WF2Lgbs/OCAB+BNaRShNRvolLXu3b8/yRE25wcrbuOnZK/9PzZ6nVfU72103TrjUL6ZYLW2iaWaRjgIijJJ/AVYrzf4/wDhLxf458KQeGfDV7YWNndTqdTmuJWVzCDnagCnPOD1GcYrOV7WjuaRtf3tjhPghZ3XxO+J+qfF/WYXXTrV2tNBgkXhVHG/6gd/U5r6DrL8J6Fp/hnw3YaDpcIhtLKFYo1HfA5J9SfWtStJWSUY7L+r/MzV23KW7/q3yPnvw5/yexrv/YLH/osV79ff8eNx/wBc2/lXmOkfDvXLX9onU/iFLPY/2Tc2QgjjWRjNu2gcrtwB+NeoXKNJbSxrjcyFRn3FZSV8PGPXlf5stfxpS6X/AER8sfsuaf8AE668C30ng/xB4b0+w/tBw0eoWckshfnkFeMVp/tJab8Wbf4RanL4o8SeFr3ShLD5sNlYyxysd424ZuOtemfs6eA9a+Hvgy70fXJrKW4mvXnU2sjOu0+pKjmtL48+D9T8d/DHUPDWjy2sV7cSRMjXLlY/lcE5IBP6VVfZcuvw/pcdF+/d93+bNH4Q/wDJKvC3/YKt/wD0WK6eWRIonkkYKiKWYk4AArI8CaVcaF4K0XRbto3uLGyit5WjJKllUAkZ7cVk/GLR/FHiD4f6jofhG4s7bUb5RC01zIyKkR4fBVSc46cVeJl78pR11Znh4+7FS02PBfA3xR8A6p8a9f8AiB4u1+Czjtl+w6FbyRSOViHBl+VSBuGT65NJ4D8feEPDv7SVyvhXXILrwx4rIMwVXRbe6Y9TvAxl+eOMGvob4ZeE7XwV4E0rwzbhG+xwBZXUcSSnl3/FsmsD4+/D6X4h+BTpenSW1vq1tOtxYzzEqqOOoJAJGRxnFLSlKNtVHT1T3/z9R/xFK+l9fRrb/L0Ob/bK/wCSLTf9hC3/APQqzPjJ4N1Wws9E+LPghTH4g0a0ia9hTpeW4UZBA+8QOCO4x6V0fxT8DeMfHHwVsvDNxPpS+IVe3e6kMz+Q7IfmYNtzz16V6dplu1vpVraTbWaOBY3xyCQuD+FSouPPyvXmTT+VvuHzc3JdaWd18z5n+NfjDS/Hen/CvxJpLYhudWPmRE5aGQbAyN7g5+vWu6/bN/5JB/3FLf8A9CNcr4q/Z51pfiZa6x4T1Sxg8OHUV1CewuJGUwS5G/ywFIIOOORjp2r0/wDaD8Fav4+8Bf2FoktpFdfbYp83UhRNqnJ5AJz+FKWtJWVvevbtrH/JjhpUd39m1/8AwL/NHD/Gfwfqulx6N8XPBKlNd0i1i/tCBOl5bhRnIH3iBwfUY9K5r40eLtL8cj4T+JNIb9xc6m++Mn5oZAUDI3uDn69a+l9PtzBplvazBWKQrG4HIOFwfwr528R/s861F8T7TWfCuqWMPhr+0RqEthcSMpglJG/y1CkEHAxyMcDtWyaVdfy8115a6/J7+vqZtXovvy29dNPmvy9Dpv20/wDkkcf/AGFrf+bV6Dqfh6z8V/CweHr5A0N7pccf+63ljaR6c4rF/aH8Eax8QPAi6HoctnFdC+iuCbqRkTauc8gE559K7rR7eSz0iytJSpkgt443KnIyqgHH5VjGKdOcZdWvyNJSanCS6L9Txf8AZa8Vy23hXWPA3iSQxap4Rlkjl8zjdbgkqwz1xhgPbb61X/Z3tZPG3xA8U/F3UY90dxcGw0YOPuQIACy59ePxDUfGv4N+LfEHjufxJ4F1XT9M/tWw+xaus8rIZFyASu1TklQo7dPevYfBHh6y8KeEtM8PafGqQWNusXyjG5v4m+pYk/jWkZOX7yXxWt8+r+aX4smUVH3I7Xv8ui+/8keIftbLfN41+G66ZJbxXpv5hA86lo1f93gsByR9K9Bg0344LdobrxN4EeESDzVTTrkMVzyAS3XFZvx7+H/inxhrfhTV/C76T52h3Ek7x38zxq5O3AG1Sf4T6Vea7+PRJP8AY3w8yf8Ap+uv/iKmm7Qt1u3+RU1eV/JfqSftN/8AJC/FH/Xsv/oa1554Ql+Oun/BXSb7wtL4QurSPTg9vD9ml+1rGMnOWbYzj0xg16n8TfDniDxl8IdR8On+zrfW761VHAlb7OsgYE4bG7HHpWt8M9EvPDfgHRdB1BoXurG1WGUxMWQsCehIBI/Ckou01fW6/JivrDTv+h5n+yfY+GbnQNT8WWN/fah4k1G4Ka1LeoqSxSrzsCLwq8kgjr+GBe8e/CHVpfHM3j/4d+KX8O+IZ1Auo5U8y2usAD5hzjIA4wRwDweam8HfDjxB4P8AjdrHiPQ59OHhPW0D3lk0jLLHN/eVQuDzk9R94+lWdR03436ZrNzJoev+F9b0yWVnih1WF4JYVPRN8YO4CqbvyyWmn3dGvT9AStzJ66/f5/L/AIYwdL+LXi7wn4t03wp8W/DtpZPqT+XZ6vpsha3lbgYKnJHJGcH+IcVL+1x42j8N+BYvDkN4trfeIJPs/nZP7mAEeY5xz3A98mj/AIVb4x8aeMdI8R/FLXNKeDR3MlnpWkxN5YckHLSNgn7ozx2Fa1l8Pte1D4+XPxB8TXFhLptlbeRoltDIzPET1dgVAB5boT19qTjzqMZed/RbL1ezGpcjco/L1/4G55X8QvEfwW1D4HW3g3RfFlomoaREk+nSLbzKftKcsc7P4st19R6V7H+zr44Xx38MNO1GWZX1G1H2W9XuJFHDY91x+Oa9EAAOdoz9K8o8AfDrxB4M+MfiHW9Mm07/AIRLWwJJLXzGE0Uw5BC7cEct3/i9qqMrzlzfa1+a/wA1p8kQ42jG3TT5P/Lf7zzfwhH42k/aS+I3/CFXWg29wGTz/wC1YZZFK8Y27CMHPrSTprXiX466R4a+OF2ls9qftOiWunRBLC6kHOWkJL546H0xxnB9Q+Hvw/1zw/8AGTxj4wvprFtP1oL9lSKRjKuMfeBUAdOxNP8A2gPhxfePdE0648P3NtZeI9Iu1ubG5nJVQM/MpYAkDoeh5UVFP3IUr9Er+X/BW5c/elUtpfb7l+ex6FrOl2GsaPdaPqVsk1ldQtDNERwUIxgemO3pgV8kJ4b8WSeM/wDhnWTVYh4dW9/tE3OT5jWg+byvxIHHYjNfW2hf2l/YtmNZEA1EQqLryGLRmQDBKkgEg9elebj4d65/w0efiIZ7EaR/Z32YR+Y3nl8Y+7txj8aailV126/LVfiS5N0tN9LeV9H+B6Vo+nWej6Va6Xp0CQWlrEsUMajAVRVqiim227sEklZDZv8AUv8A7p/lXg/7Fn/Io+JP+wy/9a95kBaNlHUgivMv2ePAOt/D/QdXsdcmsZZbzUGuYjayM4CHPXKjnmlT0lP0/VDnrGPr+jOE+FugaZ4o+Jfxi0HWIBPZXl2I5F7jJOGHowPIPqKtfBnXNU+Hniy7+DXjC4aRNry+H71z8s0WCfLz9Og7EY712nwu8B614Z+I3jfxDqEtk9prt0JrRYZGZ1UE/fBUAHnsTVv44/DiL4h+G4orW6Gn67p0ouNLvuQYpByASOdp/Q4Pas9VSiv7qTX9dV/wCnrOfrdf12ZwH7HRmX4beJjbjM41KXyx0y2Gx+tVv2HzBJ4d8UzykNqb6kPtLNy5GGxk9cZruP2bvAGvfDvwhe6Z4iurK4vLm8NxutZGdcY7kqOfwrJ1z4ReINC8a3njL4VeI7fRby+JN7pt7EXtJyTknjleeenHat5SUajfRxS9LW/4ZmduaP8A28363b/4dHs1fPX7bbf8SHwlHdO66Y+rr9qAPylcd/wrr2sfj7qqCzu9Z8G+H4mXEl3YRS3M31VXACn866jxt4C0zxp4A/4RLxJdXF4PKUfbsBZhKvSXjjOeo6HpWburS7NO3ezLi1rHumvQ6q0WNLSFIVVYljUIFHAGOMV5Z+1r9h/4URrn24qOYvIz18zeNuPxqnofh346+ErWLR9J8QeFvEml26bLeTVVlhnVR0BZAd2Pc1BffCvxt8QNQspvix4m0+TSrSXzV0bR42SKRs8b5GwT+WaKkPaaJ6f1+IUpezs2tv6+4ePtX/DHTfbBIJv+EWOd4+bHlcZrzqXwtfXv7Mfg/wAb+H90ev8AhhPtkLp1aJWy498cnHevon4h6BPrvw61rw3pYghmvLCS1txISsakqQMkA4H4VS+D/ha88J/DHSfC+rtbT3NrAY5zCS0bZ6gEgZH4VU5OUqko6NtNfK/9MmC5YwjLVap/OxyniT4y6Xb/AALg8d6e8b32oQiCztc5P2sjBTHfaevsK8r+K3gmXwV+ywsWos0ut6lqUF7qkznLNM7ZIJ74zj3xmuo8F/s+X2jfFRdRvtSt7jwdYXj3ul6eJnZklJyu5SMDBxzk5xXoX7Q/gfV/iF8O38P6JNZxXZuopgbp2RMKcnkAnP4VFSzjzRWsmtOyTTt9/wCSLhpLlb0V9e7s1f7vxbK3xG/5Nm1L/sXR/wCihXF/Aqx+L0vwm0CTQPEHg220w2/+jxXdjO8yrn+Iq2CfpXqPi7wvqGq/B+88IWstuL+bSvsaPIxEe/ZtyTgnGfauH8AaJ8cPB/g/TvDVnp3gK4gsYvLSWW+ud7D1OI8VpNp1aj7tW/EzgmqdNdr/AKHqvhSLxBDokMfii70671QFvNlsImjhIyduFYkjjGfetKaOOaF4ZVDRyKVZT3BHNc/4Il8byQXH/Ca2eg20oYfZ/wCyp5ZFK453b1GDn0rX1q3vLvSLu10++awu5YmWG5VAxhc9GweDipns9LlQ3PE7b4T/ABA+Hd/eXfwj8UWr6ZcSmZ9C1dS0Qb0V/wBM5U9Mk10nwp+LFx4j8VXngfxZoD+H/Fdim94A++KZQMlkPbgg454I5NQw237QthG9omoeBdXUALHeXCzQSfVkVSCfxqb4Y/C3UNG8cah8QfGOuRaz4nvk8vNvD5UFum0LtUdTwAM+gqob2k9LfPy8/vFLZtLX+r3Lv7S//JDPFH/Xp/WrH7O3/JE/C3/XiP5mtL4w+G7/AMXfDXWvDmlvbpeX0HlxNOxVAc9yASPyqX4U+H7zwr8O9E8PajJDJd2NsIpWhYlC2exIBI/Cphop+bX5Mc9XH0f6HD/tW+OU8JfDltNt7kQajrjG0hfOPKj48yTjngEfnXnHiTxB8E7n4CQ+AbHxdZre2Nus1rMLaYZuwMs+dn8TFvzHpXqc3w917WPj5H458RXFhJoml24j0e1jkZpFfGS7gqADuLHqe3pXqYC5ztH5VCjem77y/C23+ZTlaat0/G+/+R5f+zH46/4Tj4W2UtzOJNT07/Q7wZ5JUfI2PddvPrmpP2o/+SE+Jf8Argv/AKGKp+FPh14g8K/HLWvFOjTacPC+uRhru1MjLMk2PvKu3B53HqPvV1Hxo8Maj4y+GmseG9Kkt47y9jCxNcOVQEMDyQCe3pTxDdSHMlq9159QoJU58t9Ft6f1oV/gH/yRrwt/14L/ADNeX/tZrfv46+Gy6XJbxXpvphA9wpaNX/d4LAckfSvZfhjoV34Z+H+i6BfyQyXVjarFK0JJQsM9CQCRz6VxHx68AeKvF2veE9Z8LvpPnaHcSTPHfzPGrk7MAbVJ/hPpWtVp4hS6c1/kZUk1QcevLb52NSDTfjgt5G114m8CPCJB5qx6dchiueQCW64pn7T3/JCvFH/Xuv8A6MWmtd/Hokn+xvh5k/8AT9df/EVp/FDw34g8ZfCHUfDv/Eut9bvrZEcCVvs6yBgThtpbHHpWNVN07I2pNKomzxbxdoN9p/wc+H/xU8PKy6t4btYzcbODLasx3A+uCf8Ax416J8UfixZ2/wAHrHW/DkyTar4lRbXSoVb5hK/yucf7BJHsStdv4G8NNpXw103wnrPk3BhsPsl15ZJRgQQ2CQPX0ryP4T/APVPDPxIGsa7qlvfaDpTyyaFaLM7GJpD1ZSABgDsTk4PatqiU6k4P4W27/mvn0+ZjTvCnCdveSSt+T+XXyOS+N/guPwJ8DPB2jMTJfSa7Fc38x5Mlw6MWJ+nA/CvWP2kv+TcdY/68bb/0KOrP7RHw/wBa+IXh3SdP0W4soZrPU47qQ3TsqlAGBwQDzz0rX+LvhLUvFnwl1Dwnpktsl9cW0USPOxWPKMpOSAT/AAntWVRuVOfdyX3WRrSSjUh5L9WcN8LtP+M0nw60B9J8ReCYbA2SG3juLC4aRU7BiGwT9K9g8Px6xFoVvH4guLK41QRn7RLZxskLNz90NyBjHWvMPClj8c/DvhrT9DttL8ASw2MCwo8l9c7mA7nEdeg+DJPGEumzf8Jla6Jb3u8iIaXNJJGUx3LgHOa0rvm5+XzMqScYxT8jwP4GeC9L8ffC3xx4d1RQFm16doJgPmglH3XH49fUEir/AII8Zapb+BfGPwq8asy+I9D0q5FvLI2ftdsIyAQe5HH1B9jXoPwD8Ca14E0rXLXWpbKR7/VJLuI20jOAjdAcqMGqP7QXwnm+IFpa6r4fvYtM8TWKtHBcOSqyxONrRuQCQME4OD3Hesqq92y2cUn62Sv8uvkawfvXe6k2vvvb0f5jf2Rf+SF6R/11l/mK5n9tT/kA+Dv+w/F/6C1ej/Arwjqfgb4a2HhzWJraW9gd2ka3YsnzHsSAT+VY/wC0P8Pdb+IOm+H7XRZ7GFtP1RLuc3UjKCgBB24U5PPTitqzvUTXeP5oyppqm15P9T0yy/48rf8A64p/6CKlpluhjt4ozyURVP4DFPqZbsqOyCiiikMKKKKACvnT9vn/AJJr4f8A+wwf/RL19F186ft8/wDJNfD/AP2GD/6JegD07VfiFqlhqdzYxfC/x1fpbytGtza2cTRTAHG9CZASp6jgVW/4Wdq//RIfiJ/4Aw//AB2vS4v9Wv0FOry5Y+abVj044GLSdzzL/hZ2r/8ARIfiJ/4Aw/8Ax2j/AIWdq/8A0SH4if8AgDD/APHa9Nopf2hPsP6hHueZf8LO1f8A6JD8RP8AwBh/+O0f8LO1f/okPxE/8AYf/jtem0Uf2hPsH1CPc8y/4Wdq/wD0SH4if+AMP/x2j/hZ2r/9Eh+In/gDD/8AHa9Noo/tCfYPqEe55l/ws7V/+iQ/ET/wBh/+O0f8LO1f/okPxE/8AYf/AI7XptFH9oT7B9Qj3PMv+Fnav/0SH4if+AMP/wAdo/4Wdq//AESH4if+AMP/AMdr02ij+0J9g+oR7nmX/CztX/6JD8RP/AGH/wCO0f8ACztX/wCiQ/ET/wAAYf8A47XptFH9oT7B9Qj3PMv+Fnav/wBEh+In/gDD/wDHaP8AhZ2r/wDRIfiJ/wCAMP8A8dr02ij+0J9g+oR7nmX/AAs7V/8AokPxE/8AAGH/AOO0f8LO1f8A6JD8RP8AwBh/+O16bRR/aE+wfUI9zzL/AIWdq/8A0SH4if8AgDD/APHaP+Fnav8A9Eh+In/gDD/8dr02ij+0J9g+oR7nmX/CztX/AOiQ/ET/AMAYf/jtH/CztX/6JD8RP/AGH/47XptFH9oT7B9Qj3PMv+Fnav8A9Eh+In/gDD/8do/4Wdq//RIfiJ/4Aw//AB2vTaKP7Qn2D6hHueZf8LO1f/okPxE/8AYf/jtH/CztX/6JD8RP/AGH/wCO16bRR/aE+wfUI9zzL/hZ2r/9Eh+In/gDD/8AHaP+Fnav/wBEh+In/gDD/wDHa9Noo/tCfYPqEe55l/ws7V/+iQ/ET/wBh/8AjtH/AAs7V/8AokPxE/8AAGH/AOO16bRR/aE+wfUI9zzL/hZ2r/8ARIfiJ/4Aw/8Ax2j/AIWdq/8A0SH4if8AgDD/APHa9Noo/tCfYPqEe55l/wALO1f/AKJD8RP/AABh/wDjtH/CztX/AOiQ/ET/AMAYf/jtem0Uf2hPsH1CPc8y/wCFnav/ANEh+In/AIAw/wDx2j/hZ2r/APRIfiJ/4Aw//Ha9Noo/tCfYPqEe55l/ws7V/wDokPxE/wDAGH/47R/ws7V/+iQ/ET/wBh/+O16bRR/aE+wfUI9zzL/hZ2r/APRIfiJ/4Aw//HaP+Fnav/0SH4if+AMP/wAdr02ij+0J9g+oR7nmX/CztX/6JD8RP/AGH/47R/ws7V/+iQ/ET/wBh/8Ajtem0Uf2hPsH1CPc8y/4Wdq//RIfiJ/4Aw//AB2j/hZ2r/8ARIfiJ/4Aw/8Ax2vTaKP7Qn2D6hHueZf8LO1f/okPxE/8AYf/AI7R/wALO1f/AKJD8RP/AABh/wDjtem0Uf2hPsH1CPc8y/4Wdq//AESH4if+AMP/AMdo/wCFnav/ANEh+In/AIAw/wDx2vTaKP7Qn2D6hHueZf8ACztX/wCiQ/ET/wAAYf8A47R/ws7V/wDokPxE/wDAGH/47XptFH9oT7B9Qj3PMv8AhZ2r/wDRIfiJ/wCAMP8A8do/4Wdq/wD0SH4if+AMP/x2vTaKP7Qn2D6hHueQSfGsR+JIvDcnwz8eLq81sbqOzNnB5jQgkFwPN6ZBH4Vpf8LO1f8A6JD8RP8AwBh/+O1lav8A8ni6D/2J83/o+SvYqueOnG2m5EMFGV9djzL/AIWdq/8A0SH4if8AgDD/APHaP+Fnav8A9Eh+In/gDD/8dr02io/tCfYv6hHueZf8LO1f/okPxE/8AYf/AI7R/wALO1f/AKJD8RP/AABh/wDjtem0Uf2hPsH1CPc8y/4Wdq//AESH4if+AMP/AMdo/wCFnav/ANEh+In/AIAw/wDx2vTaKP7Qn2D6hHueZf8ACztX/wCiQ/ET/wAAYf8A47R/ws7V/wDokPxE/wDAGH/47XptFH9oT7B9Qj3PMv8AhZ2r/wDRIfiJ/wCAMP8A8do/4Wdq/wD0SH4if+AMP/x2vTaBS/tCfZB9Qj3PMv8AhZ2r/wDRIfiJ/wCAMP8A8do/4Wdq/wD0SH4if+AMP/x2m+H/AI0+H9Y+IK+E49N1CCOa4ntbPU5Nv2e6mhCl0Xvkbu/pWx8QfiVo/hHWLHw+lhqGt+IL9S1rpenoGlZR/ExJAUdeT6H0rR4yr7vu77EfVKXve9tuZP8Aws7V/wDokPxE/wDAGH/47R/ws7V/+iQ/ET/wBh/+O1ftvH3iCewumHwv8UpqNu8Y+wu8AMiNn50k3bDjGCM5GRWL4K+MV94s1m403TPht4h/0O7S1v5Wubfbasx6t82TjBPGelNYqs3pFff/AF3JeGpJayf3Fv8A4Wdq/wD0SH4if+AMP/x2j/hZ2r/9Eh+In/gDD/8AHa3fhz49sfG2oa/Z2Vhc2raLeC0laZlIkY55XHbjvR4A8fWHjHWvEel2lhc2r6DdrazPMylZCQTlcdBx3qfrtT+Xpf5O2v4ov6nT/m62+ev+TML/AIWdq/8A0SH4if8AgDD/APHaP+Fnav8A9Eh+In/gDD/8dpvhb40+H9f8er4Wh0zULeO4lnhsdSl2/Z7ySHG9UxzkA9/Sug1Lx7Y2PxT034fvYXL3moWr3KXIZfLVVBJBHXPFP63W093dX/X9GL6pS197Z2f32/NmD/ws7V/+iQ/ET/wBh/8AjtH/AAs7V/8AokPxE/8AAGH/AOO16bRUf2hPsX9Qj3PMv+Fnav8A9Eh+In/gDD/8do/4Wdq//RIfiJ/4Aw//AB2vTaKP7Qn2D6hHueZf8LO1f/okPxE/8AYf/jtH/CztX/6JD8RP/AGH/wCO16bRR/aE+wfUI9zzL/hZ2r/9Eh+In/gDD/8AHaP+Fnav/wBEh+In/gDD/wDHa9Noo/tCfYPqEe55l/ws7V/+iQ/ET/wBh/8AjtH/AAs7V/8AokPxE/8AAGH/AOO16bRR/aE+wfUI9zzL/hZ2r4/5JF8RP/AGH/47Wb4b+NQ8SaRHq2g/DPx5qNhIzKk8FnAyMVOGAPm9jxXrzfcb6H+VeP8A7G//ACQLSf8Ar7u//RzVax0nByt2IeCipqN+5qf8LO1f/okPxE/8AYf/AI7R/wALO1f/AKJD8RP/AABh/wDjtem0VH9oT7F/UI9zzL/hZ2r/APRIfiJ/4Aw//HaP+Fnav/0SH4if+AMP/wAdr02ij+0J9g+oR7nmX/CztX/6JD8RP/AGH/47R/ws7V/+iQ/ET/wBh/8Ajtem0Uf2hPsH1CPc8y/4Wdq//RIfiJ/4Aw//AB2j/hZ2r/8ARIfiJ/4Aw/8Ax2vTaKP7Qn2D6hHueZf8LO1f/okPxE/8AYf/AI7R/wALO1f/AKJD8RP/AABh/wDjtem0Uf2hPsH1CPc8y/4Wdq//AESH4if+AMP/AMdo/wCFnav/ANEh+In/AIAw/wDx2vTay/FutW/hvwxqOvXUUk0FhA07xx43MB2GaTzCa6Iay+LdrnDf8LO1f/okPxE/8AYf/jtH/CztX/6JD8RP/AGH/wCO1maR8dbO4/sG41bwXr2j6Zr0nl6ffSvFLHI3+6jFh+VdjaePbG5+K158PVsLlby0sheNcll8tlPYDrmtXiqydnHv+G/3GMcNRkrqXb8dF95g/wDCztX/AOiQ/ET/AMAYf/jtH/CztX/6JD8RP/AGH/47WzL8Q9Pj+Jl54EOnXRu7XS21Jrjcvlsgz8oHXPFcho/x0fVNCl8RW3w38US6FBI6TX0DQyhNpwx2BtxA+lJYyq1flX9O35op4Smnbmfb8L/ka3/CztX/AOiQ/ET/AMAYf/jtH/CztX/6JD8RP/AGH/47V7Vvi94MsfCOleJILq51GLWGKabaWkJe5uXHBUJ2IPBz0p/h/wAe65f6zY2GqfDPxRosF6+yO7m8qWOM4yPMCMSg46kdeKPrdbX3RfVaWnveZnf8LO1f/okPxE/8AYf/AI7R/wALO1f/AKJD8RP/AABh/wDjtVrX4w3mp+Ita0bw/wDDvX9abR7n7PdTW9zAqhj0OHYHnBqf4i/Fi+8D27X2qfDzXpNNXygb2O4g2b3A+TG7dkHI6dRQsXV091a7fPYf1Snr7z03+W47/hZ2r/8ARIfiJ/4Aw/8Ax2j/AIWdq/8A0SH4if8AgDD/APHaZq/xcuNE8D3XizXvAWuaZaxvAsEUtxAzXIlzgrtYgAYGc46itnwv441jVobm61LwBreh2UVk14lzdXEDrKAu4IAjEgkcjIxQ8XVSbcVp/lcSwtJtJSev/DGT/wALO1f/AKJD8RP/AABh/wDjtH/CztX/AOiQ/ET/AMAYf/jtZOk/HU6h4ebxNH8OPFB8Pxuyy6hC0MoQKcM2wNuIHfivUPC2vaX4m0Cz13RbkXNheR+ZDJjBI6YI7EHtRLF1oq7iEcLSk7KRwv8Aws7V/wDokPxE/wDAGH/47R/ws7V/+iQ/ET/wBh/+O16bRUf2hPsafUI9zzL/AIWdq/8A0SH4if8AgDD/APHaP+Fnav8A9Eh+In/gDD/8dr02ij+0J9g+oR7nmX/CztX/AOiQ/ET/AMAYf/jtH/CztX/6JD8RP/AGH/47XptFH9oT7B9Qj3PMv+Fnav8A9Eh+In/gDD/8do/4Wdq//RIfiJ/4Aw//AB2vTaKP7Qn2D6hHueZf8LO1f/okPxE/8AYf/jtH/CztX/6JD8RP/AGH/wCO16bRR/aE+wfUI9zzL/hZ2r/9Eh+In/gDD/8AHa8Q/bG8XX3iHwJo1rdeB/FHh9YtTMgn1W3jjjkPlMNqlXY7u/ToK+vK+cP2/f8Akmvh/wD7DB/9EvWlHGynNRaM62DjCDkmfRsX+rX6CnV55qnhr4qXGpXNxpnxTsbCxklZre1bwzFMYYyflQuZAWwOMkc1W/4RT4xf9Fh0/wD8JOH/AOO1xThHmfvL8f8AI7YTlyr3X+H+Z6ZRXmf/AAinxi/6LDp//hJw/wDx2j/hFPjF/wBFh0//AMJOH/47Uckf5l+P+RXPL+V/h/memUV5n/winxi/6LDp/wD4ScP/AMdo/wCEU+MX/RYdP/8ACTh/+O0ckf5l+P8AkHPL+V/h/memUV5n/wAIp8Yv+iw6f/4ScP8A8do/4RT4xf8ARYdP/wDCTh/+O0ckf5l+P+Qc8v5X+H+Z6ZRXmf8Awinxi/6LDp//AIScP/x2j/hFPjF/0WHT/wDwk4f/AI7RyR/mX4/5Bzy/lf4f5nplFeZ/8Ip8Yv8AosOn/wDhJw//AB2j/hFPjF/0WHT/APwk4f8A47RyR/mX4/5Bzy/lf4f5nplFeZ/8Ip8Yv+iw6f8A+EnD/wDHaP8AhFPjF/0WHT//AAk4f/jtHJH+Zfj/AJBzy/lf4f5nplFeZ/8ACKfGL/osOn/+EnD/APHaP+EU+MX/AEWHT/8Awk4f/jtHJH+Zfj/kHPL+V/h/memUV5n/AMIp8Yv+iw6f/wCEnD/8do/4RT4xf9Fh0/8A8JOH/wCO0ckf5l+P+Qc8v5X+H+Z6ZRXmf/CKfGL/AKLDp/8A4ScP/wAdo/4RT4xf9Fh0/wD8JOH/AOO0ckf5l+P+Qc8v5X+H+Z6ZRXmf/CKfGL/osOn/APhJw/8Ax2j/AIRT4xf9Fh0//wAJOH/47RyR/mX4/wCQc8v5X+H+Z6ZRXmf/AAinxi/6LDp//hJw/wDx2j/hFPjF/wBFh0//AMJOH/47RyR/mX4/5Bzy/lf4f5nplFeZ/wDCKfGL/osOn/8AhJw//HaP+EU+MX/RYdP/APCTh/8AjtHJH+Zfj/kHPL+V/h/memUV5n/winxi/wCiw6f/AOEnD/8AHaP+EU+MX/RYdP8A/CTh/wDjtHJH+Zfj/kHPL+V/h/memUV5n/winxi/6LDp/wD4ScP/AMdo/wCEU+MX/RYdP/8ACTh/+O0ckf5l+P8AkHPL+V/h/memUV5n/wAIp8Yv+iw6f/4ScP8A8do/4RT4xf8ARYdP/wDCTh/+O0ckf5l+P+Qc8v5X+H+Z6ZRXmf8Awinxi/6LDp//AIScP/x2j/hFPjF/0WHT/wDwk4f/AI7RyR/mX4/5Bzy/lf4f5nplFeZ/8Ip8Yv8AosOn/wDhJw//AB2j/hFPjF/0WHT/APwk4f8A47RyR/mX4/5Bzy/lf4f5nplFeZ/8Ip8Yv+iw6f8A+EnD/wDHaP8AhFPjF/0WHT//AAk4f/jtHJH+Zfj/AJBzy/lf4f5nplFeZ/8ACKfGL/osOn/+EnD/APHaP+EU+MX/AEWHT/8Awk4f/jtHJH+Zfj/kHPL+V/h/memUV5n/AMIp8Yv+iw6f/wCEnD/8do/4RT4xf9Fh0/8A8JOH/wCO0ckf5l+P+Qc8v5X+H+Z6ZRXmf/CKfGL/AKLDp/8A4ScP/wAdo/4RT4xf9Fh0/wD8JOH/AOO0ckf5l+P+Qc8v5X+H+Z6ZRXmf/CKfGL/osOn/APhJw/8Ax2j/AIRT4xf9Fh0//wAJOH/47RyR/mX4/wCQc8v5X+H+Z6ZRXmf/AAinxi/6LDp//hJw/wDx2j/hFPjF/wBFh0//AMJOH/47RyR/mX4/5Bzy/lf4f5nplFeZ/wDCKfGL/osOn/8AhJw//HaP+EU+MX/RYdP/APCTh/8AjtHJH+Zfj/kHPL+V/h/memUV5n/winxi/wCiw6f/AOEnD/8AHaP+EU+MX/RYdP8A/CTh/wDjtHJH+Zfj/kHPL+V/h/mZOr/8ni6D/wBifN/6Pkr2KvmfUtA+Iy/tN6PYyfEazfWm8MyyRakPD8QWOHzXBi8nfgknJ3ZzzjFemf8ACKfGL/osOn/+EnD/APHa1qQVo+8tvP8AyMqc5Xl7vXy/zPTKK8z/AOEU+MX/AEWHT/8Awk4f/jtH/CKfGL/osOn/APhJw/8Ax2suSP8AMvx/yNeeX8r/AA/zPTKK8z/4RT4xf9Fh0/8A8JOH/wCO0f8ACKfGL/osOn/+EnD/APHaOSP8y/H/ACDnl/K/w/zPTKK8z/4RT4xf9Fh0/wD8JOH/AOO0f8Ip8Yv+iw6f/wCEnD/8do5I/wAy/H/IOeX8r/D/ADPTKK8z/wCEU+MX/RYdP/8ACTh/+O0f8Ip8Yv8AosOn/wDhJw//AB2jkj/Mvx/yDnl/K/w/zPTK5f4qHxKfAWqQeELE3mtXEXkW6iVI9m/hnLMQOFJPXOcVzf8Awinxi/6LDp//AIScP/x2j/hFPjF/0WHT/wDwk4f/AI7R7OL3kvx/yBVJLaL/AA/zPM9c+C/xPs/h1o+n6V4g0S8utBuF1CxtobDybiS4Jy4adpMHO45JwDgV1HiXwv8AEGD4h+H/AIraJoNvqGpDSlsdW0Sa7jilB6kxyZKdeevHvnjpP+EU+MX/AEWHT/8Awk4f/jtH/CKfGL/osOn/APhJw/8Ax2uh1m3fmW7ez6qz6dUc6opK3K9rbro7rr0Z0vgTWPF+rz3M3iXwjH4at02C3ibUEuppDzuLGP5QOmOc9a5H4CeE/EHhjX/HF1rmn/ZYtT1VbizbzkfzYwG5+UnHUdcGrP8Awinxi/6LDp//AIScP/x2j/hFPjF/0WHT/wDwk4f/AI7WaaV7Naq3Xun+hpaTSum7O/Ts1+pzHhbRfiL8MvF3iqXSPBUfi7TdbvBeQTW+qQ2rwkZ+V1lx69qr6D4J+I3h74e+Nr+1sbZ/Fviy6DJaW1yoSyRsqWMjEAkKzHjPIGM11/8Awinxi/6LDp//AIScP/x2j/hFPjF/0WHT/wDwk4f/AI7TuuXlbWyXXZW0/BeYuV83Mk92+m7vr+L8jzXxB8GvihYeBNCtdF1/Q7678Nzpeafa29h9nnklz8waZpMHOTnOAcV0HjHSfiEvxh8L/EHTfAs+rC10hoby0XUraBo5mXBXczYOCc8ZHvXVf8Ip8Yv+iw6f/wCEnD/8do/4RT4xf9Fh0/8A8JOH/wCO1ftm3dyW7ez6qz6diPYpKyi+nVdGmuvdfidt4U1DVtU0aO81vQJNBvWYhrKS6juCgHQ70+U5rWrzP/hFPjF/0WHT/wDwk4f/AI7R/wAIp8Yv+iw6f/4ScP8A8drFxi3e6/H/ACN4yklazf3HplFeZ/8ACKfGL/osOn/+EnD/APHaP+EU+MX/AEWHT/8Awk4f/jtTyR/mX4/5D55fyv8AD/M9MorzP/hFPjF/0WHT/wDwk4f/AI7R/wAIp8Yv+iw6f/4ScP8A8do5I/zL8f8AIOeX8r/D/M9MorzP/hFPjF/0WHT/APwk4f8A47R/winxi/6LDp//AIScP/x2jkj/ADL8f8g55fyv8P8AM9MorzP/AIRT4xf9Fh0//wAJOH/47R/winxi/wCiw6f/AOEnD/8AHaOSP8y/H/IOeX8r/D/M9Lb7jfQ/yrx/9jf/AJIFpP8A193f/o5q1W8KfGHaf+Lwaf0P/Mpw/wDx2vM/2YtA+I1/8HdNufD3xGs9F09rm5CWcnh+K5ZCJTuPmM4JyecY4rWMF7N+8t138/IylOXtI+737eXmfTFFeZ/8Ip8Yv+iw6f8A+EnD/wDHaP8AhFPjF/0WHT//AAk4f/jtZckf5l+P+Rrzy/lf4f5nplFeZ/8ACKfGL/osOn/+EnD/APHaP+EU+MX/AEWHT/8Awk4f/jtHJH+Zfj/kHPL+V/h/memUV5n/AMIp8Yv+iw6f/wCEnD/8do/4RT4xf9Fh0/8A8JOH/wCO0ckf5l+P+Qc8v5X+H+Z6ZRXmf/CKfGL/AKLDp/8A4ScP/wAdo/4RT4xf9Fh0/wD8JOH/AOO0ckf5l+P+Qc8v5X+H+Z6ZRXmf/CKfGL/osOn/APhJw/8Ax2j/AIRT4xf9Fh0//wAJOH/47RyR/mX4/wCQc8v5X+H+Z6ZXN/FHS77XPh1r+kabEJb27snigQsF3MegyeB+Ncv/AMIp8Yv+iw6f/wCEnD/8do/4RT4xf9Fh0/8A8JOH/wCO0OnFq3Mvx/yHGpJNPl/L/M8U8P8Awg8YJpfh600j4a/8Ij4isZ45LvxI2vo/mKD8w8qN26jtjtXqPifwz438OfGpviJ4d0GHxVbXmmrZXNot4lpNGy/xgyfKQcVtf8Ip8Yv+iw6f/wCEnD/8do/4RT4xf9Fh0/8A8JOH/wCO10zrOcuZyXXv1Vn8vQ5YUFFcvK+nbo7r537mN4O8I+MtW+JuvfEbxPo9voL3Oktptjpa3a3EuCD8zuvydemD37Yrmfhjp/xe8I/Dq88F23w0Rri5muCmo3Os2wgRZT1aNSWOAe1d/wD8Ip8Yv+iw6f8A+EnD/wDHaP8AhFPjF/0WHT//AAk4f/jtRzKzjdWta2ve/ruy+R3vZ3ve+na3pscQnwX8UeGfDvgfUfDt5p+peIfC881xLbXBMcF0ZTllRv4cdASBn26VJoXh34oah8YtF8QyaR4l8OaNFcPNqtvfeKUvLeUEcLHFGflAOeCPT0rs/wDhFPjF/wBFh0//AMJOH/47R/winxi/6LDp/wD4ScP/AMdq1Wd7uSe/frv0JdG6tZ9Oq6Hk8fwz1q0+InijWdb+DD+LorzURcabcjXYLXylH+z5mTk46jtXqnx+8N+IPGHwfXSdE0ctqckttKbI3EYMQXll3sQp29M55qT/AIRT4xf9Fh0//wAJOH/47R/winxi/wCiw6f/AOEnD/8AHahyuoLmXu279LfLpqWotSlLlfvXvt1/4fQp/Hrwj4g8TfBCDw5oumm91NRa7rbzkjzsXDjczBf1rL+E/ha40S11XT7X4NyeEJLvSXilvzrcV0LiUJhU2ByVyWJzwBXQf8Ip8Yv+iw6f/wCEnD/8do/4RT4xf9Fh0/8A8JOH/wCO0ub3ZR5l73r1VhcmsZcr93Tp6nn/AMOtN+L/AIZ+Ftx4Ct/htGtxcG4Qand6zb+RGsvBJjQsxwDXr3we8ISeBfh5pnhqe7W7uLZGaaVBhS7HJ2j0GcVg/wDCKfGL/osOn/8AhJw//HaP+EU+MX/RYdP/APCTh/8AjtVOfPfVa2vv0CEHFrR6Xtt1PTKK8z/4RT4xf9Fh0/8A8JOH/wCO0f8ACKfGL/osOn/+EnD/APHaw5I/zL8f8jbnl/K/w/zPTKK8z/4RT4xf9Fh0/wD8JOH/AOO0f8Ip8Yv+iw6f/wCEnD/8do5I/wAy/H/IOeX8r/D/ADPTKK8z/wCEU+MX/RYdP/8ACTh/+O0f8Ip8Yv8AosOn/wDhJw//AB2jkj/Mvx/yDnl/K/w/zPTKK8z/AOEU+MX/AEWHT/8Awk4f/jtH/CKfGL/osOn/APhJw/8Ax2jkj/Mvx/yDnl/K/wAP8z0yivM/+EU+MX/RYdP/APCTh/8AjtH/AAinxi/6LDp//hJw/wDx2jkj/Mvx/wAg55fyv8P8z0yvnD9v3/kmvh//ALDB/wDRL16H/wAIp8Yv+iw6f/4ScP8A8drw/wDbH0Xx1pvgTRpvFXjq18Q2r6mVigi0WOzMb+U3zbldieMjHvW+GglVj7y/H/IwxMpOm/d/I+h/jRrep+HPhRretaPdfZb+1td8Mvlq+w+u1gQfxBrmtF8T6tN470XSPD/ibU/EMcymTWLfV9PjtTawY4ljxDC5JbjGHH0rsfHumaN4r8Iah4YvtagskvIvKkdJU3x/gT1qHxHo2h6xquhatH4hhsdQ0abfFPDPGTLGRh4nBPKsM5+tSnFSfMur/r7y5KTiuV9P8v6/M4y18U3t54+8X6ZqnjLxHplvpt/HDZQaZpEdwgjMSsdzfZZTncT1YfSuj1fXNa8N/ETw9bX2oSXnhvWYBZCSaFFeG9H3GJVV/wBZwMYwD0ApLXw9/ZviLXNY0Px/bWP9s3K3NxDJbwTBXVAg2ksDjArT8YaVovirwi+g6p4gt1lIRkvYZY0kimXlZVGcAg84qeaKUNOiv91n/nvuNqTc9ert991/VtjGu/EevX/ibxVNpd35GiaBp7QDESMJ77buY5IJwgIGBxkHNUPhBrtx4i0bw9fX3jbxRd6jdWUVxc2smkRxWruUBZRJ9kUbck4xJz2JrpNA0Pw/o/giTwvFr0MwnjlFxeS3EZlmlkJMkrc43FiTVbwbpFx4a0zS9Ii+IVndaZp0MdukD2sCs8aAAAuHznA64pxcUnH0t+N/xa+Vl0FLmdn6/pb8n879zjk8e+LdJ8f+KNU1S6S88GaXqaafcW6WyiSwVokcXAZRudcsdwOcDpXSaf4p1a58W/EC0TUElstKtLebTtsaEJvt1csGA+YEnPJNbPh/RfDuk3/iS5Os2l2mv3X2m4hmlj2p+7WPaOeRhe/rWR8PvAvhLwZLrYstfF3a6rtT7Pc3SFbeJV2rEpzkqBwM9ABUtxcLdeVL52V/xvr5lq6qc3Tm/C+n4aW/4JueAtW1DVPhVouuX0/m6hc6NFdTS7FXdK0IYtgDA55wBivN7nx14kb4U/D7WLjXrq0udZ1GKDUru1so5JWjYnOyPy3GeB0Q/SussfCyadoQ8N6b8RTbaEqGGK22W7zRQn/lmsxOcAcAkEgetTa54R8O3Wg+HNI0nxFb6RH4duIriwZZI5sGMYUMGPze9W5U+dyto2n6K7v+a27GaU1T5b6qLV/O2hr+D7kSWV7d22veINeCDAj1GwS1YMBnCDyISc+pyK29CvLnUNJt7y80y40ueVNz2lwytJEfRipIz9DWTpclxDDcpqXjayv2kTbE6QwwGE/3hhju/H0q1oVxa6fpFtZ3viaDVLiJNsl3PLEryn1IXAH4CspW1+X9dP6+ZrBvT5mzRVP+1NL/AOgnY/8AgQn+NH9qaX/0E7H/AMCE/wAaixpdFyiqf9qaX/0E7H/wIT/Gj+1NL/6Cdj/4EJ/jRYLouUVT/tTS/wDoJ2P/AIEJ/jR/aml/9BOx/wDAhP8AGiwXRcoqn/aml/8AQTsf/AhP8aP7U0v/AKCdj/4EJ/jRYLouUVT/ALU0v/oJ2P8A4EJ/jR/aml/9BOx/8CE/xosF0XKKp/2ppf8A0E7H/wACE/xo/tTS/wDoJ2P/AIEJ/jRYLouUVT/tTS/+gnY/+BCf40f2ppf/AEE7H/wIT/GiwXRcoqn/AGppf/QTsf8AwIT/ABo/tTS/+gnY/wDgQn+NFgui5RVP+1NL/wCgnY/+BCf40f2ppf8A0E7H/wACE/xosF0XKKp/2ppf/QTsf/AhP8aP7U0v/oJ2P/gQn+NFgui5RVP+1NL/AOgnY/8AgQn+NH9qaX/0E7H/AMCE/wAaLBdFyiqf9qaX/wBBOx/8CE/xo/tTS/8AoJ2P/gQn+NFgui5RVP8AtTS/+gnY/wDgQn+NH9qaX/0E7H/wIT/GiwXRcoqn/aml/wDQTsf/AAIT/Gj+1NL/AOgnY/8AgQn+NFgui5RVP+1NL/6Cdj/4EJ/jR/aml/8AQTsf/AhP8aLBdFyiqf8Aaml/9BOx/wDAhP8AGj+1NL/6Cdj/AOBCf40WC6LlFU/7U0v/AKCdj/4EJ/jR/aml/wDQTsf/AAIT/GiwXRcoqn/aml/9BOx/8CE/xo/tTS/+gnY/+BCf40WC6LlFU/7U0v8A6Cdj/wCBCf40f2ppf/QTsf8AwIT/ABosF0XKKp/2ppf/AEE7H/wIT/Gj+1NL/wCgnY/+BCf40WC6PKdX/wCTxdB/7E+b/wBHyV7FXjN/cW9x+2FoT29xFMo8ITAtG4YA+dJxxXsua1q7R9DKlvL1FopM0ZrE1FopM0ZoAWikzRmgBaKTNGaAFopM0ZoAWuV+LmrahoPwz8QaxpVx9nvrSzaSCXYrbGBHOGBB/EV1Oapa9pdhrmjXmj6nCJ7O8iaGZM4yp9+xpSvZ2Ki0mmzz+y8Va9J+zaPF732db/sV7r7T5Sf60Zw2zG3t0xiuK1bxx8TpvhT4F1vTZbzydSgaTXNXsdKS8ubcgnaVg4XBxzxxjtXSj4JP/YA8LN8SPFDeF/u/2V+5A8vOfL83bv25rp9Y8ASNaaXbeFvF2t+FI9NtzbRR2RSSJ04+8kgILcfe68n1rrnOlzSkurul2Wun4rbsccIVVCMX0TTfd6a/g9+555F8QdVT4K+L9d0n4j2nibUNNjR7a6GmJa3NqSwBWaEjb9DjHWql/rfxa8L/AAotPia3ju08Q24t4rm70u90iG3Xy3YKQkkWDuGe/wCXauzg+C2ijw74nsLvXtVvtS8TKq6jqk+wysFbI2oAFFVE+CMd5pVjoXiTx94j1vQLLZ5elssUELhTlVcxruYexNVz07u3ePTp1W3+QlCpZXv9rrr0t19e/p0PTvDupJrGg2GqxxmNbu3SYIf4dwzir9RWsMNrbRW1vGsUMSBI0XoqgYAFSZrlm05Pl2OmCkopS3FopM0ZqShaKTNGaAFopM0ZoAWikzRmgBaKTNGaABvuN9D/ACrx/wDY3/5IFpP/AF93f/o5q9gY/K30P8q8f/Y4/wCSBaT/ANfd3/6OatY/w5eq/Uyl/Fj6P9D2GikzRmsjUWikzRmgBaKTNGaAFopM0ZoAWikzRmgBaKTNGaAFopM0ZoAWvK/HPi3xBpvx98F+F7K/8rSNSt5Xu7fyUbzCM4O4jcPwIr1PNcV8Rvh1pvjHUdM1hdU1DRdc0sk2eo2LDegPVSrZDD6+9XTkozTltr+TX56kVYylTajv/wAFGF8Q/FviDSfjl4D8N2F/5OlasJvtsHko3m7Rx8xBZfwIrgNb8feP7HxfqcPi/wAZXHgGGO9MemxyeHEudOuYgflLXPLAkdQDx7V6d4b+FtvZeMI/F3iLxRrHijWreEw2k95sjS2U9diRgDPXmqOu/CS91q0utJ1H4meKrjQbqQtNp0nktuUtu2eaV37c9OeK2hKnHlT13v8Afft0WmqMZqpLmaur2/Bfq/MwPHviTxtqHxf8K+D/AA142j0ay1TR/tU11a6fBdJI4z8yCQH5T25rT8H+K/GmhfGIfDbxhqVjr8V1pxvrHU4bYW82A20rIinb+QH49r3iL4P2t54g0PWtA8U6n4cudEsBYWn2aKObEYzyfMByTmtXwN8M9M8N+JLrxTfavqfiHxFcxeS+o6g4LJHnOxEUBUGfT/HLU6aj/wCBdNd3b9OvkS4VW/P3eui0V/Xqd3RSZozXKdYtFJmjNAC0UmaM0ALRSZozQAtFJmjNAC0UmaM0ALRSZozQAtfOH7fv/JNfD/8A2GD/AOiXr6OzXzj+37/yTXw//wBhg/8Aol66ML/FiYYr+Ez6Q1PRfh5pnh5/EPiTQvDkMCRCa7vLqxiPJHLMxXJJPes/Qv8AhTOuaiunaXpfhOe8ZN6QHTIkd19VDIN34ZrM/aRz/wAM3+IMcH+zhj9KxvEsGqWPxO8CXXxC1C01DSVnK6TdWFobRYL9lwonVnkLBhgKQyjPUGvdhrJJ97f1+h4c9I3XZv7rf0+250uo3fwS0/VbrS7rTfCi3to4S4hXSkdomIyA21Dg4rV07R/hZqGpf2ZZ6B4VlvfsyXf2cadCJPJf7r7SucGvL/DOv/2P8W/iXEfiB4U8MCTWIW8nWIVeSX9wnzITcRYHboeR17V1fxkSPR7vw78YNLlF2ujAJqMlr863Gmyf6xhjO4KCXHNEWuWEpbO1/K6/z/C45J80orpf52/4H4nTaho3ws0/U/7MvdB8KQXv2ZrvyX0+EOIV+9Jjb90YPNZGi3fwT1q5trfStM8LXcl0R5Hl6QhWTPQhvLxj3zWF4cg/4SLwx41+KFwkoOu2UsOlrIpBTT41IiIB6eZjzP8AgdRfs6eJ4T4H8G6bP8SvBtyP7Jtol0iGNEvVbylAjLfaGJYdD+7GcdBTgm21LdW/Hm/Ky+dyZWSuttfwt+rfysdpp+n/AAj1DxJe+G7LSPCE+sWKhrqySxgMsQPQldtTLovwta91KxXQPChudLVWvov7Ph3W4ZdwLfLxlSDXlGk+ELvXfGnxH1zw5NHY+K9G8SrNpt0Rw4+yw7oJMcmN+hH41Y+FGr3HjXxX8VtQh0u6sby5gtreaynXDw3CWqo8RPQ4YEA9xg96jmfJdb8vN96TX52/4dF8q9o4t6Xt+Nv+D/wzPV7Dwv8ADm/0iDV7Pwx4YnsJ4FuIrhNOhKPGRuDA7ehHNY97/wAKYs9AsdeuNN8IJpmoMEs7kafCVnY9AmEyTx2rnvh9498JaT8ENI0TVNcs7PW9P0WOxuNJlkC3y3EcQQxiD/WM24cYU5GCMiuH8Q2WoeF/g38G7bVLq20K8tNXtXlm1BP3doSGb96pZemcEbl571pNJTai9LxSfq2vyIhrG8t7N29Ff8z2Pw3pvwq8RNMui+HfDd2YceZjSI1256feQVH4mtfhF4au7e01zRfC1ncXKs8ETaXEzyKvUgKhOBWr8Pteh1iC6j/4Tbw34oniYEto6qgiUjgMoml6kHnI+lch8QIdYuPj34Tj0TUrPT7r+x70mW6s2uU27kyNokQ598/hSa96MV1v+Cb/AED7Lfb/ADS/U0bqX4L2uj2+sXWl+FYbK5n+zwSSaVGvmSf3VBTJP4Vc8NWHwl8SNOmiaL4UvJLcgTRrpsIkTPQlSgIHvjFch8crbX1m+G1vcatYSat/wk8e27TT2WEHY+CYfNJPHH3xTNJt9St/jRrtv4quYpfFt3oJj0G9tIvItZrUFiyiMlmEqyMS2524ZcYqb7/P8Ip/1tp6FNWt8vxk1/XmdHqtz8E9Lv57C90/wilzb/69E02KTyj6MVQhT7Gr2o2Xwh0/wuPFF5pXg6LRCocX32KAwkHoQwXFcn8DfFvgzwr8MrXQfEurab4f12yaZdWs9SkW2uJJy7F5Nr4MgfIIYZBBAB7V5/r+lzW/wG8YXv2Gez0TV/FkV3pVnPCYsWzSRKWEbcqrsHYAgcHOOaqzcuVPtr01aX63XowSXX7uuzf6W+Z79pnhT4d6npsGpaf4X8MXVncRiWGaPToCjoRkEHb0rO8M6f8ACTxM96nh/R/COptYTGC6FvYQN5Mg/hb5evBrzK9v9d8HalqPwZ0aGUPr9x9o8PXYBKW1nMSboMR08tg2PaVPSul+AGjWPh7x98RtE02Ly7WzvbKKMdzi0jyx9STkk+pNEfeba2tp96v917evoRraz3/Tp9+/l8ztNe8OfDTQdIuNW1nw54WsLC2XdNcT6fAqIM45O2o10T4XN4d/4SJdA8KHSPJ8/wC2DT4PL8v+9nb0rkPivqOoeKPiTo/grRdI/tq00Yrq2uW4nSIEnctvEzNwQSHYr/srXHNqOo6D4P8AiV8ONb02TTCdNuNZ0WB7hZv9Flz5sYZePkl3HHYSCs3L3JS8m18t/wBfkmaxinOMfNX8r7fp967Ho2l33wO1O6trazs/CDyXWBb79NiQSk8gKWQBiewB5rdtPD3wzu9YvNHtvDvhaXULJUa5tl0+HzIlfO0kbehwcH2rzPxD4o8H69+zpZeGLDUdP8Q65c6NbQWem6dMtzcrchF2ttTJj2NglzgLjkirfjG3vfhyfB3xQ1Vpnk0/TY9I8UsgMhaBlBEpx94pKuM/9NDWs0ozaeydr/fb8bX9UzKLcoprdq9vS36N281Y7jUtN+E+m3l3Z3+i+Ere4s7T7bcxvYQAxQZx5jfLwuc81R0KT4M65ewWek6R4Yu5pxmJU0hMOMZyCY8dPeuKvtOnu/gh8Q/H2pQyJqPiexlmRJBhobRFKwRgduCz/wDA66b4J+J4brSNB06b4k+DtWZtNiSPTLKNEugwjXgn7Q5JAByNg/ClFO7Ut0l+N/ytb1uVJqycdm3+Fvzu/lYmudT+Bdte3FnNaeD0ltpvIn/4lse2KTj5WbZtU8jqe9W/EP8Awprw/sOsaT4UtEeHz1kbS4yhj/vbghGPfNeW6BY+M7rwV8UT4evrB7E+IL1brT2sibmeIxReaIpi5VXKZ2gxtz9eO71ibQZ/2UdRfwu0h0geG5kthI2XUCNgVY/3gQQfes3Jqlz9bRf3q/8AX6F8q9rydLtfc7Gppk3wW1Kxu76z0vwpJa2dubm4nOlRqiRDq+4oBiresWfwi0jTrPUNR0fwnb217j7K506EmfIyNgC5bjngVj+Kv+TU7/P/AEKh/wDSesjWLHw6/hvwFrF144h8GeIdO0tG02/uhGbd0dIxLG6y4R9wA4DK46g8GtZrllKPZpfn/l/w+xjTlzRjJ9U3/wCk/wCZ1Vwnwbt/Da+I59L8Ix6U0ghFy2nQhfMJwExsyGyQMYzTtCt/hFrck8el6F4auGt4jLL/AMShFCoOpJZBXk/jzxdrHiT4JJqesDS7GS08X2UUWrwQsljeIlzGRdqrsDs9fmwdpw3ceteHvEUOraPrVs3j7wr4nnWykdYtHRUaJdpBLATykjJHPFRJ2hKfa/8A6Sn+vkaRV5Rj3/za/QzdN1P4FajcW8Nna+DpGuX8uBjp0SpI3orlApPHrzWj4jt/hB4duo7TWdH8KWtxIhkSE6bEzlB/FtVCQOevSvFNKtNcH7NXhW5169tb3wMkkMmq2lpZmK8ht1n3K/ms7h1VwpfCISoOCK9B8fP4c0nxbL4w8O/EnSvC3iH+zEjlttWVJLTUbcKWiGxirnBx80LZ7EHOKuouRtPo2vw/ra5Mdfu0++39fLuehWPg/wCH19ZxXln4V8M3FvMoeOWPToGVlPcELU3/AAgvgj/oTfDv/gsh/wDiai+Fet6j4i8AaRrOq6KdFvLmAPLZ7SoQ+oBAIB6gEA8109E1yyaFF3Vznf8AhBfBH/Qm+Hf/AAWQ/wDxNH/CC+CP+hN8O/8Agsh/+JroqKko53/hBfBH/Qm+Hf8AwWQ//E0f8IL4I/6E3w7/AOCyH/4muiooA53/AIQXwR/0Jvh3/wAFkP8A8TR/wgvgj/oTfDv/AILIf/ia6KigDnf+EF8Ef9Cb4d/8FkP/AMTR/wAIL4I/6E3w7/4LIf8A4muiooA53/hBfBH/AEJvh3/wWQ//ABNH/CC+CP8AoTfDv/gsh/8Aia6KigDnf+EF8Ef9Cb4d/wDBZD/8TR/wgvgj/oTfDv8A4LIf/ia6KigDnf8AhBfBH/Qm+Hf/AAWQ/wDxNH/CC+CP+hN8O/8Agsh/+JroqKAOd/4QXwR/0Jvh3/wWQ/8AxNH/AAgvgj/oTfDv/gsh/wDia6KigDnf+EF8Ef8AQm+Hf/BZD/8AE0f8IL4I/wChN8O/+CyH/wCJroqKAPn240bSNJ/bZ0C10rSrGwgfwZM7RW1ukSs3nyDJCgAnAAz7V795EH/PGP8A75FeH69/yfF4d/7Eqb/0okr3Sk0mNNoxNE1/wzrepajpuk6hYXt5pkgivYYiC0DnoGHY1FZeKPCN5e6tZW2r6ZJcaPj+0UDqDa5GRvz93gV8/eAfF+g/Cf42/EtfiHdTaBHrN9HdadPcW0hiuY9pyUZVIPWs7wPZ6T4g0/4y+MPEVlrlt4K8STxR29zDaP580SjBljTBYrnBzjGKhWcFJL7N/npp+L+4ptqTi39q3y11+5Hv3hr4kfDXxLrP9jaD4r0LUdQwSLeCdWdsdcDv+FZHjL4yfDfwr4y0zwpqerWZ1C+mMMnlvGUsyACDOSw2A5wOteHfDDxa2l+PvCvhXwnq2jfE/RY5DGLhfD7W19o8argMZQoXpxk8nHOOKxfFOt+GPBOt+Jbz4feLbTV9Q1PUXe98GeIPD7zyzzl8MEfaGGeoGcYweavljeOmjv8Ap/V9SVOTUu/r69fls7H2hHHayRrJHHC6MAysqggg9xTvIg/54x/98is/whPPc+FNJuLrTRpc8llE0lkBgW5KDMeO2OmPatSnKCjJqwozcop3I/Ig/wCeMf8A3yKPIg/54x/98ipKKXKuw+Z9yPyIP+eMf/fIo8iD/njH/wB8ipKKOVdg5n3I/Ig/54x/98ijyIP+eMf/AHyKkoo5V2Dmfcj8iD/njH/3yKPIg/54x/8AfIqSijlXYOZ9yPyIP+eMf/fIo8iD/njH/wB8ipKKOVdg5n3I/Ig/54x/98iszxLrPhzwzpb6p4g1DTtLskODPdOsa59MnqfatevOf2gPHHg34f8Ag+DxB4w0pNVEd0Bp9sYFkZrja2CpYYQ7d3zdhmplyxRUOaTsdB4O8ZeCPGEU8nhfXtI1dbf/AF32aVWMfuR1Ap2i+L/BWteILrw/o+uaTf6paxmSe2t5VkeNQQCTj3IH4189/sx3Xw/1Lxz4p8Z33ifRrnxHrlnLJcaPp0MgtrKzGGdWLKA7cDP49c1kfDX4gfDHTv2t9Yv9H1fTbPQ77R4tPsDb2zRxSXBlj/dqoUYOR1IA960jBOpGFt1f566ffp6kSm1GUk9n+Gn9fifXMsdrFG0kiQoiAszMAAoHUk1yGifEr4Z63rw0HSfFugXmpliq20VwhdmHUD1P0rH8ceKPC3jK18cfDU39/Z3Vlo8j6hdR2zMkEbJ1BH3iM529TzXy3p8GpeJb74e+BvCOueGfEg0PWLeVbvRdFubee2gjOWkuJnwo47AcmppxUppW0dvxbTfy/HvoVNuMHK+qv+Cvb5n154i+Jfwz8O6wdH1vxdoFhfg4a3luEDqfQjt+NTeKviD8PPCptB4i8TaNpv2yLzrYzSqBKn95T3FfNf7T+o+H5z4l0nTfHMOn3srqJfCp8Kr5uo3CkZYXIQStvP8AEG/GvTdZ8cWfgT9mzRte1vwnbabrbafHaaXo0kXmMLhlwkYV8tgHkg84BqFb2bnbt873287+b+Q237RRvvf5bb/1956f4M8Z+CPGf2j/AIRXXNL1j7NjzvsrB9memam8YeKvB/g+0juvFGs6XpEMjbY2upFTefYHk15n8KNH0/4H/Bq/8WeMmlbU7wjUdcnhj8xzI54QKOy7sdq4T9pbxBpN347+HniSC4l8NxNbNcQ+J76xNxaRROufIaAowZ2zxnaRn8aucYqSivJP1s35dnbv+BNOTknJ+bXnb7+6PoLR/GXgbWPD0/iHTPEOi3Wk2+fPu450McWP7x/h/GqvhL4hfDrxbqLad4b8UaHql4qljBbzKz4HUgdT+FfJWk3NpdfAf4ni58Maj4nS81NZn17To3t4L5t/yzpHsHlrH1IVSCBzitv4L6tFqHx/8JzLrVp8Qzb6Y1ut7pWmGxTSCVwzSgRqJAeRliOvAzxVwpxlPl9P/Sb/AJ90vXoE5uMG79/waX9b+h9ivBBsb9zH0P8ACK8Q/Yaijb9nTRy0aMftl51XP/Ld69zk+430NeHfsMf8m56P/wBfl5/6Peo5V2Dmfc9e8RapoXh3SJ9X1y6s9PsIBmW4nwqIPc1FqGueG9P8Nf8ACS3t/YwaP5Kz/bHIEXlkZDZ9CDXF/tR6NqmvfAvxLpuj2U17ePbbkghXc77TkhR1JwOgrxrxx8VfBniP9myL4f6DeXepeLLjSoNPXSIbKU3CzKqqwZduBgg55rN7T5VqrWXe9y1vG70d7vta3/B+4+h9e8deAdB0ey1jWfEWjWFhfIslpNNKqrMrDIZe5GKn0vxf4J1TwzL4m0/XtHuNFi3ebepMnlJjrubt+NfPPxK0rwr4ei8CTeIfGt14I8YaFoENvDdXOlG8sZRsw0RBUqWznocgVXsda0vx18DfE9v8SNOXQNEOrJHH4h0HSpYIb0gjZdGIqSU4GSRjHpWk4x9/l1s3b77f1tr95EJyfJzdbX+6+2/5nuHww+KvgP4jajq2n+G7yCWfTbhoSjmMGdB/y2jAJLRnsePpXfeRB/zxj/75FfMnwB8YXl98WLPw3pt1oXjzRbXT3C+JrPRDZ3FngcRSNgKc4HA656k19P1UoRSTS/rYmNSTbTI/Ig/54x/98ijyIP8AnjH/AN8ipKKnlXYrmfcj8iD/AJ4x/wDfIo8iD/njH/3yKkoo5V2Dmfcj8iD/AJ4x/wDfIo8iD/njH/3yKkoo5V2Dmfcj8iD/AJ4x/wDfIo8iD/njH/3yKkoo5V2Dmfcj8iD/AJ4x/wDfIo8iD/njH/3yKkoo5V2Dmfcj8iD/AJ4x/wDfIo8iD/njH/3yKkoo5V2Dmfcj8iD/AJ4x/wDfIo8iD/njH/3yKkoo5V2Dmfcj8iD/AJ4x/wDfIo8iD/njH/3yKkoo5V2Dmfcj8iD/AJ4x/wDfIo8iD/njH/3yKkoo5V2Dmfcj8iD/AJ4x/wDfIrF8XeJPCfhGwW+8TatpmkWzttSS6kVAx9BnrW9XzX+2DdWlr4z8BXU7SaFLa3E0ieJbi2NxZ2alRujki2MHZ8DGcYxkHrUtK6Xd/wBf1/wxcW3d32R7r4Q8T+EfF9lJe+F9Y0vV7eNtsj2sivsPoccj8ah8Z+L/AAX4Mit5fFWtaZo6XLFYWumCByOoFfP37MvirTNCHxL8U6or6pZQypeXPii0tTBb36KCAkcO1QpXJ+7nOee2dz49ar4N8V6Z4G8XXfja+8Fwp5l9pt/c6CbqIll27JFYFFbBJAYHIye1VUio2sv5b/P7uzt3sTFtuSb2vb5ff3R7BoXjnwFrmhXmu6T4i0a60uyOLm7WVRFCf9pjwKi8JfED4eeLdQk0/wANeJtE1W7jUs0NvMrPgdTjv+FeK/Cr4jTf8Ky8aax8Tre11zwfpVzF9g1T+xFtv7VG/wCU+RtCHDhMHAwTya534MeI/AHj/wDaAsviFqGuaTo+qNG1poPh2zjfzcbGXfcOFCbtpb5QcdOeMGowjKfLbS3z1Wnzb6dCXNqm5X1T+W/+XU+lm8YeCV8Vw+FP7e0htdm3eXYLKrTHaCT8o6YAJ59K6BobdVLNFEABknaK+QvH3jr4WaN+1Z4L1bTNS0ux07Skvk1ea3tWQRzvGyjfhMsxJxkZr6UT4ieGZfHtj4JjmuZNUv7E38BWA+U0OM539uO1RCKnTjJbu/4X/RX9CpycajjfRW/H/gtIxZfjV8G4pHjk8eeHFdCVYGcZBHUdK6zWfEPhbRvDn/CR6tqenWWkbVb7ZMyrHhiAvPvkV4P8UoLL4tfGaw+FOiWtsmgaLIt/4ouIYVXzCpGy33AdS2Mjr37VT+Pdn4x1HxXqf9q/D3V9U8GaDpcv9jx2c0CwfaPKZftMwZwzBBkqoHHXmok0qalbe/3Lr83ovv2KV3U5b9vvey+S1f8AnofRvh/UtD8QaRBq+iXNpf2Fwu6G4hwyOPUGvmn/AIKQRxp8LvDmxFX/AInfYY/5YSV6F+xlf3d58CdFguNIurGO2j8uGaVkK3K8/Om0kgducVwH/BSP/kl3hv8A7Df/ALQkrepTUJNIxp1HON2fSumNc/2ZbKLaNl8pcEy4yMemKsF7s9bWI/8AbX/7GuO+KHiq+8E/B/UPFGmwW091YWQkjS4DGMnA+9tIOPxFYen/ABA1+HxloGjNqHhrxZbauzJM+hwvFJp+Fz5smZpVZO3VDnpnpUx1dipe6rvz/A9Mb7Qxy1lAT7yf/Y0u+6xt+yxY9PN/+xryq3+IWvah468V6GPE3gvw9b6JfJawLqdq8ktwrRq+/P2mMdTjhe1dBc+MtX0f4n6L4V1yCxk03WrAmz1G3Row14gy8ZBZgAw5UZzzjJojqo+e33X/ACCXut36f52O233eMfZYsf8AXX/7GmD7QDuFlAD6+Z/9jXDar471X/hMvEml6TZ2kum+HdK8+8uZVYk3bKXSEEEDAXaT35xxVH4UeMvEHi7StB1S58YeCGfUbSK6n0q0sn+0xhkDMgY3TYK5xkp26UR97by/G9vyYS93f+tv80elB7sf8usX/f3/AOxpA92Cf9Fi5/6a/wD2NeRWnxf1i1+Ket6T4g0qwt/CNnqaaTDqkTP5kFy0aOvn5O0I28AMMYI5rpLfx1qcni3x9o5tbPyPDcEElq4DbpC9ush3846nHGOKTa5efpa/ysn+TRSi3Nw67fjb8zuD9o3bvscG7183n/0GlZrphhrSEj3l/wDsawfBXiK71z4X6P4quYYI7u+0iK+kjjB8tXeIOQMnOMn1rzq6+LXiA/DDwH4kVdC0+78TXsVtdTXUTtbWqsWy4XzFPGO71couMnF7ppfe7L8iIvmjzLa1/uVz2JTcr92zhX6S4/8AZadvu85+yxZ/66//AGNYfgi/1LUI7ia88TeG9diUhUbR7VohG3cMTPLnjHHFc78RvGmraL490Tw1Y6r4d0e3v7Oe4lvdXhaRQ0ZACKBNEOc+p6VL3S7/AOV/yQ+jfb/hjvi92f8Al1i/7+//AGNJvu85+yxZ/wCuv/2NeYeOvH2veHNE8MSQa94SvZNa1cWMmqC1cWcMZBO4KLg5IIx/rMVd8JePtUm8YapoWqSaRrWn2WnC/Ot6NG8dunLAwOrPIN4C7shzwRkDuaa/1srv8Aelv63dvzPQW+0MctZwE+pl/wDsaUvdkYNrEf8Atr/9jXn/AIR8Q+P/ABxoS+JtCbw5ouk3W9tOgvrSa7nnjDELI7JLGse7GQoD4BByTwOe1z4xa5D8KNe1uz0SwtvFOh6ouk3dlcSNLbeeSmHVl2sUZXVh0IyQemSPTTr2+aX5teg0r7f1u/0Z7Dvu85+yxZ/66/8A2NLvu8/8esX/AH9/+xri/CPxEtr74b3nibXo49PvNJMsGr2yk4huIjgquecN8pXPJDrWZ8C/H3ifxpeeJLbxNpNhpkum3MIt4rYPu8mWMSp5m4n59rLnAAzmnb3muyv8v+CSnon/AF5/cejb7vJP2WLP/XX/AOxoLXRPNrEf+2v/ANjXn3xq8SeNvBfh278SaRe+HpbKKWCJLS60yZpP3kioSZVuFHBbP3Pb3p3j3xR4w8EfDu78Rahc6Dql2txaxwpBp8tvGqySqjbgZ3LHDcYI6dDSWq+dvnp/mN6O3zO+X7QpytnAD6iX/wCxpxe7IwbWIj/rr/8AY1xfiXxnqzeNbLwL4Ws7OTWZ7D+0Lq7vdxt7KDcFUlFw0rMdwChl+6ST2Mfi7XfG/g/wRr+u6pJ4d1NrG08+1kt7aa3BfOCjxNI+Rg53CQem3vSckouT21/DccVzNJb6fjsdxvu8Y+yxY/66/wD2NNX7Qp3LZQA+ok/+xrzzwd8RNW8dalp0fg+0sJ9IgjjbW9Xl3NAJSgY21sAwLuCRuYnaowPmJ4yvDXxD8ReIdZ1+1/4SrwPoI03WZNOgtL6zkknlVVQh8/akySXxwvaq5Xzcv9Wul+un37E305vT8U3+n9M9ZD3Y6WsQ/wC2v/2NG+6xj7LFj083/wCxrzv4xeJPHfgzw+3iDTtQ8NXFr9ptbZbafSpy+ZZUjLeYtwBgFs429sZ712/hqPxDHbOfEGoaXeyNgxGxsZLZVGOQQ8smT75FJapv5fl/mNuzS7l7fd4x9lix/wBdf/saaxuWGGs4SPQy/wD2NeY3PxE1y5+I+r+FYb/w14dksHQWVvrUMpl1VT954nEiKq5IXhZCCc47HpPiZ4q1bQNM0uw0K1sbrxNrN0trYW9w7GENtLyO+3DFFRWOeMnA4zSv7ql3/r+u3Ww7atdv6/r8Dqy10V2/ZIcenm//AGNIv2hfu2cC/SX/AOxrz+H4k3Nz8Eta8awWdvHrGkWtz9qspA2yK6hB3IwznHQ9eh612Gl6vcXfgi312SOJbiXTxdFFzsDGPdj1xmnNqKk3sv1v/kKPvNLq7/ha/wCZo77rGPssWPTzf/saRvtDY3WcBx0zL0/8dry34TePPEfjTR9G1W48W+B7aW++eTSYrKQ3KgMcoGN197A67Pwp7fETXb34iax4XhvvDXh6bT5lSzs9Zhl87VU7yRSCRFVSSFGFkIJyQehpxalyvf8Ay/roK+lz1HzLz/n1i/7/AH/2NHmXn/PrF/3+/wDsanj3GNS4UNgbgpyAfY0tSMr+Zef8+sX/AH+/+xo8y8/59Yv+/wB/9jViigCv5l5/z6xf9/v/ALGjzLz/AJ9Yv+/3/wBjViigCv5l5/z6xf8Af7/7GjzLz/n1i/7/AH/2NWKKAK/mXn/PrF/3+/8AsaPMvP8An1i/7/f/AGNWKKAK/mXn/PrF/wB/v/saPMvP+fWL/v8Af/Y1YooAr+Zef8+sX/f7/wCxo8y8/wCfWL/v9/8AY1YooAr+Zef8+sX/AH+/+xo8y8/59Yv+/wB/9jViigCv5l5/z6xf9/v/ALGjzLz/AJ9Yv+/3/wBjViigCv5l5/z6xf8Af7/7GjzLz/n1i/7/AH/2NWKKAPBtdaf/AIbe8PEwoH/4Qqb5fM4/4+JO+K9x8y8/59Yv+/3/ANjXievf8nxeHf8AsSpv/SiSvdKAKzNdN960hP1l/wDsaXfd4x9lix/11/8Asa84+EfxF1fxh4/8d+HtQs7GC28O3yW1q8CuHkUgnL5YjPHYCuftPjNr/wDa3xThk8OwahH4N8r7Fb2YcTXO5cneSWHHsOlTzKyf93m+Wn+aHZ3t58vz1/yPZg10v3bSEfSX/wCxrKGgWA8VHxT/AGNb/wBsm1Fn9qNwxbyQxYIBjAGST0zXlPwU+KnjnxzqdhcXE3w7vdKulJuLbStQmGoWJxnEkcowxHQhe9chqvxb+IHij4sT6b4e1Hwv4Zh8N6g8R0XWb6S2udZTgbslNu3qVwR15zV2fOl11/yf5kppxbvp/TX5H035l5/z6xf9/v8A7GjzLz/n1i/7/f8A2NOsZJprKCW4hEMzxq0kYfeEYjldw64PfvU1DVmCd1cr+Zef8+sX/f7/AOxo8y8/59Yv+/3/ANjViikMr+Zef8+sX/f7/wCxo8y8/wCfWL/v9/8AY1YooAr+Zef8+sX/AH+/+xo8y8/59Yv+/wB/9jViigCv5l5/z6xf9/v/ALGjzLz/AJ9Yv+/3/wBjViigCv5l5/z6xf8Af7/7GjzLz/n1i/7/AH/2NWKKAK/mXn/PrF/3+/8AsaRmum+9aRH6y/8A2NWaxfGuoa7pugy3Ph3RoNWvxwsU92LeNBjl2bBOB6AEn9amUlFXY4pydkaANyOlnCP+2v8A9jR/pH/PnB/39/8Asa8u+B3xO13xz8INV8YaxY6bbahZTXcaxWocRHylyM7mJ+vI/CuJ+C/xu8ZeOta0qO9134WWkN3KRNpqXF0mpKoJ4VWJTf7ZNXZ8/J10f3kt2jzdNV9x7l4f8PafoE+oT6RottbTalcG6vZROzPPKf4mZgSfYdB2rWDXS/dtIR9Jf/saTVprq30q7uLG1S6u4oXeCB5RGsrhSVUuc7QTgZ7V87+FPjx4y1D4p6L4XeLwFr9rqczJMmgX8zz2Cjq0jyAI2PRRzjjFKPvSUF/Xb+ug5aRc2fRJa6JybSEn183/AOxoLXRxm1iOPWX/AOxr528Z/HPxfYfFXxB4R0/VfhroltpciRwyeIprqKS43D+Exkg478Ct/wCN/wAXPEvgdfB1vp914MSXXFb7TqGoyTfYYiqZ3K8Z3bSeASD1FSpJxUujt+I3FqTj1X6HtZe7IwbWIj/rr/8AY0ha6IwbSEj/AK6//Y1x/wAF/E2seK/C76lrOr+D9Ul84qkvhueWSAL6N5nzBq5n4/fGJvh9qmj+HNKj0j+2dWV5FuNXujBZWkSjmSQr8x9lHJ7elVL3Wk+oo+8m10PVg10BgWsQHp5v/wBjQrXS/dtIR9Jf/sa8TPxe8SWnwN8S+OJNQ8B67qGlEeQdDuJ5bUjIGJA+11bn15q38CviZ4n8b635Oq+I/hlfWv2bzDbaDc3LXiMRxuWXjA74ppXk49tfv1E3aKl3PYXkvNjf6NF0P/Lb/wCxrxH9h1rhf2ddH8uFHH2y85MmP+W7+1e7Sfcb6GvDv2GP+Tc9H/6/Lz/0e9IZ7V5l5/z6xf8Af7/7GkDXIORZw59fN/8Asa5D46+MdQ8A/C7WPFWl21rc3djGGjjuQxjYkgc7SD+tZvjf4g6toX7P7/EO1s7KTUhpMV75EisYd7oGIwGDY59alzSjKXa1/nf/ACKUW5Rj3v8Ahb/M9BZrpvvWkJ+sv/2NNlFxLC8MlpEUdSrDziMg/hXg/j345+JdF07wPHZ6f4d06bxJpcd9Nq2tSTR6bbuy5MWYwWz6ZPcVva38UfF/hn4K6n4z1jQ9C1nUbWURwHQbx57OdT0lzguijuDzx2pzXKpc3TR/fb+v8iYPmcbddf1PSvC+iWfhjQ7bRNB0i3sdPtgVhgSdiFBOTyQSeT3NafmXn/PrF/3+/wDsa8V/Zx8UeO9e1K+utd8SeEvE+lamzXkUukaizyaaT0tzE6htg6DqQc5Jr3KtJxkvi3ZMZJ3sV/MvP+fWL/v9/wDY0eZef8+sX/f7/wCxqxRUFFfzLz/n1i/7/f8A2NHmXn/PrF/3+/8AsasUUAV/MvP+fWL/AL/f/Y0eZef8+sX/AH+/+xqxRQBX8y8/59Yv+/3/ANjR5l5/z6xf9/v/ALGrFFAFfzLz/n1i/wC/3/2NHmXn/PrF/wB/v/sasUUAV/MvP+fWL/v9/wDY0eZef8+sX/f7/wCxqxRQBX8y8/59Yv8Av9/9jR5l5/z6xf8Af7/7GrFFAFfzLz/n1i/7/f8A2NHmXn/PrF/3+/8AsasUUAV/MvP+fWL/AL/f/Y0eZef8+sX/AH+/+xqxRQBX8y8/59Yv+/3/ANjSF7phhrWIj3l/+xryL45fFDxt4D8ReHrex8M6T/Y2p6xb6cby7umkll8w/MUiTGzAB5Zjk/w1L+0f8Udd+HT+GYdFbw5AdYupIZrrWzKLeAKm7cTGcgduh6ip5lyqXnb56f5ofK728r/L+keieJ9BsfE2jvo+uaPb3unu6SSW7XDKjlGDLuCgbhkA4PBxyK0oxPHCkMdjAsaAKqCTAUDoANtcZ8EvFWteLfD1xqGs6z4L1V1m2xSeGZ5ZIVXHR/N+YNWR8XviT4g0Lxv4c+H/AIL0nTb3xHrwlkjm1OV0tbaOMbmZwg3HIzjFU/daj3/y/wAvyEnzJy6I9M3XWNv2SHHp5v8A9jSA3IORZwg/9df/ALGvAP8AhobWPDug+Nrfxt4csD4l8LSwxCHTLh/s96ZWCqVLjcoBIznJPtWhp3xa+IXhzxz4Y0X4l6H4Zi07xPDI9nc6PPMWtWVN+2USDDEjA+XHrntQtbef+Vwen9dj2/8A0j/nzg/7+/8A2NLuus5+yxZ/66//AGNfONx8d/iVc+CtU+J+j+E/DbeCdMvTbyW1xdTf2jMiuEZ1IHlgZYdQcc9a+hNG1u01PwxbeII8raz2ouhnqFK7qNouT6fqr/kH2uX+tNy0GugTi1iGev73/wCxpfMu/wDn1i/7/f8A2NfN8/x5+JVx4H1D4paT4S8Nt4IsLwwPaz3U39oyoJAjOpA8sckHkHHvXTah8XPGXinx4fB/ws0fQJJ7bS49Su7zXJpRFtcDEaLEM7skck4pf1+F/wAh/wBfjb83/SPag92BgWsQH/XX/wCxr5c/4KOtM3wu8OebEif8Tvs+7/lhJ7V7P8APiRN8S/BkuqX2mR6ZqdndPZ3tvHIXQSIcEqTzg+h6eteO/wDBSP8A5Jd4b/7Df/tCSqasSnf+ux7d8S/Ct142+Ed94XsrmC2nv7NY0lmBKKcDrjmoNa8ASQ+LtB8UeE5LDSb+zYQakgh2R31ofvIwUcsOqk9DXU2gsYNKtZbq48gNGvL3DIM47c4qSKbSJZVij1CN5G+6q3hJP0G6ktHdDlqrP+r/APDHnVn4E8T6R438Va3Zaf4T1a3129S6j/tGSRJYNsapt4icHpnr3roviX4Rv/GHguC1hubXTfEFnJFeWFyoLxW91GQVPQEpng8DI7V0ty2mWrhLm9WFiMgSXZUkfi1OnGn28ayT3XlI33We6ZQfoS1L7KXa1vlsO/vN97/jucl4W8D3mlfDfUdDvdQhu9c1ZZ5tRvghCS3M2SxA67ATgDsoFZ/wu8KeLPCej6Dot1o/g94dNtIrSW+t5pRcSKiBS4BhAycZwW/Gu5im0iWVYo9QjeRvuqt4ST9BuqdobNZViaZxIwyqm4bJ+gzVJ2bfe34Xt+ZL1VvX8d/yOJ0L4cwpc+O4vEH2TUdN8U6h9p8gKfkj8lI9rZ75TOR7Vk/Cz4Wat4XuvFY1/wARf21BrCR21vMVInW3jiESeaejOFABYdcZ716a1vaq6xtJIHb7qm4bJ+nNO+xw+s3/AH+f/GpsrW8rfJaFXd79b3/U850Pwt8RdC8GQeCdP1Dw5Np9rbCxtdTn84XCQBdqloQNrOq4H3wDjPHSqviX4U3I8E+CfD3h24sZ18LXkFxt1LcEuxGuCG2q2CxJPQ16PLJpMMvlS36RydNjXhB/LdUtxHY28fmXFwYU/vPcso/Mmqbb1b1un81sJK2i21X37/10Mvwfa65ai4j1bSfD2nRkgxjSpXbce+4NGnt61neIPBv9r/EvRvE9x9imstPsLi2e3mi3szSFSGGRjjFdBFJpUys0V8kgXG4rdkgZ6fxVYe1t0Qu7yqo6kzuAP1o6qXb/ACt+TDo13/zucd8RPAY8SXXhT7CLC1s9F1db6a3eL5ZUCkFVUDGcnPNR2fgGTSvHuoalos1paeHNasjHqulrHtBuB8onjAG0Eqdreu1a62eTSoCBPfJESMgPdkZHry1Pxp/krN9q/dOcK/2ptrH2O7mpt+v4q39eY27/ANdnf9TgvCPhj4geCdAHhjQbzw9qulWzONPn1BpYZ4ImYlY3WNWWTbkgEFcjAwOtZ2rfCG8uPhlqXh2PWoZ9a1bVk1XUb+aEpHJKHQkKi5KqFRVAyenJr1KS3tYwDJJIgJwN1wwyfTrQLa1MhjEkhcAEr575A+mapN35uv8Ak0/zSv36hf8Ar8P1Z5l4o+Etxq3xKj1uDV1t/Dt60FxrmlYb/TbiAMIn9ACCu4d/LT0rpvBXhG70Hxt4x16e6glh167gngjQHdEI4VjIbPHVc8V0/wBntfM8vzJN+N237Q2ceuM1W8/R/M8v+0Yt+cbftpzn0xupR0Vl5/jb/JfJWE+/p+Bh/GDwnd+NvAtz4fsrqC1mlngkEkwJUCOVXI455C0z4teEbzxl4Bl8OWd1BbTvNbyCWUEriOVXPTnkLXVfY4fWb/v8/wDjR9jh9Zv+/wA/+NC0++/z0/yDrfyscR4q8E6ufG1h458KajZ2+s29j/Z91bXqMba8g3BgCy/NGynJDAHqQRS+K/D/AI08XeCNe0HV5tAsGv7XyLdbVpZgrZB3u7BeMDG0L+Pau2+xw+s3/f5/8aPscPrN/wB/n/xpOKcXF7a/juOL5Wmt9Pw2PPtH+HmpeF9c0vVvCN/Z2Qkhht9f090Itr0Im0TxhR8kw9ejDhugNZ3hjwH4s8M6rr81ppvg/VotT1iTUYpr2WVJogyoAnETdNmcg969S+xw+s3/AH+f/Gj7HD6zf9/n/wAaq7vf1/Fp/mibK1vT8Lr9Tlfix4Tv/GvgddDt7m2tLk3dpcM77ig8qZJGAwM87SBxXYRrtjVfQAVD9jh9Zv8Av8/+NH2OH1m/7/P/AI0lomvO/wCS/QLap/I8++J3hDxX4z0jU/Dlzb+ErjTL0FIb25ilNxaKcfMseCGdcZDB15xwMc17X4VTXnjC31XxDrl9c2ek6XHp+jizv7i1nTp50srxMpLNtTjJGBXpP2OH1m/7/P8A40fY4fWb/v8AP/jSSt/Xlb8mxvX+vNP9EeTXnwh1C1PjnT9A1rZovirSmiaC/uZ7mWK+IK+dvcsSrKeec/KK6rwtpnja30CLw/rFv4eS0i082ontLuZ5CwTaDtaNRj15rr/scPrN/wB/n/xo+xw+s3/f5/8AGhq8XF7NW/P8rjv7yl1X/A/yR5l8K/Bfi7wXoej6HLpPg66isP3b36TSrcOpYksB5P3sHpu/GrPxP8G+K/G2j6l4bvIfCUum3mUhv54pTc2iEj5kjwQZFxkMJF5wcDFeifY4fWb/AL/P/jR9jh9Zv+/z/wCNVN87vIUfd2GaNZf2bpNpp/2iW4+zwrF5spy77RjJ96t1X+xw+s3/AH+f/Gj7HD6zf9/n/wAaG23diilFWRYoqv8AY4fWb/v8/wDjR9jh9Zv+/wA/+NIZYoqv9jh9Zv8Av8/+NH2OH1m/7/P/AI0AWKKr/Y4fWb/v8/8AjR9jh9Zv+/z/AONAFiiq/wBjh9Zv+/z/AONH2OH1m/7/AD/40AWKKr/Y4fWb/v8AP/jR9jh9Zv8Av8/+NAFiiq/2OH1m/wC/z/40fY4fWb/v8/8AjQBYoqv9jh9Zv+/z/wCNH2OH1m/7/P8A40AWKKr/AGOH1m/7/P8A40fY4fWb/v8AP/jQBYoqv9jh9Zv+/wA/+NH2OH1m/wC/z/40AeJ69/yfF4d/7Eqb/wBKJK90rwbXbeMftveHo8ybf+EKm/5aNn/j4k75zXuP2OH1m/7/AD/40AeOSfC/x/4V+IXiLxT8NfEugRweIpFmvbLXLOSQRygY3RtEwPrwat+BPhR4n8LaN4o1ODxjbv438SXC3NzqRsFa2iK/djWInlRyMk5xXqscNnI7pHM7shwwW4YlfrzxQkNm7uiTMzJ99RcMSv154pRVo8q7W+Wmn4Ibd3d97/PueH23wY8Xa58SdD8ZeMdU8I2M2jSmVG8OaW9vNdkjgSyOxyB6c9T61lfEv4cfFjx9rt34L11/B914clT7RH4jk0fF7ADIcQph8CRVAG4KARjnOa+goV0+aQxw3XmOOqrdMSPw3Vla54h8L6JrelaJqmqm21HV5GisYDLKzTMoBI4yF4I5bFNJe6unYWur69/Q0vDGlLoXhzTdFjuJblbG1jtxLL99wihcn3OK0ar/AGOH1m/7/P8A40fY4fWb/v8AP/jTlJybbFFKKSRYoqv9jh9Zv+/z/wCNH2OH1m/7/P8A40hliiq/2OH1m/7/AD/40fY4fWb/AL/P/jQBYoqv9jh9Zv8Av8/+NH2OH1m/7/P/AI0AWKKr/Y4fWb/v8/8AjR9jh9Zv+/z/AONAFiiq/wBjh9Zv+/z/AONH2OH1m/7/AD/40AWKwPH1v4suvD0lv4NudGt9SdgpfVYpJIfLIIbiMg59K1/scPrN/wB/n/xpsltbRoXkkkRRyWadwB+tTKKkrMcW07o8a+BHwx+JHw+8Oal4YvfEfhptNuRcTwXFrZyvcRXMmMMRIdjIOflxz61S1L4M+NvF/inw/e+Oda8IxafoN8l7D/YekvBc3LocgSM7EKDjkLx/Ovb4lsJYmljuS8a/eZbliB9TuqJZdJZgq6hGSTgAXh5/8eq7vmUuqt+GxNvdcejv+O5w/h2L4n6p4u8YXF9qX9jaB5ZtNAt5rWGR1kH/AC8nAyV9FZufauI1X4K+N/GHjHw9qvjbXvCltaaDdrdRNoGlvBc3LKwIEjsx2g4528e1e8/Y4fWb/v8AP/jUMa6fJKYY7rfIOqLdMSPw3Uo+64vqv06jlqmuj/qx5J8T/hx8SPFi6vocOveDG0DVMq095ojNf20bfwoytsYgdGIzWlP8PfGPh3wj4d0DwHrfh6a30izFrJB4h0xp0mI/5aho2DK3bb05r0mZdPhkEc115bnor3TAn82p88NnAnmTTNEn957hgP1NJKyt/Wn/AA/9Mbd3f+tTx7wB8IPFXgfwX4p/4R/xVp9t4w8QXAujdx2CrZ2r5+7HEQw24J6j8Kk+JHwm8UeIdd8JeM9N13RT4s0K3MFwdRsTJZ3m4YclFII5Jxj9K9eit7WZBJFK8iHoy3DEH9aZcJYW+PtFyYs9N9yy5/M07arytbysrflv36iXXzvfzv8A18jyDwP8IPFPhvTvFGrReJNFj8V+IbpbiXytLzpsYVs+UISclW6Fs7hn1pfBvwi8SN8WrL4keNtU8Oi+063e3tbPQNPa3hYMpUtIzksxwen/AOqvX4IrK4TfBO0q5xlLlmH6GhI7F5mhS4LSr95BcsWH1GaadpJ9tvLS35f57ieqafXfzLcn3G+hrw79hj/k3PR/+vy8/wDR717S9nDsbmbof+Wz/wCNeI/sO28cn7Oujsxkz9svOkjD/lu/oaQz1H4o+D7Px94E1TwnfXMtrDfwmPzogC0bdmweuD2ryXUfhT8YNe8C2/w613xx4Xj8MpEltLdWemyi+lgTACnc3lgkAAkAV7tLb2sUZklkkjQdWa4YAfrSNDZrD5zTOseM7zcMFx65zS5Vr52v8th3enked+LPBfjqGx0/SPBGq+FX0G0sI7I6Z4h0xrhMINocPGwJOBjB4rnPAXwf8X+APBeuJ4Z8UaTDr2qX/wBveAaZ/wAS1B3t0i3ZVCOMgggV7LJHYxxCaS4KRno7XLAH8c06OGzki82OZ3j/AL63DEfnmm7+876vr87/AJ/5bCSVkraL/K39ffueF/Bn4X+Lbj4hWnxX8cW+heHtW+yPAdI0Wy8hX3ZG+dt7bm+hPavf653wxr/hjxNNqcOhaob59Lums7wJJKPKmXquTjP1GR71tfY4fWb/AL/P/jVN6JLbp89f1FbVvr/loWKKr/Y4fWb/AL/P/jR9jh9Zv+/z/wCNSMsUVX+xw+s3/f5/8aPscPrN/wB/n/xoAsUVX+xw+s3/AH+f/Gj7HD6zf9/n/wAaALFFV/scPrN/3+f/ABo+xw+s3/f5/wDGgCxRVf7HD6zf9/n/AMaPscPrN/3+f/GgCxRVf7HD6zf9/n/xo+xw+s3/AH+f/GgCxRVf7HD6zf8Af5/8aPscPrN/3+f/ABoAsUVX+xw+s3/f5/8AGj7HD6zf9/n/AMaALFFV/scPrN/3+f8Axo+xw+s3/f5/8aAPF/j18NfiZ8Q9b0v+zda8J2ekaPqMWo2KXFvOZzKgPEhU7SvPQAH3rqPEOh/FW+0PSZrXWPBR1iBHW+trvSpZbGUkjDxnf5qEAYxkg5PoK7uddPgYLNc+Ux6B7pgT+bU6aGzhj8yaZ40/vNcMB+eaSVo287/Mbd3f5HiHhz4a+MPhp4O8Z65oNzDq3jjxJJG0cenWscFpaybiAyI+RtXcWJOenStDxZ8LfG+rXfgrxnZeKdNHjvw9bvFc3F5aH7JeeYuHDJHtIxnjbj8K9fhgtJoxJDK8iHoy3DEfzptxHY24BuLgxA9N9yy5/M09reVreVlay+T179Rd/O9/O9t/u07Hhcn7PN5r3hzxnJ4w8SQT+JvFMkUz3VjbFLezaJtyBFYliuQM5OcVf0n4ReNtd8ZeG9c+JniTRL618MwvHY2mlWkkYnZk2b5jIx5AwflFeywx2MyF4bgyKOrJcsQPyNEC2E7FYLkyleoS5Zsfk1C06f1awPX+u589t8A/HkHhHVPhrp/jTRovA2pXxuJHkspG1GNC4cxqd3l4yoHSvVrHwr4p0/xPp1nZ69Zr4FtdKNnLpTWymaSTbtD+ZjIHtnHtXXtDZrMsLTMJW+6huG3H6DNSfY4fWb/v8/8AjR0t/T0tr6Lb79w63/rdPT1t+mx86n4BePIfB2o/DOx8aaNF4Fv703Du9lI2oxoXDmNTu8vGVA6V0ep/CHxZ4d8f/wDCYfC7XtFsZrjS0027tdXtpJIiqY2uvlkHdx34/lXrpm0gHnUIx/2+H/4qp3hs0i815nWPGd5uGA/PNHT+u1tfkH9fjf8AM4v4FfDhPhn4Pk0mTUjqd9dXL3d7dGPYJJXOTgZOAK8Y/wCCkf8AyS7w3/2G/wD2hJX05Fb2ssYkikkkQ9GW4Yg/rXy9/wAFHYUi+F3hzYX/AOQ3/FIzf8sJPU05NtiSsfSb6PpOs6FZ2+saXY6jCkassd1brKoOOoDAjNeV/s4eG/D6eHNd1GHw9pH2+28SamttOLOMSRhbhwoVtuVA4Ax0rTuPjZ4d0aeTSbjw342nms2MDyW3h+eWJyvBKOBhl44I61Q0n40+BdJhlh0vwL42sopZnnkSDwtOgeRzuZyAOSSSSe9Z80bvXdW/Ff5FuMmkrdb/AIP/ADG/s/6H4Y8VeBH1zxNpum634knupxrMuoRLcSwTh2Biw4JjVegUYGMUfBDSdL1b/hMtJltLTWvB+n648egrdot1FEgUeYkRcH5FfcBjpjA4rJ1n4g/CLWb+TUNV+Ffii8u5P9ZNL4QmLv8AU7efxrdsPjl4M0+yisrHwX45tbaJQscMPhedERfQADAqlOOvpa3Tda/hp679yUZPp1v+f+ZD+zX4e8NQ+F9V1RtB0iO6tfEWqCO5+xxiSJVupAAGxkAAYHoBXBeIdUu/FVxrnxN0vR/EE+s2F6p8LyQaXPLA1pbn5gJFXbtmYOxPowHau5tfjB8PbXTbnTLX4f8AjOGyunkeeBPCkypK0hJcsAuCWJJPrmrGnfG7wTpumwabp/gnxxa2VvEIYbeLwtOscaAYChQMAAdqXPs09Ulb101/D7mw5Hrpu3f0ben4/giDVNf0/wAVfFf4R+ItKk8yz1CxvriI9wGhU4PoR0PuK9sr58u/HnweurG0sbj4T+JpLWzeSS2iPg6XbCzklyg2/LuJJOOta+g/GPwBoNj9h0XwH420+13FvKg8LTquT1OAKrnhay8/xdyfZzvf0/A48afeS618XL+1+H/hzxOIdZIaW8lH2qIfZYc+XGYiHAHzY81MnPTrVjxlZ2svws+EFnpt9D4vhfWLURTamxRLvKk4lyJCgHTBDkYxziursPjR4DsJr2ay8C+NraW+l867eLwrOpnk2hdz4HzHAAyewrKuviL8JbrR49HuPhb4ol06KdriO1bwfL5aSsxZnC7cBiSTkdzURlGMYq+3J/5L/Wn436XKLcpStvzf+Tf1/XXubz4f22u+A9c8P6h4T8N+HJNQj2I2iy+byBlHLGCIhg3Tg/XmvPl8SX3xD8IeH/hbdXRTxBJcPaeJgp+eOC1bbI5HbzcKy+oJrS8OfFX4aeHGmbQfh14y00zYEpt/Cs6b8dM4HvU1l8X/AId2Wt3uuWfw+8ZW+qXyqt3dx+E5llnCjCh2C5bA9apShzavTT71t8u/cXLK2i11/Hf/AIHZlC40Nrz9ozxNa2Pg/wAMa7FbaBpyrDq8/kpAu6YDy8W8vYYPC9B17Wv2gfDmnalY/Dfwxf6XaWVjda+kU9nYOVijJjcnYQqdG5B2j6VU134ifCXXdTbU9Y+F3iq+vmQRtcTeEZmkKjopbbkgZNW4viv8NY7XTrVPh14wEGmS+dYp/wAInMRbPz8yfL8p5PI9aSlFpKT6p/jcbjK7cVurf+S2OV+Iuuarptn4e+HHi6czaxpviWxk069f/mJ2P7wJL/10TGxx1yA38VenaFLHB+0t4ngmYRy3Xh3T2gVuDKElud5X1xuXPpkVgaz8X/h3rVxZXGr/AA+8Y381jL51pJceE5naB/7yEr8p9xUXiP4sfDXxIkSa98OvGGpCE7ovtPhOZyh9iV4pxqpLV3d3f5pL79Lvv5dFKDd0lpZfhK/3du356xZLz9pXXZbZlmSy8IwQXLKciKRpp2Cn0JXnHpiuc/Zt8PPdeBtKvZvAXg26tjf3jHU57jN7xdS/N5f2UjIIwP3vQdR0rS0L4v8Aw70Kwax0b4f+M9PtmJLRW/hSZFYnrnC81i23jT4L210t1b/CTxLDMsnmq8fg+ZSHzndwvXPNEJxjZX/q7f69wnGUk9Ov5RUf0PoiivI/+F/eF/8AoVfH/wD4TVx/hR/wv7wv/wBCr4//APCauP8AClzx7hyS7HrlFeR/8L+8L/8AQq+P/wDwmrj/AAo/4X94X/6FXx//AOE1cf4Uc8e4ckux65RXkf8Awv7wv/0Kvj//AMJq4/wo/wCF/eF/+hV8f/8AhNXH+FHPHuHJLseuUV5H/wAL+8L/APQq+P8A/wAJq4/wo/4X94X/AOhV8f8A/hNXH+FHPHuHJLseuUV5H/wv7wv/ANCr4/8A/CauP8KP+F/eF/8AoVfH/wD4TVx/hRzx7hyS7HrlFeR/8L+8L/8AQq+P/wDwmrj/AAo/4X94X/6FXx//AOE1cf4Uc8e4ckux65RXkf8Awv7wv/0Kvj//AMJq4/wo/wCF/eF/+hV8f/8AhNXH+FHPHuHJLseuUV5H/wAL+8L/APQq+P8A/wAJq4/wo/4X94X/AOhV8f8A/hNXH+FHPHuHJLseuUV5H/wv7wv/ANCr4/8A/CauP8KP+F/eF/8AoVfH/wD4TVx/hRzx7hyS7HrlFeR/8L+8L/8AQq+P/wDwmrj/AAo/4X94X/6FXx//AOE1cf4Uc8e4ckux65RXkf8Awv7wv/0Kvj//AMJq4/wo/wCF/eF/+hV8f/8AhNXH+FHPHuHJLseuUV5H/wAL+8L/APQq+P8A/wAJq4/wo/4X94X/AOhV8f8A/hNXH+FHPHuHJLseuUV5H/wv7wv/ANCr4/8A/CauP8KP+F/eF/8AoVfH/wD4TVx/hRzx7hyS7HrlFeR/8L+8L/8AQq+P/wDwmrj/AAo/4X94X/6FXx//AOE1cf4Uc8e4ckux65RXkf8Awv7wv/0Kvj//AMJq4/wo/wCF/eF/+hV8f/8AhNXH+FHPHuHJLseuUV5H/wAL+8L/APQq+P8A/wAJq4/wo/4X94X/AOhV8f8A/hNXH+FHPHuHJLseuUV5H/wv7wv/ANCr4/8A/CauP8KP+F/eF/8AoVfH/wD4TVx/hRzx7hyS7GPr3/J8Xh3/ALEqb/0okr3SvkrV/izoc37V+i+Kl0HxaLSDwrLaNbtokwumYzO25YsbimD97pnNes/8L+8L/wDQq+P/APwmrj/Cjmj3Dll2OK+AWsaRoXxz+LtprWpWemXEupxSxx3cywl02n5huIyOR+dc34GXT/EOs/HfUIfFUWg6PqV1Dawa8r7Yo3C4OHyM88HB7123ij4hfCLxTcpdeJPhT4l1eeNdqSXng2SVgPTLLmr1v8Wvhtb6AfD8Hw58XRaSU2GyXwjKISvps24qE48iTe0eX8tfwKalzNpby5vz/Vnl3w2XQ/ht8S/CWh674U8KX2pXbtBZeIvC2ru8kpCjJuYCcnPUk8Z6A4rM8faHo/hXWPEvjvVz4N+J2i3V+0zSPrDW+r2BD7THHyQQhGAF547V6p4a8ffB7wzete+HvhN4j0q5YYM1p4MkifH1C5rDl1n4JzfEN/HE3wy8Yyak0IjMTeEXMG8MW87b5eTKc43E9AK09ouaLvtf/Pb5bqxCptJq3b+r/PzPofwbfW+peEtI1CziuIre4soZYkuCTIqlAQGJ5Jx1PetavIl+PvhVVCr4T8fAAYAHhm44/Sl/4X94X/6FXx//AOE1cf4U5VIuTdxRpyUUrHrlFeR/8L+8L/8AQq+P/wDwmrj/AAo/4X94X/6FXx//AOE1cf4VPPHuVyS7HrlFeR/8L+8L/wDQq+P/APwmrj/Cj/hf3hf/AKFXx/8A+E1cf4Uc8e4ckux65RXkf/C/vC//AEKvj/8A8Jq4/wAKP+F/eF/+hV8f/wDhNXH+FHPHuHJLseuUV5H/AML+8L/9Cr4//wDCauP8KP8Ahf3hf/oVfH//AITVx/hRzx7hyS7HrlFeR/8AC/vC/wD0Kvj/AP8ACauP8KP+F/eF/wDoVfH/AP4TVx/hRzx7hyS7HrledftAabpmseDYtPvZvDoupLpTYwa9fS29lPIAcrJ5RDONm8heRkA9qyP+F/eF/wDoVfH/AP4TVx/hWd4i+MHw88R6c2m6/wDD7xjqtmxDGC78JzSpkd8MpGamTi1uVFSTvY8z/ZgstLtfjF468Darpumym+sCZrfQbpptFEJKhlCt8ysc4yT3I4zTv+Fc+BPGn7Rll4e8EeF9N0zw/wCEJFvNav7RDme5BzHb7iemRz6gH0r0Lwx8VPhj4XtXtfDnw18WaRDIculn4RliDH32qM0/w38WPht4biuIvD/w68X6UlzJ5s4tPCU0fmP/AHmwvJ9zWiqRUoyv8K+99PkvzM3Tk4yVvif4dfvt8j0zVPEPhDUH1rwrc69aJcWti76jAlz5cttblcFyQQUGD97PFfMHh/w/4G8W/G/w9rXwtksvC/h7QLn/AE7V2vfLl1aUMD5MaO2+QHG0seCGPXgHutD8cfDHTNR8R6jL4M+IeqXfiN2/tGW/8NTSmSMjHkgBABGB/Dj65qva+IPgJa3MVzbfBHWIZ4nEkcieB3DIwOQQdnBBqac1GcZt6r8/1S/PyLnFuEoJb/l/wfy8zzf4w+HZ9I1j4i6p4s0jw34s+1tLJp2sT+J0hudJAU7I0gILlwSuFUAZGM12raHdeJfg34Aj19vBt34nTTd5tPGWo3EUb25HDiONhukztGWHAJror3xz8Gr3Xjr158IvENxqrP5hvJfBcjSlvUsVyTVzxR8TvhZ4phhh8SfDHxVq8cP+qW88HyyhPpuU4qYuKp8t+34X/HXf797jkpOfNbv+Nvw0OX/Yz8TaB4d8AeLYdWvDYQaPqJN7dveCTTkySALdv4V9uc8cmtr9pLw1Z+Ptf8H3+l654CnW0hku1svEV68cF5C4wGAjGWXJB6jtV8fE/wCFq+G38NL8MfFS6LIu17AeD5RAw9024NQ678RvhLr2nWuna18K/E2o2dmoW2gufB0siQgDACgr8ox6VVScZtNva34K3+RMIyjfTe/4/wBM4jwD8V5PDPwa8UDwt8P9L0/VtP1Qacj6GJbiwlmfj7QMBnKqOcDOcds1ifADU/C+i/tPCKyvtb1GbUtISO4vbzT7hJbm9cgySOrqCik55IAHrXs2ifGfwFoenR6do3gPxpp1nEMJBbeFJo0X6BVxUSfGD4eJ4gfxCvw/8Zrq8kIge9HhSbzmjHRC+3OPaqjUipqTd+n/AJLb89fu3siZU5ODilb/APaT/wCB9/c9tk+430NeHfsMf8m56P8A9fl5/wCj3rVf4/eFyhH/AAivj/of+ZauP8K8o/ZM+LWheFPglpmjX2geLryaO5uWMthok1xCQ0zMMOowTzz6Gp5l3K5Zdj1v9ruGWf8AZ78UrDE8hW3DEKucAMCT9AK4L4qeLvCs/wCxulnb+INMmuZ9DtreKCO5VpGl2KNgQHOc+3FdxL8evCksbRyeEfHrowwyt4ZuCCPQjFcnYeMPgjYasurWXwb123v1cutxH4JdXDHuCE61D5ZKUW9JW/C/+ZS5k4yS1jf8bf5HOeO/BT61ofw9Da/4VfUNG8O24ufCfiW6aG3nBjA8z5WBDg8DIxx1qHw3deGfGvwP8VeDdFmtfhhPFq4tJm/tP7Rp8lwSP3cUoIAjfuF9e9dx4q+JPwn8VPE/ib4W+KNYeIYja98HSylB6AspxRN8SvhXJ4Yk8Mf8Ky8VLozrg2S+DpPJHvs27c/hVzqKXPf7Tbt87/1uvyIhTlHkt9m2vorbf0zlfgFc6H4W+Mdn4MufBfh6x16XTXZNX8L6q09ndRrnJliPKnjgtznsBX1LXzl8L/Gfwo+HGix6b4Z8A+OomVcSXknhWX7TPznMjqg3V2P/AAv7wv8A9Cr4/wD/AAmrj/CrnVi7a7f5kxpSTen9WPXKK8j/AOF/eF/+hV8f/wDhNXH+FH/C/vC//Qq+P/8Awmrj/Co549y+SXY9coryP/hf3hf/AKFXx/8A+E1cf4Uf8L+8L/8AQq+P/wDwmrj/AAo549w5Jdj1yivI/wDhf3hf/oVfH/8A4TVx/hR/wv7wv/0Kvj//AMJq4/wo549w5Jdj1yivI/8Ahf3hf/oVfH//AITVx/hR/wAL+8L/APQq+P8A/wAJq4/wo549w5Jdj1yivI/+F/eF/wDoVfH/AP4TVx/hR/wv7wv/ANCr4/8A/CauP8KOePcOSXY9coryP/hf3hf/AKFXx/8A+E1cf4Uf8L+8L/8AQq+P/wDwmrj/AAo549w5Jdj1yivI/wDhf3hf/oVfH/8A4TVx/hR/wv7wv/0Kvj//AMJq4/wo549w5Jdj1yivI/8Ahf3hf/oVfH//AITVx/hR/wAL+8L/APQq+P8A/wAJq4/wo549w5Jdj1yivI/+F/eF/wDoVfH/AP4TVx/hR/wv7wv/ANCr4/8A/CauP8KOePcOSXY8w/ab0/4aa3repeE9D0601b4jao6M95c35SPSUBXMjyO22MAD7i8ndnHr0fjLwdYSfDPwb4dl8QeCfE2s2Fuyo/ifVJltLmPje6rE37xlbYAWzgZ6ZqPWPFnwP1nU59T1b4Na7fX1w26a4uPBUjySN6liuTVi78dfBu70O20K6+EfiGfS7Ulre0k8FyNFET1KqVwM+1TFpU+W/VP7u39a/dapKTmnbo/x/r5GF+xfrmj6DonjvT9QmFomkXomvbmG783S4kO7/j3P8K8HOck8c8Vu/tG6LpnxLPgq/wBD8ReBbiGFpr6G31+8eO3v4SoQldgywBI6Edqh13xz8L9S8DXHgu18E+P9E0W5KieDSvC8tv5iBgxQ4Q4VsYOMHBPIq3qXxD+EmqaFZaHqnws8UX+m2KhbW2ufB8siRADA2hl4qpzjO13ty/h1/L8SYxlFvTfm/H+n+Bg/BDXfBOo/D7x34e8TeHNA8MaPo11Guq3uhXsi2N382RsfO/qoGATuBx3xWX8CvDvh3WPjynj7wObPwl4Qht2trSwF2qz6w5VlLmDdlU53fMM5UcdSO3b4lfClvDLeGD8LvFH9iNjdp/8Awh0vkNggjKbcHkA/hWbo3i34H6LqkGqaR8G9dsL63bdDcW/gqRJIzjGVYLkVUakVPmv0t+Fm/wDJbL8k6cvZuKW7v+N/+He5heMLfwnoH7YvgK+sdWgPmxX8moXFxqRm2v5LABmdiE64C8D2r6RfxN4cbxFF4ZbWLI6vcQGeOy80eZJFjlgO4xXgt74j+A97dy3l58E9ZnuJnLySyeCHZnY9SSU5NdBF8WPhrFrVvrUfw58XpqdtB9mgux4SmEscWMbFbbkLjtUwlFU4wb2v+N3+bS9BzjJ1HNLt+H/Av8zzn40/Db4f+I/ilovwq8C+EtKstRuJRf6/qVvGfMs7VTkgHOAz9PxA71P+0L4msb/WL74eatBrOl+ENA01mVbbT7iUapdLGfKRnRSqxI2GJJ5IHSu/0v4sfDXS9ZvdZ034c+L7TUr85u7uHwlMss/OfnYLlvxrRu/jt4PvLSa0uvB/jye3mRo5Y38MXBV1IwQRjkEVDs6ajfu369Pu6eepST5+a3ZL03f39fLQg/Yx1mx1P4E6LaWnn+ZYR+TP5kDou7k/KWADD3Ga4H/gpH/yS7w3/wBhv/2hJXfaJ8afAmiaZDpmj+BfG1hYwDbFb2/hadI0HoFAwK8L/bh+JWj+Nvh/odjp2jeJbCSDVfOZ9T0mW1Rh5TjCs4wTz09K3qVYzldGMKcoRs0fRvi7xHY+E/Cl54h1Nbh7Oyi8yVYFDOR7AkD9RUekeIb6/nCSeE9fsIyhcTXLWuw8ZA/dzs2T24/KsL46aZqGs/CDXtM0qznvLye12xQQrudz6AetO8FXFrb3JWNfHkz+RyurW9yYhtGcLvUDd2HrXz8op8z63Z73M1yJdV/kSxfE3wy3g+78SvJeQx2lw1pPYyRgXi3Ibb5HlhuZCegzg8HOKnvfHKw682h23hvxBf38dkl5PFbrbjyUY4AYvMoLZ4wua83vPCniq68SH4vpoirqUFwHh8OPAokktVG3e3/T2VGQe3C9q6f+xPEGrfFa+1qyvtW8P2NzocCCYWcRZ335MZEqttYA8gYNPkjZd+vlpt/Xp01TnLX8PPX9F/mbE/xO8Pjw3pmuWcOp38epXw0+G2ghVZ1uS20xusjIFIYEHJxxWza+Ipmsr281Lw/rOkQWkRlZrs27bwOoURSvz9cV538SPA66R4S8MaX4fs9aure08QxX19NaF5bvBk3yzZX5txJJ4H0FdLbBbvwlr2n6fH4uuJpLR9g1qGcMzFcBYzIBn6CoqKPs5Sh5/kv+CXBv2sYy2dvzf6WND4d/ELQPHXh+bWdFa8iSDma2u4vLnjG3cpK5IwykMCCQQRUEXxK0Kfw7oWsWtvqdy2vOY9Nso4l+0TMOowWCLjuSwFcTZ+D/ABFovw+8L+JfD2nSL4n07QoLLU9Mf5DfwiIBomH/AD0U52k9+Kl8M+HLWP4NeFdF8Y+E9dmlt4i26yhc3VhLnII8s+YjHjlQQO9a1KdNSlyvRNL87/fpb7jKnUqOK5t2r/l+XXy1O61rxzZ6L4RvvEmsaRrdjFZOEmtZYU84k4xtw5jYHI5Dkdjggir2leILy8mZbvwxrmlQJG0jXF41sYwAM4/dTO2fwryTxJo/jnVvhF4w0ua313UraS7T+w0vox/aLQAqW3KPmwG3bdw3YxmvQfCE1qlxPFDH45uneA5TWYZxEcdlMoChjnHXmolBKLa3/wCAn/n+Ram+aK/rct+G/HFv4gFrc6boevPpd27JbamYI/s8mCRuwHMiqSDhmQD1I4rqVkVmZVkBZfvANkj6143a6Xf6f4l0hvh1pPirQ45b7zNX0++hePTEhI/eYEhKhs9PJJycnpXougQ6fH4o16S18N3WnXTyRfab+WIKl+dgwyNuJbaMKeByKU4R3X9bf57r7hwm72f9b/5bfidDuPqaNx9TSUVibC7j6mjcfU0lFAC7j6mjcfU0lFAC7j6mjcfU0lFAC7j6mjcfU0lFAC7j6mjcfU0lFAC7j6mjcfU0lFAC7j6mjcfU0lFAC7j6mjcfU0lFAC7j6mjcfU0lFAC7j6mjcfU0lFAC7j6mjcfU0lFAC7j6mjcfU0lFAC7j6mjcfU0lFAC7j6mjcfU0lFAC7j6mjcfU0lFAC7j6mjcfU0lFAC7j6mjcfU0lFAC7j6mjcfU0lFAC7j6mjcfU0lFAHj2rk/8ADYug8n/kT5v/AEfJXsW4+prxzV/+TxdB/wCxPm/9HyV7FW1XaPoY0t5eou4+po3H1NJRWJsLuPqaNx9TSUUALuPqaNx9TSUUALuPqaNx9TSUUALuPqaNx9TSUUALuPqaNx9TSUUALuPqaNx9TSUUALuPqaNx9TSUUALuPqaNx9TSUUALuPqaNx9TSUUALuPqaNx9TSUUALuPqaNx9TSUUALuPqaNx9TSUUALuPqaNx9TSUUADMdjcnof5V49+xuT/wAKC0nk/wDH3d/+jmr2BvuN9D/KvH/2N/8AkgWk/wDX3d/+jmrWP8OXqv1MpfxY+j/Q9i3H1NG4+ppKKyNRdx9TRuPqaSigBdx9TRuPqaSigBdx9TRuPqaSigBdx9TRuPqaSigBdx9TRuPqaSigBdx9TRuPqaSigBdx9TRuPqaSigBdx9TRuPqaSigBdx9TRuPqaSigBdx9TRuPqaSigBdx9TRuPqaSigBdx9TRuPqaSigBdx9TRuPqaSigBdx9TRuPqaSigBdx9TRuPqaSigBdx9TRuPqaSigBdx9TXzf+36T/AMK18P8AP/MYP/ol6+j6+cP2/f8Akmvh/wD7DB/9EvXRhf4sTDFfwmev3vh/433F5NNour/D+PTXctaJdWd20yxE/KHKuAWxjOOM1D/wjX7QP/Qb+Gn/AIA3n/xyu2+Iet+IfD/wxfVPDGlPqepRxxBYliaUohIDSCNfmfaMttHJxis7wDrt54u0i8fQfiVo+s5RCk8OmhJ7RjztkhL5GR2YKwr1/q9KV/dPJ9vUSXvHNf8ACNftA/8AQb+Gn/gDef8Axyj/AIRr9oH/AKDfw0/8Abz/AOOVoeCNS+IGt+O/Feg3PjCzSDw/dwQq6aOm6dXiWQ5+fj72OKn+KfjbxZa+I5tF8CW9nd3Gj2B1PVlmiMhdOdlumCNsjYzk5wCDik8PRSTaWuvyte/3DWIrNtJ7fntb7zI/4Rr9oH/oN/DT/wAAbz/45R/wjX7QP/Qb+Gn/AIA3n/xyum8T/EkNpfhL/hEYIL698XOv9nPclhDFGUDtJJt5O1T90YyeM1HY69eaf4vs9F1L4reF72+Mwin0qS2jgnckdIwJSwb0BBzTWFp8zjy9bfMn61Utfm6XOd/4Rr9oH/oN/DT/AMAbz/45R/wjX7QP/Qb+Gn/gDef/ABymQ/ES/vPHni7RtT+I/h/wtFpOpraWVtc20RkmjMSNuJeQE/MxHA7V7TZCRbOFZrhbiQRrvlVdokOOWAHTPXFJYak4qXLvZ/erjeIqqTjzbHjP/CNftA/9Bv4af+AN5/8AHKP+Ea/aB/6Dfw0/8Abz/wCOV1Pxs8Wa74Ts9JuNOja10ye5K6rqwsnuxp0IAw5iTkgnjd0GOaz9X+IkugfDU6/aa5o3jK4ur5LHTLizxFFLLIdoWTazAbW3Zx2A4zQsNSa0j5fPT/MbxFVW97+v6Rjf8I1+0D/0G/hp/wCAN5/8co/4Rr9oH/oN/DT/AMAbz/45XQeK2+J3hrwrdeJF8R6Nq09jEbi405tNMMUqDl0SQOWU46Eg9ORTtP8AiDd6x4v8Aw6dGkWk+JdGuNRlSVMyoVWJkAOeMbyDxzTjhaUnZRV/+A3+jE8TVSvzf1p/mjnf+Ea/aB/6Dfw0/wDAG8/+OUf8I1+0D/0G/hp/4A3n/wAcrsvHfirVdG+I3gjQbPyPsetS3S3e+PLYjRCu0545Y+tcRpXxY8SWPxE1/wD4SWCx/wCELtta/saO7hjKyWM3lRurzEnBjcyEbuNpA9aI4alJpKPf8Gl+bVhyxFWKvzf1r/kyX/hGv2gf+g38NP8AwBvP/jlH/CNftA/9Bv4af+AN5/8AHK1rnx9r0d58UY0+yFPDKRNp37o/xWyyHfz83zE+nFVYtb+JFn8LLD4grrmmavnTYdRutLk07yA8bIHdUkVyQwBOMgg45qfq9G3M46WT++/+Q/b1rpJ6u/4W/wA0U/8AhGv2gf8AoN/DT/wBvP8A45R/wjX7QP8A0G/hp/4A3n/xyvWvC2sW3iHw1puvWaulvqFrHcxq4+ZVdQwB9+a8t1z4na9a+LLrWbSO0k8B6XqkWj38oiLStM65edXzjy0Zo0Ix1Lc8VbwtNT5HHX/g2/NpELFVHHmUtP6f5alf/hGv2gf+g38NP/AG8/8AjlH/AAjX7QP/AEG/hp/4A3n/AMcq98XfHXjbQfiHomkeErKx1C0Ol3GqX9rIhM1zFE8alYmBwGw5Ycc4xWjL8SDqfi/4fReHLi3n0TxJBeyzs8eZAYRHhevysGZgw55GO1THDUpWtHe/4X/yf3DeIqp25vP8L/kzA/4Rr9oH/oN/DT/wBvP/AI5R/wAI1+0D/wBBv4af+AN5/wDHK0vBer+PvGV94sks/E+n6ZHpGtS6fawHShKrKkcbguxcHkuQcV03wl8Y3fi3StSi1axjs9Y0bUJNO1COFiYmkUKweMnnayspweRyPeiOGpNJ8vRP5O3+a+8csRVi2ubrb5q/+TOH/wCEa/aB/wCg38NP/AG8/wDjlH/CNftA/wDQb+Gn/gDef/HKk134g30fxY8R+Gb7x9oXhOw021tJbT7Zbxs9wZfM38u6527F6f3qu/FfxZ420Gy8F6f4QvtJ1XVNavXja4uYNsVyiQvLhQrYXcEwDk4zmj6vS5VLlB16qk4823+VzO/4Rr9oH/oN/DT/AMAbz/45R/wjX7QP/Qb+Gn/gDef/ABytHVfitNeeGvCOraDHHBNqPiKLSNVtLqPMlq3lyGSIjI2sCi4PoQe9L8R9T8e+H/FPhewsvFtmbfxBqzWREmkKTbp5MkgIO/5j+7A59af1Wl/L1t+T/VC+s1LX5ul/lr/kzN/4Rr9oH/oN/DT/AMAbz/45R/wjX7QP/Qb+Gn/gDef/ABytD4o+KvEfgufwfpd34v0y0XV9RmgvtWu7FESKNYXdcKXCg7lAyT3q5rPi3UNK+EXijxZpPjLSfFU1havJbT29sgijdByrbHO7qO4qXh6Ki5cuxSr1nKMb6v8Ar9DD/wCEa/aB/wCg38NP/AG8/wDjlH/CNftA/wDQb+Gn/gDef/HKZ4d+ImvXWseF7fRvFejeN5NUZBqljY2qq+nQsm5p2kjdggVsLhwMlgBzWr8QNS8faD4v8LaVZ+LrNrfxBqclod+jqWt1EEkoIO/5j+7A59at4WndLl62+f8AXyIWKqNN83S/y1/yM3/hGv2gf+g38NP/AABvP/jlH/CNftA/9Bv4af8AgDef/HK7Txvr+reC/AZkmv4dY8QXU6WenZtxEJriVgqDYpPyrks2D91WNVvht4s1q/tfEGheJzbf8JLoDlbhoYjHFPGyloplUkkKcHjPaodCilJ8u36Wv+a+8pV6unvbnKf8I1+0D/0G/hp/4A3n/wAco/4Rr9oH/oN/DT/wBvP/AI5Ve9+JfjSf4AeG/FWmyaXF4i1q/tbISTW5MCGa4EedgOcYPrV/W/ixqkfwp1LVIrW307xbo1/aWOqWE671heS4jjLKMgsjKzFW7/hVvC0rtcuzt+X+a+8SxNV297f/AIP+TIP+Ea/aB/6Dfw0/8Abz/wCOUf8ACNftA/8AQb+Gn/gDef8Axyk+J/xN8V+FvidZ2dnDZT+HLPSk1LWUMJM4hMyRPIjA8BA+88dFNbHx2+ImreHfDyweCfsdxrc9jNqSyTr5kUFpDGZHkYAjIbAQc/eYVDoUVDncdLtfd+mj+5lKvVc+Tm10/H/h196Mj/hGv2gf+g38NP8AwBvP/jlH/CNftA/9Bv4af+AN5/8AHKXxd8R9asYvh0sviDSfD8HiKF31C/urdWSIrAZBt3MAMsAOT3rW8VeMdT0L4LeJPGGkeLtJ8U3FnbvJaXUNughR1GNpCOQ2D7iqnhacea8dv0diYYmrPltLe34mR/wjX7QP/Qb+Gn/gDef/AByj/hGv2gf+g38NP/AG8/8AjlWbP4m69a+APFlpr8Vna+N/DukTXwVUP2e8jEZaO4jUnJQnAYfwnip/H/iLxtp/wem+IOl+ILO3kt9FW9ayfTRIkkgj3H5t4IBP5UnhqSu+XRW/G/8AkxxxFWVrS3v+Fv8ANGf/AMI1+0D/ANBv4af+AN5/8co/4Rr9oH/oN/DT/wAAbz/45XpXgm38QrZJea54gi1QXEKOiJYLb+WSMnkMc10VVLC0ou3KTHFVJK6keJ/8I1+0D/0G/hp/4A3n/wAco/4Rr9oH/oN/DT/wBvP/AI5XtlFT9Wpfyj+sVf5jxP8A4Rr9oH/oN/DT/wAAbz/45R/wjX7QP/Qb+Gn/AIA3n/xyvbKKPq1L+UPrFX+Y8T/4Rr9oH/oN/DT/AMAbz/45R/wjX7QP/Qb+Gn/gDef/AByvbKKPq1L+UPrFX+Y8T/4Rr9oH/oN/DT/wBvP/AI5R/wAI1+0D/wBBv4af+AN5/wDHK9soo+rUv5Q+sVf5jxP/AIRr9oH/AKDfw0/8Abz/AOOUf8I1+0D/ANBv4af+AN5/8cr2yij6tS/lD6xV/mPkDVdG+Lq/tT6NZzan4JPiJvC8rwyra3P2QW/nOCGXfv35zyDjGOK9T/4Rr9oH/oN/DT/wBvP/AI5VfXv+T4vDv/YlTf8ApRJXulN4em94iVeotmeJ/wDCNftA/wDQb+Gn/gDef/HKP+Ea/aB/6Dfw0/8AAG8/+OV3Xw78Salruv8AjOxvvJ8rR9ZFla+Wm0+X9mhk+bnk7pG59MVzs3jnxYdW+Jdnpelw6rceHTbjSrSNCHlLwI7Bjn5uWJAGOmKl4eklfl6c3y0/zLVeq5OPN1t+NjH/AOEa/aB/6Dfw0/8AAG8/+OUf8I1+0D/0G/hp/wCAN5/8crc+FPjK78SW8k8fjPSteu47QvdaR9gNld2k4yNhjZt6jcGX517Ag1zHgbxdqviLxba3esePrTw94jile0uPCN9ZtAoG4kBA7K0rldrCRdwweKv6pT5lHl/r9fkR9aq8rlzf1+nzLf8AwjX7QP8A0G/hp/4A3n/xyj/hGv2gf+g38NP/AABvP/jle2UVP1al/KP6xV/mPE/+Ea/aB/6Dfw0/8Abz/wCOUf8ACNftA/8AQb+Gn/gDef8AxyvbKKPq1L+UPrFX+Y8T/wCEa/aB/wCg38NP/AG8/wDjlH/CNftA/wDQb+Gn/gDef/HK9soo+rUv5Q+sVf5jxP8A4Rr9oH/oN/DT/wAAbz/45R/wjX7QP/Qb+Gn/AIA3n/xyvbKKPq1L+UPrFX+Y8T/4Rr9oH/oN/DT/AMAbz/45R/wjX7QP/Qb+Gn/gDef/AByvbKKPq1L+UPrFX+Y8T/4Rr9oH/oN/DT/wBvP/AI5R/wAI1+0D/wBBv4af+AN5/wDHK9soo+rUv5Q+sVf5jxP/AIRr9oH/AKDfw0/8Abz/AOOUf8I1+0D/ANBv4af+AN5/8cr2yij6tS/lD6xV/mPE/wDhGv2gf+g38NP/AABvP/jlH/CNftA/9Bv4af8AgDef/HK9srw7Q/HfihLmaXxt4jufCqjVmtoYrnwpcLbPFvAjzdMPLG/pkt1oWHpOSjy/1ov1G8RVUebm/r+kS/8ACNftA/8AQb+Gn/gDef8Axyj/AIRr9oH/AKDfw0/8Abz/AOOV7NcXNvbWcl3cTxx28UZkklZgFVQMliewxzXk+k/EHxVq/wASPDfkWsFl4T1qW5htYri3YXVwsULuJySfkViowpGcZzimsNSbty/1/X9bieJqqPNzFH/hGv2gf+g38NP/AABvP/jlH/CNftA/9Bv4af8AgDef/HKl1f4nXt/4q8RWNnqk+h6X4fmNvPcQeHrrU5JJFGXZzEhSJAOmTk9eAKveMPF/iXzvCEnhjU5r3QdSgkkvta07QZdRHCZjYRw7toZsDoetSsPSaT5d7fjsN16qdnL+kZn/AAjX7QP/AEG/hp/4A3n/AMco/wCEa/aB/wCg38NP/AG8/wDjlehfDLXrfXtDluIfE0WvyRTtFLILE2ckLD/lnJC3zIw9GANZHi/xLr1x8StO8BeHLm10+WWwk1G8v5oPOMcasFCImQCSxHJPA7U3hqV0uXf/ACv+Qlialm+bb/O35nKf8I1+0D/0G/hp/wCAN5/8co/4Rr9oH/oN/DT/AMAbz/45TdT+Kfibw6vifw/qEFjqOvabqNlY6fdCMxQ3Au2VY3kQE4K7hkA844xXQz+IPF3hPx/4X0TX9Us9c0/xC8tuJYrIW0ltOkZcEAMQyEDHPIprDUnayVnt62vb8geJqq93t+Xc59vDX7QO051v4a4wf+XG8/8AjleW/sq6L8Xb34LabN4T1TwTBpRubny01K1uXnDeawbJRwuMg446V9fSfcb6GvDv2GP+Tc9H/wCvy8/9HvR9Xp2tyi9vUve5N/wjX7QP/Qb+Gn/gDef/AByj/hGv2gf+g38NP/AG8/8Ajld78ZvEWo+E/hhr/iLSfJ+22Fm80PmpuTcBxkZGam+JuvX/AIe+F+veItP8r7dY6ZLcw+Yu5N6oSMjuM1MqFGMXJx0Rca1aUoxUtX/wP8zzz/hGv2gf+g38NP8AwBvP/jlH/CNftA/9Bv4af+AN5/8AHKs+M/iF4h0xvCbXd5D4f0PVNPSa9199Pa5hiuWA2wsAdsSnOd7nHbNXvHXjXxBofgDRtY07ULHV7K6uAuoeINPs3uYbW1P/AC8iGMsW464JUcnpVSwtKN7xWjt+Nvl8+muxMMTVla0t1f8AC/8AVvTcyP8AhGv2gf8AoN/DT/wBvP8A45R/wjX7QP8A0G/hp/4A3n/xyuu+DFys2kXMdr8QrHxrZxyZS5jwZ4mb5ikhDt68AgEDjHFd9Q8LSX2RLFVX9o8T/wCEa/aB/wCg38NP/AG8/wDjlH/CNftA/wDQb+Gn/gDef/HK9sopfVqX8o/rFX+Y8T/4Rr9oH/oN/DT/AMAbz/45R/wjX7QP/Qb+Gn/gDef/AByvbKKPq1L+UPrFX+Y8T/4Rr9oH/oN/DT/wBvP/AI5R/wAI1+0D/wBBv4af+AN5/wDHK9soo+rUv5Q+sVf5jxP/AIRr9oH/AKDfw0/8Abz/AOOUf8I1+0D/ANBv4af+AN5/8cr2yij6tS/lD6xV/mPE/wDhGv2gf+g38NP/AABvP/jlH/CNftA/9Bv4af8AgDef/HK9soo+rUv5Q+sVf5jxP/hGv2gf+g38NP8AwBvP/jlH/CNftA/9Bv4af+AN5/8AHK9soo+rUv5Q+sVf5jxP/hGv2gf+g38NP/AG8/8AjlH/AAjX7QP/AEG/hp/4A3n/AMcr2yij6tS/lD6xV/mPE/8AhGv2gf8AoN/DT/wBvP8A45R/wjX7QP8A0G/hp/4A3n/xyvbKKPq1L+UPrFX+Y8T/AOEa/aB/6Dfw0/8AAG8/+OUf8I1+0D/0G/hp/wCAN5/8cr2yij6tS/lD6xV/mPE/+Ea/aB/6Dfw0/wDAG8/+OUf8I1+0D/0G/hp/4A3n/wAcr2ysbxpcXNp4fmubfW7DQxGVMt9eRh44UzycFlGeg5OOaTw9JfZGsRVb+I8s/wCEa/aB/wCg38NP/AG8/wDjlH/CNftA/wDQb+Gn/gDef/HK6D4ReMNY8ReJ/EOmSapp/iLRdP8AK+y63Zw+SkkrZ3w4BKuVwDuU45xVj4t694t0jW/DltoK3kOmXcsy6neWuiTak9uqoSnyRAkZbAzjvTeGpJJ8u4liKrv72xy//CNftA/9Bv4af+AN5/8AHKP+Ea/aB/6Dfw0/8Abz/wCOVp3vxJ/sv4Zalrun69b+J9SivodPjSWxaxaCeaVIlSaJvnTBfccgEgVPqXiPxh4M8UeFrfxFqtlrWm69O9nMYrH7PJazCF5VZcMdy/IVIPPIPtR9Xo/y/wDD2v8AqvvQfWKvfv8Ah/X4GL/wjX7QP/Qb+Gn/AIA3n/xyj/hGv2gf+g38NP8AwBvP/jlJF428fal8LNR+KVhfaXb2VvHNeW+jPZ7/ADbeInIabcCHZVbkDAOODXreiatDqfhu01tUaOK4tVuNp6qCucUPDUkm3Hbfy/qz+4PrNW6Slvf8N/zR5L/wjX7QP/Qb+Gn/AIA3n/xyj/hGv2gf+g38NP8AwBvP/jlNj8b+P9Q+FF98VbG90uCyghlvbfRXs93mW0RJKtNuBDsqtyBgHHFbel+MPEfjjxld6N4avrbQ7HTtPtrq4uJbQXEssk67lQKWAVQAcnnJxT+q0725devl/VvvB4mpa/Np/wAFL9UY3/CNftA/9Bv4af8AgDef/HK8G/bW0r4maf4B0R/G+oeE7mzbVMQrpFtPHIJPKfljIxG3APTnOK+rfg74s1PxRo+pw63DAmq6PqU2m3T24IimaM48xQSSMjtnivEf+Ckf/JLvDf8A2G//AGhJTVCnFqUV5r5idepJOMn5fcfRlzbatdeG7VNF1OLTrxUjZJJrbz42AxlWTKkg9OGU+hrn/C/gS8tPiDeeO9e1azvNXuLJbEJp9ibSARKc5cF3aR89y2AOAK6FX0fT9Aj1DVJbO0to4VeW4uHWNEGOrM2APxqLQdY8H+IGlXQdY0XVWhAMosruOYoD0zsJxWq3utzJ7Wf9dSl4T8HtoPjHxX4h/tAXH9v3MM4h8nb5HlxLHjduO7O3PQVhaB8I9EjvNW1XxNM+uazqt5JcXF2jy2w2E4jiCJJ91EwvJOcZrfj8WfD2TUhpkfijw098ZfJFsuowmUyZxs27s7s8YxmtjU20XS7GW+1KWysrSIbpJ7h1jjQepZiAKWlk/K3y0/yQdWvO/wAzzfTPgra2GjJplt4gubZdL1eTUvDk0EA8zS1c7jB85YSx5JGCB8vHvWrf+B/FHiDW/D974q8TaVcQaJeLexR6bpT2zzSqONzPPINvqAoPuK6bQNY8IeIDKug6vourGHHmiyu459memdhOKqal4r+H2mX8lhqXijw1ZXkR2yQXGowxyIfQqzAiqu018vw6/lr94b3+f47/AJswtJ8EeLdA8UeJtW8P+JtDSDXr8Xrw32jyzPEwjSPaGS4QEYQH7vetWW58aS/ETStPhWJNDtrBpdWufs21LmduESLJJGMFjycAgZNb91Jodppx1K6msYLIIHNxJIqxBT0O4nGPen3q6TY2cl7etaW1rEu+SaZgiIvqWPAFL4beWn3Ky+4H71/P/O5V8SWniO4MEvh7WbKwdCRLHeWJuYpQfZXRgR7Nj1BrhYfg1YXOgeIrTWNWkbUde1FdSmutPt1tY7a4QARvDHlsEBQSWLFiSSea9BvJNDs9NfU7yaxt7FI/Ma5lkVYlT+8XJwB75rKg8UeAZ9On1KDxL4clsbdgs9ymoQtFET0DMGwpPvS2v/XW/wCaQ73sYms+EPHXiDQz4f1zxxpw02ZBFdzafo7QXc8fcb2mdELdyqfTFWvEXw/jmm8OX/hnUF0TUfDcLW2nl4PPgMDKqmKSPcpZcIvIZSMdatQeNfhrcTpBB4w8KSyyMFRE1SBmYnoAA3JretTo13PcQWsllPNauI7iON1ZoXwDtYD7pwQcHsRVf1/X3/j5k6bf1r/w34eRy9n4L1W+8Z6b4q8W65aahdaVFLHp9tYWJtoIzJjfIweSRmf5QB8wAA6d6Xw98O7Gxh8Y2uqzx6pZeJ9Se8lgeDaI1aKOPZ1O7/V53cdenFaNz4n8BWuqnSbnxJ4ch1BXEZtZNQhWYMei7C2c+2K0NYuvDujQRz6xeabp0Ukgije6mSJWc9FBYjJPpStdeT0+9p/nYd9fPf7r/wDBPO/B3wbl8P8Ah/xlpMniu51EeIlEUM1xb5ktYViEcaMd37wqoAz8uQB9atRfDvxZdeBrLwPq3jLTxoUFpFZzHTdJeC6niRQu0ySTSKoYDnC59CK7+/bRdPjikvpbK1SWQRRtNIqB3PRQSeSewqz9hs/+feP8qN9/Jfdt+fz6gna1v6v/AMN8uhQn0drXwi2g+Hpo9K8qz+y2UhiMi24C7VO3I3YHvXCWHwN8FReBz4cvbea8nmt2W6vDPKvnTtlmmMYfaDvO7HbivSvsNn/z7x/lWJrniHwPoN2LPXNf0DS7koHEN5fRQuVPAbazA44PPtSlq3fd/wBf1/wBx0St0Oc8J/DfUNJ8ReGNb1PxMNUuNC0WfSWJs/LNyrujK5O84KrGFPXJ546VUtvg/aWPxdtPG+l61LaafB58zaMIAYhcTBVeVGyNm4IuVwQSM8ZNdpqureEtJ0+DUdU1bRrCyuMeRcXN1HHHLkZG1mIByOeKl0K+8M69avdaHqGl6pbo+xpbO4SZFbrglSQDyOKu75ubqr/i7v8AF/1oTZWt3t+Ct+Whxvh/wJ4x8N3viFtB8WaLFa61qcmoMLnRZJZoGdEQhWFwqnAQEZXqeQa6X4d+DtP8F6NPY2dxcXlxd3L3l9eXJBluZ3xudsAAcAAAAAACtGS48Px6tHpEl1pyajJGZY7RpVEzoDgsEzuI98VU17W/Bvh+SOLXta0PSZJQWjW9vI4C4HUgORmpTskl2t8l0/D8PIb1bb73+b6/j+JzjeCfE+n/ABD17xb4d8RaPANagtopba/0qSfy/J8zBVknj6+Yc5HYVf8AEPg3UNf1fwfq+pavbLd+Hr17uYW9myx3JaJ49qhpCY/v55LdK2ze+GhpcOqG+0safOVWK689PKkLHChXzg5PAweTU98dFsRCb2SytRPKIYfOdU8yQgkIuerEA8Dng01dWXYG73fdfha35Hn/AI1+D9prvxC0nxdp2tS6T9nvYrzUbJIA8V/JErLG55GxwHYFucg4I4FdP448IHxLrvhbUxqAtf7B1I3xj8nf5+YZI9mcjb/rM556dK2Yjos1/NYRSWUl3AqvNArqZI1bO0svUA4OCeuDWdq/iDwRo+oLp2ra9oGn3rBStvdXsUUhBOAQrMDyelKPupJd7r10/wAgl7zbfaz9P6ZmfEbwbqXiTW/DOtaRrFpp15oF5Jcxi6smuI5d8TxlSFkQjhyevajxJ4W8SeKfAOv+F/EGu6T5mp2rW8NzY6ZJEIQw5LI8z7+3QrWxrur+EdBjhl1zV9G0tJ8+S15dRwiTHXaWIz+FaUFvp9xCk0EcEsUihkdMMrA9CCOooto0NSakpdUchr/w+a+Xwte6bqy6drXh541jvhbb/PgC7ZYXXcPlce/BAPOKv+M/CDeIvEnhXWP7QFt/YGoPeGPyd/n7oZItudw2/wCsznB6Yq5r+teD/D7xJr2s6JpLTAmIXt3HAXA6kbyM4yOlXJJtBj0o6tJcWCaeI/NN00qiEJ/e35xj3zT5vted/n/SJ5dOXyt8v6ZzXjT4e2/jDxnpWq69fG40fS4ZDBpao0ebluBMZVcHhdwAAH3s5qjB8KdO0vx7beKPDV6+lq1jNY6lat5k4vY2HyEs75UowBHXjI75rptB1zwb4gmkh0HWtD1WSJd0iWV5FOyL6kITgVaiuvDsusS6NFeabJqcUYlks1mQzohOAxTO4DPfGKnl0t6/je/9f5Fc2t/T8Nv67nCQfCVovhh4Z8Ff28CdD1G1vjdfZP8AXeTOJduzf8ucYzk464PSnfGD4Q2vjy9tNRstZl0K/V4VvZIoBIt7bxyLIIpFyOQyKVbOV9xxXeq+iNfTWKzWJu4IxJNAJF8yND0ZlzkA+ppmj3Ph7WbM3mj3enajbByhmtZklTcOo3KSMjuKptt83nzfPRX/AAsTa2nlb9f1uc/c+Abe7+Is3im8u47i0n0J9HmsHgyHRnVixbd0IUjbjv1rmfCvwXXRfCPijRbjxLPqV1rOnyaXaXlxb5axtCjJHEBu+YLkE8jcQOld7cax4Qt9HGs3GsaLDphbYLx7uNYS2cY3k7c54603Qdc8Ga/PJBoOt6Hqssa7pEsryKZkX1IQnAqeW6cfJr73f9X8m+jL5mmn5p/dovyXzS6o5XVfhvqrTeCbzR/ENlbXvhWJ40a705po7jfCYiSqyoV4Yn7xrR8YeEPEPjD4c654U1/XtLWfUoDDHdWOmyRrCD3KPM5Y/wDAhWtqfiHwPpeqDS9S8QaBZX524tbi+ijlO77vyMwPPbjmoNR8WfD3Tb2Wx1HxT4Zs7qI7ZIJ9RhjkQ+hUtkVTk5Xb6/8ADkxXJa3S3/AMP4u/Cy28e+GYrKDVpNG1i3tntoNThhDnynQpJG6ZG9GUn5c98jmtPxR4G/tr4Q3XgBNT+z+fpf2AXhh3bfk279m4Z9cZ/GtKx17wXf2X26x1zQrq185bfz4b2J4/NY4VNwbG4kgAdTWhaHRbue4gtZLK4ltn8udInVmib+6wH3T7GlbRrvr/AF9/4hF25Wum39fL8Czptv8AY9Pt7Tfv8mJY92MZwMZxVise7vfDVm90l3faXbtZxCa6WWdFMEZ6O+T8q+54qjq/ibwHo90LXVvEfh3T7goHEV1fwxOVPQ4ZgcH1puV3dijFRVl0OmormLDxR4B1D/jw8TeHLv8AeLH+51CF/nY4VeG6k8Ad61rt9Es7m2truaxt57pilvHLIqtMwGSEBOWOOwpDuaNFV/sNn/z7x/lR9hs/+feP8qALFFV/sNn/AM+8f5UfYbP/AJ94/wAqALFFV/sNn/z7x/lR9hs/+feP8qALFFV/sNn/AM+8f5UfYbP/AJ94/wAqAPE9e/5Pi8O/9iVN/wClEle6V4NrtvAv7b3h2MQoE/4QqbjHH/HxJXuP2Gz/AOfeP8qAOM/4QvXtH8UazrfhDxBY2Sa1Ktxe2mpae11GJlRY/MjKSxsuVRQQSw44xUvhvwRe6HZ67eQeIWfxHrlyLq61FrRfLV1RUVFizxGFUDBYnqd2ea6a1/se7luIrV7OeS2k8qdY3VjE+A21gPunBBwexFNifQ5ri6t4prGSa0x9pjWRS0GRuG8ZyvHPPaktF8vw0/DYHq/63OPh8A6xfeO7Txn4h17T5NT0+xls7L+zNMNsq+ZglpS8sjSYIGFyFHPBzWPrXgXxt46ik0Dx3qmjf2LY3sMtvdWWm+Xd3uwK28M0zrD82QcLk4OMA13mh6x4P16aaHQ9Y0XVJYMeclndxzNHngbgpOOh6+lZj+NPASeNY/Bx1jSjrLoW+ziePIIP3Dzneeu3rjmmt4pfL87/AKg3ZN/f+R2CqFUKM4AwMnNLVf7DZ/8APvH+VH2Gz/594/yoAsUVX+w2f/PvH+VH2Gz/AOfeP8qALFFV/sNn/wA+8f5UfYbP/n3j/KgCxRVf7DZ/8+8f5UfYbP8A594/yoAsUVX+w2f/AD7x/lR9hs/+feP8qALFFV/sNn/z7x/lR9hs/wDn3j/KgCxRVf7DZ/8APvH+VH2Gz/594/yoAsHkHnHvXnPifwP4v8WaDN4Z8S+L9Nl0S5IW7+xaQ0F3NGG3BPMMzIucAEiPpnGDzXffYbP/AJ94/wAqPsNn/wA+8f5UWHdnE3Gmatr3i6/8M6lpyN4Dg0pbaSG5i5vZ2I+633iiqpB7Ekdap6j8GvC03ivw/rVpHJaw6TJI7W/nzv526MqoDGT5MEg8A5xivQvsNn/z7x/lWNo+veCtZv30/SNd0HUbxAS9va3sUsigcElVYkYoW67/APD/AOfyJa0fb/hl+hzbeAfEGla34hvPCHiiy0218QSGe6gvdMa6MM5GGkiYSoBnOcMGGQO3FW9E8Ga54S8P6RoPgrXtPtdPsLYwvHqenNdGV858zdHLGVPXjkc9K2ta1zwbol5FZ6zreh6bcyjMcN3eRQu4zjIViCa0b1dIsbKW+vWtLa1iQySTzMqRoo5LFjwB70lpHy/y6fIp6y8/8zjtD8AatoeleIrnTPFAj8U6/OLm51SSxDwxyDgCO3LcIBkAFifUmrHiTwTqd54r0nxfouvQWOvWNo9nM9xZedb3ULckNGrowO4Agh+PeurtItLvLWK6tBbXFvKoeOWIhkdT0II4IqtrV14d0OyN7rV5pumWoYL513MkKZPQbmIGab0a8v8Ahvy0Fv8AP/h/67dDhLz4Qx6ppGvNrGvyS+INZvIL19St7YRpbSwEGARRMWwilRwWJPc1q2ngnWtQ8X6R4j8X+ILLUZNFVzYW1hp7WsQkdSjSyb5ZCzbSQACoHXFdPp1x4f1LTBqmnXWnXlgQWFzBMkkRA6neDjj61W0HWfB+vySx6DrGi6q8IzKtldxzFB7hCcU1o9On+VvyE7Na9Tdk+430NeHfsMf8m56P/wBfl5/6PevaXsbTY3+jx9D/AA14j+w7bW8v7OujtJCjH7Zeckf9N3pDPX/Gnh2w8WeFNS8N6p5os9Qt2glMbYdQwxkH1rj9Y8C+Mte8LyeEte8aWEuizw/Z7qW10gxXs8OMFTIZmjBYcEiMewFdzfrpGn2ct5ftaWltEu6SadlREHqWPAFLeJpNnZyXl4bW3tYkLyTSsERFHVix4A96VlqPXQyNX0jxLF9nh8Ma1pdjZR24gNpf6Y1ygA4BUpLGwOOMEke1crpfgfxR4D8BfYvAmrWd1qUc9xezW13YqLe8llYuY0VXTyFDE7cMQB1zXZ6vqnhPR7GG/wBW1TR9PtJ8eVPdXUcUcmRkbWYgHj0qSa+8NQ6J/bkt9piaV5Yl+2mdBAUPRt+duPfNNt6u/r+Yo20VtP6RzngbwLdaZ4x1Lxxrt9az69qlrFbzx2Fr9mto0Tn7pZmds5y7MfYAV3dcx4G8SeEfGuknVPDd3Z31usjRv5bqzIQcfMATjPUZ6gg1v/YbP/n3j/Km+wl3LFFV/sNn/wA+8f5UfYbP/n3j/KkMsUVX+w2f/PvH+VH2Gz/594/yoAsUVX+w2f8Az7x/lR9hs/8An3j/ACoAsUVX+w2f/PvH+VH2Gz/594/yoAsUVX+w2f8Az7x/lR9hs/8An3j/ACoAsUVX+w2f/PvH+VH2Gz/594/yoAsUVX+w2f8Az7x/lR9hs/8An3j/ACoAsUVX+w2f/PvH+VH2Gz/594/yoAsUVX+w2f8Az7x/lR9hs/8An3j/ACoAsVl+JLbXLmzi/sDVbXTrtJQxa6tDcRSLggoyh0buDkMDkDtkVc+w2f8Az7x/lR9hs/8An3j/ACoA8+tPB2paD4l134k6leJrPiKTSjZw2ul2Bt4nVTuUbC7s7lgBuZsAdhzV/QrP4nTeGdGnvPEGi22r/Z2/tGG50ozRs7MCu3y5YypUfKeSDk12X2Gz/wCfeP8AKoryPS7K0lu7z7LbW8Kl5ZZWCIijqSTwB7mjZeX/AA/531Dd/wBeS/Q88k+EFtf6D4li1jXLi41rxFcQXVzfwQiNIJoGDQmGIltqqwHDMxPOTWjD4F1zVPEWiat4y8Q2Opx6GXksray05rZHmaMx+ZKWlkLEKzYA2jJz6V1sUmhy6X/akU1i9h5Rm+1LIpi8sDJffnG3HOc4qnoGseEPEDSroOsaLqxhx5osruOfZnpu2E4/Gi1nb+u39f8AABu6v3/U4aL4U65beD73wHZ+L4I/CV20imJtNLXsdvIcvCs3mhMEEjcYyQCe+DXb2GiapY6xAlvq8K+HILAWqaUbMFt4wBJ52c4wCNuO/Wi51zwZba0uiXGuaFDqjkKtlJeRLOxPQCMncc/Stj7DZ/8APvH+VG68v+Bb5/09we/9d7/oeXxfCnW7fwbd+AbXxhAnhG5Z4zE2mk30du5y8KzeaEwQSu4xkgE9+a138AalpHi2fxF4L1yy0x7uyis7u1v7BrqFxEMRuuySNlYDIPJBz0robjXPBlvrS6Hca5oUWqswVbJ7yJZyT0AjJ3ZP0qXX9U8KeH445Ne1TSNJSU7Y2vbmOAOfQFyM0ul/67Dera/re/6FP4ceEIfB2iz2YvZdQvLy6kvb67kQKZp5DlmCjhR6DnHrXgH/AAUj/wCSXeG/+w3/AO0JK+mbOLS7y1iurQW1xbyqHjliIZHU9CCOCK+Yf+CjsEMPwu8OeVEqf8TvsP8AphJVO5KsetftAkj9n7WSqhj9iTAJwCeO9Fv4T8Sa58SdA8Y6vpulaDDolrNEsdpdG5mu/MUjazbECoM5xg8+ld3bxx3miQ2t3pYu7dolDJIsbI4x3DH+dXvOmxj7DNj/AHk/+KpLR3/raw5a6HyzpsHiKX4A+JF+x6XdeGZNZ1NdQMUDPfw2/wBqk8yWMH5GZRkgcdBXda7LoY+K/wAORql5He+EDpH/ABJ7i6bfby3uP3bMx+UyFNpUnnPTmvY7e2tra1e0t9FSG3kLM8UaRKjFjliQDg5JJPrmopdO06bSRpEvh63k04IEFo0MRhCjoNmduPbFEfdd/T8E1+t12YS95vzv+LT/AOA+67Hl3xg/s29+JPw/HhiW3fxTFqiO72ZBkTT8/vvMK/8ALIjPDcE5xzU3wmn0uLx78Vl1KazRDr67hOygFfssWc57da9I0TSNJ0NZF0XwzaaYJTmQWlvDDvPvtxmquoeFvC+o3r32oeCdJu7pzl557G3eRj6ljyaI+7dd0/xcX/7b97bHJ834fhf/AD/A8DmtLi6+CXxVj8O2s8vhU6hK/h+OJMxmEBTKYB/zy8zzCMcenFekfHPxFoeofAPWXsNVtLr+09OEVksMqu07yAbFQA5JPoK9OWSRUCLYSqoGAoKAAen3qybLw74esdTOp2Xg/Tba/JZjcw2kCSknqd455780pLmjyPbT10SX42+XmOMnGamt02/LV3/D8fI8o8Sxw6f8Wvh5a+NAkfh6DRBHaC6x9lXU1AHzZ+XftC7c++K9fibwzPrimE6TLqvkEKU8tp/KyeMj5tuc+2an1GCDUrOSz1DR1vLWQYkhnWORHHoVJwaraJpOk6GkiaL4ZtNMWU5kFpBDCHPqdpGatyb37t/fr/wPSyM1GyVuyX3f1f1uzgfg1DD/AMLI+KX7qPjXocfKOP8AQ4K5QHWhp/x1Ph3zf7UGpL5Hkgl8/Y7fO3HOcZ6V7nbRQ20081vpAhluHDzvGsatK2AMsQeTgAZPpRbRQ20081vpAhkuH3zPGsatK2AMsQeTgAZPpWbjePL/AHeX/wBJ1/A0TtLm/vc356fied+Fbr4Yr8CLVVl0NfDr6UPtCSlNrHb+8EgPJk35zn5t3vXlU+hy6n8K/hHoPiy3murS78RPGkF2G3/YyZjArbueI9mM8gY9K+h5PDPhuTVP7Uk8GaW9/v8AM+1NZ25l3f3t/XPvmtK6hhunhkutHE7wP5kLSLGxjf8AvLk8H3FaSalJya3advR3IiuWPKuievqrf8F9/kfNvxI1DVPDcfhr4Y+JJZrmS18RWc+hag6ki9shvGxm6ebFwp9VKHua+nLu5t7O1lurueOC3iUvJLIwVUUdSSeAKp3ttbXzwPe6Kly1u/mQtMkTmNv7y5PB9xVHxlo//CUeG7vQbpb+1trtQkzW7xh2TOSuSTgHofY1PNLktu73v8ktfu1Ksue/S36t/roWdUvJL/wld33h24hupZ7J5LCaFwySMUJRlYcEE4wa8i+Ed9b2vwfjm0WTQI/EkRmfxGmsAm4a5BYyCXBDbuOC2RtxjivY9Mhj03TrbTrHS5ILW2iWGGJWTCIowAPm7AVQ1fw74f1i7F5q/g/TtQuQoUTXVpBK4UdBubJxyaUlrLl6/p/Wq8l2FFuy5un9f8M/XueHa7rF54j8OfBvVtL0rR9Ju7nX5mitUiItEISYEhVwcHBbjua6PwddxaR8ZfFmreOJbPStet9HjZI7PKWdzYIzsZwW5aQMSrA/dG3HWvXJLa2k+zeZoiP9kIa23JEfJIGAU5+XjjjtTL+wsNQl82+8PwXUnltFumiic7GwSuSfunAyOnAqpN3bj5/irf15X9Q0aSfZfhJv+vM+bbt/E2q6FffFa28Fa+2v/wBpJqunXsZtfJGnQgoIfmmEmxo2lfGzJZhxwDXazeJLjX/i/wCFfEfhPS7PWE1DwpcTRx3F59nCqZoc/NsfkHgjHrXssf7u2W2j0xkgVNixr5YULjGAM4xjtVeysLCxaJrLw/BbGFGjiMMUSFFY7ioweATyR60Kyatstv8AwFx/yf39xO7Tvu9//Ak/8/vXY8B+I3g3VPB/wX1IXUtgl9q3i6z1BLW3DfZbRnniAjXoSMrkkAZJPFb3xnXxkJ/An/CQS+H2s/8AhKrXaLKOZZN3lTY++xGMZ/SvZb6KG+hEN7pAuogyuEmWN13A5BwT1B5Bou4obwRfa9HFx5Mgli81Y22OMgMuTweTyPWiD5eXykn8lyq3/ko5e8n5pr5u+v4nlFp/aH/C6vil/Y+f7S/4Ryy+yY6+bi52f+PYqf8AZ3uPCH/CpoI55NPXUSJBr63hUTm5yfN88PyTj+9/D7V6hHFDHeS3kekBLmZVWWZVjDuFzgFs5IGTjPqaztS8OeHdTvxqGpeD9NvbwYxcXFnBJJx0+ZsnipjoreVvxf8AnqvJdglq7+d/wS/TT1Z594n0W1tvFjeNfAfibwtFd22kraz6ZqGw2htRudNjIQYcsPvAFSAeOK6j4W+NNG1rwF4f1KS1svDj6oWitNPMiIryDcSsPTeCFZhgcjJrc1fQtD1iSKXV/CdhqEkI2xNdWsEpjHopbOOnaqmpeGbLUfFmkeIby0u5JNHjkWxtt0YhidwFMuM53BcqOcAMeKa25en5bv8AG/yYnrr1/wCAkvu/I89/Z1uNLj/4SceJJbZPGn9rzf2p9sKrcGPP7nG7nytv3ccdai+Ib+GU+Ivw+E40seCDc3WREq/Yv7R2/ufM2/Ju+/jd/FjvivUta0LQ9clSXWvCdhqckYKo13awTFQeoBbOKty2lpLpp0yXQ43sSnlm2aOIxFf7uzOMe2KFpyvt/Xy7+T16FPVy87/j/X3aHlfx5/sq+1fwVD4dltX8Xprlu9g1oQZ47YN/pJO3kReXuDZ+U8DriuYfwlea78aPiHrvh2aO18WaJLYT6XcPwsmYpN9vJ/0zkHyn0OD1Fe5aJoui6G0jaL4VstMaUASG0toYS4HTO3GauQQwwXU91Bo4iuLjHnSosYeTHTcQcnGe9C91aPXX5N8v+XzuwburNdl9zb/U8G+HHii38XfFLx9q8dtPZ3C+GYILy0nQrJbToH3xsD6H86y/g/bXHw4+Gnhj4haTA7+HtQsY18T2cSljGSSBfIB3XPz+q5PavoqKzs4rm5uotDjSe6AFxKscQeYDs5zlvxp9vDBb2K2Fvo6w2ipsEEaxrGF9NoOMe1H2WlvZfnJtej5vwvuJ+89dv+Akvnp/SPlywlaT9mTwRPZyW29/Flk8Lz58rJvFILY52+vtXvF1N4ufwT4jFvdaDNrY0+Y6b/ZIbIl8ttmdxPO7GK6CbRtHm0ldIm8L2cmnLjbaPbwmEY6YQ/L+lM0XQtD0SZ5tF8J2GmySLtd7S1ghZh6ErjIon78ZR7/5JfoUpPnU+3+bf6nCfAe48C/8KdsI0k0wA2xGsJeFPNM+P332gPyWznO6ov2hY9O/4QTw22nx2v2U+I9J8kwquzZ9qjxtxxjHpXe33hvw7faj/aV94O026vsg/aZrOB5cjodx54rRvIYbyNI7zRxcIjrIiyrG4VlOVYAngggEHtVOV5qduqf3O9v8uxmo2i4+TX3q3/D9zzj9pBEj8JeHgiqo/wCEn0rgDH/L1HVHx5dWXww+K9v8QLycWvh7X7f7DrTt9yGZFzDMfrgJ+Neq3kUN7Gkd5pAuUR1kRZVjcK6nKsATwQRkHtTdSt7bU7NrPUtFS9tnILQ3CRSI2DkZViR1qFdLTe7fyaSa/D8uxWjeu1kvubd/xPBfFGlXD/s5/EPxxq0bpqvimxmvXSQfNBBsIgh9tqYB967T49Rxn9mrxC7Ihb+w2wSOf9XXpN3HHeWklnd6T9otpF2PDKsbIy+hUnBFJdRQ3Vk9ldaQJ7V12PDIsbIy+hUnBHtTkk04rbS3ohxbUoye6vf52/yMHW/CekeL/hx/wj2pwgW91aJiSMAPE4UFZEPZlOCD6iuB+AWn6l4o1S78beMb6LVNV0aefQ9OdYyqxLAxjkm25P7yUqST2BxXsSyyKoVbGVVAwACgAH/fVQ2UUNlG8dnpAtkd2kZYljQM7HLMQDySeSe9U377l3/Pv9118zOMbU4w7fl2++z+Rfoqv583/PlN/wB9J/8AFUefN/z5Tf8AfSf/ABVSWWKKr+fN/wA+U3/fSf8AxVHnzf8APlN/30n/AMVQBYoqv583/PlN/wB9J/8AFUefN/z5Tf8AfSf/ABVAFiiq/nzf8+U3/fSf/FUefN/z5Tf99J/8VQB4nr3/ACfF4d/7Eqb/ANKJK90rwfXZJD+294eb7PIG/wCEKm+XK5/4+JPfFe4efN/z5Tf99J/8VQB5n8Kr+z034h/EnTNQuIrO8k1uO8jimcI0kDWkCiRc9V3IwyO4Nc3pGn6N4r1P4wS3+rLY+HtVvbeyXU0lVE3R20Svtc/KcP8AL9civXdb0XRtcMZ1rwtZamYs+X9stoZtmeuN2cVbS3t49PGnR6Mq2Qj8sW4SMRhP7u3OMe1K3upP+Xl/L9EVzNScl1d/1/P+up5L4a1i90DxlpngHxL/AMI5q0TaNObTW9MQQz2kEeFYTISRGCu35lYKSp44rHa4vPhX4S02G2uPC/jXwi2oxiyhCAahtmcsrIV3JMwZiQcKSOc17Po2i6NoqSpo3hay01ZgBKLS2hiD46btuM9T1rM8P+CPCug67fa5pPhG1ttQvZfNknSGEMp2hcIc/KDtyQOpJPerTfMm/n563/p/PqRZcrX9bW/pfI61G3KGwRkZweopar+fN/z5Tf8AfSf/ABVHnzf8+U3/AH0n/wAVUjLFFV/Pm/58pv8AvpP/AIqjz5v+fKb/AL6T/wCKoAsUVX8+b/nym/76T/4qjz5v+fKb/vpP/iqALFFV/Pm/58pv++k/+Ko8+b/nym/76T/4qgCxRVfz5v8Anym/76T/AOKo8+b/AJ8pv++k/wDiqALFFV/Pm/58pv8AvpP/AIqjz5v+fKb/AL6T/wCKoAsUVX8+b/nym/76T/4qjz5v+fKb/vpP/iqALFFV/Pm/58pv++k/+Ko8+b/nym/76T/4qgA1OSyh065l1J4EskidrhpyBGIwDuLZ424znPGK8M8dTTWvxG+Ht9qY0K9sY9V8jTYPD/yXKtIjKHfJO6FVJLKuOx6cV7k8sjoUewlZWGCCUII/76rK0jw/oGj3bXmkeEdO0+5ZSrTWtpBE5B6gsuDiiOk1Ltb+v+D0CWsXHvf8f6+Z5Z8Orjw/CvxTXxfNYrff2tdjUPtjKGNntPlD5uTHszjtWdpPhzTNT/ZS05vGlmtxdWGh3E1jFfuRsbyXCExkgMwBGNwJHBHNezanoeiapexX2p+FbG+uoseXPcW0EkiYORhmyRT9Z0nSdaSJNZ8M2mpLEcxrd28MoQ+o3E4rOUL03DukvuTV/XX5Fxlaopebf39PT/gHNfCjWtH0v4KeHdR1HVbGzsrbSoDPcTzqkcQ2gfMxOB+Nc/4luLE/tIeGJ9Yntzpj6FcNpbysPJNyWGSpPG/y92Mc4zXf2nh3w/Z2NxYWnhDTre0usG4gitIFjmx03KOG/GrOqadp2q2S2OqeHbe+tVIKwXMMUkYI6YViRW9SfNV9p5t/emv10MacOSmqflb7rf5anzZ478trr4kXWmtnwm/iHSf7SaH/AFDgSJ9rORwRjdv7dc16P40bTbr41fDU+G5LeS8hNybk2hUhbIwtw+3ohbGM8ZxjmvULS0tLPThptpocdvZBSgtoo4liCnqNoOMe1V9F0fR9E8z+xfC9npvm/wCs+yW8MO/67cZqIe7yrt/lb7v0ui5e9fzv+PX1/WzNmT7jfQ14d+wx/wAm56P/ANfl5/6PevaXnm2N/oU3Q/xJ/wDFV4j+w5LIv7OujhbaSQfbLzlSv/Pd/U0Adv8AtGWtze/BDxZb2dvJcTNpsu2ONdzNhew71lfGXxNoN9+z9rtxZataXK6jpDxWaxSq7TySJhEUA5LEkDA5r03z5v8Anym/76T/AOKrItPDvh6z1Q6paeD9Nt9QLFjdRWkCy5PU7xzk9+amUeaLi9n/AE/66eZUZcsoyW6/4H+R55q3hSddS8La1pfiXSNN8U6Lo0dtJp+qKJYZICMPlQwdDnI3j6YNZVpJZfE7wLoWoJdaR4P1/TtZuJrCNSk1jd3UDsJJEU7fOjYgtuGDznOea9e1vR9I1wRjWvDFnqYiJMf2u3hm2H23ZxVTxR4Z0PxL4ak8O6v4djn01ovKWHZEBEMYGzn5CB0IxirlJybl539He/8ASIhFJKPlb5Wt/X3HL/DXxVqF78Q9e8L61o+iHUrG1hmfVtHyYZ0b7qSbhuRx12ljwRXplZGhabp+g6cmn6LoEWn2ifdito4o1z64Ujn3q/583/PlN/30n/xVDYK5Yoqv583/AD5Tf99J/wDFUefN/wA+U3/fSf8AxVIZYoqv583/AD5Tf99J/wDFUefN/wA+U3/fSf8AxVAFiiq/nzf8+U3/AH0n/wAVR583/PlN/wB9J/8AFUAWKKr+fN/z5Tf99J/8VR583/PlN/30n/xVAFiiq/nzf8+U3/fSf/FUefN/z5Tf99J/8VQBYoqv583/AD5Tf99J/wDFUefN/wA+U3/fSf8AxVAFiiq/nzf8+U3/AH0n/wAVR583/PlN/wB9J/8AFUAWKKr+fN/z5Tf99J/8VR583/PlN/30n/xVAFiiq/nzf8+U3/fSf/FUefN/z5Tf99J/8VQBYoqv583/AD5Tf99J/wDFUefN/wA+U3/fSf8AxVAFiuH+Neg+HNb8Cak3iK1t7pbOzuJ7WO4kPliUQuAxTO1yMnG4HB5HNdh583/PlN/30n/xVUNa0vS9biji1rw3a6lHG26NbuCGYKfUBicGoqQ54uJdOXLJM4f4S33h2D9nzQ7nXrjTv7KtNMSS7NyVaKNVOQWB44IGPcDFY3hCM+N/ilD8SLGCDSNMs9LmsdJikwl1qO8g+a6dVjG35Qeec4Fej23hrw5a2VzY23g3TIbS62/aII7OBY5tpyN6jhsHpmmad4V8L6bex32n+CdJs7qMkxzwWNvHIhIxww5HFa1H7SpKfe/4pp/np/VsoR5Kah2t+FrfitTwrR5vD7fskeIrfUntm1p47tbyNyDctqJc+XwfmMm/y9vfOMV7h4V1aNNC03QbvVLQ+JRpSTPZvOv2jhQN5TrjJAzjFXZND0OTWBrEnhSxfU1OReNbQGYH13/e/Wrn2e3/ALR/tL+xV+2+X5X2jZH5uzOdu7Oce1TL3k0+tvlZNaff9yRXVPtf8Wnr9x866VN4ff8AZC1231CS3bW5IblbqNyDdPqRc7OD8xl8zZjvnGK6r4aSLbfGfWl8XzQpqg0Cw+wtdsAfK2/vtm7/AG9u7HfrXqj6Hob6wNZfwpYtqYOReG2gM4Prv+9+tP1vSNJ1xY11rwzaamsZJjF3bwzBD7bicU7u7l3+7ZrT7/u08weq5f63T1+779Tgf2aEC+HPET2QI0WTxDePpQAxH5Bfgx9thPTHHpXmH/BSP/kl3hv/ALDf/tCSvpuBjbwpDBprxRIAqImxVUDsADxXy/8A8FHZHf4XeHN0Dx/8Tr+Iqf8AlhJ6E0PouyS+5WF1b7tv73c908f+MJvAvgSz8RnTDf2EDwLqBWQq8FuxAeUDB3bQckccDrVj4geNP+Edg0SLTLOPVNR1u+itLGDztiuGI3yFgD8qr8x46VuCxtdU8MDTb6FZra6tfKljYZDKy4Irzj4R/DzxToevQ3Xi/UbK/ttBtDpvh/ySzP8AZ8/62XcOJSuFOM8d6UPis+9/l1X5fe30HLa69Pn0f539F3NLTPGvjDXvF/ifRfD+haF5GgXiWjzX2oyxvMWjV8hUhYAfNjrVf4pfE7WPA+qeHdNTwr/bVxqEMtxfLaXJBgihXdK0QK5kIGcA7SaxB8N9QtviD4t12/8Ah74R8VwaxfJcWc2oXCCWBFjVSuHgfHIJ4Peus1vwprGqfEvwX4p8mytrXSbW5jvLcTFmVpY9oVPlAYA9+PpRHVQ9Ff15f8/+HKlbmn87ff8A5EmsfEayh1PwRHo8UOqaf4rmZYbtJtoRBGHDgYO7OenFafg/xW+veJvFWjtYrbjQb6O0WQSbvODQpLuIwNv38Y56V57N8JNc074saDqfh++sU8HWWoTam2nylhJaTyrh1hwCDGxy2CRgsccV0kHh/wAW+FvHPiLW/D9jputWHiCaK5lguLxrWW2mSJYzhgjh1IQHsQfWnFxtd9b/AC+G3/t2pMk9l0t89/8AgaFlviFKviLxxpX9lJjwvbxTLJ55/wBJ3wiXBG35cZx3pfh54j8ceKND0PxBcaL4dtNL1S1huyI9RmknjjkQMBtMIUsAfXFZ+k+BdcaDxxrGqy2Ka34pQKtvA7GG1RIRHGhcgFzxkttHJ4FZ3wg8E3/hGw0CyuPhn4Qtb6xs4rW61q0uk+0OVQK8g/0dWO4jJBbvyaKfaW9o/frf9P0Cb0XL5/pb9T1m7uIrW1luZ3CRRIXdj0AAyTXnfwz+J8nizXm03UdF/shby0/tHRXafeb6zLsokxtG1sKG284Vl5rT+Mfh7XvFvhMeGdFuIbS31CdItSuWlKyR2ufn8sAHLnoM4Fcv4q+FmuW9x4c1rwp4n1G71Xw/cILW31SWFLc2pAWWHMUIYZULjqOKUNZe9te3/B++33MJfDpvv/wPnr+BLo/xiE3xQ1Twrq+hHTtKg1H+y7PV/tG9Jrvy0k8p1wPLJDjbyQcGtib4iyx6p49s/wCyUI8KRROjeef9J3wLLgjb8mN2O9UNI+GK3kHj/TvFEVtPp/iTVze23lOS8S+TEitnA2uGQkY9uaw/Bfw08cWGmfECLxFqunalfa9ElvZ3SMymVI4BEjzDb8rkKN2M85NQ+b2fny/jZfinf+kzSPL7TXbm/C/5Nf1qjXt/iD42h8A2PjzUPCWkz6LPZRX08On6k73cMLqG3BXiVWKg8gN9M16LperWeq6Bba3psouLO6tlubdxxvRl3Kfbg15jY+HviVN8LdP+H507Q9HEemRadcaoNRe5IRYwjMkQjT5iAcZbA969H8PaFbaB4RsfDmns7W9hZJaQtIfmKqm0En14rWrb3+Xa+n4/8C3zMad/d5vn+H/B/AwfAfjiTxN8M5PGD6atq6fbP9GE28HyJZI/vYHXy89OM1i2vxWa68EeEtUtdBa513xUD9g0yO4AVSOXZ5SBhFGMnGeRgGs3wP8ABfQ7D4bT6T4h8K+Fr/xBK16xvHsY5WJlmkaMmRk3ZCso9scdKisfhh4k07wX8P5NPutMXxN4QjdfLlLNbXKPgSR7wAy5wuGxwR0pO13fa8fu1v8Ap+hfp/e/4Bu+I/HXijwWLHUPGnh7TF0W5uEtprzSr952tHcgIzpJGhKE8ZXJHHFJN8Q9Wv8A4iav4O8O6bozXWlJE7pqepNbzXYddxaBFjbcgBA3EgbuKh8Z+HfGnxDtrPQtd0zSdB0NbqO5vmhvmu57gRtuWNB5aBBkDLHPTgVH8WfCOteMbK70ebwV4X1JdpTTNVuL1op7HO351AjLqykZ+RxnAFK7tt1f3afrfsCtf+v62/rc1/Efi7xJB430rwnouiaXJd3umyX8r3188axbGRSg2RvuOX68dKwbj4wTW3gLXdcn8PqmqaDq8elXtmLvdE0jPGN6SBcldsgPKg5yDUx+GOoXnirwxea5q13f22k6A+n3N3DqNxaXM85aP58wspKkK2ct6detXPiP8N4b34WT+D/BtjY6f5l5BcbXYqrssyO7u2CzOQp+Y5JPU01ZWv3/APb/AP5H/Mm7f4f+k/8AyQ74r+NPF3gvRJvEFroeh32lpLBEgl1CWOcmV1TlRCygAt69BXS6fqus2OhX2reL4NJsYLWEz7rG6kmHlqpZi2+NMHjtmsj4y+FdT8XfDuTQNKa2W7a4tZAZ3KpiOZHbkA9lOOKZ8XvCuueMfDdh4X0+5hs9NurmP+2LjzSsq26fNtiG0gszBRzxjPWp15Wlvey9NNfzCO8W9rXfr2K/wt+I9z4s1S50vWNDGiXjWseoafEbjzDdWbsyrJ90YYbQSvOA6881r/D3xhJ4qvfEtu9gtp/YurPp6kS7/OCxo+/oNv38Y56da5PX/hnr1n4j8M+J/DXia/v9R0efyHg1SWJYnsZABLGDFCpz8sbDORlO2al8F6H458IeIPFTW+gaVqdlrOtNfxTHVjC6RtHGmCnktyNhPWrVm/k/vurf+S3+d/ITul8191nf8bfK3mb1v4x1LUPHnibwjpul2n2nSLK1uYJri5ZUmaYyDa21CVA8vqM5z0rD0bxt4/1Lx5rHhFfD3heO50m3t7ieY6rOUdZi+Av7jOR5Zzn1FbPhrwrqlh8W/E3iy5NsLHVdPsreBEkJkV4jKX3DGMfOMHPPNL4b8K6np/xd8U+K7hrY2Gq2NnBbqrkyBojLu3DGAPnGOT3qY/Zv219Ry+1burfhf9TOn+KlroereJNK8Y2KaTd6RbreWojmMi6jbsQoMWQMv5hCbOuWX1rrvBGpavrHhiz1PXNIXSL25TzGsxN5piU/dDNgfNjGR26VzXxS8DS+LfFHgnU0ttPmi0PVjd3P2gfN5fkuoCcHJ3mNscD5Qewrv6I/Drvt93X5/ppvZOXxabb/APA+Vr/Py1KKKKACiiigAooooAKKKKACiiigAooooAKKKKACiiigAooooAKKKKACiiigAooooA8L17/k+Lw7/wBiVN/6USV7pXhevf8AJ8Xh3/sSpv8A0okr3SgDmPBXip/EWseKNPaxW2Gh6oLBXEm7zh5EUu4jA2/6zGOelc/qPxQGn3Hj8T6JNLF4R8kj7PJvkuvMhWT7uBtxux1PAzRY6D4v8JeL/EmpaBYabrmna/dpfNFcXrWsttMIkiYZ8tw6kRqR0I561J4Q8K+JtFfxV4lm/subxFr90lx9k3v9mhRI0jSLfjLHCklto5PTFLeK/wAP/k2l/wBfL8CtFJ6XV/w/4bQu+BPFWva9o8Wu3Wn6FNpNxaG4hn0jUzdEEDJjYGNQW7fKTyCDXOeAvG3jLxxfW3iXQotBPhwM9tc6Ub/N9A4cqXlxGQjgL/q9w4PJzUfh3wDrdv8AEweMrHQND8HotjNFdWenXbSLqkztuRpgsaINpyd2Cx3nmsTxB4P8QeO9bZj4F0jwfr+nahBJP4ptrhhNKVVSxhKxo0qlSE+diByOcVas5p2/4Gtvnp6P5kNe61f5/L8NfX7j3iikQFVALFiB1PelqRhRRRQAUUUUAFFFFABRRRQAUUUUAFFFFABXnX/CxNXHxZ0zwbceD7ix0/UFufJ1C5ukDymFd25Ilydh9WIPtXoteU+LNH+IF/8AFTQPFVl4b0d7TREuolSTWWR7gSptDY8khcemTQvjXz/L/MH8Lt5Hqc7OkEjxxmV1UlUBA3HHAyeBmvPJ/HHijRfGXh7QfEnh/SlTXppIYDpuoPPNCyoX3SRtGvyYXBYE4JFaQ8Ua9fePNR8N6TpNq9vYaX5015NI3lpePjy4cgcjG4sRyMVx7/D/AF6/8W6Jq2m+GPD3gSWzvVudQv8ASLvdNfxA5a3ZUijDK5wTvLYxwM80Q1lF9H/nb+vK1twl8L7/APAv/X47G38WvigfB6XVtomkprmpWNt9tv4jceVHaW/ZncK3zMcBVxk5z0BNJ8SfiVP4W1vw1pcUOhwDW45XN3q+pG0t4NibsFtjZJ6DpWZ47+Ds974U8TWfh3xTrkd7rbPNLFc3EJhllbs7eSX2jsM8dsV1klv4u0Oy06w03T7TxLBHb7ZptR1AQTiQYx92Eqy4z2B6Ul8Kvv8A1p/X62G/i02/rX+v+Ca3gvVLzWNETULuXRJhIx8uXSb03UDr2IcquT+FY3i3xlf2fjLT/Bvh3S7fUNavLZ7x2urgw29vAhwWZlVmJJIAAXv1FYfgjwh4s8JaT4q1bT4dFbW9bvPttvpIlaOxtG6FN6rkk9SwUZParfibwz4nj+IekePdBt9NvLyLTn0/UNPnuWhV0Zg4aOTa2CGA4K8j0pveP4/dt9+jYuj/AA+//LYz5/i9/Zdh4httd0ExeINFvLez+xWtx5kd29wQIDHIwUhWLDOQCvvWrD428QaT4z0Tw54w0PTrQa6JEsrrTr150WZFLmOQPGhGVBwRkZrldX+FfiPX7TxJrt9dadZeJNT1Gyv7KBGaW3tvsjK0UbvgFt20bmCjGeBXQt4c8WeKPHfhzXvE1jpuj2Xh9pZ4re1vWunuZ3jKZLFECKAc9yTTh05t+va1vzvf526Cls7edvX/AC/S56RJ9xvoa8O/YY/5Nz0f/r8vP/R717jJ9xvoa8O/YY/5Nz0f/r8vP/R70hnpvxQ8UP4M8A6x4ojs1vW062acQNJsEmB03YOPyqXx54jbwz4A1fxQtoLptPsJLsQGTYHKru27sHH1xTfiX4ZXxl4D1nww10bT+0bV4BMF3eWSODjvXH+KNJ+JPirwNdeDL/S9B04X1qbO61WPUHmAQjazpB5anJGcAvxnqamV3FqO/QuPKpRctuv4f8Ek134oXVvrPhbQrHTtNh1DX7AXkcup3xt7YEj/AFKOEYvIT0UDpzVzx78QNQ8HeH9Im1jSbK21LU70WIeW+22Nu5OBJJMVyqHqPlz2xmrHi3Qb+TR7Tw9D4P8AD/inQ4rdI/s+p3HlsjoMK2GjdTwBgjBBrmNG8OeKfAPwjGkS6HYeMLRGuJLrRnmkl8q2clo7WDejmUIDtww5A4x0q5uPvW2v+F9u606699CKafup72/G2/nr007HcfDxvGi6e8HjE6XdTA74b7T59yTKxyBtKLtxnA65ABzmupry74R+BdQ8P+KtX8RDT7LwxpepwRCPw7YTNJBFKPvTNwqK56YRQMDvXqNOStb+v6/rqTFhRRRUlBRRRQAUUUUAFFFFABRRRQAUUUUAFFFFABRRRQAUUUUAFZnifUrzSdHkvLDRrzWbkMqx2lsyK7liBks5CqozkknoK06o65Pqdvp7y6Rp8GoXYI2wTXPkKR3+fa2PypS2Gtzmvg74zvPHXhOTWL/SY9JuYr2a1ktkuPOCmMgZ3YGevpW14luPEkX2ePw7pen3buSZZL67aGOMDt8qOxJ+mODzXn3wpsvFHw78Ha2virS9Ngs4pbvU/tFrqDTkliGEewxKc8HkHk4GOam1q9+LPij4faLLoemadod9qKl9U33pjntoSflWEmNwJGXHzMPl9M9HLZW3svvf/BTFFWbv3f3L/gWEsPjAkfg/xHq2s6G0Go6BqS6XNa2twJY7m5dlSMRSELwWdc5AxWj/AMJ14g0XxJoGl+MtC02ytted4bW5sL55xDMsZkEcoeNMZVW5GRke+axZvhzf3/wpuvBdloGm+GHt7iC8sJV1BrwTXEcqy75jsRiWZACeTz7YrRu/DPi7xf4m8M3niqw0vSdP0GZ7po7W9a5e7nMTxAZKJsQB2buTwKNem+npa2r9b309A6ff9/Rem34lJvil4huPBd/8QNN8K2c3hWzLyfvL9lvZreNsSSpGIynQEhS+TjtXp+maja6hpFvqlvJm1uIVmRjx8pGea8fs/Anj/T/hhf8AwutYdFk0y4Sa0h1lrtxJFayk7s2+w5cKzAfPgnFei6Rp+tadd2ugR2mnv4Zg00Q/aDO/2oygBcbMbdpGed2c0P4Xy/L7ne/4fO4fa187/erW/E4tvip4hn8EXvxC0/wrZzeFLXfL+8v2W9mt0OHlWMRlOgLBS+TjtWwPH2pa74ol0DwTpNjfNa2UN5eXWoXbQRIJhmNF2I7MxGScgAYrlrPwH4/sfhbe/Cu3h0V9Mnjls4tZa7cSR2shOSbfZzIFJA+fGcGtnT/B3ibwX42vdb8K2enaxYajp9taz2t1eNayRSQLtVw2xwwIJyMDBo0v5dO+3X8Pn5A7203/AA3VrfK//DnT/DHxkvjLRbq4lsH07ULC8lsb+1L7xFNGcNtbjcp7HA+leCf8FI/+SXeG/wDsN/8AtCSvc/hL4SvvCujag2rXME+qatqM2o3hgB8pHkOdiZ5IHTJxn0rwz/gpH/yS7w3/ANhv/wBoSU3072V/W2v4iXX1f3X0/A+ldLtt2m2zedOMxLwH46VZ+yj/AJ+Lj/v5XmP7Rks0H7OevywSSRyLpw2sjFT27iuQuIW8J/EXwTqy+FZfBGlXNx9ivJra6SZb6SQYiikjjJAG4g7zyKUfelbzt/X9XHL3Y39X9x779lH/AD8XH/fyj7KP+fi4/wC/lfNt5FFN42+K1/feAZfFqWWoIElW5RXtV+zqSEBO/j73yc+nNdZfeLL7wf8As56LJF4lbxJrmq20drp2oRq8xmll+7IAAXYIDk8bsDnmkneHN1tH/wAm2X9aDatPl9fw3PZvso/5+Lj/AL+UfZR/z8XH/fyvDvg3remeFPH9x4As9S1O70jU7NbvS59QtriN/tCIFnj3TKNxYqZeM/fNc18J73WfA+jT/EQ3l9qHh6/1rUIfEVvLI0htAl3IiXcYPQKoAcDsMiqsrrXR/ne356X/AE1U62vbW+3yv+XT5H0t9lH/AD8XH/fyj7KP+fi4/wC/lfMetajJd/s+fE29t7+SaN/E175EyTEgxm442kH7uD27V23xp0HR/APgVPGHgyFdB12znh+zCzLKt6zMB5EkYOJA3PBGR2xSWyb62/FJ/qU1rZf3v/JXb8T2b7KP+fi4/wC/lH2Uf8/Fx/38rzDTrm5f9pLWI5JJEX/hE7WQxbztVzNLnjpmvOPhDfax4F8Pj4gSXl7qHhvVNWv4vEEMsjSGyZbyVI7qMHooUKrgdlBHehdL/wBatfpv/wAOTfRteX4x5v6/pH0t9lH/AD8XH/fyj7KP+fi4/wC/lfNlt4q1bTvhHr99pOrzQRX/AI5ubSTU4n3m1tZLhgZEbkAYxg9Bmux+IGmeD/AMVtqkngC7vLWOeH/idW+pBboSu2NxcuJWOTknPOe9OKvZvrb72k/1XzHLRtLpf8G1+h7F9lH/AD8XH/fyj7KP+fi4/wC/lWB0FFI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DwfXIcftveHk8yU/8UVNyW5/4+JK9w+yj/n4uP+/leJ69/wAnxeHf+xKm/wDSiSvdKAK/2Uf8/Fx/38o+yj/n4uP+/lee/B64eTxl8SreWZ3aLxEu1HYnYhs7fGAegzmud0vT9a8SeLfjHpeja1Np1xNcWttaXgZisEn2SIsBg8decetK+ia6x5vy0/EaS5mm9nb8bHsn2Uf8/Fx/38qo8+nrqqaU2puL6SIzJB53zmMHBbHpmvJ/h0bTw14ns/B+seED4W8S32myrbajY3hntNQ8vCs5OQTIMq+JFyN5wetYMWlw/DkW2pfEjwWupywagE/4TKxvPMuH3udjzKSsqgbghUFl49Kqy5lro/8AO2nz727E68r01/p/1a/fyPoH7KP+fi4/7+UfZR/z8XH/AH8qdWDKGU5BGQfalpDuV/so/wCfi4/7+UfZR/z8XH/fyrFFAFf7KP8An4uP+/lH2Uf8/Fx/38qxRQBX+yj/AJ+Lj/v5R9lH/Pxcf9/KsUUAV/so/wCfi4/7+UfZR/z8XH/fyrFFAFf7KP8An4uP+/lH2Uf8/Fx/38qxRQBX+yj/AJ+Lj/v5R9lH/Pxcf9/KsUUAV/so/wCfi4/7+UfZR/z8XH/fyrFFAFf7KP8An4uP+/lH2Uf8/Fx/38qj4zvbXTvCOr317qTaXbwWUzyXqjLW4CH94B3K9R9K+atFtdR0m28Daxqmgy+H7FNSia58W29y8lzfq7bY1mi++qzFgreZuC59cEEPeny+n4/16vomEtI83r+C/r062PqP7KP+fi4/7+UfZR/z8XH/AH8r5u+O/io+JNH8TNfzazpWlaPE6aZajT7uNry5H/LxJIE2iMc7ATgnDHGMV2Pi+3vfEWv+E9bm0nVvEfglbCRbjTreFlb7UV+SWWGQoXUDIGehIOO9JO6TXX8v+D+q87D0dv6/r/g79fYPso/5+Lj/AL+UfZR/z8XH/fyvKP2fLq6/4SPxxpNvZ6hZaDY38X9nWt4+Wti6EyRqMttUH+HPy9K6/wCKFj4Hh0G78UeNdLsrq10u2eRpZ4t7Kg5Kr7k9B3NE3yxUulk/vVxxTlJx63sdR9lH/Pxcf9/KPso/5+Lj/v5Xzg+i6v4R+Ds+tkTaDe+LdcslvIbZzGNNs5p0Tykx9wiNsFgc5Oc12OvaNp/gn4ufD+LwhCNNTVZri11C0gZvLuYVhZw7rnBZSAdx5qktbPvb52T/AAva/r2Jvo2uzfy/4Nnp6dz117UbG/0i46H/AJaV4j+w7B5n7OujnzZV/wBMvPuvj/lu1e7Sfcb6GvDv2GP+Tc9H/wCvy8/9HvSGe1fZR/z8XH/fyj7KP+fi4/7+Vwn7SMk0PwO8WTW8kkciadIweMkMuB1yKk+Nt4sXwG8UXkVzszokzRyq+DkxnBBqZy5YOXYuEeacY9/+B/mdv9lH/Pxcf9/KDagAk3FwAP8AppXj3ifwh4m1S18Ha1Hptv4l0yx0qOG98PXl2YN8jKMzqTlGdRxh8dOCKhuLab4gfDLS38BWs1pBpOpSLqHhzVLl4hcGJyslnJIC2FBBAHKYwMYrSceVtdn+F7X/AF0v95lCXMlLuvxte3/D2+49d0uaw1SzW807UnurdmZVlimypKkg8+xBFWvso/5+Lj/v5XmvwgvvDVh4o1fwlZ+DJvB2tQQx3VxYLIr20sZ4EsRRinUEHhW45FepUmthplf7KP8An4uP+/lH2Uf8/Fx/38qxRSGV/so/5+Lj/v5R9lH/AD8XH/fyrFFAFf7KP+fi4/7+UfZR/wA/Fx/38qxRQBX+yj/n4uP+/lH2Uf8APxcf9/KsUUAV/so/5+Lj/v5R9lH/AD8XH/fyrFFAFf7KP+fi4/7+UfZR/wA/Fx/38qxRQBX+yj/n4uP+/lH2Uf8APxcf9/KsUUAV/so/5+Lj/v5R9lH/AD8XH/fyrFFAFf7KP+fi4/7+UfZR/wA/Fx/38qxRQBX+yj/n4uP+/lH2Uf8APxcf9/KsVmeJ9IOuaPLpv9qalpiysu+fT5hFNtBBKhyCVBxgkYOCcEUne2g0W/so/wCfi4/7+UfZR/z8XH/fyvL/ANliMw/Di8tvNnlSDWryNGmlaR9oYYyzEk/jV74xeKLy1u7HwnYtqNgmogvf6rDp9xOLa2BAZIzEjfvnztHTaNzdQAXKytbrb8VcUdb36X/B2PQvso/5+Lj/AL+UfZR/z8XH/fyvnDwdrui2/wABvG+l2fiLVdIWLVJ4LW7NvcmVd7xrGilgGLOx2kA7huJ4qx4Uh1DQPiV4SuNU8KjwMk9nLBGLK6NxHrNy0RYQzYACYClwXBbIxkc5Lr5WT+9Xt69O4dPv/B2/rofQ/wBlH/Pxcf8Afyj7KP8An4uP+/lfOen6ZY6t+zbrPxG1K5mbxcLW6vhqxmYT208TMY0RgflUFQNowMEjHNe9eF72/uvBWnahdpuvpLFJZFxjc5TP6miXuKTfS1/nfb7n+HcN2kut/wALf5ml9lH/AD8XH/fyj7KP+fi4/wC/lfONlptjqn7NGq/EjULqZvF/2O41AauZmFxb3EZLIiMD8qgqBsGBgkY5rpfBtuvj/wCJur2vjiEX8WmaPYSWlhOT5KtMhaSXZnBYkAZOSASBT5Xdx6r/ACf37fqDaS5un+TS/U9p+yj/AJ+Lj/v5Xy5/wUdi8v4XeHP3kj/8Tv8AibP/ACwkr1v9nS6vH0HxBpct5NeWOla9dWWnyzOXYQI2FTcSSQvQV5T/AMFI/wDkl3hv/sN/+0JKNLJrqk/vVw6tPo2vudj6D1PS9F8SeEDoOu2Mt5p91brHPDslUOMdNy4P4g1Q0/wP4Ps9TtNS+w6teXNkxe0bUL29vVgfGNyLM7qrY/iAB96ueI/FWleDfBEeu6wZjbxpFGqQpvklkchURR0ySQOSB6kUtl4quGsr+51bwtrejCytzcFbryHEqAc7Wildc8fdJB/Cpuo3l2/r8h2crRLOk6ToOlahqmoafp8sNzq0wnvnEUp85woUEg5A4AHGKydJ8C+B9Ku9NurDQZIZNLknlsRi4ZbdpiTIVUkqMkntx2xUfgvx5e+KtP0vVLHwL4ig0vU4o54by4nsQixOAQ7KtwXHB6BSfapr7x9af8JBeaDoGiat4k1CwIW+XTxEsdqSMhXlmkjTdgj5VYsO4FU04tJ7/wCX+RN1JN9P8zS17RfD+u3mmXmq6dLcXGl3AubKXy5VaGTpuBXH4g5B9KXQtG8PaHo0mj6XpjwWEsksskBhldWaVy8hO4HqzE46c1m6h49s9M0/TLnVdE1mwl1DVItLW2miQPHLI20MSHKsmf4kZvbNXvHvi3T/AAZo8GqanBdTQzXkNmq26qWDyttUncQMZ6/ypW0t3dvm7f5od9fx/P8A4P4mRZ/Dv4f2fgu68GWnhswaBdSNJNZxrOqszHJIYHcOfQjHarGneCfB9lqdvqX9najfXdqd1tJqVzd3xt2/vRidnEbe64PvUWr/ABAW18cXPg/TfC2t61qNrZx3kxtHtUjWNyQvM0yEnKngCq8nxW8Np8PtV8ZfZ9SNvpEz2+oWfkqLmCZG2vGQW2kg9wxB7E0J9V/XT/gA19n+tdfx3OhXSdBXxLP4kXT5Rqs9qtpLceXLloVJYLjp1Y84zzTdE0Xw7ouhPoem6W8Omu8rvbmGV1YyuzyZ3AnlmY/jWL8QPiGfBukXGtXvhHXr3SLeJJZL21ktNoDY42POr5GcfdpusfEb+wtB/t3xD4P8Q6Vpwmijknka1mESOf8AWsIpnIQcZPUZ6UWurfIL7P5/cv8AL/I0PDfhDwZ4d8MTeGNH8OxW+izM7S2TW0kkTlzlshwcg+nSs+H4c+BIvIj/ALJ1KW1t5RLDZT3l7LaRsDldtu7mIAZ4G3A7AVq3HjTSl8b2PhG0hur+/urQ3kklsqtDaw9FeViwxuOdoGScGulp6/F/Wmn4C02/rX/Mg+1xf3J/+/D/AOFH2uL+7P8A9+H/AMKnopDIPtcX92f/AL8P/hR9ri/uz/8Afh/8KnooAg+1xf3Z/wDvw/8AhR9ri/uz/wDfh/8ACp6KAIPtcX92f/vw/wDhR9ri/uz/APfh/wDCp6KAIPtcX92f/vw/+FH2uL+7P/34f/Cp6KAIPtcX92f/AL8P/hR9ri/uz/8Afh/8KnooAg+1xf3Z/wDvw/8AhR9ri/uz/wDfh/8ACp6KAIPtcX92f/vw/wDhR9ri/uz/APfh/wDCp6KAIPtcX92f/vw/+FH2uL+7P/34f/Cp6KAIPtcX92f/AL8P/hR9ri/uz/8Afh/8KnooAg+1xf3Z/wDvw/8AhR9ri/uz/wDfh/8ACp6KAIPtcX92f/vw/wDhR9ri/uz/APfh/wDCp6KAIPtcX92f/vw/+FH2uL+7P/34f/Cp6KAIPtcX92f/AL8P/hR9ri/uz/8Afh/8KnooAg+1xf3Z/wDvw/8AhR9ri/uz/wDfh/8ACp6KAIPtcX92f/vw/wDhR9ri/uz/APfh/wDCp6KAIPtcX92f/vw/+FH2uL+7P/34f/Cp6KAIPtcX92f/AL8P/hR9ri/uz/8Afh/8KnooAg+1xf3Z/wDvw/8AhR9ri/uz/wDfh/8ACp6KAIPtcX92f/vw/wDhR9ri/uz/APfh/wDCp6KAPB9dnQ/tveHpNsuP+EKmH+qbP/HxJ2xmvcftcX92f/vw/wDhXiWvf8nxeHf+xKm/9KJK90oA5PXPCPhTWNXbV7mw1C31F4xHLdWE93ZSyoOiyNAyFwO27OO1TWvhjwla+HJvD1voax6bOxeaIW8mZXPJkZ8bmckA7yd2ec1Z8MeKLHxBqWu2FnDcxyaJfCxuDKqhXfyo5cpgnK4kUc4OQeKybv4leHbKbxat8Ly2i8K+V9vmaIFW8yNXXywpJPDAcgc/nS0S8rX+W/6js3Lz2+e3/AJdK8GeENNvpr+PTL67vJbc2zXOoTXV7KIT96NXnZ2VTnkKQD3rI0X4Z+FLDUZbi6/tnVLRJ0m0/T7+4u7i1sNiBVEcUjMnBBIJGV3YGBW74c8XzapGtxeeFtc0a0ktftUVzeCB43jxnnyZXKHBBwwUnt0OMHQfiLq3iDVLHUdF8Hard+DrpWRNVUQ72kDld4iMokEXykZKbu+McmkmpJdfy/y1/EltcrfQ7/7XF/dn/wC/D/4Ufa4v7s//AH4f/Cp6KQyD7XF/dn/78P8A4Ufa4v7s/wD34f8AwqeigCD7XF/dn/78P/hR9ri/uz/9+H/wqeigCD7XF/dn/wC/D/4Ufa4v7s//AH4f/Cp6KAIPtcX92f8A78P/AIUfa4v7s/8A34f/AAqeigCD7XF/dn/78P8A4Ufa4v7s/wD34f8AwqeigCD7XF/dn/78P/hR9ri/uz/9+H/wqeigCD7XF/dn/wC/D/4Ufa4v7s//AH4f/Cp64a3+KHh+6+I1r4HtbLWJbu488LeGzKWm+FcugdyC5x3QMPehauwPRXOsvGsb20ms7y1a4tp0aOWGW1ZkkQjBVgVwQRwQa5LTvh34FsJLEw6TqMkWnyCWztbm7vZ7aBx91kgkdo1K9VwvynBGMV288ghheVldgiliEUsxwOwHJPsK4pPiNFb+IdJ0fXvC2v6CdYlaGwuLwW7RSyhS2w+VK7IxUEjcB09aI/Fpv/Vv+AD+HXb+r/8ABOi1+z0nXtGudH1azmurG6QxzQmKVQ6+mQAfyNVNd0PRdaS3S8OtxLbrtjFnfXtpx7+S67vxzWZ4x8fN4Zh1C+uvB/iS60nTVL3eowRwCNEHLsEeVZHVRySqHgcZqTVviFpFtJo1rpdnqGu6hrMBubKzsUQSPCBkyMZWREUZH3mHJAGTSVn/AF/Xn+I9v6+/9Cafwj4Om8GzeD30Lboc6lZbVIpkEmTklmXDFieSxOT3NWdd0Hw5rmmWml6tpst1ZWk0U0MDpMEDxkFCwH3gCAcNkccio/BXjLT/ABRPqdjHaXum6ppUwhvrC9VRLCSMqcozIysOQVYim+K/GdnoWs2GgwadqGsa1fo0kFhYiPf5a/ekZpHRFUdMlhk8DJpvdPvZ/qn+olt6X/4Jpa7Z6NrukXGkaxp326wuUMc1vNauyMv0x/8AqrJ8O+EfCmg6kNTsNPv3vli8mO4vJrq7kij/ALiNMzFF9lwKzo/ir4bj0TWtQ1OHUdLudEuEtr7T7iENcpK5AjVRGWV95I2lWIOetWdL+IFvL4nsPDuteHtZ8O32pRvJYC/8hkudgyyhoZJArAAna2DgU0tdP60/y/AHtqdU93Fsb5Z+h/5YP/hXiP7DlxHH+zro6sspP2y8+7EzD/Xv6CvdpPuN9DXh37DH/Juej/8AX5ef+j3pAezXT2d3bSWt1bPPBKpSSOS1ZldT1BBXBFcjb/DrwHCIY/7HvprSBw8NjcXN5NZxkcrttnYxADsAuB2xW/468S2Pg/wlqXiXUobia00+BppUt1BkZR2UMQM/UipPFniCz8N+EdR8TXsU8tpYWj3UqQgGRkVdxCgkDP1IpNqK5uw0nJqPcoeIfDfhzXb1L2+ttTjulj8rz7K4u7SRk67WaFkLLns2RWVrnw/8K3nhSDQdKtbzQfsayf2fdaaJ4JrV3GGkV0KszHq24nceual1H4jadDf6Npem6Pqur6rq1j9vgsbUQo6QY++7SyIg9Mbic1Nrvj+x0XSdMuL7R9Xj1LVbn7HZaUYkFxJPnGzJbywP9vftxyCRTcbKzXX8b2/PT1FGW0l/St/l+Bb8J+HPD3hnzpNNs7try4Ci5vbnz7i5uNowN8sm5yBjgZwOwFb32uL+7P8A9+H/AMK5/wCH+t+ItWspY/FPhi60LUoWJZWaN4ZEJO0o6SOCQMA5wc54xXT022xRsloQfa4v7s//AH4f/Cj7XF/dn/78P/hU9FIZB9ri/uz/APfh/wDCj7XF/dn/AO/D/wCFT0UAQfa4v7s//fh/8KPtcX92f/vw/wDhU9FAEH2uL+7P/wB+H/wo+1xf3Z/+/D/4VPRQBB9ri/uz/wDfh/8ACj7XF/dn/wC/D/4VPRQBB9ri/uz/APfh/wDCj7XF/dn/AO/D/wCFT0UAQfa4v7s//fh/8KPtcX92f/vw/wDhU9FAEH2uL+7P/wB+H/wo+1xf3Z/+/D/4VPRQBB9ri/uz/wDfh/8ACj7XF/dn/wC/D/4VPRQBB9ri/uz/APfh/wDCqWtW1hrFg1jef2mkTEEm1kuLaTI9HiKsPwNalFDVwOD03wLoPhvR9St/Bqalpl1dwSohnur25gSSTrIYpHKlsgHOATjGea1/h/omn+D/AAfp3hyza8mis49plkhcs7Eksx47kmulrG8RavqWmPCth4V1XWw4JZrOa1QR47HzpYyc+2elF7f12v8A5ha5Rbwr4RfQNR0GXQxNpmpzPPeW8sErrLIxBLc5IOQCCMYIBGDVbRvBXhHStVtdUgsNTuLyzQpayX93eXn2cEYPliZnEZxxlQDgkdCaxYvjBpf9k+LNRu/DevWieFti3yv9mk3u3/LONo5mUsOMgkYyK6fwz4j1PWZIzceDda0i2kiEqXN3PZshBAIGIp3bJB9MULTbsvu6fgDffz/4P/BMqX4d+AZL2W5bQbgJNcC6ltFkultJJgQd7WwbyWbIByU6gGtldD8Or4rXxSumyjWFtPsYuBHNxDkHZt+71A5xmuYuPi5pKaTeeILfw/r134ZspTHca1DHD9nUK215AhkEzIvdljIwCRnFeg2txDdWsV1byLJDKgkRx0ZSMg0LRJrZf5f5fgD3af8AVn+j/E4x/h34Ba8kuDoNwEluRdSWiyXS2ckwOd7WwbyS2QDkp1ANXfEPhHwnrupx6pfabex6hHEYFu7KW6s5jGf4C8JRmXj7pJFYk/xd0lNIu/EUHh/XrrwxaSmOfW4o4fs6qG2tIEMgmZF7ssZGASM4rV1Lx/ZJr40HQtH1TxHqK2qXc0Wn+SqwRP8AcZ3mkjXLdlBJ74pWVkraf8D/AC/Abbu/66/5/ibegWOi6BpMOlaNpxsbKAYjhitnCj36cn1J5NfNf/BR6ZJPhd4cCrIP+J1/FGy/8sJPUV9GeBfFmleMdEOqaX58YSZ7e4t7iPZNbzIcPG69mB9CR6Gvnf8A4KR/8ku8N/8AYb/9oSVUr31JVuh774ogs7rwKlrqPhqTxHZSxRrcWSIjsycZYKxAYjrgHPpXnPhHw/4otbzxHZaJaeJLXwbJoxgs9O1y582VLrbgCDezOseMAhmxnpXr2lx3J022K3KqPKXA8vOOPrVnyrr/AJ+l/wC/X/16zlBSUl3Vvwt/w3mWpNNPt/nf/h/I8c+BWmv4e8P+F9N1Hw/8QLbVLaxhtrn7TeTyWMcgQK3yGYxhQc4wuB2FX/CNrr/w58WeK4bnw3qOs6Rreqy6paXumIkjo0nLRSoSGGDnDcgjHSvVPKuv+fpf+/X/ANejyrr/AJ+l/wC/X/161lNym59Xf8Wn+aRmopR5fT8L/o2edfEux8QeLvC2k6ppWgXMF3pOtW2pR2F26Ry3EcT7iBgkKxHQE/XFUfiIutfEi00fQNP8La1pcEeqW17e3epxpCkUUT7iFAYl3OMYHHvXqflXX/P0v/fr/wCvR5V1/wA/S/8Afr/69StGvW/z0/yRT1+63y1/zZ5VqngK/wBc+OmvatdtrenaZNoNvb219p+oyWpMwdyw/dsN2AQcMCOa5/UfCfitv2e/FXgX/hGj/attNJDbTQLGg1VS+5bjgj52B+fOMtuNe6+Vdf8AP0v/AH6/+vR5V1/z9L/36/8Ar0krK39b3/r/AIYpy97m/raxwfx00PVtd+Ceq6JpNjJd6jNaxpHAhG5mBXI5OO1drNYW994fOm6haxzwS23lTQyKGVgVwQRU/lXX/P0v/fr/AOvR5V1/z9L/AN+v/r05aqSfUiK5eW3Q83/Zy8Gz+EfCd+upafPa6jc6lcAm4lMkhto5GjtlDEk7BCsYAzwK9Qqv5V1/z9L/AN+v/r0eVdf8/S/9+v8A69NtuwJWuWKKr+Vdf8/S/wDfr/69HlXX/P0v/fr/AOvSGWKKr+Vdf8/S/wDfr/69HlXX/P0v/fr/AOvQBYoqv5V1/wA/S/8Afr/69HlXX/P0v/fr/wCvQBYoqv5V1/z9L/36/wDr0eVdf8/S/wDfr/69AFiiq/lXX/P0v/fr/wCvR5V1/wA/S/8Afr/69AFiiq/lXX/P0v8A36/+vR5V1/z9L/36/wDr0AWKKr+Vdf8AP0v/AH6/+vR5V1/z9L/36/8Ar0AWKKr+Vdf8/S/9+v8A69HlXX/P0v8A36/+vQBYoqv5V1/z9L/36/8Ar0eVdf8AP0v/AH6/+vQBYoqv5V1/z9L/AN+v/r0eVdf8/S/9+v8A69AFiiq/lXX/AD9L/wB+v/r0eVdf8/S/9+v/AK9AFiiq/lXX/P0v/fr/AOvR5V1/z9L/AN+v/r0AWKKr+Vdf8/S/9+v/AK9HlXX/AD9L/wB+v/r0AWKKr+Vdf8/S/wDfr/69HlXX/P0v/fr/AOvQBYoqv5V1/wA/S/8Afr/69HlXX/P0v/fr/wCvQBYoqv5V1/z9L/36/wDr0eVdf8/S/wDfr/69AFiiq/lXX/P0v/fr/wCvR5V1/wA/S/8Afr/69AFiiq/lXX/P0v8A36/+vR5V1/z9L/36/wDr0AWKKr+Vdf8AP0v/AH6/+vR5V1/z9L/36/8Ar0AWKKr+Vdf8/S/9+v8A69HlXX/P0v8A36/+vQB4nr3/ACfF4d/7Eqb/ANKJK90rwfXEmH7b3h5TMpf/AIQqb5tn/TxJ2zXuHlXX/P0v/fr/AOvQB5roS634G8beL5brw3qmrabruoJqFpc6ZGspU+RFE0cilgVIMeQeQQaj8KaDqkcnjzxVrvhZ7mPxHdRPFortG8r28cKRjeCdm47WO3Pp3r07yrr/AJ+l/wC/X/16PKuv+fpf+/X/ANeklpbyt8tP8kh31b87/P8A4fU8c8D6HrWkeO4W8H6P4m0rwamnzC+0nWJ8wNMW3Rrao7s0Z5YHBCYKjFYD2bXeqSx/CTQvFfhXxHb6nE+qWzzeVpcTMqtIssRdomyrA/u1BJYHNfQXlXX/AD9L/wB+v/r00Rzq+37XGGbnHlDJ9+tUnZp9v87/AHdLdhdH5/8ADff+pZXdtG7BbHOOmaWq/lXX/P0v/fr/AOvR5V1/z9L/AN+v/r0gLFFV/Kuv+fpf+/X/ANejyrr/AJ+l/wC/X/16ALFFV/Kuv+fpf+/X/wBejyrr/n6X/v1/9egCxRVfyrr/AJ+l/wC/X/16PKuv+fpf+/X/ANegCxRVfyrr/n6X/v1/9ejyrr/n6X/v1/8AXoAsUVX8q6/5+l/79f8A16PKuv8An6X/AL9f/XoAsUVX8q6/5+l/79f/AF6PKuv+fpf+/X/16ALFeOeNbzWJ/jR4W1628G+JrjTtFivIbmaO0QhjIm1SgL5YZ71635V1/wA/S/8Afr/69HlXX/P0v/fr/wCvQt0w6WObn8axf8Jlc+FbHR769vrfSm1GQoUVVOQEhYk/K754zxwea85vtF1nUvH/AIZ1rwtoXiqzvLS+3ahP4jmNxbRWrZ81YllkcpIegMW04JycZFexW+mrbXNxdW4tYZ7kgzyx2yq0pHALEctj3qx5V1/z9L/36/8Ar0R0al1X+f5dPP5g9U49/wDL+n5XPIPileeJ/Feu3XhC88L+JLPwYmFvrmwt1kn1UZ5iQ7x5UR6MT8zDIGM5q3qWn6lpPxG8N+OtJ8LancaOuiyaXPYQxoLqzBZWRvKLDI+XBwSRmvVPKuv+fpf+/X/16PKuv+fpf+/X/wBelFctrb/8Br8n8gl72+3/AAz/ADVzy7wtb+IdM8QeN/iPP4V1F21P7PHYaQjRi7ljiXbuYFtqk5zgt0qfxRY63pfxc0bx/baBf6lp8mjyadeW9rse4tmZw6tsJG4ZGDgnFeleVdf8/S/9+v8A69HlXX/P0v8A36/+vTWlrdNvuaf33B63v1/4Fvut/meCeI/Ani3xH/wlfjKDRXtbu71bTb3TtLuJFSaaKzdGIfkqrPt4BP1xXW6hb6145+I/g/U18N6no2meH5Zru5m1JEjeSRoiixxqGbPJyTwMCvTvKuv+fpf+/X/16PKuv+fpf+/X/wBeiPu2S2W3ra1/wXzCXvXv10+XYnk+430NeHfsMf8AJuej/wDX5ef+j3r2l47rY3+lL0P/ACy/+vXiP7DqTt+zro/lzKg+2XnBTP8Ay3b3oA9L+MPhy98XfDLxB4c014kvL6ykigMhwu8jgE9hXIeOdT8TeLvhrqPhCz8Da3aazqdi1k73SxpawMy7WcyhzuUckYBJ9K9T8q6/5+l/79f/AF6PKuv+fpf+/X/16TimmnsylJpqS3W34f5Hm3jfw3ov2HRNN1jwdruryaZaxrZato7bLiCRBjCujpInTP8AdPeueeC8sfg3DB8YfD+q+IrGKeeU3DGOS9sLZWJgkmdGU+cF2gvGcgjOe9e1eVdf8/S/9+v/AK9I0NywIa6QjuDF/wDXpybldvr/AJ3JglGy6L/Kx5r8HrLxRB4o1a5WXX08FzW8Tadba/cGa6SbHzFCxLrFjGA7E5ya9TqsiXDLlbyNh6iMf40vlXX/AD9L/wB+v/r1TdxJWLFFV/Kuv+fpf+/X/wBejyrr/n6X/v1/9epGWKKr+Vdf8/S/9+v/AK9HlXX/AD9L/wB+v/r0AWKKr+Vdf8/S/wDfr/69HlXX/P0v/fr/AOvQBYoqv5V1/wA/S/8Afr/69HlXX/P0v/fr/wCvQBYoqv5V1/z9L/36/wDr0eVdf8/S/wDfr/69AFiiq/lXX/P0v/fr/wCvR5V1/wA/S/8Afr/69AFiiq/lXX/P0v8A36/+vR5V1/z9L/36/wDr0AWKKr+Vdf8AP0v/AH6/+vR5V1/z9L/36/8Ar0AWKKr+Vdf8/S/9+v8A69HlXX/P0v8A36/+vQBYoqv5V1/z9L/36/8Ar0eVdf8AP0v/AH6/+vQBYrmviZfeIrDwbet4T017/W5wLezUY2xO52+a+SPkTO4/TGK3fKuv+fpf+/X/ANejyrr/AJ+l/wC/X/16UldWGnZ3OH0vwjpvhD4Tf8I9caFN4njcBtStgqSyXsjsPNchyA3POPReK5fw/wCF7iT4laXqHg7wvqPhHQYbWaHWVuR5CXgZCIkSEMQSrYbfgYxjnNeweVdf8/S/9+v/AK9HlXX/AD9L/wB+v/r05e823/WlvuEtI8v9f8P5nhOmaV4v0z4Ial8KD4P1GbVpILjTre9XYbF45SQJmk3ZAAYkjbnjGOa9S8Pi901bLwW2j37WkGlKrasCnkbwApjAzu3dT93HFdJ5V1/z9L/36/8Ar0eVdf8AP0v/AH6/+vQ/eTUuu/no1+rYbNNdL28rtN/lY8I07SvGGn/Ay/8AhOfB+oy6u9tPpsF6uw2LxyEgTtJuyAFYkjbnjGK3PDmj618OfiBqd8dA1PW9J1PS7OFJ9ORZZIpoEKlWQlSFOSQRnpXrflXX/P0v/fr/AOvR5V1/z9L/AN+v/r0Xd3K+r38/6vf1BpWtbT/gp/ojh/gh4d1bQ9H1m/1u1Wyvdb1e41I2gcMYEkbKoxHG7HXBIrxn/gpH/wAku8N/9hv/ANoSV9PeVdf8/S/9+v8A69fLn/BR1Zl+F3hzzJQ//E77Jj/lhJT7JdLL7tBd331+/U+j9S1vT/DfgmXXtVmEFlY2XnzOeyquTXkHwy8eazaeMtCXxR4otdRg8ZQPLFaLdRP/AGXdZLrbqF527CF56sK9K8UeG9F8Y+GdO0nWNRnis4pYLia3hmRVuPLIYRyZBJQkcgYz61D4y8B+CvE2kLYSR2umSRzx3EF5pwihuIZI2DKyttOOR3BpQ0ld/wBLr+enp5jlrGy/p9P+D6+R5Zqni1o/GPxGbxD4i8cW9po96kdl/ZEcpgt0MKthmVCi/MSfnIGOvFd5p2m+J9Y+FGn6v4o8Q39pr0WmtLM+j3qxwyNgsrHZlGOMcrx6cV0eg+F/Dukan4jv4r1rh/ENwJ72O4lRkyIxHhQAMAgdDmk8J+GND8N+C/8AhErPVrmfTlWSOH7RcI7wxsTiNSAPlUHC5BwAOTUSi/ZOK35V96Wv49epaa9qpPa7+4474SR6nP8ABnTPGl74m16+1S80IXEv2m83xCRo8llTGBz0rHi1b4har8EPh/r2nSavqaTWsFx4hOmtGNRniMYJMO7ALZzkAgkdK9P8OeH9C0HwHZ+DbPUHfT7SyWyjklmQymMLtySABnHt+FZ+neENP0nwponh7Q/F2saTFo1uttb3EFzA0kiKoXEiyRtGxwOuzI7Yrao05za2urfJy/zRlTTUY331v80v+DYzPBbaL4w8P3drpPjPxVIbC8aOdJ5mtr21kAGYpdyB8dxuB4PBxisb4EWur614du9d1DxT4gvr211bULWGO4viYGSG4kjjDIBzwq59a7jwb4Z0LwzJqV3Dqc+oalqs3n39/e3CNNcMFCrkKFRQFAAVVUADpTvBvh3QvCuhXWj6bqMzwXN3c3bvLcL5geeRpH2soGACxx3Axyal9fT8dB9EvP8ADX/gHmvgPXtS0vX9N074k614r0XxRcXjxAXAVtI1BidwSBlBjA2kAAlXBB7161418Q2HhXwrqPiHU5RFa2MDSuT7dB+JxXMTeBNLv7zTZNf8Y63r1pplwtzaWV7cW4iWVfuMxjiSSQr23s2epya1vHfhvQfGdpY2Wr6lKLK1u0untoZ0EdyU6JKCCWT2GM0pXcbLR/p/nvpsUn713/T1/DY8y+FfjjV7LxppGm+KPFVtqy+LbE3kES3MT/2ddhizWoCfwiNowM9WVqoWHjXxponj/wAY+Kb/AFK51Xwjpmu/2Zfaf5YJsIPJidbmPAyQGdtw9MGvTvF/gPwX4ksraBlt9LntbuO8t7vTfKhnikQ5BDbTx2IxzV7w54Z8PaHc+IZoLw3A1+9a8vI7iVGTeY0jKqABhdqDg56nmnfXmS2Tt23i1+F1367k20s+rX5O/wCNn9/Q8+Hi/WLi/wDi3LZ63JNaaZbW8uktGyskIezSTch7gk579aZa2fiS1+COnePNO8b65/bSaNBqUq39yJ7WdjErujRsOAeeQQR2rovCnwp8EeGdK8S6XpWoXqWniEkXEb3aMLdNu0JDlflUDoDux06cUtv8NdIbw7Z+GdU8b6/q3h+0hjgXTZ7i1iikjjACK7QQxyOoAHBfB7g1Nvdajo7Rs+1r3/NepaavHmV7Xv57f5P0udX4R12TxF8P9M8SeQbWTUNNju/Kznyy8YbAPfBNeBaR4t1q68EafqXhzxl4g1fxzJqkkZ0vcZ4HjFy6Mrx7dqIIwPmyMYHPNfR6NpsdiLKGW2ht1j8pEjZVCLjAAHQACs3wZpOj+FPDtvoWnX5ltoHldWnmRnJkkaQ5IAHVjjjpirbXtHJbXX57GaTUFF7/APAPK9c128uPjd4j0XVNV8Zpp9npdjNbW2gwzSCOSQy+YW8pGIztXGfQ4q78YtWvtDsfh/Y2GseJ4bLUdW8m8aESNfzRGJ32kBS+7IHAGRiurv8AwVYyeNNQ8WaX411jRb/UbeG3ultGs3jdYixTiaGQg/O3Q1b1bwrpOsS+HLjVvEF5e3WgXhvILhpIEaaQqy/vAiBcYY8KF6CpWyXmvzLe79Hb/wABt+f+Zx3wy1vWL/xd4ng0vWNWvPDOn2aoU1sbb6G+wSwCsBKsezYRvXBOdves34L6o+u6ZpV9q2sfEK41Ka5n8xzBcCwbbNIAC4j8vbtUDrivR5vC+gP44l8XRalNbX09gbC6ihnQQ3MeSVZ1IJLLltpyPvHrV3wZpOjeFPDdtoOnXxktbYuUaeZGc73ZzkgAdWPaiO13v/wX/wAD8uhMlul/Wi/4P59Tg/h4+s/EqPV/EWqeJNY0yzh1OexsdP02YW4iSI7S0jAbndjk8nAGMDrWHe+K/FmiaX8UfC8+tT303hzTY73S9WdFWdVlWTEchA2symPhsZIPNd2vgfSrDVtR1Dwz4t1bw1/aUvn3lvYS20kEsuMGQJPFIEYjGdm3OBkGlg8AeE4vCmuaB9vupW19WGp6hNdrJd3DMNu4uwIGBwAFCjsBUtN02l/Lb59/v1vuaRa9pd7Xv8r7fdp+J5p4Z8R6zNqXga08O6/4qk1nUUjn1OHxAjx2s1r5YMzRecq733FNvlZOCSeKf4o8aeLdA+OGv6qdYuJvCeh/2fFqOnMAY44brzVM44zuV0j/AOAs1en654L8N6t4f0HSJNTuLc6DLBNp95BcItxG0S7R8xUjDLkMMcgnpTx4O8LtrXiXVJ7trh/ElpFaX8MsyGLy41cDaMZBIkbOSe2MVpJ+85R6N2/DTyW68tX10yivd5ZdUl+Ovz/4bpr5p+0L438RSQ3dv4H1qXT7bQI7a91O9tsHzXmmSOK3BIIwUaRz3G1fWuo+LPiuaC08M+EbDxEmiar4gZWm1AyIjWtrGm6WVS/y7idiD/fJ7VY034U+CtP+Gl54Cg1O+bT724W4uLqS7ja6kdXRly5XGB5ar93oPxrZtvBXhNfFl34kvZl1S7uLSKzjjvnilitoo88RLt+XcTliSc4HSpsrcvS9/wANvv09PMq7367flr+b9dNjgLX4iapdfALxnMurxP4n8MRXFrcXcEqvudRmOYEcfMpHPqDUGh+NPE/h7wTq3hnxXq01xq7+Hp9T0DWmUK16ogLsh7edGcHHdeexrtNb+GPgvUr/AF26jvJtNTXdK/su+t7GWKOF0DZWQLsOJBlgG6YY5Bq7438B+EfGHgWHwhq9zJ9lt40S3uYbhUuYCq7N6PjAYqSDxghiMc1NS8ou27Vvzu126P8AAqFoyj2Tb/Kyf4r8TiLfxh4m1Ow+GnhS21Z7O88S2MlzqGqlVaYRxR5ZYwRgOxYfNg4AJxXoMfhy60C2vL+28U6/dqlpLuhvrkTqWCkqwJXKkH0OD3qnqXgHwjfeGtF0Zr24t5NCCnTNQt7sR3dswXbuVwMHIJBBBU55Bq9p2giF5DqfjnWtZV4XhVLqW2jRAwwTtgijDHH9/djtVV/e5+TS97fPb09Pn1Ipe7yc3S1/1/r5HmnwG1OXxJ4c8Pajq+tfEG41W5BkmkaK4Wwdgzfx7PL2YGOuDU3ivWNd0Hxprd54+1PxXo+geaj6PqmkAPp9vDkDFyFDMr7iMmRdhAPIrsfBngiPwlpthpOk/ETX/wCy7E4ispRp7IUznYW+zb8c9d2fepvEnguz16G/sL3xz4gGj6gSLrTEurfypEb70YkaIzKjDghZBwSBjNXNpzvHz/T7vxCO1pHa2csc9pDNDMs8boGWUEYcEcHjjmpao6f/AGXp9jBY2cltDbwRiOKNZBhVAwB1qf7Zaf8AP1B/38FS7X0CN7K+5PRUH2y0/wCfqD/v4KPtlp/z9Qf9/BSGT0VB9stP+fqD/v4KPtlp/wA/UH/fwUAT0VB9stP+fqD/AL+Cj7Zaf8/UH/fwUAT0VB9stP8An6g/7+Cj7Zaf8/UH/fwUAT0VB9stP+fqD/v4KPtlp/z9Qf8AfwUAT0VB9stP+fqD/v4KPtlp/wA/UH/fwUAT0VB9stP+fqD/AL+Cj7Zaf8/UH/fwUAT0VB9stP8An6g/7+Cj7Zaf8/UH/fwUAT0VB9stP+fqD/v4KPtlp/z9Qf8AfwUAeJa9/wAnxeHf+xKm/wDSiSvdK8H124gP7b3h6QTRlP8AhCphu3DH/HxJXuP2y0/5+oP+/goA4n4WaxqWp+J/H1rf3slxFp+vC3tEfGIYvssD7R7bmY/ia5yLWPHGpeI/ivpfh3UFlv8AT3to9GiuCPKhZraNmAOO5JPPc11N74O0z/hIr7XtC8Van4cvNR2m/wD7Plt3juWVQquyTxyKGCgDcoUkAZziptG8I+H9J0bUrGx1i/ju9Tm+03up/bh9rmmwB5hfoMBVAUKFAGNuOKW8Vf8Alt89Nfwb+ZV7SbXe/wAt7focj8L9fRtTXRL3WPF1h4sbT2eXSPEajbK6/KZYmAKMoYH/AFbEYYZA4rmdCvF0vxFY6r8UNR8Y+HvFsd0bP+0HXOk3Cs5ZI43QNEsbKVGG2tuHrXpdp4K0o+IItf1rxXq2u6nbW0ltZT3k9vH9kWT77RrBHGu84X5iCRtGMVkL8P5tWefTvGfjzUdf8PQ3MUljp80tum9UVSPtEkcSSSEPk43YIA3ZNWn76l/W/T5fLpsRb3XH+tuvz+fXc9RHIoqBbqzVQq3NuABgAOOKPtlp/wA/UH/fwVIyeioPtlp/z9Qf9/BR9stP+fqD/v4KAJ6Kg+2Wn/P1B/38FH2y0/5+oP8Av4KAJ6Kg+2Wn/P1B/wB/BR9stP8An6g/7+CgCeioPtlp/wA/UH/fwUfbLT/n6g/7+CgCeioPtlp/z9Qf9/BR9stP+fqD/v4KAJ6q6xHfzaXcxaXdQ2l88TLBPNCZUjcjhigK7gPTIp/2y0/5+oP+/gqDUJYbmylt4dW+xSOpVbiFoy8Z9VDhlz9QR7UnsNbnnPwMv/EUniXx3pHiDxFda42manHFDNNGke0FCSFVRhRntWX8WW1nw3d6Unhvxlr1/wCLtR1OH7NprSpJDLCXHnF4QuEiWPcd3GCBzmup8G+B7Pwx4j1DW7fx1rd7Lqcwnv4bo2Xl3DhSoJ2QKy4znClenOaoaP8ADWz0jXdT1zTviN4ji1HU5C9zcyf2dNIR2QNJbMyoOyg4FP7UH2Sv8rfnb7vUVvdku9/xv+R6V++Nv1RZtnUjKhsencZryb4eXfi60+OeveHvEXiubW4U0aG6VBbLBBFIzgHy0GSBj1Yn3rprGz16X4jXeq3niFodDg04WlpbLcoftEzEF7h1A2hl24HH8R4HSqWm+Abey8bSeLx8Q/EE+pTRJbz+Z/Z/lywqwYRkLbDA4xlSG96cfjUvX9Uv0f8AwdBS+Fx9P0b/AFRw2qeIdSm1rxlF4s8Zaz4X1OyuXTQrS0UrC0IUmKQDYROWOMg59MDNdLoWu3fiz4S+FvFOtXviezku7ZJLiHQbaRpJJCPvERozhe/YdK6fxD4bXXZbiK+8d64umXJxNptvLaxRMnePzFhEwU9DiQHB61PqWg2skdlHonirUPDkVnD5EcWmyW5iKcYBjmjkXIxwwAPvzUxVoWfl+F7v56XKlrK68/xtZfL+upz37PWvaprfhnUl1bV21CS01GWGFLor9ut4c/Il0q/dlx1BGfWk8Yalq2s/GLTPAdtq15pOmf2VLqV3LZsI552DhFQPg7VBOTjk4xmr+n+AtA07QNa0+w8R6ta6hrcvn3+sw3qJfSS/3wwXYh7AKgAHQVa8R+EdG1fVNL1mLxDqGma1pkTQwalaXERlaNh8yOsiPG4PXlevIxTe8fK1/ut+evmLpK3W/wCd/wAtPI8t13xx4u8Lz+LvCNtrMt3JbatptnpupXQWSa2jvHRW3nGHKbjtJz0Gc11mqSa14H+JfgvT7bxFqurabr8s1neW+pTiYqyxM6yocZU5GCOhFbB+G/g6bw9q+k6jfXWoTazOtzfajPdqLqSZCDHIGQKqFCBtCqAMdKt6R4O0q28R2fiDV/FGp+IdQsImisX1Ga3C2wYYYqsMcaliMjcwJwetODta+/XzVrW+++vnfcJa3t528n3/AOB5W6nayfcb6GvDv2GP+Tc9H/6/Lz/0e9e1PeWmxv8ASoOh/wCWgrxH9hy4t4/2ddHWSeJD9svOGcD/AJbvSA734+atqWhfB/xLq2kXklnfWti8kE8eNyMBwRmpvi7ql9pPwd8R6xp129tfW2kzTQToRuRxGSGHvmt7X7TQ9e0W80bVvst1YXkTQzwvIMOjDBHBzXH3Hw90y+0hdB1fxz4h1TQQoRtMuLq2EckY6RvKkSzOvbmQ5/izUyTlFx2v1/r+vQuMlGUZWvbp32Od8WX3jYw+ENSkHiO68LyaZGdUbQNpvluWUYkdfvtGM5ITJzng1Jr+ta3rHwz0bVfh5rGseJdJW7I1SS22Lqj2oJDxxhwmJV5BBw/HrXea5oyX1zFPpvjLVdB2RCEx2Etu0TKOnyTxyKpHqoB965+48Cw6R4R/s3wP4svtF1SKSa5S8e6jl+13MuS73IkR1fLEnhRjPy4q5yT5nbrf8b29Pu00M6aa5U30t+Fvvv8A5kPwRufCdu+peH/Dus6+ZbQrJPpGtI6XFoX5LASKHKsSTnLLnODXptcd4R8K6Tous3PiK+1ufWvEN5AlvcaheSxBvLXpGiRqiIucnhcnPJNdV9stP+fqD/v4Kcugok9FQfbLT/n6g/7+Cj7Zaf8AP1B/38FSUT0VB9stP+fqD/v4KPtlp/z9Qf8AfwUAT0VB9stP+fqD/v4KPtlp/wA/UH/fwUAT0VB9stP+fqD/AL+Cj7Zaf8/UH/fwUAT0VB9stP8An6g/7+Cj7Zaf8/UH/fwUAT0VB9stP+fqD/v4KPtlp/z9Qf8AfwUAT0VB9stP+fqD/v4KPtlp/wA/UH/fwUAT0VB9stP+fqD/AL+Cj7Zaf8/UH/fwUAT0VB9stP8An6g/7+Cj7Zaf8/UH/fwUAeaftHy+LtO8B32u+HvFT6Lb2ESvJFb2qtNO5ljA/esTtXBbIC5OevY9pcWVxrnhOyjbWb7TTJDFJPcWjqkrDaCRuIO3J6kc1l/EfwrZeONIl0e88XanpunToEuLexa1xLhgwJaWJ2BBA+6RVPX/AARaa54EPhDUPHmvtbF133MU1pFO8SjiFtsIQx8DI25PQkjIpK/K15j+0mYvwd1TV77x94qtbHWtQ1zwdZrFHZ3t6wkJu8nzUjlwDIijbzyAT1q9481PVtS+K3h/wHZ6pd6TYXWn3Oo3s9owSeXymjVY1cg7RmTJxycYz1q/p2hXvhjw/cW+h+LLzUzBZPDp+nXK2EFuj4+Q5hgjYYPvjrwTWfp3gOOfQvDk2t+MNR/4SrR43261bXMZmJk/1kZEiujp0GGU/dBGKel49Uvx3/J2fpZak6693+G357et2cP4n8b+K/Bd5418L2usTagbWTTBpd9e4lltReTiJg5wN+37y579c10niKbW/h/4u8Ftb+JNX1iz1m7ksdQttQnEu4+RJKssfyjYQ0fQcEE10C/DrwhNouuafqt/datPrrI2o391dKLmRozmIqYwqpsPKhFAB7VNpPgrSbfXNO1jV/FWq+IbnSkZdOGozW4S2LLtLhYY49z7SV3PuOCfWkr2Svr38rbf8H57jdrvTTXTz7/r5fM85tNS8V6x8DdU+Kv/AAl2p2usx29xqFraxSKtlEkJJWFosfMCFIJJJ5617R4d1aTUfCFjrU0OySezW4eNexK5IFcUfhd4aXTLrQofFGsweGruczT6Gl1B9mYM25o95jMyxk9VEgGMjoSK6u30mxt/EkesQ+IL6OCKz+yJpYu1+xAZGH8vGd4AxnPQnim9YtLS+3lo/vu7fdcPtX33+d2rfcr/AJHkFrqfivVfgTqPxX/4S7U7bWktZtStrWORRZRJESwhMWMMCFIJJJ5zmt3wzrGtfEXx5qOnXOs6loumaVplnMtvp03kyTTToWZmfGSowQAMDnmtf/hVvhpdLudBh8UazD4ZuZjLNoaXUH2ZgW3NHvMZmEZPVBIBjI6EitTVPBWjTeIz4h0XxJqPhzUntVtJ5NOmgKzxL9wMk0ciZXswAPvRddtOi7afj0+6+4PZ669++q+7S/322KfwK17WdX0fW9O1y8N/c6JrFxpyXjABriONsKzYAG7HUjrXjv8AwUj/AOSXeG/+w3/7Qkr6E8F6H4f8I6KNK0mceWZXmmmnuBJLPK5y8jserE9a+d/+Cj00Mvwu8OCOaNz/AG1/CwP/ACwkpvp6L77av5sS6+r+6+h9HX+taV4c8HNrmtXK2mn2dqJbiYoz7FA5OFBJ/AVqNdWq2BvmcC3Efml9p+7jOcdeledfH2Ga4/Z38SQ28Mk0raO4VI1LMx2dgOTWxofijw94l8OvouiavbXd+dPK+SuQQdmOcj1rOTfJNx3W33MtJc0E9nv+H+Z0uh6vpet6Daa7pdwtxp15brcW8wRl3xsNwbBAI4PQjNc3qvxQ8A6X4JtPGl/r0UOg3jrHb3ZtpTvZjgDYE3Dn1Fcd8MPG2ieGvhFo3hnXGurPxBpWmR2M+ltayG4aZE2bUUL8+4jgjIIIrlpvC+raT8H/AISaHqumy/aoNdsGvLcx7/KDSbmVwMjjODW0or2jUHpeKT8m7fkRB+7eW9m7eiv+Z7nrXijw7o+iWut6hqUMenXckUdvcIpkSRpSBHjYDkNkc9Kb4l8WeHfDs9va6pfbby5/497O3gkubmYdykMStIwHchcDvXgHxa0XXvBlpZ+BrLT77UvC1/rtndaLLChk/s4iYNJavjkRjqhPAB29q7mW4XwX8fvEHiLxRBcR6RrVhbQ6dqnlNJDbmNcPA7DPl5bLDOAc1Cs0n3b/AASdvW7a7dul201ddUl+dr+ltfzO4m+IXg+30O/1m71CaztdPKi7F1YTwTQ7sbS0LoJADkYO3BrV8SeIdE8OWEF/rV4tpbTzx28bmNm3SSHCLhQTye/SvL/2gdc0/wAW/A3xInhuS41DasaiSG2cqzbh9wlcMR3xnHes/wCOfh3xPF4T0SW48VanrcS65Ys1qdPgUY8z7xMcYbj604q7SfdL77f5g9Ffyb+4912r/dH5Vz9j4z8K33jC78I2uqwy63ZoHntRG3yjAON2NpIBBIBJGRkCnfEPxEnhXwbqWuGCa4kt4T5MMUZd5JDwqgD3xXhWo+GPiR4Y8C6L4sbw7pEuuaLeyazfz22ryyXN357brmLyvswHIIULvOAgAJqYtc2uy3+f+W7/AOCNp203e3y/z2X/AAD2288eeDrPx3b+BrrWreHxDcw+fDZujgunbD42ZOOFzk+laMniHRI/E3/CNPeKNW+x/bfs/ltnydxXfuxt6qRjOeOleM3Hhqx+Inxb8TySR3dvbXvhvS7rTb8RskltNulZHRiOHXIyPwNRfD298Van8ebmPxVpFzb6ppPhj+z7y6EJFvduJpGWaNhxh0ZW2/wkkdqdmmovf3vwUv1ST9dPJO2rW3u/jy/o3b018/R4viv4Flsn1Bb7Uf7PjleJ79tEvVtEZHKNunMPlgBgQWLYyOtdraTW13axXVrLDcW8yCSKWJgyOpGQwI4II7ivC/gt4y8O6B8I20PVZZX1VbzUlOlpbSPcSl7uYqojC5O4MD9DXdfs+6Dq/hv4V6ZputQG1uvMnnW0LbjaxyTPJHEfdVZRjtjHanbf5Cej+bX3dS3dfE7wZb3epWzXWpSnS5jBfy2+i3k0Ns4UMQ8qRFFwGUk7sAHJq9rfjrwno+maXqV1qgmtdWkEenPZW0t4bpiMgIIVctwCeBXj2i+HfGl7F8VZPD2uXOnPJr8pSxks0Md4v2aDdhyN6lhlQynAIqp4um0xvh98I7rQYb7wzptlq6rIXgMkmnFY5FfeHUg4fI3MMHOe9TF3jFvd8n/k2/8AwPx6XqStKSWy5v8AyXb+vuPcbbxhoM2l3+qOuqWdpYR+ZcSX2j3VrtXnlRLGpfp/CDUOgeOPD2uNF/Z8WtGOaLzo559BvYIWTGd3mSQqmCORzz2rkdX1S31j4T+LLax8XSeKrhLOTLi2RGTcvChY0UHoexNafw30XX7LwNpU+oeKb++g/sWJfsMtlBGEJhXAyqB8jpyfrRJ25n2S/G/+QLXl82/wt/mWbX4r+A7i2jvF1K8jsJJjAt/PpF3FZ7wxQg3DxCIfMCuS2M8Vp+IfHHhnQtXtNIvri7lv7yBri3t7LTbi8d4lIDPiCN8AFl5PqK8B0fw74oX9nW0uri6v9R0OK/uJdU8OG0SOSW2F5ISI5FAkyOHwSdwBFdP48vbWH4xeDNYtNeuPDWlN4ZuVhvhZq4UM8JSIiRGCkgdCM/LVWXNy+b/9Jb/NW69eons3/XxJfk/yPWbnxp4bs/Dx16/uLrT7HzhAv23Tri3mkkPREhkQSOT2Cqc846Gkh8b+GZNH1LVpLm6tLbTI/NvReadcW0sKYJDGKRFcqcHBCkHBx0Ncn4qbwb4m+HNoPEHii+1C1hvQ0Ot2sRie2uVBKyExptTAbGSNpzg9a4281vxRrHw/+JGiS6jN4q0K10gf2ZrRsfIknkZGDwHaAspXCnegH3sGpk7KXdf5L+unTW5UEpSiujav99v6+eh7Tqnijw/pnhQeKb6+WHRzFHKLnynI2SFQh2gbuSy9u9Z+t/EHwXoniPR/D2q61Fa6nrS7tPheGTEw/wB4LtXqPvEV5F8QvDfipf2bYmfxVql6gsNPzpv9nW4yPMh+XKx7+Prnjmrnj3wifF/xT0nSZoZY0k8F3Ahudh2wXKz2zxNu7EMoOOuAauSSm10TfrZRb+/QiL5qal1a+W8V+p7D4z8TeH/Bvh648QeJdQi07TbfHmzOjNgk4ACqCxPsAaztR+IPhCx0zRtRmv55YNbONNFtp9xcSXJ2lsLHGjP90E8gdK8bW48TfErQNTPibR7qzi8IaNdRTQyIcX2qGGSMSIMfMqx5I95R6VBraXNn4Q+CdxNfXOiLaTubi9+zBza5tZRlldSBkkL8w70kt9esbejv/ldeTQ3+kr+qS0/Gz8z3NPGXh/8AsLUdcuDqNjp+nRmW6lv9JurTaoBJIWWNWfp/CDRoPjbwnr3gt/GWkavBd6EkLzvdIjfIiDLZQjcCAM7SM+1cD471KHW/gJ42t9P8US+K7hdPlBlW2RHXcvCBY1UHoe2a5bxxomr+B/AF54l8O6dc3eka74fNrrulW8eXina3Kx3cadc7iFcDqGDfw1FR8sZPyVvXXfydvl6aqoRUnHzbv6K346/0z1vVfiN4R0zR4tZup9TOmS2v2sXkGi3k8Cw4zuZ44iqcdQxBFSWfxA8KXOkXOsNc31npttALiS7v9KurOEocYKvNGocnIwFJJzwK4nUrS6H7I13ZfZpvtP8Awi8ieT5Z37vKPG3rn2roL/T9BvfgjY6b4tguv7Lk0+1W58lJPMiI2FX+Qbl2sAc9sZPFaVY8kpxXR/5/5GdOXMoPvv8AK3+Z0fhzxZoXiC5a109r1J1j84R3mm3Fozx5A3oJkTevI5XIGR61u7V/uj8q8g+FWu69/wAJ63hvT/Edx4y8Jx6cZDqlzaCOWzmDALE0yqqzblJPTcNvJr2ChpWTQ03dpibV/uj8qNq/3R+VLRUjE2r/AHR+VG1f7o/KlooATav90flRtX+6PypaKAE2r/dH5UbV/uj8qWigBNq/3R+VG1f7o/KlooATav8AdH5UbV/uj8qWigBNq/3R+VG1f7o/KlooATav90flRtX+6PypaKAE2r/dH5UbV/uj8qWigBNq/wB0flRtX+6PypaKAPC9eA/4bh8O8f8AMlTf+lEle57V/uj8q8M17/k+Lw7/ANiVN/6USV7pQBmaPrekaxd6laaddLPNplz9lvFEbL5UuxX28gZ+V1ORkc1UPi7wwtxrcEmrW8LaFt/tMygottuQOuWYAHKkHgnrjrXAeFNasPA3j3x1beLHfSo9V1ZNQ0+5ljbybmI20MZ2uBjcGjYFevT1rP8AD2mabrTfE7xF4j02/PhbX7qBIQbaUSXEEdvGhlVVG/buBwcdFz0pXvFNfy3+emn3t/cVZKTT72+X/DanpPh7xr4b16YQ2E92jND9ojN5ptxaLLF3eNpo1EigEElScAg9xWNB8UfDlz4jttOs4NQudMnDIutR6fO1iZg23yhOI/LbkH5g20EYzniuM8Da1qFn4vg8MaN4jvPG3gv+zJmu5rizJm07af3aeeigS7lJUIQX+TOeaxLfWo/CsFrafCDxlda6v2+P/ik7q084wRSHMihyqywBclvnJA6Yq0k5xts/87fL8fu0Id+V9/8AgX/rb79T6K2r/dH5UbV/uj8qELFQWXaccjOcUtSNCbV/uj8qNq/3R+VLRQAm1f7o/Kjav90flS0UAJtX+6Pyo2r/AHR+VLRQAm1f7o/Kjav90flS0UAJtX+6Pyo2r/dH5UtFACbV/uj8qNq/3R+VLRQAm1f7o/Kjav8AdH5UtFACbV/uj8q56bxp4Vh8aQeDX1SI67OhdLRYnbgKW+Zgu1TtUkAkEgHFaHiga43h6+Xw2bEaw0LCza9ZhCshHBfaCcDrwOa8MtfDvjHwz8QfANt/wjukz3H2u8nvL3+2552uZXt3Ekkrm0XaeTtGCM4HGc0R1lZ/1/XX+miWkW1/X9dP6T9l8beMfDHgvT4r/wATanHYQSv5cZMTyM7YycKgLHABJOMAAk0viHxd4d0E2UepXj+ff5+yW1tay3NxOANxKRRKzkAckhcDvXi/xf8ADPj7/hHfGviLV9H0PVLm5tHtrJ4NWnLWdpkEJFB9mwXOAWO/nHYcV0niq1/s3W/DHjbUPEGi+GPEcGnvZtb3SSX9rLCwBIBHkuGBAOeO4waSeib/AK0/Pv8A8DVvey/r/gf1pfT0vwr4k0HxRZS3eh3yXSQymGZDG0csMg6pJG4Dow9GANR+J/FOgeG2tY9WumS4u2KW1tb20lxcTEDJ2RRKztgckgYA615l8Lri78PHxz8R/FE039l6ncwywvBpksRlSNdhlW3+eQBieM5JHJq34svYdE+Omg+MtWWdPD9zoUtnHemFzHbTM6uA+BlNygjJA54pveK2va/k7Xt9+gukvw89Ur/K92dzY+OfCF5oN/rketW8Njpzsl81yjW72rL1WWOQK6N7MATTdA8deFtb1aPSbO7uYb+WEzw299p9xZyTRjq0YnRPMA7lc4rwvxbpWp6/J428aaPpd9c6HLrek3UcaQNuv4bWRDPIidWGFOOPmxxmu41vU7Hx18WPAdx4UaS+g0aae71C8jjdY4I2hZFjZiB8zEgbevcinDW1+vTtpe/p/k+opaJ+V/n5ev8Amj2GRV2N8o6HtXh/7DIB/Zz0fIH/AB+Xn/o969xk+430NeHfsMf8m56P/wBfl5/6PekM9g8SazpXhzQ7vW9auVtNPs4zLPMUZtijqcKCT+Ap2t6tpmi6Hda5qdwtvp9pA1xPMULbI1GS2ACTx6DNcx8eNG1LxB8IPE2kaRbNc31zp8iQQqeZGxwo9zXJfErxxonif4R6v4e0I3d7r+p6a9pBpSWsguVldNu11K/JtJ5JwBipk3yvl37f15lxS5o82z38tjv9W8ceFtMGnLcX0s02pQ+fZ21pZTXVxLHjO8RRIz7cdyuBS3vjbwrZ6Db61cakEtrqTybdPs8nnzS5x5Sw7fNMmRjZt3A8YrgfGWj+GtLfw5PqfijUfCnifS9Mjt7fU7aMmOWMD5omDK0cgyCSvXvxWU+pWvif4Z6PqHxVv7vw9qNvfzPpWvWtvJa48tj5d0VYFYd6AHbJwc4Aq52TfK9n+F7ffb018jOF2ldbr8bX+77/ALz0/wAAeMLPxZZzMNN1DSr6BiJ7HULOW3mjUk7WxIi5DDByMjnGciun2r/dH5V5d8IvEnibVPFmsabNqo8T+GIIIpLHXjZC3LyH70OVwkuBzuUDk4r1Km1a39f1/XQSe4m1f7o/Kjav90flS0VJQm1f7o/Kjav90flS0UAJtX+6Pyo2r/dH5UtFACbV/uj8qNq/3R+VLRQAm1f7o/Kjav8AdH5UtFACbV/uj8qNq/3R+VLRQAm1f7o/Kjav90flS0UAJtX+6Pyo2r/dH5UtFACbV/uj8qNq/wB0flS0UAJtX+6Pyo2r/dH5UtFACbV/uj8qyPEfiPR9ANumovctNcEiGC0sprqZ8DkiOFGfaO7YwMjnkVsVw/xc+Idp4D022C2cl9qmoOYrKDlYgR1eWTBEca5GTyT0AJqZOw4q5qaR448I6r4du/ENnrdr/ZtiWW8lmBhNsy/eWVJAGjYejAGotC8e+FNa1W30uzvLmK9uommtYr3Tri0Nyi/eaLzo0EgAIPyZ456V4xf6Db3Hwb8RPousr4q1651m01nXRYwsBJtuI3eONOu0IjYHJOPfFdN4p1Ox+IHjXwDF4QeW5bS72S+vbpInVbKL7NLHtckDDFnUbevXjAqvz00+V2/S9/uYun3/AIbL1en3o7i8+Jnge0uJ45tWfybacW9xeJYzvZwykhdj3KoYUOSAcuMEjNdgnlugdNrKwyCOQRXzbpOpWth+zlq/w2vLG7/4S1ra609dKNs/nXE8hYI68YKncDvzgAE54r2TwxqVvY2uneBbie5GuxaOsjE28hjAChSfNxsyCRxnND0i2te3no27elvxD7Vnpv8ALVJX9b/gNuviZ4HtbieObVn8m3uBbT3qWM72UMpYLse5VDCpyQDlxgnmtDXvGfhrRdRh027up57+aIzJa2FjPezeX/fMcCOyryPmIA5614ZpWpWtl+zZqfw0u7C7/wCEva0udNGlG2fzp55CwVxxgqSwbfnAAJzxXReD7iP4efFDWJfGUktrBqGjWCWd/LG7RM0KFZIt4BwwJBweuKNO+nfo9L6f1s+4O+umvbtql+v4HsHhvXNG8SaPDq+h30F9ZTZ2Sx+o6qQeVYdwQCO4r5r/AOCkQA+FvhvA/wCY3/7Qkr1r9nrTr220TxBqlzZ3Fjbaxrt1f2UE6FHEDt8rFTyu7rggGvJv+Ckf/JLvDf8A2G//AGhJTa20tovlpt8thJ7+r/Pf5n0rpbXf9m222OAr5S4y5zjH0qzuvf8Anlb/APfw/wCFZV5a6zd6BZJousQ6XMEUtJJZi4DDHTaWXH1zXDfCDW/G3iazvtY1nxLp/wBl07Vruykt4dKCeakErJu3+YdpIXPQ4qU979P6/Ub0Sfy/P/I9O3Xv/PK3/wC/h/wo3Xv/ADyt/wDv4f8ACvN/A2t+OPiHoY8VaXrOmaBpF1I/9nW5083UrxKxCySMXUAtjO0DjPWl8FeJvFvi2LXNAlvrDRfEPhzUPsd9cQ2n2i3ulKhkkRWYFMqQSCTg8c07Pbrv8v6a8wen5fP+l6Ho+69/55W//fw/4Ubr3/nlb/8Afw/4V5p8GdY8ceK7O41bVvEmnm3tNWu7F7WHSgnmrBM0Ybf5h2khc9OM1n+MPidr+neKtR1HTIbOXwZ4du4bLWpTEzTNI+DK8bA4CxBgGGDyCO1NLVLv+tv80Hfy/NdPwZ63uvf+eVv/AN/D/hRuvf8Anlb/APfw/wCFcb4q8Walp3xS8GeHbI2zadrUd09wzJuc+WgZdpzgdfQ13VLpf+tNBX1t/WpX3Xv/ADyt/wDv4f8ACjde/wDPK3/7+H/CvGbX4jX97448WaPqXxG8MeFk0nVBZ2dtd28ZlmjMSNvy8qk/MxHAxxXS/Ebxhr3w/uNM8RarJb6h4NEIh1eaG2IntZP4bgAE7oz0KgEjjk0k1yqT2dvxV0U0+Zx6r9D0Hde/88rf/v4f8KN17/zyt/8Av4f8K8j1vx543h+FmreOxFY6ZDdzxHQ7We3LyRWzEASzfMMs+d4XjaCAec1pWXi7xJpfxTsfBt9q2meIoL/TZrxp7a18mWxaM8eYqswKP0BODlT1p+T/AKsrtfcK+l/63t+Z6Vuvf+eVv/38P+FG69/55W//AH8P+FeL/C/4hal4ttreXUPid4W07U5tQuLf+xhaRefiOd0VQDNuyyoD071P41+J3izw98WtTs49PtLzwjolha3GqJHExu41naQGZTnDKmzlcdDntR2v1Dv5f52PYd17/wA8rf8A7+H/AAo3Xv8Azyt/+/h/wrhIfHF3efFkaBp81lcaHL4Zj1aCZF3NI7yyKCGzgqVVT0/GsH4f618TPFvw+/4S618Q6Klw010I9Pk0oiJhDPJGFMgk3DIQc44J6UbK72/4LX6Mdv0/FX/JnrO69/55W/8A38P+FG69/wCeVv8A9/D/AIV5Q3xX1DUvDfgLWtLsorM67rv9l6jbzrvMRTzVkVCCP44+D6dqn+KGrePfDeueHYdP8UacbfXdZWwCS6QGNujI7ZDeaNxG3HIHWnZ3t52+en+ZN1Z+Sv8ALX/JnqG69/55W/8A38P+FG69/wCeVv8A9/D/AIVwninXfE3hW88G6dcalZ6nLrGufY7qf7H5P7kwyPhVDHByg5yfpVr4weKtU8K2nhyXSxbltR123sJ/OQt+6dXLYwRg/KOaLXaXdpfN2/zH39L/AC1/yOx3Xv8Azyt/+/h/wo3Xv/PK3/7+H/CvH/EvxEv7b4p+I/Dd7488OeErDTLK1ntWv7ZHe4aXzN+N8q5xsXhRn5vpUev/ABM8YWHwJTxheWVpo2ptqUVqJbq3YRPbtMEFz5blSoZTuAJ6d8VKd1934uw2rO39bX/I9k3Xv/PK3/7+H/Cjde/88rf/AL+H/CuR+HesNrF7cND8RtB8VRQxjzIdOgiUxMTwWZJG9Dxiu2qmrEp3K+69/wCeVv8A9/D/AIUbr3/nlb/9/D/hViikMr7r3/nlb/8Afw/4Ubr3/nlb/wDfw/4VYooAr7r3/nlb/wDfw/4Ubr3/AJ5W/wD38P8AhViigCvuvf8Anlb/APfw/wCFG69/55W//fw/4VYooAr7r3/nlb/9/D/hRuvf+eVv/wB/D/hViigCvuvf+eVv/wB/D/hRuvf+eVv/AN/D/hViigCvuvf+eVv/AN/D/hRuvf8Anlb/APfw/wCFWKKAK+69/wCeVv8A9/D/AIUbr3/nlb/9/D/hViigCvuvf+eVv/38P+FG69/55W//AH8P+FWKKAK+69/55W//AH8P+FG69/55W/8A38P+FWKKAK+69/55W/8A38P+FG69/wCeVv8A9/D/AIVYooAr7r3/AJ5W/wD38P8AhRuvf+eVv/38P+FWKKAK+69/55W//fw/4Ubr3/nlb/8Afw/4VYooAr7r3/nlb/8Afw/4Ubr3/nlb/wDfw/4VYooA8H103H/Db3h3KRb/APhCpuA5x/x8Sd8V7huvf+eVv/38P+FeJ69/yfF4d/7Eqb/0okr3SgCvuvf+eVv/AN/D/hRuvf8Anlb/APfw/wCFeYfBr4ga94s+IvxB0HVVsxZ+H79Ley8mIq5Qgk7yScnj2rn9N+LHjSfXfizZ22jW+rv4T8r+yrK2hYSzFlJIYgkt68AdKnmVk/7vN8tP80Pl1a8+X56/5Ht+69/55W//AH8P+FVbOwFndXd1a6fYwz3kgkuZEJDSuFChmO3k7VA+gFeH/A/4qeKfGeu6et5418DXgmU/btEW0mstQtWxkhBIx83aeDgY965HxF8TvG2tfFyewu/F+jfD1/D+oOLDSNYS4gj1eI4AaWbIRlOMqO2c81dnzKPf+vn8rkqScXK+i/r+rn1Ruvf+eVv/AN/D/hRuvf8Anlb/APfw/wCFLp8ks1hbzT+SJXiVn8l9ybiBnae4z0NT0NWdgTurlfde/wDPK3/7+H/Cjde/88rf/v4f8KsUUhlfde/88rf/AL+H/Cjde/8APK3/AO/h/wAKsUUAV917/wA8rf8A7+H/AAo3Xv8Azyt/+/h/wqxRQBX3Xv8Azyt/+/h/wo3Xv/PK3/7+H/CrFFAFfde/88rf/v4f8KN17/zyt/8Av4f8KsUUAV917/zyt/8Av4f8KN17/wA8rf8A7+H/AAqxXP8AjoeMH0uKLwW+jw30kwWWfU1do4Y8HLBEwXbOBjIHJ5pNjSubG69/55W//fw/4Ubr3/nlb/8Afw/4V4l8DPiZ488TfEHxf4Q1y30bWIdCQ+VrGmI8NvJNkARHJbk5JyCcbT1q18OPiF491D9oHXPh/wCK4dDitrLSRfRpp6yMUYugAMjkbuGOflFUldpLqrr03FL3b36O39feex7r3/nlb/8Afw/4Ubr3/nlb/wDfw/4VlfELX5PC3gbWvEcNi99JptlLcrbqcGQopOM9hxXzbo/7Q/iq3bwjrWpeIvAus2Wv30VtdaJppYX+nLIcAtlyTt75UZNKPvS5V5fjt+X+Y5K0eb1/Dc+p917/AM8rf/v4f8KN17/zyt/+/h/wrxD4/eNfit4B0HUvF9rqXgy10i2nSOy0+eCWW5vFZgB825QH5ztAOADzXU3msfFHXPBWh61o6+HPCrz6eLvVG1lJZTavgHYEBUBcZJZjx6Ur+45dt/uv+QcuqXc9G3Xv/PK3/wC/h/wo3Xv/ADyt/wDv4f8ACvKP2W/iR4o+JPhPUdQ8TabawtaXht7e+tEZILxRnLIGJ6EY611HxMj8fxhdQ8K+JvDei6bbQPJetqtg8+Mc7gyuoAABzTqe5v8A1pcUVzNrrt+h1+69/wCeVv8A9/D/AIUbr3/nlb/9/D/hXzJoXx3+IFj8Gde+IOvWWlanEdRSw8P+TbPbLd5faZWBZiF744+tddpfxA+JHhf4s+GPB3j6Tw/qdp4lgdoLjTbaSBraVRnaQzNuGcDPFNRbko/1e17ethNpJv1+5O1/S57Y7Xuxv3Vv0P8Ay0P+FeI/sOm5/wCGddH8tIiPtl595yP+W7+1e7Sfcb6GvDv2GP8Ak3PR/wDr8vP/AEe9IZ7Vuvf+eVv/AN/D/hRuvf8Anlb/APfw/wCFcV+0B4t1bwP8J9a8T6ILc39lGGiFxGXTJIHIBH86y/HnjvXNF/Z0fx9ZraHVxo8N5h4iYvMZFJ+XOcZPrUuaUZS/lt+N/wDIpRblGPe/4W/zPSd17/zyt/8Av4f8Kr6nZnU9Pn0/ULGyurS4QxzQysWR1PUEbeRXgnxC+M3jPRdE8CXCrpmi2OvaVFd3/iG80+e5tbedkB8rZGcrn1J71u3/AMSvGml/A3VfF1g/hvxxqdtNttrjw/vkgaI9ZJIwSylOcqD27VU1yqV/s6fjb+r+uxMHzOPK9Xqj2SMXUcaxxwWyooAVQ5AA9Pu07de/88rf/v4f8K8I/Zl8Ua9rWs38tz8SvDvi+01IvezWqPNDeabIf+WSQyEkRDpjAA969/qpRcbX6kxkne2xX3Xv/PK3/wC/h/wo3Xv/ADyt/wDv4f8ACrFFSUV917/zyt/+/h/wo3Xv/PK3/wC/h/wqxRQBX3Xv/PK3/wC/h/wo3Xv/ADyt/wDv4f8ACrFFAFfde/8APK3/AO/h/wAKN17/AM8rf/v4f8KsUUAV917/AM8rf/v4f8KN17/zyt/+/h/wqxRQBX3Xv/PK3/7+H/Cjde/88rf/AL+H/CrFFAFfde/88rf/AL+H/Cjde/8APK3/AO/h/wAKsUUAV917/wA8rf8A7+H/AAo3Xv8Azyt/+/h/wqxRQBX3Xv8Azyt/+/h/wo3Xv/PK3/7+H/CrFFAFfde/88rf/v4f8KN17/zyt/8Av4f8K8Z+PvxD+IXgXxF4a/s210GPQ9U1q304tL5ktzIJM7jj5VQADjljzUvx9+KmteDvF3hfwppV1oehjWxK8uua3n7LbCMA7SAyjJzjJYdqSd0murt80r/kNqzfpc9h3Xv/ADyt/wDv4f8ACjde/wDPK3/7+H/CvIv2dvipqnjjXPFHhnW7rRNTu9Clj8vVNGYm1vI3z8y5JxgjsTXbfEY+PfLgHg2/8OaZbpHJJe3urRyS+WFxgKilRjG4liwxjpTl7qUuj1FHVuPVHT7r3/nlb/8Afw/4Ubr3/nlb/wDfw/4V86+BfjX4+1r4JeOvFV5pemtf+H3Men39vC/2W+IbDYQnJxx0P8Qq98DPi/f+K9bji1j4j+EtQYWT3E2k22j3Nndbgu4hGlbD7cHO0HgUOyk12Sfyab/QHdL5tfNWX6nvm69/55W//fw/4Ubr3/nlb/8Afw/4V8zy/Gb4r3/w21f4t6Tb+GYfDWm3phGkTQyNczRLIqM3nBgAfmz93tX0ToevW+qeELTxGqlLeezF0V7hdu4ih6Rcn038rq6D7Siut/w0Zf3Xv/PK3/7+H/Cjde/88rf/AL+H/CvmaX4z/Fe9+Gep/F3TLbwzF4asL0xDSJYZGuZYlkCM3nBgAfmz93tXTn4o+OfHXxFk8IfDk6HpUdppEWpXN7qkEk+8yAYjVFK4wT156Ua9tf8AgX/IHZen/Bt+bR7luvf+eVv/AN/D/hXy5/wUdM5+F3hzzUjX/id/wsT/AMsJPavX/wBnT4i6h8RvBdxfa1ZW9pq2n3klleJbk+Wzocblz0z6ZNeS/wDBSP8A5Jd4b/7Df/tCSm1b+u4k7/l92h9OaT/yCrX/AK4r/Kud+Gng8+D9H1LT5L8XwvdUu7/cIvL2ieVn2Yyc43Yz39BXgviX4d+GNQ8RajfXKaqZ7i5kkk8vVrlF3FiThVcAD2AxWf8A8Ku8Jf8APPWf/B1d/wDxyu+OWVWr3Wq/roccsdTWjT0f+a/U9w8NeB/Ffg6ym0fwj4o0xdE855bS21TTHuJLQOSTGjxzR5QEnG4Ejpk1vfD7wdD4Ts79pNQn1PVNUumvNRvplVWnlPHCrwqgAAKOgA5NfOP/AAq/wj/c1j/wdXf/AMco/wCFX+Ef7msf+Dq7/wDjlUssrLqu39aA8fTfR9z6E8BeDbzwj4V1TSbXVo5rm8v7y9iuGtiFiaeV5ACu75tu7HUZx2rB0D4I+EbXwgdG1lLnVry5R21G7N1PELueQkySGNZNoyxJxz+NeM/8Kv8ACP8Ac1j/AMHV3/8AHKP+FX+Ef7msf+Dq7/8AjlJ5VVfVbW+S+X9fIP7Qp3vru382euWvwt8TWMXgme18YWNzqPhSG4to577TXkW5icbUDBZlIZUCjOTkjOBXpWgx61HY7deu9PurvcfnsrZ4I9vYbXdzn8a+Wf8AhV/hH+5rH/g6u/8A45R/wq7wl/zz1n/wdXf/AMcqnltd7tf8Pr2J+vUuzPb9H8E+MPD3iXxLqegeI9CFvruoC+eG+0mWV4m8tI9oZLhARhAenetDxJ4Ek8WeIdLuvFd/a6ho2nxBxpC2hWCe67zSbmbeo/hQjjnJNeAf8Kv8I/3NY/8AB1d//HKP+FX+Ef7msf8Ag6u//jlSsrrWSutLfgrLp/W5TzCm23rqew3nwjnk8F614Jh8QRjw7d3Sz6bazWfmNYpu3PDnfh4y2dowNoOOQBXoOkeHtD0a1nt9E0fTdLWcfvBZ2qQhjjGSFAzXy4/wx8Hohd11dVUZJOt3YAH/AH8qja+CfhzdrG1rqlxcCVzHGYvElw4dxyVXEvJ9hzR/ZlW3Ldff6IPr1O97P+tT3z4f+C/G/gvRYtC0/wAS+HrjTo7uecGfR5vOKyzPKV3C4C5G8gHb26Vt6d4LW3+JOv8Ai6a8S4h1jT7ayazaDhBEZCSWz8wbzOmB07187/8ACr/CP9zWP/B1d/8Axyj/AIVf4R/uax/4Orv/AOOU/wCzKz3a/r5B9fp66PX/ADv+Z7J4G+EEXhLx/qfiCy16aXS57E2dhpkkORYo0jSMqvu5Tc7ELgYzjOMUnhP4feOPDnhA+EbDxlpEOmmW4YXKaO/2tFmleQ7WacpuG8gEoR7V45/wq/wj/c1j/wAHV3/8co/4Vf4R/uax/wCDq7/+OUv7LrW5bq3z7t9vNh/aFO97Pe/4W/I9wuPhTp0OieDdG0a+eztPDWqLqGZY/Ne6bD79xyMMzSFiefpW38QPB7eKr/wzdLqAtP7E1ZNQKmHf521HXZ1G372c89OlfOn/AAq/wj/c1j/wdXf/AMco/wCFX+Ef7msf+Dq7/wDjlV/Zta97re/z08vJE/XqXZ7W+Wv+bPo74i+EV8WWenNDqEmm6lpV6t9YXSoJBHKqsuGQ/eUhiCMg+hFZF74K8QeI9W0e68Z6/p11aaRdi9gtNM097dZZwrKrSNJLISAGOAu3k854rwj/AIVf4R/uax/4Orv/AOOUf8Kv8I/3NY/8HV3/APHKSyusndNd/n9w3j6T3T7fI+hNP8CwReOvFXiG+uYr218Q2dtaSWTwcIsXmg5JJ3BvN6YGMd65m++EupTfDCTwPH4qQwwapHeaXNPZF/s0KSiRIGAkBcAggHK8EDHFeQ/8Kv8ACP8Ac1j/AMHV3/8AHKP+FX+Ef7msf+Dq7/8AjlJZXWTumun4O66dH/Wo3mFNu9n/AErfkfTPh238Xw3Tf8JBqmhXdtswi2OnSwOG9SzzOCMZ4x+NbtfJP/Cr/CP9zWP/AAdXf/xyj/hV/hH+5rH/AIOrv/45T/syt3X9fISx1JdGfW1FfJP/AAq/wj/c1j/wdXf/AMco/wCFX+Ef7msf+Dq7/wDjlH9l1u6/r5D+v0+zPraivkn/AIVf4R/uax/4Orv/AOOUf8Kv8I/3NY/8HV3/APHKP7Lrd1/XyD6/T7M+tqK+Sf8AhV/hH+5rH/g6u/8A45R/wq/wj/c1j/wdXf8A8co/sut3X9fIPr9Psz62or5J/wCFX+Ef7msf+Dq7/wDjlH/Cr/CP9zWP/B1d/wDxyj+y63df18g+v0+zPraivkn/AIVf4R/uax/4Orv/AOOUf8Kv8I/3NY/8HV3/APHKP7Lrd1/XyD6/T7M+tqK+Sf8AhV/hH+5rH/g6u/8A45R/wq/wj/c1j/wdXf8A8co/sut3X9fIPr9Psz62or5J/wCFX+Ef7msf+Dq7/wDjlH/Cr/CP9zWP/B1d/wDxyj+y63df18g+v0+zPraivkn/AIVf4R/uax/4Orv/AOOUf8Kv8I/3NY/8HV3/APHKP7Lrd1/XyD6/T7M+tqK+Sf8AhV/hH+5rH/g6u/8A45R/wq/wj/c1j/wdXf8A8co/sut3X9fIPr9Psz62or5J/wCFX+Ef7msf+Dq7/wDjlH/Cr/CP9zWP/B1d/wDxyj+y63df18g+v0+zPraivkn/AIVf4R/uax/4Orv/AOOUf8Kv8I/3NY/8HV3/APHKP7Lrd1/XyD6/T7M+tqK+Sf8AhV/hH+5rH/g6u/8A45R/wq/wj/c1j/wdXf8A8co/sut3X9fIPr9Psz62or5J/wCFX+Ef7msf+Dq7/wDjlH/Cr/CP9zWP/B1d/wDxyj+y63df18g+v0+zPraivkn/AIVf4R/uax/4Orv/AOOUf8Kv8I/3NY/8HV3/APHKP7Lrd1/XyD6/T7M9C17/AJPi8O/9iVN/6USV7pXwXfeBfDyfH7TNEVdS+xy6BJcMDqdwZN4kccSb9wHHTOPau+/4Vf4R/uax/wCDq7/+OVEcuqyvZrQcsbTjbRnqt78IfEmkeOtb8VfDrx9/wjr68yyaja3elpexNIBgMmWUr+tWvBvwgu/DHh/xEbLxtqP/AAlniCcXN7rv2ePcJB0CRHKhBzxknB615B/wq/wl/wA89Z/8HV3/APHKP+FX+Ev+ees/+Dq7/wDjlNZVVUeVNbW3e3b8EJ5hTbu0+/z7npcfwV17WvHmi+LPHvjm31m40WQy2i2GiRWLuxGP3kgZmYDHA4/U1keO/hV8UPGmt3nhDXvGlvd+BZ0NwLybSbdrxHaQn7OjbtwKjGJMDg4wea4v/hV/hL/nnrP/AIOrv/45Vc/DzwONRXTjJq32tojMIv7au87Acbv9Z0zT/surom110/pfP5dg+v09Xr/X9fj3Pq/w5pNvoXh/T9Fs2ka3sbaO3iaRssVRQoJPrxV+vkn/AIVf4R/uax/4Orv/AOOUf8Kv8I/3NY/8HV3/APHKp5bWbu2v6+RMcdSirJM+tqK+Sf8AhV/hH+5rH/g6u/8A45R/wq/wj/c1j/wdXf8A8cpf2XW7r+vkV9fp9mfW1FfJP/Cr/CP9zWP/AAdXf/xyj/hV/hH+5rH/AIOrv/45R/Zdbuv6+QfX6fZn1tRXyT/wq/wj/c1j/wAHV3/8co/4Vf4R/uax/wCDq7/+OUf2XW7r+vkH1+n2Z9bUV8k/8Kv8I/3NY/8AB1d//HKP+FX+Ef7msf8Ag6u//jlH9l1u6/r5B9fp9mfW1FfJP/Cr/CP9zWP/AAdXf/xyj/hV/hH+5rH/AIOrv/45R/Zdbuv6+QfX6fZn1tXC/Gzwb4j8deEDoHh3xlL4VeWUfabmK2MryxYIMYw6lckjkHtjvXgf/Cr/AAj/AHNY/wDB1d//AByj/hV/hH+5rH/g6u//AI5UyymrJWbX4/5DjmNOLukz2H4S/Dnxp4Fsv7JPjPRJ9IS2dILW08OralZiOJWcSEuc8nPX1rntC+DfxF034rTfEOT4o6dPqF3ClreIPDiqsturqxQfvsKTtxuxXn//AAq/wl/zz1n/AMHV3/8AHKP+FXeE/wDnnrP/AIOrv/45V/2bX51O6v8A15EfXqXK42dj27wzo3xFvPGHjDVda1qXTNKuo2tNCsD5c4hwP+PpgOMk9EJ6ZziuU0v4CXV54p0zWPGfibS9TttMu1vYLPTPD0GnLNOv3XmZCS+DzjivPP8AhV/hH+5rH/g6u/8A45R/wq7wl/zz1n/wdXf/AMcpRyutFppq6/q+2/8AXYqWYU5Jpp6nf+Lfgp441v4nSeNl+JVg/kuTpdlf6ALqHT17eWplC7x/f25q/wDFX4TePfH3h/RdJvPidDbR2i51KNNHxDqL5BG9FlGExwUyQa8x/wCFXeEv+ees/wDg6u//AI5R/wAKv8Jf889Z/wDB1d//AByksqqqKjdWX9dh/wBo0+bm1uez6T4F+Iln4E1Lw23xE0+2nkiSLS7rTdAS1XTwp5xGJCGBHHbFWfif8P8AxF40+Gdt4LXxo1gZUji1W/FnvlvIwPnVQHATd368HGK8P/4Vf4S/556z/wCDq7/+OUf8Kv8ACX/PPWf/AAdXf/xyiWV1ZXu10/D5ff36kxx9ONrJ6fr/AFp26Hunj34TeHfFHwmX4dx79LsIIo1s5bcDdbvHgowHfkc+vPNYXhj4Q64fH+j+MvH3jg+Jr3Q4Gh0yKDTVs4o9wwWcBmLt78V5R/wq/wAJf889Z/8AB1d//HKP+FX+Ev8AnnrP/g6u/wD45VLLa6k5XV9/ntfbfzF9epcqjZ22+XY+tZPuN9DXh37DH/Juej/9fl5/6PevOm+F/hLafk1jof8AmNXf/wAcrgvgB4F8Pa38L7HUb9dSNw9xOreTqdxCuBIQPlRwo/Ks3l1VSUbrUtY2nyuVmfanxF8Jab458Gal4W1dpktL+Ixu8LYdD2Ydsg8815RefBPx1q3hODwPr/xae68JxIkLW1voscN1JCn3UabeewAJ281wH/Cr/CX/ADz1n/wdXf8A8co/4Vf4S/556z/4Orv/AOOU1lVW71Wv6fIX9oU/M9w8T+BfF2yytfA3juPw/plrYpZf2dd6THfQMijAYbmUg44OSQa57wj8F9W8F+FNZj8L+N7iz8SapfDUJ76PToVtzIOfKW34VYz0xn8a8w/4Vf4S/wCees/+Dq7/APjlB+F/hEA5TWeP+o1d/wDxym8rravmV31vrvft3EsfSVlZ2X+Vj0X4SfCnxQ3jWy+KPxK1S3bxUlq8AsbCzigiiDZBMjxk+a2D17dOcV7jXyDp3w88D6haLd2MmrTwOSFkXWrvBwcHrJ6irH/Cr/CP9zWP/B1d/wDxyn/ZtVpWat/T7B9ep3bs7n1tRXyT/wAKv8I/3NY/8HV3/wDHKP8AhV/hH+5rH/g6u/8A45R/Zdbuv6+Q/r9Psz62or5J/wCFX+Ef7msf+Dq7/wDjlH/Cr/CP9zWP/B1d/wDxyj+y63df18g+v0+zPraivkn/AIVf4R/uax/4Orv/AOOUf8Kv8I/3NY/8HV3/APHKP7Lrd1/XyD6/T7M+tqK+Sf8AhV/hH+5rH/g6u/8A45R/wq/wj/c1j/wdXf8A8co/sut3X9fIPr9Psz62or5J/wCFX+Ef7msf+Dq7/wDjlH/Cr/CP9zWP/B1d/wDxyj+y63df18g+v0+zPraivkn/AIVf4R/uax/4Orv/AOOUf8Kv8I/3NY/8HV3/APHKP7Lrd1/XyD6/T7M+tqK+Sf8AhV/hH+5rH/g6u/8A45R/wq/wj/c1j/wdXf8A8co/sut3X9fIPr9Psz62or5J/wCFX+Ef7msf+Dq7/wDjlH/Cr/CP9zWP/B1d/wDxyj+y63df18g+v0+zPraivkn/AIVf4R/uax/4Orv/AOOUf8Kv8I/3NY/8HV3/APHKP7Lrd1/XyD6/T7M9P+Nnwj8Z/EbW7CeL4g2Wl6Zpl9Ff2Fo2iCZopkBwWk81Sw56EVteL/AnjjxD4X0nTZvGmhyX1rv+2zXvhmG6gumP3WETviMqMjgnOa8W/wCFX+Ef7msf+Dq7/wDjlH/Cr/CP9zWP/B1d/wDxyksqqqPLdWvfruP+0Kd+az7HpenfCvXPh/4A8UP4NvH1fxx4gdPM1ErFaJE2QoZU+6iIpZtoyT05p/xL+Enjjxr4J8PeHZPidLaLZQj+1jJYeaNTk4P7zbInydRt6HPNeY/8Kv8ACX/PPWf/AAdXf/xyj/hV/hL/AJ56z/4Orv8A+OUPK6r3a6fht0/r5ISzCmtr9fxPafCvgTx9pPhS70Gb4hWMIWONdLk0vw/FaLZFGzjZuZXU4wRxwTzWZovwd1e8+I2neOfiD4zTxJqGlQyQ2MNtpaWUSh1KsXAZi/BPcV5T/wAKv8JZ/wBXrP8A4Orv/wCOUf8ACrvCX/PPWf8AwdXf/wAcp/2ZWbu2v607C+v0kuVJ2O0k/Z21hNA1HwRY/Eee28Cajem6n0z+zEa5ALhyi3G7gZUfw16Za+C9Xs/F2n3Fn4pli8KWmmmxbQPsylJTt2iQyZzn2xXz/wD8Kv8ACX/PPWf/AAdXf/xyj/hV/hH+5rH/AIOrv/45S/suta11/Strprp3G8fTvez/AKd/lqtTs3/Z11dPD1/4GtPiPcW/gO+vDcy6YNMQ3IBcOUW43cDIH8NdDrnwZ1Oy8bDxd8OfGI8LX0mnJp11HPpy3kUsSY2kKWXa3A55ryv/AIVd4T/556z/AODq7/8AjlH/AAq/wl/zz1n/AMHV3/8AHKP7LrWtdfj2tr30D6/S7P8Ap3/M+gPgz8OtP+GnhI6HZXtxqE0073N3dzgB5pWOScDoPQc/WvD/APgpH/yS7w3/ANhv/wBoSVn/APCr/CX/ADz1n/wdXf8A8cryT9qHwfonh3wfpV1pa34ll1Axt59/NONvlseBIxAPHUc1NbA1YRc5Naf12HTxdOUuVJ6nsX7QxI+Hnibb1w386Xw5oa2pkuLfwZomg3XkEQXduY5G3EdCFjU4/Gm+PPGPgyfUdX0DW7XVLqIXEkNxENJunRiGIOGVMEe4NYml+LPh7plyLmxtfEEcoBUFtP1CQYPswI/SvRp1KW7ktl112/rqcVSFS1lF7vp6f5Fq18X6zeaJpVhbpar4luL5rK7UxExwmI/vpNuc7cAkc81VXxX4t1i41htD065SPT7uW0iRLOGZZGjJGXZ50ZckdAvA9alg8ZfD6DW59bh0/VU1K4QJLcDRLzcygYA+5jp7VWvvEvw1vb6S+uNN1g3EuPNePSb6PzMdNwRQG/EGm6sXa9Rff6f8HTz8hKm1tB/d/X9LzNaXXPFF1r+gaRGllpE1/pzXN4ssf2gwSDqEIYBsfXFc74s8ReIrv4ceLNupraX+i3j2zXVrEUMyjBBGGzGcHnBNbK+OvAa3tvepY6qlxbRGGB10O7Xy4z/CAI8AVF/wmHw8+zahbf2bqhh1Fy94h0O7InYjBLfu6J1IST/eLW/XzTX4aBCEotPkelun3ncaFFfRabENQvlvZioPmLB5XGOmMn8815UNMt9U1DxrCvg+XVtRfUWjtr4LCnkN5a4/eswkTB5yoNdJpXj3wTpdmtnYQ67FAv3VOk3r4/FkJpbHx94HsZbmS0ttYhe6l86crol3+8fAG4/u+uAKurUo1JazVrNbrrb/AC33IpwqwXwvp0Eiu/F9lrPhzwiup2RnbSvMv72aEzOZE4JXkbskd/rV621XXNY8VanoOnalaWI0hIlnme082S4kdA24JuAROfU85qk/j7wO+px6m1trBvYozEk39iXe5UPVf9X0qnq3ir4c6rdrd32n6w9yq7BMmkX0UhX0LIgJHsc0OtDfnW76+tvuGqU/5X93oUvFut6zrHwv8ZW1xPbQXOkytay3FvHujulAQ5UE/IfmweTggitO5luNLXwJaTJpt9JdXKxiZ7BVaBfLXBj5O1u2e+Kb/wAJh8PP7EfRBpupjTZFKvbjQ7sK4Jyc/u8kk8k5yakuPHHgO4exeey1aRrBg9oTol3+5YDGR+79BUxnTTvzq/u9ez1+8bhNq3I/tdO60F+HL+ILjxX4qW919rq1tNTEYhe34wYYyApLHYOegHJye9eg15zF4x+H0WtSazFZazHfy48yZNIvV38AZZQm0nAAyRnitL/hZ3hX/qN/+CS7/wDjdaUq9KEFFzWnmTUpVJSclF/cdpRXF/8ACzvCv/Ub/wDBJd//ABuj/hZ3hX/qN/8Agku//jdafWaP86+8j2FT+V/cdpRXF/8ACzvCv/Ub/wDBJd//ABuj/hZ3hX/qN/8Agku//jdH1mj/ADr7w9hU/lf3HaUVxf8Aws7wr/1G/wDwSXf/AMbo/wCFneFf+o3/AOCS7/8AjdH1mj/OvvD2FT+V/cdpRXF/8LO8K/8AUb/8El3/APG6P+FneFf+o3/4JLv/AON0fWaP86+8PYVP5X9x2lFcX/ws7wr/ANRv/wAEl3/8bo/4Wd4V/wCo3/4JLv8A+N0fWaP86+8PYVP5X9x2lFcX/wALO8K/9Rv/AMEl3/8AG6P+FneFf+o3/wCCS7/+N0fWaP8AOvvD2FT+V/cdpRXF/wDCzvCv/Ub/APBJd/8Axuj/AIWd4V/6jf8A4JLv/wCN0fWaP86+8PYVP5X9x2lFcX/ws7wr/wBRv/wSXf8A8bo/4Wd4V/6jf/gku/8A43R9Zo/zr7w9hU/lf3HaUVxf/CzvCv8A1G//AASXf/xuj/hZ3hX/AKjf/gku/wD43R9Zo/zr7w9hU/lf3HaUVxf/AAs7wr/1G/8AwSXf/wAbo/4Wd4V/6jf/AIJLv/43R9Zo/wA6+8PYVP5X9x2lFcX/AMLO8K/9Rv8A8El3/wDG6P8AhZ3hX/qN/wDgku//AI3R9Zo/zr7w9hU/lf3HaUVxf/CzvCv/AFG//BJd/wDxuj/hZ3hX/qN/+CS7/wDjdH1mj/OvvD2FT+V/cdpRXF/8LO8K/wDUb/8ABJd//G6P+FneFf8AqN/+CS7/APjdH1mj/OvvD2FT+V/cdpRXF/8ACzvCv/Ub/wDBJd//ABuj/hZ3hX/qN/8Agku//jdH1mj/ADr7w9hU/lf3HaUVxf8Aws7wr/1G/wDwSXf/AMbo/wCFneFf+o3/AOCS7/8AjdH1mj/OvvD2FT+V/cdpRXF/8LO8K/8AUb/8El3/APG6P+FneFf+o3/4JLv/AON0fWaP86+8PYVP5X9x2lFcX/ws7wr/ANRv/wAEl3/8bo/4Wd4V/wCo3/4JLv8A+N0fWaP86+8PYVP5X9x2lFcX/wALO8K/9Rv/AMEl3/8AG6P+FneFf+o3/wCCS7/+N0fWaP8AOvvD2FT+V/cdpRXF/wDCzvCv/Ub/APBJd/8Axuj/AIWd4V/6jf8A4JLv/wCN0fWaP86+8PYVP5X9xjaj/wAnOaP/ANizL/6Nkr02vEr3xfpMnxz03xMtvrJ0uHQ5LR5v7JuciUyOQu3ZuPBHOMV3P/CzvCv/AFG//BJd/wDxusaOIpLmvJb9zSpRqPl917B8OHz4i8aQFiZF1gNsPUKbeHB+nWsjTbG41rXPiPZ2WovYtc3EMEV2hP7txBHkDBH0OPWjVPFPw41O8+23mn6y10V2GaPSb6J2XsGZEBYfXOKli8Y/DyLSG0mPTNSSxfO+EaFd4Y+p/d5Lf7Wc+9Rz0nFRlJaK2++y+WxXLUUnJRevl8xvhNYNB1+28N6j4Zs9E1a6sZBBqGmyZhugnBZxgMHGVb5weScHrWX/AGbF4Jt7a88VeGNP1WJLxQviG1k/0sl2O15A2HJ52/K54HTFaGn+J/htYTSz22mav50sRheSXSL2Zyh6rudCQDnoKoaVqnw00+/kulttfuB5qyW0FxpV7JDa4UACNGQqOhPTIycYFHtIXi+dXXmu99v8rD5J6+6/x/r8z1oHIyOQeaWuL/4Wd4V/6jf/AIJLv/43R/ws7wr/ANRv/wAEl3/8brp+s0f5l95h7Cr/ACv7jtKK4v8A4Wd4V/6jf/gku/8A43R/ws7wr/1G/wDwSXf/AMbo+s0f5194ewqfyv7jtKK4v/hZ3hX/AKjf/gku/wD43R/ws7wr/wBRv/wSXf8A8bo+s0f5194ewqfyv7jtKK4v/hZ3hX/qN/8Agku//jdH/CzvCv8A1G//AASXf/xuj6zR/nX3h7Cp/K/uO0ori/8AhZ3hX/qN/wDgku//AI3R/wALO8K/9Rv/AMEl3/8AG6PrNH+dfeHsKn8r+47SiuL/AOFneFf+o3/4JLv/AON0f8LO8K/9Rv8A8El3/wDG6PrNH+dfeHsKn8r+47SoNQtvtllNa/aLi381Cnm27bZEz3U4OD71yX/CzvCv/Ub/APBJd/8Axuorv4jeD7u2ktp11xopBtYDR7xSR9QgI/CpliKLTXMvvGqNRP4X9xX+EdhDpfiDxnZW5naKHU0wZpWkc/KclmYkkmsS+8PDwJo11r2paJ4Y122jvTcyXEluRdhXcYCMwIJU9BVvSfEHwy0q/a+0/TdcguWYs7jTdQbecYywZSGOD3BpINd+F0E8c0ekauTE++NH0m+eNG9RGylR7ccdq51Knyx95XStv6f5G3LO7912eu3r/melh4bi0GWKJLEGxuKsFI9RyOvUdK8v1iwg8P8AjXwze/8ACP23hu1e7a3+06fIJXvHcELHKAF+Uk7ix3EEdutPPifwZP4qvdd1B9YuvPs/sMVudBuwkcJ++D8nzFsD0qWx8R/DOyvIry30zWfPh/1Ty6VfS+X7qHUhT7jFXKtTlKMuZKz7ro/8vPr1IjSnFNWbuu3kWfilpmgKkOmWHh3R5vEWuymG3leyjZ0yMyTsSM/KuTn1AqA6Fp8Hjjw74LuohPolno8ksNrN80dxMrBdzr0cgEnn61cPjrwIdYGsGz1c6gIfJE50S7LBM5Kj93gdO1R614y+H+siH+07HV7hoG3RP/Y14jxnodrKgYfganmop35lv30tql+d/X0uVy1LW5Xt+P8AWnp6ln4fhNP8a+LtHsmEekWssDwwg4jt5HUl0QdFGew4qt8SUGo+M9A021todYu0jkmk0i74tZIuhlcnIDLn5cq30HWoP+En+Gv9hzaIdJ1M6dOd00B0S8IlOc5Y7NzH3JzT9V8WfDnVPs327TtXla1BW3ddHvUeMEYIDqgYDHbOKHUpuEYc60t1/rytvp23BQnzOXK9fL+t9bmZ4T1e88N6N4itodJul1sXy/8AEotreSa1sPM+6yeXuPlYO5sAdOFFP+H0tlY/FC8gE2q3V1daYjXNzcadcRGaYuCzEOg2L6Zwo6CtbRvG3gHRoZIdMstXtllcySEaLeM0jerMyFmP1NSp4+8Drqb6ottrAvZIhC839iXe4oDkL/q+macJ04uLc1p/k13/AK/AJQm1Jcr1/wA0zvW+630Neafsxf8AJHNN/wCvm5/9Gmtc/E7wrtP/ACG+h/5gl3/8brh/gX4w0nwz8NrLR9Zt9Zt72KednjXSblwA0hI5VCOlVLEUvaxfMtn19BKjU9m1yvdfqd98Zd3/AAq/Xyu7ItGPHbil+J9xEPhNrlwsoEcmmP5bg8MSvGD71Wl+JXhGWNopY9YkjcFWVtDuiGHoR5fNYdvrfwtgkjePR9VxE26ON9IvniQ9sRspQY7ccdqmrUpzUo86s/McITi4vlfuu+3p/kXtZ8M6pqCeH9Ris9P1iGysFin0bUGIjYkcyrwV3gcDcO3WoPso8ZeCtPPhq1jsF0+9cT6LfyMYJmjYh7dypIKAg4wCuO2OKk1bxd8PdWnW4v7LWpJlXYJE0m+iYr6EogJHsapatr3w4vtCj0iK01qwjgVhay2mi3cclsWGCyERg5PfOc980VKlNuT5lrrut733/R3+SCFOolFWenl5G94Cu9KtfEOp+Ho/C0PhzVIYknmgtnVreZDwHXYAAeMcqDXb15zofjLwDosbrp9prMbyY82VtGvHklIGBudkLH860v8AhZ3hX/qN/wDgku//AI3W0cRSUUnNf1/X/DGUqNRu6iztKK4v/hZ3hX/qN/8Agku//jdH/CzvCv8A1G//AASXf/xuq+s0f5194vYVP5X9x2lFcX/ws7wr/wBRv/wSXf8A8bo/4Wd4V/6jf/gku/8A43R9Zo/zr7w9hU/lf3HaUVxf/CzvCv8A1G//AASXf/xuj/hZ3hX/AKjf/gku/wD43R9Zo/zr7w9hU/lf3HaUVxf/AAs7wr/1G/8AwSXf/wAbo/4Wd4V/6jf/AIJLv/43R9Zo/wA6+8PYVP5X9x2lFcX/AMLO8K/9Rv8A8El3/wDG6P8AhZ3hX/qN/wDgku//AI3R9Zo/zr7w9hU/lf3HaUVxf/CzvCv/AFG//BJd/wDxuj/hZ3hX/qN/+CS7/wDjdH1mj/OvvD2FT+V/cdpRXF/8LO8K/wDUb/8ABJd//G6P+FneFf8AqN/+CS7/APjdH1mj/OvvD2FT+V/cdpRXF/8ACzvCv/Ub/wDBJd//ABuj/hZ3hX/qN/8Agku//jdH1mj/ADr7w9hU/lf3HaUVxf8Aws7wr/1G/wDwSXf/AMbo/wCFneFf+o3/AOCS7/8AjdH1mj/OvvD2FT+V/cdpXNfEDWdQ0vTIoNKtbt7u8k8lbmGyluEtFx80rLGrHgdBjkkds1Q/4Wd4V/6jf/gku/8A43R/ws7wr/1G/wDwSXf/AMbqJ16Uo2U195UaVRO/K/uMT4SyabZ+MPE2m2X9pMGNu/mXNlOjO2197OXUbST2bGe3Suu8a/8ACKx6cmoeKIra5tYGxFHMvmq7ngBYuQ7noOCeT05rmbzxv4PMOpyacurWd/qEWyS6/sK7Y5wQrEbBnG44rKtdS+F6aNpWm3Vhrd2NLUi3lfSb5XVm5ZgVUYJOay9tDk5OaOluv6eRp7KXNzWf9L9Tofht4Zlj8N39vrulpHp9/eNPaaTcgSraw8bUKnIHPO0dKy/C2iaHrfxEl1rR9HsLLSdBZ7eB7a2SL7VdEYdiVAyqAkD3bParOm+MvAOmxTx2dvr6JOMSB9Nv5Mj/AIGpx17YqfSfHvgbSbCKw0211e1tYs7Io9Eu8Dv/AM8+acZ0E4+8rRXf5L7l+PoJxq2l7r18vv8A67FbU9Gi0/40+HLxbm/uZ7yG8Z2uLhnCjbwqL91VHoB+dejEqTsJXOPu55xXll3rXwuu78X9zpmuyXQJKynT9RDLnrtwPlz6DFaSeNvAK6wNYWy1f+0BB9nFx/Yt5v8AL4O37nTgU6VanBcvMvvFOlOTvyv7jP8AHvhvw3qeuWXgzSPD+kwXl5/pOoXMNlGr29qpG4hgMhnOFHf5ian8eXn2ue48OzWmrWmg2FqTKYtMuZBeuF+VA8aFRGpALHPOMdCat2njrwJaajd6jb2erx3d5t+0TDRLstJt6Akx9B6CrU3xK8IzQvDKmtPG6lWU6Jd4IPUf6uspOk6bipq7+7y+787+hcVUUk+V6f0/67WLfwiu4rv4d6L5SzjyrVEbzYHj5HpvA3D3GR7153+2P/yImjf9hM/+imrtdP8AiF4L0+yhsrKDWILaFQkUa6Jd4VR2H7uvK/2ovF+jeIvB+lWum/2h5kWoGRvtGnzQLjy2HBkUAnnoOavGYinOlK0lcWGozjUTcWfoNpH/ACC7X/rkv8qtVV0j/kF2v/XJf5Var509oKKKKACiiigAooooAKKKKACiiigAooooAKKKKACiiigAooooAKKKKACiiigAooooAKKKKACiiigAooooAKKKKACiiigAooooAKKKKACiiigAooooAKKKKACiiigAooooAKKKKAKtwT/aVoO22T+lWqqXH/ITtP8Adk/pVugAooooAKKKKACiiigAooooAKKKKACiiigAooooAKKKKACiiigAooooAKKKKACiiigAooooAKKKKACqumkmKbP/AD3k/wDQjVqqumf6qb/rvJ/6EaALVFFFABRRRQAUUUUAFFFFABRRRQAUUUUAFFFFABRRRQAUUUUAFFFFABRRRQAUUUUAFFFFABRRRQAUUUUAFFFFABRRRQAV8s/8FI/+SXeG/wDsN/8AtCSvqavln/gpH/yS7w3/ANhv/wBoSUAcZ45/a68a+FPGeteGbPwz4fnttKvprOKSUTb3WNyoLYcDJA7Vjf8ADbXj7/oU/DP5T/8AxyiigA/4ba8ff9Cn4Z/Kf/45R/w214+/6FPwz+U//wAcoooAP+G2vH3/AEKfhn8p/wD45R/w214+/wChT8M/lP8A/HKKKAD/AIba8ff9Cn4Z/Kf/AOOUf8NtePv+hT8M/lP/APHKKKAD/htrx9/0Kfhn8p//AI5R/wANtePv+hT8M/lP/wDHKKKAD/htrx9/0Kfhn8p//jlH/DbXj7/oU/DP5T//AByiigA/4ba8ff8AQp+Gfyn/APjlH/DbXj7/AKFPwz+U/wD8coooAP8Ahtrx9/0Kfhn8p/8A45R/w214+/6FPwz+U/8A8coooAP+G2vH3/Qp+Gfyn/8AjlH/AA214+/6FPwz+U//AMcoooAP+G2vH3/Qp+Gfyn/+OUf8NtePv+hT8M/lP/8AHKKKAD/htrx9/wBCn4Z/Kf8A+OUf8NtePv8AoU/DP5T/APxyiigA/wCG2vH3/Qp+Gfyn/wDjlH/DbXj7/oU/DP5T/wDxyiigA/4ba8ff9Cn4Z/Kf/wCOUf8ADbXj7/oU/DP5T/8AxyiigA/4ba8ff9Cn4Z/Kf/45R/w214+/6FPwz+U//wAcoooAP+G2vH3/AEKfhn8p/wD45R/w214+/wChT8M/lP8A/HKKKAD/AIba8ff9Cn4Z/Kf/AOOUf8NtePv+hT8M/lP/APHKKKAD/htrx9/0Kfhn8p//AI5R/wANtePv+hT8M/lP/wDHKKKAD/htrx9/0Kfhn8p//jlH/DbXj7/oU/DP5T//AByiigA/4ba8ff8AQp+Gfyn/APjlH/DbXj7/AKFPwz+U/wD8coooAP8Ahtrx9/0Kfhn8p/8A45R/w214+/6FPwz+U/8A8coooAP+G2vH3/Qp+Gfyn/8AjlH/AA214+/6FPwz+U//AMcoooAP+G2vH3/Qp+Gfyn/+OUf8NtePv+hT8M/lP/8AHKKKAD/htrx9/wBCn4Z/Kf8A+OUf8NtePv8AoU/DP5T/APxyiigA/wCG2vH3/Qp+Gfyn/wDjlH/DbXj7/oU/DP5T/wDxyiigA/4ba8ff9Cn4Z/Kf/wCOUf8ADbXj7/oU/DP5T/8AxyiigA/4ba8ff9Cn4Z/Kf/45R/w214+/6FPwz+U//wAcoooAjf8AbU8eNPHMfCfhrdGGA4n7/wDbT2qT/htrx9/0Kfhn8p//AI5RRQAf8NtePv8AoU/DP5T/APxyj/htrx9/0Kfhn8p//jlFFAB/w214+/6FPwz+U/8A8co/4ba8ff8AQp+Gfyn/APjlFFAB/wANtePv+hT8M/lP/wDHKP8Ahtrx9/0Kfhn8p/8A45RRQAf8NtePv+hT8M/lP/8AHKP+G2vH3/Qp+Gfyn/8AjlFFAB/w214+/wChT8M/lP8A/HKP+G2vH3/Qp+Gfyn/+OUUUAH/DbXj7/oU/DP5T/wDxyj/htrx9/wBCn4Z/Kf8A+OUUUAH/AA214+/6FPwz+U//AMco/wCG2vH3/Qp+Gfyn/wDjlFFAB/w214+/6FPwz+U//wAco/4ba8ff9Cn4Z/Kf/wCOUUUAH/DbXj7/AKFPwz+U/wD8co/4ba8ff9Cn4Z/Kf/45RRQAf8NtePv+hT8M/lP/APHKP+G2vH3/AEKfhn8p/wD45RRQAf8ADbXj7/oU/DP5T/8Axyj/AIba8ff9Cn4Z/Kf/AOOUUUAH/DbXj7/oU/DP5T//AByj/htrx9/0Kfhn8p//AI5RRQAf8NtePv8AoU/DP5T/APxyj/htrx9/0Kfhn8p//jlFFAB/w214+/6FPwz+U/8A8co/4ba8ff8AQp+Gfyn/APjlFFAB/wANtePv+hT8M/lP/wDHKZB+2r48hVlXwn4a+Z2c8T9Sc/8APSiigB//AA214+/6FPwz+U//AMco/wCG2vH3/Qp+Gfyn/wDjlFFAB/w214+/6FPwz+U//wAco/4ba8ff9Cn4Z/Kf/wCOUUUAH/DbXj7/AKFPwz+U/wD8co/4ba8ff9Cn4Z/Kf/45RRQAf8NtePv+hT8M/lP/APHKP+G2vH3/AEKfhn8p/wD45RRQAf8ADbXj7/oU/DP5T/8Axyj/AIba8ff9Cn4Z/Kf/AOOUUUAH/DbXj7/oU/DP5T//AByj/htrx9/0Kfhn8p//AI5RRQAf8NtePv8AoU/DP5T/APxyj/htrx9/0Kfhn8p//jlFFAB/w214+/6FPwz+U/8A8co/4ba8ff8AQp+Gfyn/APjlFFAB/wANtePv+hT8M/lP/wDHKP8Ahtrx9/0Kfhn8p/8A45RRQAf8NtePv+hT8M/lP/8AHKP+G2vH3/Qp+Gfyn/8AjlFFAB/w214+/wChT8M/lP8A/HKP+G2vH3/Qp+Gfyn/+OUUUAH/DbXj7/oU/DP5T/wDxyj/htrx9/wBCn4Z/Kf8A+OUUUAH/AA214+/6FPwz+U//AMco/wCG2vH3/Qp+Gfyn/wDjlFFAB/w214+/6FPwz+U//wAco/4ba8ff9Cn4Z/Kf/wCOUUUAH/DbXj7/AKFPwz+U/wD8co/4ba8ff9Cn4Z/Kf/45RRQAf8NtePv+hT8M/lP/APHKP+G2vH3/AEKfhn8p/wD45RRQAf8ADbXj7/oU/DP5T/8Axyj/AIba8ff9Cn4Z/Kf/AOOUUUAH/DbXj7/oU/DP5T//AByvPPjv+0D4k+Lvh6w0XWtF0mwhsrv7Uj2fmbmbYy4O5iMYY0UUAf/Z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4714875" y="760095"/>
          <a:ext cx="304800" cy="3028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2</xdr:row>
      <xdr:rowOff>0</xdr:rowOff>
    </xdr:from>
    <xdr:to>
      <xdr:col>4</xdr:col>
      <xdr:colOff>304800</xdr:colOff>
      <xdr:row>3</xdr:row>
      <xdr:rowOff>100330</xdr:rowOff>
    </xdr:to>
    <xdr:sp macro="" textlink="">
      <xdr:nvSpPr>
        <xdr:cNvPr id="10" name="AutoShape 3" descr="data:image/jpg;base64,%20/9j/4AAQSkZJRgABAQEAYABgAAD/2wBDAAUDBAQEAwUEBAQFBQUGBwwIBwcHBw8LCwkMEQ8SEhEPERETFhwXExQaFRERGCEYGh0dHx8fExciJCIeJBweHx7/2wBDAQUFBQcGBw4ICA4eFBEUHh4eHh4eHh4eHh4eHh4eHh4eHh4eHh4eHh4eHh4eHh4eHh4eHh4eHh4eHh4eHh4eHh7/wAARCAF1A78DASIAAhEBAxEB/8QAHwAAAQUBAQEBAQEAAAAAAAAAAAECAwQFBgcICQoL/8QAtRAAAgEDAwIEAwUFBAQAAAF9AQIDAAQRBRIhMUEGE1FhByJxFDKBkaEII0KxwRVS0fAkM2JyggkKFhcYGRolJicoKSo0NTY3ODk6Q0RFRkdISUpTVFVWV1hZWmNkZWZnaGlqc3R1dnd4eXqDhIWGh4iJipKTlJWWl5iZmqKjpKWmp6ipqrKztLW2t7i5usLDxMXGx8jJytLT1NXW19jZ2uHi4+Tl5ufo6erx8vP09fb3+Pn6/8QAHwEAAwEBAQEBAQEBAQAAAAAAAAECAwQFBgcICQoL/8QAtREAAgECBAQDBAcFBAQAAQJ3AAECAxEEBSExBhJBUQdhcRMiMoEIFEKRobHBCSMzUvAVYnLRChYkNOEl8RcYGRomJygpKjU2Nzg5OkNERUZHSElKU1RVVldYWVpjZGVmZ2hpanN0dXZ3eHl6goOEhYaHiImKkpOUlZaXmJmaoqOkpaanqKmqsrO0tba3uLm6wsPExcbHyMnK0tPU1dbX2Nna4uPk5ebn6Onq8vP09fb3+Pn6/9oADAMBAAIRAxEAPwD6NUDaOB0pcD0FIn3R9KWgAwPQUYHoKKKADA9BRgegoooAMD0FGB6CivLPj78Q/EXgafw1aeG7LSbm51m7a2J1BZCiEbcH5GB7+9HVLvoPo321PU8D0FGB6CvK7m+/aBsUM7aD4A1RUzm2s7m5ilf2VpDtz9a0fhX8VNO8aaheeH77Tbnw/wCJ7DP2vSro5YAdWRsDcPwH5c00r6IT0V2eh4HoKMD0FeZ+I/iHq2m/HjQfAENnYvp2pWf2iWd1fzlbcwwpDbcfL3Br0t2VEZ3YKigsxPYDqaX2ebpr+AP4uXr/AJi4HoKMD0FfO2n/ALQuryfECFLzQrKHwNdapJptvqoVzIzpgFs7tpGSD93ofY19FfkfpTSvFS6MHpJx7CYHoKMD0FfOvxH+PXi7wx8TNa0Wy8N6Xe6FoskH2yY+Z56xuoJbIbA5J/hPb1r6A0fUbPV9JtNU0+YTWl3Cs0LjurDIpR96Cmtgl7suV7lrA9BRgegrg/jZ4/bwF4ahnsLOPUNb1CcW2m2Tk4lkPUkDnaB15HUVjfs6/EjxB8Q7DXP+Ei03T7C80u9+zFLMOFJxznczcgg9DRH3r26f8D/NBL3bX6/1+h6rgegowPQV5X43+Lk1r4ybwN4E8OS+KfEka7rhRL5VvaD1kfHuOOOvWq1xrX7QljB9tm8H+CtRjUbns7K8lW4x6BmYqT9AaSel+g2rO3U9dwPQUYHoK4H4P/FHSviJbXsEdlc6TrOnP5d/p1zy8R5GQeNwyCOgIxyOlcN8bvjV4p8C/EZPD+jeHLHVLCHT0vrwuJPOEZcqxUhgBjjqD1py91pPqJap26Hu+B6CjA9BWR4L8SaX4u8M2XiDR7hZrS7jDDB5Rv4kPuDxXF+A/iHq3iD4xeLvBl1Z2MVjoiobeWJX8184++SxHfsBT5Xz8nXX8BXXLz9NPxPS8D0FGB6CvHPHfxE8eQfGmD4d+D7Dw07S6eLsTaqJ+uTkZjb2HarGqeIvjp4et31DUvBvhTxBZxDdLFot3NHOqjqQJc7voBUpq3N0Ks+bl6/0z1vA9BRgegrk/hf8QNA+IegNqmiSSI8L+Xd2k42zW0n91h+Bwe+DXWjrVNNOzJTT2EwPQUYHoK8Nh+I/xT8QfE/xP4S8IaV4QMOhy7fM1H7QrupwByj4J/AV23g2b4wSa7Gvi+y8FxaTtbzG017gz7sfLjeSMZxmlH3kpdHqOXutrsd5gegowPQV4D8avjV4x8GfEW58O+H/AA7pWpWdlYJfXJn8zzjHn58FWAGB7HHWvaPBviCw8U+F9P8AEGmyB7a9hWRcHO091PuDRH3o8y/r+rMJe7Llf9bf5o1sD0FGB6CuQ+L3je38AeCbrXZIVubskQ2Nrk5uJ2OFXjk+px2BrjP2fvih4q8da94h0XxVo+mabdaTtytmH4JOCG3M2fwxRH3m0ugS91JvqexYHoKMD0FLXmmtXHx1XV7tdH0/wA+nCVvsrXMl0JTH234bGfpSvqB6VgegowPQV89fET4m/GrwRc6VZ6lo/gO8vtVnENnaWX2qSWQk4zguOM8Zr0rxfP8AF1b6D/hErHwbJZmBTN/aUlwJBLj5gNhA256d6fS/nYOtvmd3gegowPQV89WfxM+NV18Tbr4ex6P4DGrWsHnyOTdeSV254bfnPPpXqXgm4+Jm6+k8c2vhaGBId1t/ZLTFi/ff5hIxj0pXXLzdLXDry9djs8D0FGB6CvN/2e/H+rfEXwfdazrFnY2s8N40CpaK4UqO53Mxz+NaHx08Y6h4C+Gt/wCJ9LtrS5uraSJVjuVYxkM4BztIPT3pz9zfy/H/AIccFzuy9PuO4wPQUYHoKx/A+rTa94N0fW7iOOKa/soriRI87VZlBIGecc1sVUouMnF9CIyUkpIMD0FGB6CvMvjr8RtX8Fro2k+FdLttX8SavOUtrSYMV2DqxCsp65HWtD4F/EFfiN4HTV54YrXU4JWt9QtYwQsUg9ASTgjB5J61MfeTa6FS921+p3uB6CjA9BXA/HzxxqXw9+Hk3iLSbO1u7tbiKFI7kMY/mOMkKQf1rM+BHxVfx7FfaTr1hDo/ifTnIubJCQrp/fQMSce2T69KI+82l0CXupN9T1HA9BRgegrzP42/EPVvA2p+FLXTLOxuF1m/NtOblXJRfl5Xaw5575q78f8AxxqXw88ASa/o9laXl59qjgSO6DFPmJ5IUg/rScko83S9vnp/mNK8uXra/wCf+R3+B6CjA9BXmHwJ+KjePre+0vXLGLSPE+myFbuxUkBl7OgbJx7ZP5U/40/EPVvBGt+ErDTbOxuE1q+a3uGuFclFG3ldrDn5u+atxalGPe1vmSpJpy7Xv8j0zA9BRgegrz79oDxzqfw88DrrukWtndXBvorfZdKxTa2cn5WU549ayfjN8SPEngXwx4c8T2Ol6dd6ZdvGuqear7od6qQUIYAfxdc9KhNP70vmymne3k39x6vgegowPQVBpt7bajp1tqFnIJba5iWaJx/EjDIP5GvNfix8SNY8P+OvDHgnwrY2F9rGrybpxdK7LBBnAbCsOTh+vpVWfMo9W7EppxculrnqOB6CjA9BXlPx3+InibwXrHhfSPDNno9zc65cSQF9QWTYhXbgjYwIHzH1qZpP2ggSPsvwyyP9u9/xpLVXXp9w3o7fM9QwPQUYHoK4z4leJta8HfCfUPEz2+nz6vY2qSSRAObcyEgNjkNt5OOc1xnhjxF8efEPhex8Q6fpnw7e3vIBPFCz3aSkH+HltoP44o6vyDovP+v1PZsD0FGB6CvNvg18Uv8AhOr7VtB1TRJNE8Q6O4S8tTKJEOSRuRuOMjp7jk1neIPif4j1L4jXvgH4c6BYahqOnRh7+/1Odo7aAnHy7U+ZjyOh/Dijqkuuq9O4d79Nz1rA9BRgegrz3wxrXxXh8TWumeL/AAnoc2n3OQdT0a6fZAQM/PHJlsHpnivQJpY4IZJ5nEcUal5HPRVAyT+VD0VwWrsOwPQUYHoK+d/DP7QWs33xBsbfVdBsrPwZql/NY6fqQV/Md0wASdxUglh/CPvD0NfRPfFOz5VLuD0k49hMD0FGB6CvEI/iJ8T9f+Knifwd4R0/wesWiMv7zUxcBnU47o2M5PoKk1P4q+OPAniPStN+J3hnSBYarOIbfU9EuHMaOSBhkkye/qOM4zilF8yi++wS91tdtz2vA9BRgegrzT44+O/Evw/tdK8RafpdjqXhszrHqrMj/aIEYjbIhDBcdeo64Heu1PiXRF8Jf8JWb+L+x/sv2v7QDkeXjP59sevFK65XLotx2d0u+xrYHoKMD0FebfAzxx4m+INlqfiDUdJstO0E3Bj0nYr+fMo6s5LEEdOgHX2r0mqaa3JTTvYMD0FGB6CkkbbGzegJrzb9n/4g6t8Q9D1a/wBXs7G1ksr9raMWquAVGeTuY88Ulq2l0V/xsN6JPvp+v6HpWB6CjA9BXzprP7QuuaF8U9T0jVfD1kfCmnakLC4v4RJ50O7O12O4qehJG0dPWvoSG6guLBL20lSeCSPzIpFOVdSMgg0k17NVOg2rT5OpPgegowPQV5t+z98QNW+InhzUtT1azsbWW1vmtkW1VwpUZ5O5jzWf4u+Ll6/jKbwR8OfDn/CUa9bg/a5Xm8q0tMdd798HjqPrTas0ur1/C4ujfbT8bHrOB6CjA9BXkj+IPjzpMYvdU8D+FtatVG6W30i+kjuFHfHmEhj7Ac13HiXxno/hnwQfFniHz9OtFhWR4ZU/fBm6R7f7+eMUNpK4JNtI6PA9BRgegrxrRfHPxk8ZWqat4T8CaFpGjzDdbza9dyGWZezBIyCAfxHuar33xe8YeBdTs7b4seDLbT9Ou5PLTWNJuDLbq3+0hyR69c47GnZ3s9GHS61PbcD0FGB6Cuf8eeIW0H4f6v4n09IbtrOwkuoAxPlyYUkZxzg+1eUfAv43654u8UQ6B4y0fTtLl1G0+1aVNabwk46lTuZucZ79eMURXNJx6r/g/wCTBu0VLp/w3+aPd8D0FGB6Civnv41fHvX/AAv4k1DT/B+iaZqVho5jj1O8u97KkznAjXay8joevNS5JNIai2mz6EwPQUYHoK5HxZ4qvNJ+Et54xtraBruHS/tqQyZMe7ZuwcEHH41wfgfxR8dPF3hSw8SabY/DqK0vo/MjSc3gcD3AYj9appqTj2/r9CU04qXf/gf5ntWB6CjA9BXOeBW8ctaXB8cR+HUufMH2caOZimzHO7zOc5z0rfupo7a2luJmCRRIXdj2AGTSlaOrGtSTA9BRgegrxbwx8SviP8Rlu9S+HXhvw9a6FbztBHea5cS7rkjuqRYK/jn612PhLWviPfWWr2XiHwnpul6taxBrK5juzJZXbHp0+dcdxyaNlf5h1t8juMD0FGB6CvEPGviz48eEfCt94j1TSfh69pYx+ZKsL3TOR7AuKf4N8U/HnxV4ZsPEGnaV8PEtL6MSxCZ7oOFz3AY80LW/kD0se2YHoKMD0FV7FrldNhk1PyEuVhVrnyc+WrhcvtzztznGe1fP1h+0Lq8nxAhS80Kyh8C3OqSabb6qFcyM6YBbO7aRyD93ofY00rz5FuH2OfofROB6CjA9BVTWTqK6VdNo62smoCM/ZhcsRCX7bivOPpXjPjnxh8d/B3hS98SatpPw9e0s0DSrA10zkE44BcevrUOSW40m9j3HA9BRgegrxbwj4m+PXibw5p+vWGlfDxLS+iEsYle6DhSe4DHmrvxo+InjDwbfeENI0ax0KfU9ddoZ2vBKYY5AEzt2sDtyx65OMVbi01Hre3zJTTV+lr/I9cwPQUYHoK8vaT9oIEj7L8Msj/bvf8a3fiV4o1jwb8KNQ8TSW1hcatY2qPJEN/2cyEqGxyG28nHOamTUY8zKinKSijs8D0FGB6CvFfgL8Y9Y8Z+ILjw54w0mw0nVGtUvbD7KWCXMLdeGZuRx0PrxxXtY61couJKknsJgegowPQV85/E79oLxBovjC5s/Cuh6XfaDY30On3N/c+YS9w+SVTayjgKexwRzXrHxZ8X33hH4V6h4u0+2tpru3t4pUinDGMlyoIO0g/xetRzLk5+hfK+f2fU7TA9BRgegrx7wzrnx48QeHrDXLOz+G6W17CJolkN4GCn1AJ5r0PwS3jA6TI3jWPQk1ASHYNIMvleXjjPmc7s59qqS5b36ERalZrqb2B6CjA9BXzh4J/aL1a58dDTfF2h2Gn+H7m/lsLbUrfzB5cqHgSFmIOcjoB1z0zXvXi7VJNH8J6rrNsscslnZS3MSvko5VCwzjscdqmT5Yc72KSvPk6mrgegowPQV5b4E8Z+PPHHwesvE+g2Hh1NeuJ2VobszJahFPJGGLZ/GuO+JnxK+Nfw/tNOudb0fwHImoXa2kItjdMQ5BIJy4wOKck4y5X/VyU01zI+g8D0FGB6CvM9CuvjrNqFk2q6f8P0053RrhreS680RnBO3LY3Y6Z4r0002guJgegowPQUUUhhgegowPQUUUAGB6CvAv23dZ1jQ/h7oVxouq32mTSasUeSzuHhZl8pjglSCRntXvtfOn7fP/JNfD/8A2GD/AOiXoA+ik+6PpS0ifdH0paACiiigAooooAK8C/ay/wCRk+G//YYb/wBkr32vKP2g/h/4n8bT+GLzwvLpa3GjXjXLLfyuit93AG1T6e1CdqkJdmmDV4Tj3T/I9Zf75+tfOPjlwP20PCo0kJ9p+xIL/Z1K5bO7/gO38MV29yv7Ql4BEsvgHSwx+aeIzzsB7KygZq78KfhVb+D9YvvFGs6xceIvFOoE/adRnG0Kp/hRf4R/TAGAKcFacZPp/lb9Qm7wlFdf87nFeOv+TxvBv/YL/wDZ5K3v2rfHKeEvhy2m29yINR1xzawvnHlR8eZJxzwCPzq/4l+H+ual8f8Aw/48t5rEaVp1l5EyPKwmLbmPyrtwR8w7imS/D3XtY+PieOfEVxYSaJpduI9HtY5GaRXxku4KgA7i3c9vSoUeanGm+8r+l2/x2KcuWpKa7K3rZL8DyzxL4g+Cd18BIfANj4uslvbG3Wa1mFtMM3YGWfOz+Ji35j0r1b9mPx1/wnHwusZrmdZNT07/AEO8GeSV+62PddvPrmvUAFznaPyryjwn8OvEHhX45a14o0ebTh4X1yMNd2pkZZkmA+8q7cHnceo+97VrGV5yv9rX5r/NafcZuNoRt9n8nv8A5/ecV4V0mz179p34m6LqEYktb3TY4ZVIzwY05/A81qfs2a7c+GNW1/4R+JbnZc6DK8+nySt9+0PzdfYHd/wLHaup8HfD/WtI+O3irx1dT2R03VYI47aOORjKCqqDuBUAdOxNYv7Q3wi1rxxrGmeIPB+pW+l6zDE1pdyyzNGJLc84BUHkZb6g1lBuEIW/ls/vbX3P8GzSaUpz9br7kn9/5pGd8Pt3xV+MmqfEKfL+HvDe6w0RCflkmAJeYdu457gj0qt+x1u3/EDbnd/bcmPrlq9i+HvhWx8G+CdO8M6eoEVrBsZ/78h5dj9WJ/CuO+AHw81vwC/idtYuLGX+1dTa6t/s0jNhCTjdlRg89OavlUW4J6ctr93dNv56shtySk1re/orNJHEfsf+TL4m+I1xckvqv9q7ZmflvL3ybf1z+VfRVeQeKPhLrVj46uvHfwz8Rx6Hq94uL2yu4vMtLo+pA5X8j7dTUk9t+0NfQpZtqHgXSQwKy3tsJppAPVUZQAfxpJ3jFdUkvuG1aUnfRtv7zjvBYi/4bX8T/wBl7jB/Zp+2bPuB/wB317en61p6vDFcftmWsE8ayxSeGmR0YZDKXIIIru/hB8MtO+H1te3Bvp9W1zU3EmoajPw0rc8Afwrkn8/pVG68B61L+0PbfEFZrL+yYtJ+xMhkbzvM3E527cY/GiKSdOL6J3+af4a2CTbU5d7W+Tj/AJXPPtLaf4B/FgaXcPK3gDxPPm1cnIsbnPQ+g5x7jH901e+DRVv2n/iUysGUpGQQcgj5ea9d+IvhHS/HHhC98N6sv7i5X5JAMtDIPuuvuD+mRXmH7PHwn8XeAPFuuat4l1ax1GO8gS3t5IZXaRlU8FgyjHAHGTRSfvrm6Jq/k1p81t6WFV1i+Xq1f1T3+f5+pS1L/k9nT/8AsBf1avflzuGOua8W8eeAfiC/xwt/iJ4PPh2VYdPFoIdSnkTnJycIh9R3q3qWk/HzX4ZNPute8IeG7SaMpJPp0cs84B67S4G04zz2pRb9nFW1V/zbKklzt9Hb8kcf+z9IrftI/EcaSEGkHlvL+55m9cY/8f8A1r6OHWuN+E/w70T4daA+m6U81zcXD+be3k5zJcSep9BycD3NdkOtXZRjGC+yrE3vKU+7ufMHgS88ZWn7Q/xIPg/Q9L1WZph56318bcIuRgggHJzXtvg/UfiTdasY/FfhfQtNsPLJE1nqhnff2G0qOOvNYHw3+H+ueHfi54z8WX81i9hrbA2qxSM0i4IPzgqAPwJr1Cpp6UoLyHPWpN+Z8+31tb3v7Z0tndRLLbz+HjHKjdGVkII/I0/4GXlx8O/ijrfwg1advsUzte6FI5+8h5KD6jnH+zXYf8K/1o/tFf8ACw/PshpI0z7KI/Mbzi+Mfd24x75qt+0R8MNU8e2mlan4WvoNO8SaXKfs9zLK0Y8pvvLuUEg9COO3vUxbhGDt0afzbt92j9LjkueUlfs18or89Uc7auvxf+PguEcTeEvBTgxlTlLq9zw3uAQSD/s471U/Zw/5Ll8UP+vs/wDoyvVvg74Jt/h/4FstBjZZbkZlvJxk+dM33myecelc38Jfh1rfhP4keNPEeo3FjJZ63cGS1WF2Lgbs/OCAB+BNaRShNRvolLXu3b8/yRE25wcrbuOnZK/9PzZ6nVfU72103TrjUL6ZYLW2iaWaRjgIijJJ/AVYrzf4/wDhLxf458KQeGfDV7YWNndTqdTmuJWVzCDnagCnPOD1GcYrOV7WjuaRtf3tjhPghZ3XxO+J+qfF/WYXXTrV2tNBgkXhVHG/6gd/U5r6DrL8J6Fp/hnw3YaDpcIhtLKFYo1HfA5J9SfWtStJWSUY7L+r/MzV23KW7/q3yPnvw5/yexrv/YLH/osV79ff8eNx/wBc2/lXmOkfDvXLX9onU/iFLPY/2Tc2QgjjWRjNu2gcrtwB+NeoXKNJbSxrjcyFRn3FZSV8PGPXlf5stfxpS6X/AER8sfsuaf8AE668C30ng/xB4b0+w/tBw0eoWckshfnkFeMVp/tJab8Wbf4RanL4o8SeFr3ShLD5sNlYyxysd424ZuOtemfs6eA9a+Hvgy70fXJrKW4mvXnU2sjOu0+pKjmtL48+D9T8d/DHUPDWjy2sV7cSRMjXLlY/lcE5IBP6VVfZcuvw/pcdF+/d93+bNH4Q/wDJKvC3/YKt/wD0WK6eWRIonkkYKiKWYk4AArI8CaVcaF4K0XRbto3uLGyit5WjJKllUAkZ7cVk/GLR/FHiD4f6jofhG4s7bUb5RC01zIyKkR4fBVSc46cVeJl78pR11Znh4+7FS02PBfA3xR8A6p8a9f8AiB4u1+Czjtl+w6FbyRSOViHBl+VSBuGT65NJ4D8feEPDv7SVyvhXXILrwx4rIMwVXRbe6Y9TvAxl+eOMGvob4ZeE7XwV4E0rwzbhG+xwBZXUcSSnl3/FsmsD4+/D6X4h+BTpenSW1vq1tOtxYzzEqqOOoJAJGRxnFLSlKNtVHT1T3/z9R/xFK+l9fRrb/L0Ob/bK/wCSLTf9hC3/APQqzPjJ4N1Wws9E+LPghTH4g0a0ia9hTpeW4UZBA+8QOCO4x6V0fxT8DeMfHHwVsvDNxPpS+IVe3e6kMz+Q7IfmYNtzz16V6dplu1vpVraTbWaOBY3xyCQuD+FSouPPyvXmTT+VvuHzc3JdaWd18z5n+NfjDS/Hen/CvxJpLYhudWPmRE5aGQbAyN7g5+vWu6/bN/5JB/3FLf8A9CNcr4q/Z51pfiZa6x4T1Sxg8OHUV1CewuJGUwS5G/ywFIIOOORjp2r0/wDaD8Fav4+8Bf2FoktpFdfbYp83UhRNqnJ5AJz+FKWtJWVvevbtrH/JjhpUd39m1/8AwL/NHD/Gfwfqulx6N8XPBKlNd0i1i/tCBOl5bhRnIH3iBwfUY9K5r40eLtL8cj4T+JNIb9xc6m++Mn5oZAUDI3uDn69a+l9PtzBplvazBWKQrG4HIOFwfwr528R/s861F8T7TWfCuqWMPhr+0RqEthcSMpglJG/y1CkEHAxyMcDtWyaVdfy8115a6/J7+vqZtXovvy29dNPmvy9Dpv20/wDkkcf/AGFrf+bV6Dqfh6z8V/CweHr5A0N7pccf+63ljaR6c4rF/aH8Eax8QPAi6HoctnFdC+iuCbqRkTauc8gE559K7rR7eSz0iytJSpkgt443KnIyqgHH5VjGKdOcZdWvyNJSanCS6L9Txf8AZa8Vy23hXWPA3iSQxap4Rlkjl8zjdbgkqwz1xhgPbb61X/Z3tZPG3xA8U/F3UY90dxcGw0YOPuQIACy59ePxDUfGv4N+LfEHjufxJ4F1XT9M/tWw+xaus8rIZFyASu1TklQo7dPevYfBHh6y8KeEtM8PafGqQWNusXyjG5v4m+pYk/jWkZOX7yXxWt8+r+aX4smUVH3I7Xv8ui+/8keIftbLfN41+G66ZJbxXpv5hA86lo1f93gsByR9K9Bg0344LdobrxN4EeESDzVTTrkMVzyAS3XFZvx7+H/inxhrfhTV/C76T52h3Ek7x38zxq5O3AG1Sf4T6Vea7+PRJP8AY3w8yf8Ap+uv/iKmm7Qt1u3+RU1eV/JfqSftN/8AJC/FH/Xsv/oa1554Ql+Oun/BXSb7wtL4QurSPTg9vD9ml+1rGMnOWbYzj0xg16n8TfDniDxl8IdR8On+zrfW761VHAlb7OsgYE4bG7HHpWt8M9EvPDfgHRdB1BoXurG1WGUxMWQsCehIBI/Ckou01fW6/JivrDTv+h5n+yfY+GbnQNT8WWN/fah4k1G4Ka1LeoqSxSrzsCLwq8kgjr+GBe8e/CHVpfHM3j/4d+KX8O+IZ1Auo5U8y2usAD5hzjIA4wRwDweam8HfDjxB4P8AjdrHiPQ59OHhPW0D3lk0jLLHN/eVQuDzk9R94+lWdR03436ZrNzJoev+F9b0yWVnih1WF4JYVPRN8YO4CqbvyyWmn3dGvT9AStzJ66/f5/L/AIYwdL+LXi7wn4t03wp8W/DtpZPqT+XZ6vpsha3lbgYKnJHJGcH+IcVL+1x42j8N+BYvDkN4trfeIJPs/nZP7mAEeY5xz3A98mj/AIVb4x8aeMdI8R/FLXNKeDR3MlnpWkxN5YckHLSNgn7ozx2Fa1l8Pte1D4+XPxB8TXFhLptlbeRoltDIzPET1dgVAB5boT19qTjzqMZed/RbL1ezGpcjco/L1/4G55X8QvEfwW1D4HW3g3RfFlomoaREk+nSLbzKftKcsc7P4st19R6V7H+zr44Xx38MNO1GWZX1G1H2W9XuJFHDY91x+Oa9EAAOdoz9K8o8AfDrxB4M+MfiHW9Mm07/AIRLWwJJLXzGE0Uw5BC7cEct3/i9qqMrzlzfa1+a/wA1p8kQ42jG3TT5P/Lf7zzfwhH42k/aS+I3/CFXWg29wGTz/wC1YZZFK8Y27CMHPrSTprXiX466R4a+OF2ls9qftOiWunRBLC6kHOWkJL546H0xxnB9Q+Hvw/1zw/8AGTxj4wvprFtP1oL9lSKRjKuMfeBUAdOxNP8A2gPhxfePdE0648P3NtZeI9Iu1ubG5nJVQM/MpYAkDoeh5UVFP3IUr9Er+X/BW5c/elUtpfb7l+ex6FrOl2GsaPdaPqVsk1ldQtDNERwUIxgemO3pgV8kJ4b8WSeM/wDhnWTVYh4dW9/tE3OT5jWg+byvxIHHYjNfW2hf2l/YtmNZEA1EQqLryGLRmQDBKkgEg9elebj4d65/w0efiIZ7EaR/Z32YR+Y3nl8Y+7txj8aailV126/LVfiS5N0tN9LeV9H+B6Vo+nWej6Va6Xp0CQWlrEsUMajAVRVqiim227sEklZDZv8AUv8A7p/lXg/7Fn/Io+JP+wy/9a95kBaNlHUgivMv2ePAOt/D/QdXsdcmsZZbzUGuYjayM4CHPXKjnmlT0lP0/VDnrGPr+jOE+FugaZ4o+Jfxi0HWIBPZXl2I5F7jJOGHowPIPqKtfBnXNU+Hniy7+DXjC4aRNry+H71z8s0WCfLz9Og7EY712nwu8B614Z+I3jfxDqEtk9prt0JrRYZGZ1UE/fBUAHnsTVv44/DiL4h+G4orW6Gn67p0ouNLvuQYpByASOdp/Q4Pas9VSiv7qTX9dV/wCnrOfrdf12ZwH7HRmX4beJjbjM41KXyx0y2Gx+tVv2HzBJ4d8UzykNqb6kPtLNy5GGxk9cZruP2bvAGvfDvwhe6Z4iurK4vLm8NxutZGdcY7kqOfwrJ1z4ReINC8a3njL4VeI7fRby+JN7pt7EXtJyTknjleeenHat5SUajfRxS9LW/4ZmduaP8A28363b/4dHs1fPX7bbf8SHwlHdO66Y+rr9qAPylcd/wrr2sfj7qqCzu9Z8G+H4mXEl3YRS3M31VXACn866jxt4C0zxp4A/4RLxJdXF4PKUfbsBZhKvSXjjOeo6HpWburS7NO3ezLi1rHumvQ6q0WNLSFIVVYljUIFHAGOMV5Z+1r9h/4URrn24qOYvIz18zeNuPxqnofh346+ErWLR9J8QeFvEml26bLeTVVlhnVR0BZAd2Pc1BffCvxt8QNQspvix4m0+TSrSXzV0bR42SKRs8b5GwT+WaKkPaaJ6f1+IUpezs2tv6+4ePtX/DHTfbBIJv+EWOd4+bHlcZrzqXwtfXv7Mfg/wAb+H90ev8AhhPtkLp1aJWy498cnHevon4h6BPrvw61rw3pYghmvLCS1txISsakqQMkA4H4VS+D/ha88J/DHSfC+rtbT3NrAY5zCS0bZ6gEgZH4VU5OUqko6NtNfK/9MmC5YwjLVap/OxyniT4y6Xb/AALg8d6e8b32oQiCztc5P2sjBTHfaevsK8r+K3gmXwV+ywsWos0ut6lqUF7qkznLNM7ZIJ74zj3xmuo8F/s+X2jfFRdRvtSt7jwdYXj3ul6eJnZklJyu5SMDBxzk5xXoX7Q/gfV/iF8O38P6JNZxXZuopgbp2RMKcnkAnP4VFSzjzRWsmtOyTTt9/wCSLhpLlb0V9e7s1f7vxbK3xG/5Nm1L/sXR/wCihXF/Aqx+L0vwm0CTQPEHg220w2/+jxXdjO8yrn+Iq2CfpXqPi7wvqGq/B+88IWstuL+bSvsaPIxEe/ZtyTgnGfauH8AaJ8cPB/g/TvDVnp3gK4gsYvLSWW+ud7D1OI8VpNp1aj7tW/EzgmqdNdr/AKHqvhSLxBDokMfii70671QFvNlsImjhIyduFYkjjGfetKaOOaF4ZVDRyKVZT3BHNc/4Il8byQXH/Ca2eg20oYfZ/wCyp5ZFK453b1GDn0rX1q3vLvSLu10++awu5YmWG5VAxhc9GweDipns9LlQ3PE7b4T/ABA+Hd/eXfwj8UWr6ZcSmZ9C1dS0Qb0V/wBM5U9Mk10nwp+LFx4j8VXngfxZoD+H/Fdim94A++KZQMlkPbgg454I5NQw237QthG9omoeBdXUALHeXCzQSfVkVSCfxqb4Y/C3UNG8cah8QfGOuRaz4nvk8vNvD5UFum0LtUdTwAM+gqob2k9LfPy8/vFLZtLX+r3Lv7S//JDPFH/Xp/WrH7O3/JE/C3/XiP5mtL4w+G7/AMXfDXWvDmlvbpeX0HlxNOxVAc9yASPyqX4U+H7zwr8O9E8PajJDJd2NsIpWhYlC2exIBI/Cphop+bX5Mc9XH0f6HD/tW+OU8JfDltNt7kQajrjG0hfOPKj48yTjngEfnXnHiTxB8E7n4CQ+AbHxdZre2Nus1rMLaYZuwMs+dn8TFvzHpXqc3w917WPj5H458RXFhJoml24j0e1jkZpFfGS7gqADuLHqe3pXqYC5ztH5VCjem77y/C23+ZTlaat0/G+/+R5f+zH46/4Tj4W2UtzOJNT07/Q7wZ5JUfI2PddvPrmpP2o/+SE+Jf8Argv/AKGKp+FPh14g8K/HLWvFOjTacPC+uRhru1MjLMk2PvKu3B53HqPvV1Hxo8Maj4y+GmseG9Kkt47y9jCxNcOVQEMDyQCe3pTxDdSHMlq9159QoJU58t9Ft6f1oV/gH/yRrwt/14L/ADNeX/tZrfv46+Gy6XJbxXpvphA9wpaNX/d4LAckfSvZfhjoV34Z+H+i6BfyQyXVjarFK0JJQsM9CQCRz6VxHx68AeKvF2veE9Z8LvpPnaHcSTPHfzPGrk7MAbVJ/hPpWtVp4hS6c1/kZUk1QcevLb52NSDTfjgt5G114m8CPCJB5qx6dchiueQCW64pn7T3/JCvFH/Xuv8A6MWmtd/Hokn+xvh5k/8AT9df/EVp/FDw34g8ZfCHUfDv/Eut9bvrZEcCVvs6yBgThtpbHHpWNVN07I2pNKomzxbxdoN9p/wc+H/xU8PKy6t4btYzcbODLasx3A+uCf8Ax416J8UfixZ2/wAHrHW/DkyTar4lRbXSoVb5hK/yucf7BJHsStdv4G8NNpXw103wnrPk3BhsPsl15ZJRgQQ2CQPX0ryP4T/APVPDPxIGsa7qlvfaDpTyyaFaLM7GJpD1ZSABgDsTk4PatqiU6k4P4W27/mvn0+ZjTvCnCdveSSt+T+XXyOS+N/guPwJ8DPB2jMTJfSa7Fc38x5Mlw6MWJ+nA/CvWP2kv+TcdY/68bb/0KOrP7RHw/wBa+IXh3SdP0W4soZrPU47qQ3TsqlAGBwQDzz0rX+LvhLUvFnwl1Dwnpktsl9cW0USPOxWPKMpOSAT/AAntWVRuVOfdyX3WRrSSjUh5L9WcN8LtP+M0nw60B9J8ReCYbA2SG3juLC4aRU7BiGwT9K9g8Px6xFoVvH4guLK41QRn7RLZxskLNz90NyBjHWvMPClj8c/DvhrT9DttL8ASw2MCwo8l9c7mA7nEdeg+DJPGEumzf8Jla6Jb3u8iIaXNJJGUx3LgHOa0rvm5+XzMqScYxT8jwP4GeC9L8ffC3xx4d1RQFm16doJgPmglH3XH49fUEir/AII8Zapb+BfGPwq8asy+I9D0q5FvLI2ftdsIyAQe5HH1B9jXoPwD8Ca14E0rXLXWpbKR7/VJLuI20jOAjdAcqMGqP7QXwnm+IFpa6r4fvYtM8TWKtHBcOSqyxONrRuQCQME4OD3Hesqq92y2cUn62Sv8uvkawfvXe6k2vvvb0f5jf2Rf+SF6R/11l/mK5n9tT/kA+Dv+w/F/6C1ej/Arwjqfgb4a2HhzWJraW9gd2ka3YsnzHsSAT+VY/wC0P8Pdb+IOm+H7XRZ7GFtP1RLuc3UjKCgBB24U5PPTitqzvUTXeP5oyppqm15P9T0yy/48rf8A64p/6CKlpluhjt4ozyURVP4DFPqZbsqOyCiiikMKKKKACvnT9vn/AJJr4f8A+wwf/RL19F186ft8/wDJNfD/AP2GD/6JegD07VfiFqlhqdzYxfC/x1fpbytGtza2cTRTAHG9CZASp6jgVW/4Wdq//RIfiJ/4Aw//AB2vS4v9Wv0FOry5Y+abVj044GLSdzzL/hZ2r/8ARIfiJ/4Aw/8Ax2j/AIWdq/8A0SH4if8AgDD/APHa9Nopf2hPsP6hHueZf8LO1f8A6JD8RP8AwBh/+O0f8LO1f/okPxE/8AYf/jtem0Uf2hPsH1CPc8y/4Wdq/wD0SH4if+AMP/x2j/hZ2r/9Eh+In/gDD/8AHa9Noo/tCfYPqEe55l/ws7V/+iQ/ET/wBh/+O0f8LO1f/okPxE/8AYf/AI7XptFH9oT7B9Qj3PMv+Fnav/0SH4if+AMP/wAdo/4Wdq//AESH4if+AMP/AMdr02ij+0J9g+oR7nmX/CztX/6JD8RP/AGH/wCO0f8ACztX/wCiQ/ET/wAAYf8A47XptFH9oT7B9Qj3PMv+Fnav/wBEh+In/gDD/wDHaP8AhZ2r/wDRIfiJ/wCAMP8A8dr02ij+0J9g+oR7nmX/AAs7V/8AokPxE/8AAGH/AOO0f8LO1f8A6JD8RP8AwBh/+O16bRR/aE+wfUI9zzL/AIWdq/8A0SH4if8AgDD/APHaP+Fnav8A9Eh+In/gDD/8dr02ij+0J9g+oR7nmX/CztX/AOiQ/ET/AMAYf/jtH/CztX/6JD8RP/AGH/47XptFH9oT7B9Qj3PMv+Fnav8A9Eh+In/gDD/8do/4Wdq//RIfiJ/4Aw//AB2vTaKP7Qn2D6hHueZf8LO1f/okPxE/8AYf/jtH/CztX/6JD8RP/AGH/wCO16bRR/aE+wfUI9zzL/hZ2r/9Eh+In/gDD/8AHaP+Fnav/wBEh+In/gDD/wDHa9Noo/tCfYPqEe55l/ws7V/+iQ/ET/wBh/8AjtH/AAs7V/8AokPxE/8AAGH/AOO16bRR/aE+wfUI9zzL/hZ2r/8ARIfiJ/4Aw/8Ax2j/AIWdq/8A0SH4if8AgDD/APHa9Noo/tCfYPqEe55l/wALO1f/AKJD8RP/AABh/wDjtH/CztX/AOiQ/ET/AMAYf/jtem0Uf2hPsH1CPc8y/wCFnav/ANEh+In/AIAw/wDx2j/hZ2r/APRIfiJ/4Aw//Ha9Noo/tCfYPqEe55l/ws7V/wDokPxE/wDAGH/47R/ws7V/+iQ/ET/wBh/+O16bRR/aE+wfUI9zzL/hZ2r/APRIfiJ/4Aw//HaP+Fnav/0SH4if+AMP/wAdr02ij+0J9g+oR7nmX/CztX/6JD8RP/AGH/47R/ws7V/+iQ/ET/wBh/8Ajtem0Uf2hPsH1CPc8y/4Wdq//RIfiJ/4Aw//AB2j/hZ2r/8ARIfiJ/4Aw/8Ax2vTaKP7Qn2D6hHueZf8LO1f/okPxE/8AYf/AI7R/wALO1f/AKJD8RP/AABh/wDjtem0Uf2hPsH1CPc8y/4Wdq//AESH4if+AMP/AMdo/wCFnav/ANEh+In/AIAw/wDx2vTaKP7Qn2D6hHueZf8ACztX/wCiQ/ET/wAAYf8A47R/ws7V/wDokPxE/wDAGH/47XptFH9oT7B9Qj3PMv8AhZ2r/wDRIfiJ/wCAMP8A8do/4Wdq/wD0SH4if+AMP/x2vTaKP7Qn2D6hHueQSfGsR+JIvDcnwz8eLq81sbqOzNnB5jQgkFwPN6ZBH4Vpf8LO1f8A6JD8RP8AwBh/+O1lav8A8ni6D/2J83/o+SvYqueOnG2m5EMFGV9djzL/AIWdq/8A0SH4if8AgDD/APHaP+Fnav8A9Eh+In/gDD/8dr02io/tCfYv6hHueZf8LO1f/okPxE/8AYf/AI7R/wALO1f/AKJD8RP/AABh/wDjtem0Uf2hPsH1CPc8y/4Wdq//AESH4if+AMP/AMdo/wCFnav/ANEh+In/AIAw/wDx2vTaKP7Qn2D6hHueZf8ACztX/wCiQ/ET/wAAYf8A47R/ws7V/wDokPxE/wDAGH/47XptFH9oT7B9Qj3PMv8AhZ2r/wDRIfiJ/wCAMP8A8do/4Wdq/wD0SH4if+AMP/x2vTaBS/tCfZB9Qj3PMv8AhZ2r/wDRIfiJ/wCAMP8A8do/4Wdq/wD0SH4if+AMP/x2m+H/AI0+H9Y+IK+E49N1CCOa4ntbPU5Nv2e6mhCl0Xvkbu/pWx8QfiVo/hHWLHw+lhqGt+IL9S1rpenoGlZR/ExJAUdeT6H0rR4yr7vu77EfVKXve9tuZP8Aws7V/wDokPxE/wDAGH/47R/ws7V/+iQ/ET/wBh/+O1ftvH3iCewumHwv8UpqNu8Y+wu8AMiNn50k3bDjGCM5GRWL4K+MV94s1m403TPht4h/0O7S1v5Wubfbasx6t82TjBPGelNYqs3pFff/AF3JeGpJayf3Fv8A4Wdq/wD0SH4if+AMP/x2j/hZ2r/9Eh+In/gDD/8AHa3fhz49sfG2oa/Z2Vhc2raLeC0laZlIkY55XHbjvR4A8fWHjHWvEel2lhc2r6DdrazPMylZCQTlcdBx3qfrtT+Xpf5O2v4ov6nT/m62+ev+TML/AIWdq/8A0SH4if8AgDD/APHaP+Fnav8A9Eh+In/gDD/8dpvhb40+H9f8er4Wh0zULeO4lnhsdSl2/Z7ySHG9UxzkA9/Sug1Lx7Y2PxT034fvYXL3moWr3KXIZfLVVBJBHXPFP63W093dX/X9GL6pS197Z2f32/NmD/ws7V/+iQ/ET/wBh/8AjtH/AAs7V/8AokPxE/8AAGH/AOO16bRUf2hPsX9Qj3PMv+Fnav8A9Eh+In/gDD/8do/4Wdq//RIfiJ/4Aw//AB2vTaKP7Qn2D6hHueZf8LO1f/okPxE/8AYf/jtH/CztX/6JD8RP/AGH/wCO16bRR/aE+wfUI9zzL/hZ2r/9Eh+In/gDD/8AHaP+Fnav/wBEh+In/gDD/wDHa9Noo/tCfYPqEe55l/ws7V/+iQ/ET/wBh/8AjtH/AAs7V/8AokPxE/8AAGH/AOO16bRR/aE+wfUI9zzL/hZ2r4/5JF8RP/AGH/47Wb4b+NQ8SaRHq2g/DPx5qNhIzKk8FnAyMVOGAPm9jxXrzfcb6H+VeP8A7G//ACQLSf8Ar7u//RzVax0nByt2IeCipqN+5qf8LO1f/okPxE/8AYf/AI7R/wALO1f/AKJD8RP/AABh/wDjtem0VH9oT7F/UI9zzL/hZ2r/APRIfiJ/4Aw//HaP+Fnav/0SH4if+AMP/wAdr02ij+0J9g+oR7nmX/CztX/6JD8RP/AGH/47R/ws7V/+iQ/ET/wBh/8Ajtem0Uf2hPsH1CPc8y/4Wdq//RIfiJ/4Aw//AB2j/hZ2r/8ARIfiJ/4Aw/8Ax2vTaKP7Qn2D6hHueZf8LO1f/okPxE/8AYf/AI7R/wALO1f/AKJD8RP/AABh/wDjtem0Uf2hPsH1CPc8y/4Wdq//AESH4if+AMP/AMdo/wCFnav/ANEh+In/AIAw/wDx2vTay/FutW/hvwxqOvXUUk0FhA07xx43MB2GaTzCa6Iay+LdrnDf8LO1f/okPxE/8AYf/jtH/CztX/6JD8RP/AGH/wCO1maR8dbO4/sG41bwXr2j6Zr0nl6ffSvFLHI3+6jFh+VdjaePbG5+K158PVsLlby0sheNcll8tlPYDrmtXiqydnHv+G/3GMcNRkrqXb8dF95g/wDCztX/AOiQ/ET/AMAYf/jtH/CztX/6JD8RP/AGH/47WzL8Q9Pj+Jl54EOnXRu7XS21Jrjcvlsgz8oHXPFcho/x0fVNCl8RW3w38US6FBI6TX0DQyhNpwx2BtxA+lJYyq1flX9O35op4Smnbmfb8L/ka3/CztX/AOiQ/ET/AMAYf/jtH/CztX/6JD8RP/AGH/47V7Vvi94MsfCOleJILq51GLWGKabaWkJe5uXHBUJ2IPBz0p/h/wAe65f6zY2GqfDPxRosF6+yO7m8qWOM4yPMCMSg46kdeKPrdbX3RfVaWnveZnf8LO1f/okPxE/8AYf/AI7R/wALO1f/AKJD8RP/AABh/wDjtVrX4w3mp+Ita0bw/wDDvX9abR7n7PdTW9zAqhj0OHYHnBqf4i/Fi+8D27X2qfDzXpNNXygb2O4g2b3A+TG7dkHI6dRQsXV091a7fPYf1Snr7z03+W47/hZ2r/8ARIfiJ/4Aw/8Ax2j/AIWdq/8A0SH4if8AgDD/APHaZq/xcuNE8D3XizXvAWuaZaxvAsEUtxAzXIlzgrtYgAYGc46itnwv441jVobm61LwBreh2UVk14lzdXEDrKAu4IAjEgkcjIxQ8XVSbcVp/lcSwtJtJSev/DGT/wALO1f/AKJD8RP/AABh/wDjtH/CztX/AOiQ/ET/AMAYf/jtZOk/HU6h4ebxNH8OPFB8Pxuyy6hC0MoQKcM2wNuIHfivUPC2vaX4m0Cz13RbkXNheR+ZDJjBI6YI7EHtRLF1oq7iEcLSk7KRwv8Aws7V/wDokPxE/wDAGH/47R/ws7V/+iQ/ET/wBh/+O16bRUf2hPsafUI9zzL/AIWdq/8A0SH4if8AgDD/APHaP+Fnav8A9Eh+In/gDD/8dr02ij+0J9g+oR7nmX/CztX/AOiQ/ET/AMAYf/jtH/CztX/6JD8RP/AGH/47XptFH9oT7B9Qj3PMv+Fnav8A9Eh+In/gDD/8do/4Wdq//RIfiJ/4Aw//AB2vTaKP7Qn2D6hHueZf8LO1f/okPxE/8AYf/jtH/CztX/6JD8RP/AGH/wCO16bRR/aE+wfUI9zzL/hZ2r/9Eh+In/gDD/8AHa8Q/bG8XX3iHwJo1rdeB/FHh9YtTMgn1W3jjjkPlMNqlXY7u/ToK+vK+cP2/f8Akmvh/wD7DB/9EvWlHGynNRaM62DjCDkmfRsX+rX6CnV55qnhr4qXGpXNxpnxTsbCxklZre1bwzFMYYyflQuZAWwOMkc1W/4RT4xf9Fh0/wD8JOH/AOO1xThHmfvL8f8AI7YTlyr3X+H+Z6ZRXmf/AAinxi/6LDp//hJw/wDx2j/hFPjF/wBFh0//AMJOH/47Uckf5l+P+RXPL+V/h/memUV5n/winxi/6LDp/wD4ScP/AMdo/wCEU+MX/RYdP/8ACTh/+O0ckf5l+P8AkHPL+V/h/memUV5n/wAIp8Yv+iw6f/4ScP8A8do/4RT4xf8ARYdP/wDCTh/+O0ckf5l+P+Qc8v5X+H+Z6ZRXmf8Awinxi/6LDp//AIScP/x2j/hFPjF/0WHT/wDwk4f/AI7RyR/mX4/5Bzy/lf4f5nplFeZ/8Ip8Yv8AosOn/wDhJw//AB2j/hFPjF/0WHT/APwk4f8A47RyR/mX4/5Bzy/lf4f5nplFeZ/8Ip8Yv+iw6f8A+EnD/wDHaP8AhFPjF/0WHT//AAk4f/jtHJH+Zfj/AJBzy/lf4f5nplFeZ/8ACKfGL/osOn/+EnD/APHaP+EU+MX/AEWHT/8Awk4f/jtHJH+Zfj/kHPL+V/h/memUV5n/AMIp8Yv+iw6f/wCEnD/8do/4RT4xf9Fh0/8A8JOH/wCO0ckf5l+P+Qc8v5X+H+Z6ZRXmf/CKfGL/AKLDp/8A4ScP/wAdo/4RT4xf9Fh0/wD8JOH/AOO0ckf5l+P+Qc8v5X+H+Z6ZRXmf/CKfGL/osOn/APhJw/8Ax2j/AIRT4xf9Fh0//wAJOH/47RyR/mX4/wCQc8v5X+H+Z6ZRXmf/AAinxi/6LDp//hJw/wDx2j/hFPjF/wBFh0//AMJOH/47RyR/mX4/5Bzy/lf4f5nplFeZ/wDCKfGL/osOn/8AhJw//HaP+EU+MX/RYdP/APCTh/8AjtHJH+Zfj/kHPL+V/h/memUV5n/winxi/wCiw6f/AOEnD/8AHaP+EU+MX/RYdP8A/CTh/wDjtHJH+Zfj/kHPL+V/h/memUV5n/winxi/6LDp/wD4ScP/AMdo/wCEU+MX/RYdP/8ACTh/+O0ckf5l+P8AkHPL+V/h/memUV5n/wAIp8Yv+iw6f/4ScP8A8do/4RT4xf8ARYdP/wDCTh/+O0ckf5l+P+Qc8v5X+H+Z6ZRXmf8Awinxi/6LDp//AIScP/x2j/hFPjF/0WHT/wDwk4f/AI7RyR/mX4/5Bzy/lf4f5nplFeZ/8Ip8Yv8AosOn/wDhJw//AB2j/hFPjF/0WHT/APwk4f8A47RyR/mX4/5Bzy/lf4f5nplFeZ/8Ip8Yv+iw6f8A+EnD/wDHaP8AhFPjF/0WHT//AAk4f/jtHJH+Zfj/AJBzy/lf4f5nplFeZ/8ACKfGL/osOn/+EnD/APHaP+EU+MX/AEWHT/8Awk4f/jtHJH+Zfj/kHPL+V/h/memUV5n/AMIp8Yv+iw6f/wCEnD/8do/4RT4xf9Fh0/8A8JOH/wCO0ckf5l+P+Qc8v5X+H+Z6ZRXmf/CKfGL/AKLDp/8A4ScP/wAdo/4RT4xf9Fh0/wD8JOH/AOO0ckf5l+P+Qc8v5X+H+Z6ZRXmf/CKfGL/osOn/APhJw/8Ax2j/AIRT4xf9Fh0//wAJOH/47RyR/mX4/wCQc8v5X+H+Z6ZRXmf/AAinxi/6LDp//hJw/wDx2j/hFPjF/wBFh0//AMJOH/47RyR/mX4/5Bzy/lf4f5nplFeZ/wDCKfGL/osOn/8AhJw//HaP+EU+MX/RYdP/APCTh/8AjtHJH+Zfj/kHPL+V/h/memUV5n/winxi/wCiw6f/AOEnD/8AHaP+EU+MX/RYdP8A/CTh/wDjtHJH+Zfj/kHPL+V/h/mZOr/8ni6D/wBifN/6Pkr2KvmfUtA+Iy/tN6PYyfEazfWm8MyyRakPD8QWOHzXBi8nfgknJ3ZzzjFemf8ACKfGL/osOn/+EnD/APHa1qQVo+8tvP8AyMqc5Xl7vXy/zPTKK8z/AOEU+MX/AEWHT/8Awk4f/jtH/CKfGL/osOn/APhJw/8Ax2suSP8AMvx/yNeeX8r/AA/zPTKK8z/4RT4xf9Fh0/8A8JOH/wCO0f8ACKfGL/osOn/+EnD/APHaOSP8y/H/ACDnl/K/w/zPTKK8z/4RT4xf9Fh0/wD8JOH/AOO0f8Ip8Yv+iw6f/wCEnD/8do5I/wAy/H/IOeX8r/D/ADPTKK8z/wCEU+MX/RYdP/8ACTh/+O0f8Ip8Yv8AosOn/wDhJw//AB2jkj/Mvx/yDnl/K/w/zPTK5f4qHxKfAWqQeELE3mtXEXkW6iVI9m/hnLMQOFJPXOcVzf8Awinxi/6LDp//AIScP/x2j/hFPjF/0WHT/wDwk4f/AI7R7OL3kvx/yBVJLaL/AA/zPM9c+C/xPs/h1o+n6V4g0S8utBuF1CxtobDybiS4Jy4adpMHO45JwDgV1HiXwv8AEGD4h+H/AIraJoNvqGpDSlsdW0Sa7jilB6kxyZKdeevHvnjpP+EU+MX/AEWHT/8Awk4f/jtH/CKfGL/osOn/APhJw/8Ax2uh1m3fmW7ez6qz6dUc6opK3K9rbro7rr0Z0vgTWPF+rz3M3iXwjH4at02C3ibUEuppDzuLGP5QOmOc9a5H4CeE/EHhjX/HF1rmn/ZYtT1VbizbzkfzYwG5+UnHUdcGrP8Awinxi/6LDp//AIScP/x2j/hFPjF/0WHT/wDwk4f/AI7WaaV7Naq3Xun+hpaTSum7O/Ts1+pzHhbRfiL8MvF3iqXSPBUfi7TdbvBeQTW+qQ2rwkZ+V1lx69qr6D4J+I3h74e+Nr+1sbZ/Fviy6DJaW1yoSyRsqWMjEAkKzHjPIGM11/8Awinxi/6LDp//AIScP/x2j/hFPjF/0WHT/wDwk4f/AI7TuuXlbWyXXZW0/BeYuV83Mk92+m7vr+L8jzXxB8GvihYeBNCtdF1/Q7678Nzpeafa29h9nnklz8waZpMHOTnOAcV0HjHSfiEvxh8L/EHTfAs+rC10hoby0XUraBo5mXBXczYOCc8ZHvXVf8Ip8Yv+iw6f/wCEnD/8do/4RT4xf9Fh0/8A8JOH/wCO1ftm3dyW7ez6qz6diPYpKyi+nVdGmuvdfidt4U1DVtU0aO81vQJNBvWYhrKS6juCgHQ70+U5rWrzP/hFPjF/0WHT/wDwk4f/AI7R/wAIp8Yv+iw6f/4ScP8A8drFxi3e6/H/ACN4yklazf3HplFeZ/8ACKfGL/osOn/+EnD/APHaP+EU+MX/AEWHT/8Awk4f/jtTyR/mX4/5D55fyv8AD/M9MorzP/hFPjF/0WHT/wDwk4f/AI7R/wAIp8Yv+iw6f/4ScP8A8do5I/zL8f8AIOeX8r/D/M9MorzP/hFPjF/0WHT/APwk4f8A47R/winxi/6LDp//AIScP/x2jkj/ADL8f8g55fyv8P8AM9MorzP/AIRT4xf9Fh0//wAJOH/47R/winxi/wCiw6f/AOEnD/8AHaOSP8y/H/IOeX8r/D/M9Lb7jfQ/yrx/9jf/AJIFpP8A193f/o5q1W8KfGHaf+Lwaf0P/Mpw/wDx2vM/2YtA+I1/8HdNufD3xGs9F09rm5CWcnh+K5ZCJTuPmM4JyecY4rWMF7N+8t138/IylOXtI+737eXmfTFFeZ/8Ip8Yv+iw6f8A+EnD/wDHaP8AhFPjF/0WHT//AAk4f/jtZckf5l+P+Rrzy/lf4f5nplFeZ/8ACKfGL/osOn/+EnD/APHaP+EU+MX/AEWHT/8Awk4f/jtHJH+Zfj/kHPL+V/h/memUV5n/AMIp8Yv+iw6f/wCEnD/8do/4RT4xf9Fh0/8A8JOH/wCO0ckf5l+P+Qc8v5X+H+Z6ZRXmf/CKfGL/AKLDp/8A4ScP/wAdo/4RT4xf9Fh0/wD8JOH/AOO0ckf5l+P+Qc8v5X+H+Z6ZRXmf/CKfGL/osOn/APhJw/8Ax2j/AIRT4xf9Fh0//wAJOH/47RyR/mX4/wCQc8v5X+H+Z6ZXN/FHS77XPh1r+kabEJb27snigQsF3MegyeB+Ncv/AMIp8Yv+iw6f/wCEnD/8do/4RT4xf9Fh0/8A8JOH/wCO0OnFq3Mvx/yHGpJNPl/L/M8U8P8Awg8YJpfh600j4a/8Ij4isZ45LvxI2vo/mKD8w8qN26jtjtXqPifwz438OfGpviJ4d0GHxVbXmmrZXNot4lpNGy/xgyfKQcVtf8Ip8Yv+iw6f/wCEnD/8do/4RT4xf9Fh0/8A8JOH/wCO10zrOcuZyXXv1Vn8vQ5YUFFcvK+nbo7r537mN4O8I+MtW+JuvfEbxPo9voL3Oktptjpa3a3EuCD8zuvydemD37Yrmfhjp/xe8I/Dq88F23w0Rri5muCmo3Os2wgRZT1aNSWOAe1d/wD8Ip8Yv+iw6f8A+EnD/wDHaP8AhFPjF/0WHT//AAk4f/jtRzKzjdWta2ve/ruy+R3vZ3ve+na3pscQnwX8UeGfDvgfUfDt5p+peIfC881xLbXBMcF0ZTllRv4cdASBn26VJoXh34oah8YtF8QyaR4l8OaNFcPNqtvfeKUvLeUEcLHFGflAOeCPT0rs/wDhFPjF/wBFh0//AMJOH/47R/winxi/6LDp/wD4ScP/AMdq1Wd7uSe/frv0JdG6tZ9Oq6Hk8fwz1q0+InijWdb+DD+LorzURcabcjXYLXylH+z5mTk46jtXqnx+8N+IPGHwfXSdE0ctqckttKbI3EYMQXll3sQp29M55qT/AIRT4xf9Fh0//wAJOH/47R/winxi/wCiw6f/AOEnD/8AHahyuoLmXu279LfLpqWotSlLlfvXvt1/4fQp/Hrwj4g8TfBCDw5oumm91NRa7rbzkjzsXDjczBf1rL+E/ha40S11XT7X4NyeEJLvSXilvzrcV0LiUJhU2ByVyWJzwBXQf8Ip8Yv+iw6f/wCEnD/8do/4RT4xf9Fh0/8A8JOH/wCO0ub3ZR5l73r1VhcmsZcr93Tp6nn/AMOtN+L/AIZ+Ftx4Ct/htGtxcG4Qand6zb+RGsvBJjQsxwDXr3we8ISeBfh5pnhqe7W7uLZGaaVBhS7HJ2j0GcVg/wDCKfGL/osOn/8AhJw//HaP+EU+MX/RYdP/APCTh/8AjtVOfPfVa2vv0CEHFrR6Xtt1PTKK8z/4RT4xf9Fh0/8A8JOH/wCO0f8ACKfGL/osOn/+EnD/APHaw5I/zL8f8jbnl/K/w/zPTKK8z/4RT4xf9Fh0/wD8JOH/AOO0f8Ip8Yv+iw6f/wCEnD/8do5I/wAy/H/IOeX8r/D/ADPTKK8z/wCEU+MX/RYdP/8ACTh/+O0f8Ip8Yv8AosOn/wDhJw//AB2jkj/Mvx/yDnl/K/w/zPTKK8z/AOEU+MX/AEWHT/8Awk4f/jtH/CKfGL/osOn/APhJw/8Ax2jkj/Mvx/yDnl/K/wAP8z0yivM/+EU+MX/RYdP/APCTh/8AjtH/AAinxi/6LDp//hJw/wDx2jkj/Mvx/wAg55fyv8P8z0yvnD9v3/kmvh//ALDB/wDRL16H/wAIp8Yv+iw6f/4ScP8A8drw/wDbH0Xx1pvgTRpvFXjq18Q2r6mVigi0WOzMb+U3zbldieMjHvW+GglVj7y/H/IwxMpOm/d/I+h/jRrep+HPhRretaPdfZb+1td8Mvlq+w+u1gQfxBrmtF8T6tN470XSPD/ibU/EMcymTWLfV9PjtTawY4ljxDC5JbjGHH0rsfHumaN4r8Iah4YvtagskvIvKkdJU3x/gT1qHxHo2h6xquhatH4hhsdQ0abfFPDPGTLGRh4nBPKsM5+tSnFSfMur/r7y5KTiuV9P8v6/M4y18U3t54+8X6ZqnjLxHplvpt/HDZQaZpEdwgjMSsdzfZZTncT1YfSuj1fXNa8N/ETw9bX2oSXnhvWYBZCSaFFeG9H3GJVV/wBZwMYwD0ApLXw9/ZviLXNY0Px/bWP9s3K3NxDJbwTBXVAg2ksDjArT8YaVovirwi+g6p4gt1lIRkvYZY0kimXlZVGcAg84qeaKUNOiv91n/nvuNqTc9ert991/VtjGu/EevX/ibxVNpd35GiaBp7QDESMJ77buY5IJwgIGBxkHNUPhBrtx4i0bw9fX3jbxRd6jdWUVxc2smkRxWruUBZRJ9kUbck4xJz2JrpNA0Pw/o/giTwvFr0MwnjlFxeS3EZlmlkJMkrc43FiTVbwbpFx4a0zS9Ii+IVndaZp0MdukD2sCs8aAAAuHznA64pxcUnH0t+N/xa+Vl0FLmdn6/pb8n879zjk8e+LdJ8f+KNU1S6S88GaXqaafcW6WyiSwVokcXAZRudcsdwOcDpXSaf4p1a58W/EC0TUElstKtLebTtsaEJvt1csGA+YEnPJNbPh/RfDuk3/iS5Os2l2mv3X2m4hmlj2p+7WPaOeRhe/rWR8PvAvhLwZLrYstfF3a6rtT7Pc3SFbeJV2rEpzkqBwM9ABUtxcLdeVL52V/xvr5lq6qc3Tm/C+n4aW/4JueAtW1DVPhVouuX0/m6hc6NFdTS7FXdK0IYtgDA55wBivN7nx14kb4U/D7WLjXrq0udZ1GKDUru1so5JWjYnOyPy3GeB0Q/SussfCyadoQ8N6b8RTbaEqGGK22W7zRQn/lmsxOcAcAkEgetTa54R8O3Wg+HNI0nxFb6RH4duIriwZZI5sGMYUMGPze9W5U+dyto2n6K7v+a27GaU1T5b6qLV/O2hr+D7kSWV7d22veINeCDAj1GwS1YMBnCDyISc+pyK29CvLnUNJt7y80y40ueVNz2lwytJEfRipIz9DWTpclxDDcpqXjayv2kTbE6QwwGE/3hhju/H0q1oVxa6fpFtZ3viaDVLiJNsl3PLEryn1IXAH4CspW1+X9dP6+ZrBvT5mzRVP+1NL/AOgnY/8AgQn+NH9qaX/0E7H/AMCE/wAaixpdFyiqf9qaX/0E7H/wIT/Gj+1NL/6Cdj/4EJ/jRYLouUVT/tTS/wDoJ2P/AIEJ/jR/aml/9BOx/wDAhP8AGiwXRcoqn/aml/8AQTsf/AhP8aP7U0v/AKCdj/4EJ/jRYLouUVT/ALU0v/oJ2P8A4EJ/jR/aml/9BOx/8CE/xosF0XKKp/2ppf8A0E7H/wACE/xo/tTS/wDoJ2P/AIEJ/jRYLouUVT/tTS/+gnY/+BCf40f2ppf/AEE7H/wIT/GiwXRcoqn/AGppf/QTsf8AwIT/ABo/tTS/+gnY/wDgQn+NFgui5RVP+1NL/wCgnY/+BCf40f2ppf8A0E7H/wACE/xosF0XKKp/2ppf/QTsf/AhP8aP7U0v/oJ2P/gQn+NFgui5RVP+1NL/AOgnY/8AgQn+NH9qaX/0E7H/AMCE/wAaLBdFyiqf9qaX/wBBOx/8CE/xo/tTS/8AoJ2P/gQn+NFgui5RVP8AtTS/+gnY/wDgQn+NH9qaX/0E7H/wIT/GiwXRcoqn/aml/wDQTsf/AAIT/Gj+1NL/AOgnY/8AgQn+NFgui5RVP+1NL/6Cdj/4EJ/jR/aml/8AQTsf/AhP8aLBdFyiqf8Aaml/9BOx/wDAhP8AGj+1NL/6Cdj/AOBCf40WC6LlFU/7U0v/AKCdj/4EJ/jR/aml/wDQTsf/AAIT/GiwXRcoqn/aml/9BOx/8CE/xo/tTS/+gnY/+BCf40WC6LlFU/7U0v8A6Cdj/wCBCf40f2ppf/QTsf8AwIT/ABosF0XKKp/2ppf/AEE7H/wIT/Gj+1NL/wCgnY/+BCf40WC6PKdX/wCTxdB/7E+b/wBHyV7FXjN/cW9x+2FoT29xFMo8ITAtG4YA+dJxxXsua1q7R9DKlvL1FopM0ZrE1FopM0ZoAWikzRmgBaKTNGaAFopM0ZoAWuV+LmrahoPwz8QaxpVx9nvrSzaSCXYrbGBHOGBB/EV1Oapa9pdhrmjXmj6nCJ7O8iaGZM4yp9+xpSvZ2Ki0mmzz+y8Va9J+zaPF732db/sV7r7T5Sf60Zw2zG3t0xiuK1bxx8TpvhT4F1vTZbzydSgaTXNXsdKS8ubcgnaVg4XBxzxxjtXSj4JP/YA8LN8SPFDeF/u/2V+5A8vOfL83bv25rp9Y8ASNaaXbeFvF2t+FI9NtzbRR2RSSJ04+8kgILcfe68n1rrnOlzSkurul2Wun4rbsccIVVCMX0TTfd6a/g9+555F8QdVT4K+L9d0n4j2nibUNNjR7a6GmJa3NqSwBWaEjb9DjHWql/rfxa8L/AAotPia3ju08Q24t4rm70u90iG3Xy3YKQkkWDuGe/wCXauzg+C2ijw74nsLvXtVvtS8TKq6jqk+wysFbI2oAFFVE+CMd5pVjoXiTx94j1vQLLZ5elssUELhTlVcxruYexNVz07u3ePTp1W3+QlCpZXv9rrr0t19e/p0PTvDupJrGg2GqxxmNbu3SYIf4dwzir9RWsMNrbRW1vGsUMSBI0XoqgYAFSZrlm05Pl2OmCkopS3FopM0ZqShaKTNGaAFopM0ZoAWikzRmgBaKTNGaABvuN9D/ACrx/wDY3/5IFpP/AF93f/o5q9gY/K30P8q8f/Y4/wCSBaT/ANfd3/6OatY/w5eq/Uyl/Fj6P9D2GikzRmsjUWikzRmgBaKTNGaAFopM0ZoAWikzRmgBaKTNGaAFopM0ZoAWvK/HPi3xBpvx98F+F7K/8rSNSt5Xu7fyUbzCM4O4jcPwIr1PNcV8Rvh1pvjHUdM1hdU1DRdc0sk2eo2LDegPVSrZDD6+9XTkozTltr+TX56kVYylTajv/wAFGF8Q/FviDSfjl4D8N2F/5OlasJvtsHko3m7Rx8xBZfwIrgNb8feP7HxfqcPi/wAZXHgGGO9MemxyeHEudOuYgflLXPLAkdQDx7V6d4b+FtvZeMI/F3iLxRrHijWreEw2k95sjS2U9diRgDPXmqOu/CS91q0utJ1H4meKrjQbqQtNp0nktuUtu2eaV37c9OeK2hKnHlT13v8Afft0WmqMZqpLmaur2/Bfq/MwPHviTxtqHxf8K+D/AA142j0ay1TR/tU11a6fBdJI4z8yCQH5T25rT8H+K/GmhfGIfDbxhqVjr8V1pxvrHU4bYW82A20rIinb+QH49r3iL4P2t54g0PWtA8U6n4cudEsBYWn2aKObEYzyfMByTmtXwN8M9M8N+JLrxTfavqfiHxFcxeS+o6g4LJHnOxEUBUGfT/HLU6aj/wCBdNd3b9OvkS4VW/P3eui0V/Xqd3RSZozXKdYtFJmjNAC0UmaM0ALRSZozQAtFJmjNAC0UmaM0ALRSZozQAtfOH7fv/JNfD/8A2GD/AOiXr6OzXzj+37/yTXw//wBhg/8Aol66ML/FiYYr+Ez6Q1PRfh5pnh5/EPiTQvDkMCRCa7vLqxiPJHLMxXJJPes/Qv8AhTOuaiunaXpfhOe8ZN6QHTIkd19VDIN34ZrM/aRz/wAM3+IMcH+zhj9KxvEsGqWPxO8CXXxC1C01DSVnK6TdWFobRYL9lwonVnkLBhgKQyjPUGvdhrJJ97f1+h4c9I3XZv7rf0+250uo3fwS0/VbrS7rTfCi3to4S4hXSkdomIyA21Dg4rV07R/hZqGpf2ZZ6B4VlvfsyXf2cadCJPJf7r7SucGvL/DOv/2P8W/iXEfiB4U8MCTWIW8nWIVeSX9wnzITcRYHboeR17V1fxkSPR7vw78YNLlF2ujAJqMlr863Gmyf6xhjO4KCXHNEWuWEpbO1/K6/z/C45J80orpf52/4H4nTaho3ws0/U/7MvdB8KQXv2ZrvyX0+EOIV+9Jjb90YPNZGi3fwT1q5trfStM8LXcl0R5Hl6QhWTPQhvLxj3zWF4cg/4SLwx41+KFwkoOu2UsOlrIpBTT41IiIB6eZjzP8AgdRfs6eJ4T4H8G6bP8SvBtyP7Jtol0iGNEvVbylAjLfaGJYdD+7GcdBTgm21LdW/Hm/Ky+dyZWSuttfwt+rfysdpp+n/AAj1DxJe+G7LSPCE+sWKhrqySxgMsQPQldtTLovwta91KxXQPChudLVWvov7Ph3W4ZdwLfLxlSDXlGk+ELvXfGnxH1zw5NHY+K9G8SrNpt0Rw4+yw7oJMcmN+hH41Y+FGr3HjXxX8VtQh0u6sby5gtreaynXDw3CWqo8RPQ4YEA9xg96jmfJdb8vN96TX52/4dF8q9o4t6Xt+Nv+D/wzPV7Dwv8ADm/0iDV7Pwx4YnsJ4FuIrhNOhKPGRuDA7ehHNY97/wAKYs9AsdeuNN8IJpmoMEs7kafCVnY9AmEyTx2rnvh9498JaT8ENI0TVNcs7PW9P0WOxuNJlkC3y3EcQQxiD/WM24cYU5GCMiuH8Q2WoeF/g38G7bVLq20K8tNXtXlm1BP3doSGb96pZemcEbl571pNJTai9LxSfq2vyIhrG8t7N29Ff8z2Pw3pvwq8RNMui+HfDd2YceZjSI1256feQVH4mtfhF4au7e01zRfC1ncXKs8ETaXEzyKvUgKhOBWr8Pteh1iC6j/4Tbw34oniYEto6qgiUjgMoml6kHnI+lch8QIdYuPj34Tj0TUrPT7r+x70mW6s2uU27kyNokQ598/hSa96MV1v+Cb/AED7Lfb/ADS/U0bqX4L2uj2+sXWl+FYbK5n+zwSSaVGvmSf3VBTJP4Vc8NWHwl8SNOmiaL4UvJLcgTRrpsIkTPQlSgIHvjFch8crbX1m+G1vcatYSat/wk8e27TT2WEHY+CYfNJPHH3xTNJt9St/jRrtv4quYpfFt3oJj0G9tIvItZrUFiyiMlmEqyMS2524ZcYqb7/P8Ip/1tp6FNWt8vxk1/XmdHqtz8E9Lv57C90/wilzb/69E02KTyj6MVQhT7Gr2o2Xwh0/wuPFF5pXg6LRCocX32KAwkHoQwXFcn8DfFvgzwr8MrXQfEurab4f12yaZdWs9SkW2uJJy7F5Nr4MgfIIYZBBAB7V5/r+lzW/wG8YXv2Gez0TV/FkV3pVnPCYsWzSRKWEbcqrsHYAgcHOOaqzcuVPtr01aX63XowSXX7uuzf6W+Z79pnhT4d6npsGpaf4X8MXVncRiWGaPToCjoRkEHb0rO8M6f8ACTxM96nh/R/COptYTGC6FvYQN5Mg/hb5evBrzK9v9d8HalqPwZ0aGUPr9x9o8PXYBKW1nMSboMR08tg2PaVPSul+AGjWPh7x98RtE02Ly7WzvbKKMdzi0jyx9STkk+pNEfeba2tp96v917evoRraz3/Tp9+/l8ztNe8OfDTQdIuNW1nw54WsLC2XdNcT6fAqIM45O2o10T4XN4d/4SJdA8KHSPJ8/wC2DT4PL8v+9nb0rkPivqOoeKPiTo/grRdI/tq00Yrq2uW4nSIEnctvEzNwQSHYr/srXHNqOo6D4P8AiV8ONb02TTCdNuNZ0WB7hZv9Flz5sYZePkl3HHYSCs3L3JS8m18t/wBfkmaxinOMfNX8r7fp967Ho2l33wO1O6trazs/CDyXWBb79NiQSk8gKWQBiewB5rdtPD3wzu9YvNHtvDvhaXULJUa5tl0+HzIlfO0kbehwcH2rzPxD4o8H69+zpZeGLDUdP8Q65c6NbQWem6dMtzcrchF2ttTJj2NglzgLjkirfjG3vfhyfB3xQ1Vpnk0/TY9I8UsgMhaBlBEpx94pKuM/9NDWs0ozaeydr/fb8bX9UzKLcoprdq9vS36N281Y7jUtN+E+m3l3Z3+i+Ere4s7T7bcxvYQAxQZx5jfLwuc81R0KT4M65ewWek6R4Yu5pxmJU0hMOMZyCY8dPeuKvtOnu/gh8Q/H2pQyJqPiexlmRJBhobRFKwRgduCz/wDA66b4J+J4brSNB06b4k+DtWZtNiSPTLKNEugwjXgn7Q5JAByNg/ClFO7Ut0l+N/ytb1uVJqycdm3+Fvzu/lYmudT+Bdte3FnNaeD0ltpvIn/4lse2KTj5WbZtU8jqe9W/EP8Awprw/sOsaT4UtEeHz1kbS4yhj/vbghGPfNeW6BY+M7rwV8UT4evrB7E+IL1brT2sibmeIxReaIpi5VXKZ2gxtz9eO71ibQZ/2UdRfwu0h0geG5kthI2XUCNgVY/3gQQfes3Jqlz9bRf3q/8AX6F8q9rydLtfc7Gppk3wW1Kxu76z0vwpJa2dubm4nOlRqiRDq+4oBiresWfwi0jTrPUNR0fwnb217j7K506EmfIyNgC5bjngVj+Kv+TU7/P/AEKh/wDSesjWLHw6/hvwFrF144h8GeIdO0tG02/uhGbd0dIxLG6y4R9wA4DK46g8GtZrllKPZpfn/l/w+xjTlzRjJ9U3/wCk/wCZ1Vwnwbt/Da+I59L8Ix6U0ghFy2nQhfMJwExsyGyQMYzTtCt/hFrck8el6F4auGt4jLL/AMShFCoOpJZBXk/jzxdrHiT4JJqesDS7GS08X2UUWrwQsljeIlzGRdqrsDs9fmwdpw3ceteHvEUOraPrVs3j7wr4nnWykdYtHRUaJdpBLATykjJHPFRJ2hKfa/8A6Sn+vkaRV5Rj3/za/QzdN1P4FajcW8Nna+DpGuX8uBjp0SpI3orlApPHrzWj4jt/hB4duo7TWdH8KWtxIhkSE6bEzlB/FtVCQOevSvFNKtNcH7NXhW5169tb3wMkkMmq2lpZmK8ht1n3K/ms7h1VwpfCISoOCK9B8fP4c0nxbL4w8O/EnSvC3iH+zEjlttWVJLTUbcKWiGxirnBx80LZ7EHOKuouRtPo2vw/ra5Mdfu0++39fLuehWPg/wCH19ZxXln4V8M3FvMoeOWPToGVlPcELU3/AAgvgj/oTfDv/gsh/wDiai+Fet6j4i8AaRrOq6KdFvLmAPLZ7SoQ+oBAIB6gEA8109E1yyaFF3Vznf8AhBfBH/Qm+Hf/AAWQ/wDxNH/CC+CP+hN8O/8Agsh/+JroqKko53/hBfBH/Qm+Hf8AwWQ//E0f8IL4I/6E3w7/AOCyH/4muiooA53/AIQXwR/0Jvh3/wAFkP8A8TR/wgvgj/oTfDv/AILIf/ia6KigDnf+EF8Ef9Cb4d/8FkP/AMTR/wAIL4I/6E3w7/4LIf8A4muiooA53/hBfBH/AEJvh3/wWQ//ABNH/CC+CP8AoTfDv/gsh/8Aia6KigDnf+EF8Ef9Cb4d/wDBZD/8TR/wgvgj/oTfDv8A4LIf/ia6KigDnf8AhBfBH/Qm+Hf/AAWQ/wDxNH/CC+CP+hN8O/8Agsh/+JroqKAOd/4QXwR/0Jvh3/wWQ/8AxNH/AAgvgj/oTfDv/gsh/wDia6KigDnf+EF8Ef8AQm+Hf/BZD/8AE0f8IL4I/wChN8O/+CyH/wCJroqKAPn240bSNJ/bZ0C10rSrGwgfwZM7RW1ukSs3nyDJCgAnAAz7V795EH/PGP8A75FeH69/yfF4d/7Eqb/0okr3Sk0mNNoxNE1/wzrepajpuk6hYXt5pkgivYYiC0DnoGHY1FZeKPCN5e6tZW2r6ZJcaPj+0UDqDa5GRvz93gV8/eAfF+g/Cf42/EtfiHdTaBHrN9HdadPcW0hiuY9pyUZVIPWs7wPZ6T4g0/4y+MPEVlrlt4K8STxR29zDaP580SjBljTBYrnBzjGKhWcFJL7N/npp+L+4ptqTi39q3y11+5Hv3hr4kfDXxLrP9jaD4r0LUdQwSLeCdWdsdcDv+FZHjL4yfDfwr4y0zwpqerWZ1C+mMMnlvGUsyACDOSw2A5wOteHfDDxa2l+PvCvhXwnq2jfE/RY5DGLhfD7W19o8argMZQoXpxk8nHOOKxfFOt+GPBOt+Jbz4feLbTV9Q1PUXe98GeIPD7zyzzl8MEfaGGeoGcYweavljeOmjv8Ap/V9SVOTUu/r69fls7H2hHHayRrJHHC6MAysqggg9xTvIg/54x/98is/whPPc+FNJuLrTRpc8llE0lkBgW5KDMeO2OmPatSnKCjJqwozcop3I/Ig/wCeMf8A3yKPIg/54x/98ipKKXKuw+Z9yPyIP+eMf/fIo8iD/njH/wB8ipKKOVdg5n3I/Ig/54x/98ijyIP+eMf/AHyKkoo5V2Dmfcj8iD/njH/3yKPIg/54x/8AfIqSijlXYOZ9yPyIP+eMf/fIo8iD/njH/wB8ipKKOVdg5n3I/Ig/54x/98iszxLrPhzwzpb6p4g1DTtLskODPdOsa59MnqfatevOf2gPHHg34f8Ag+DxB4w0pNVEd0Bp9sYFkZrja2CpYYQ7d3zdhmplyxRUOaTsdB4O8ZeCPGEU8nhfXtI1dbf/AF32aVWMfuR1Ap2i+L/BWteILrw/o+uaTf6paxmSe2t5VkeNQQCTj3IH4189/sx3Xw/1Lxz4p8Z33ifRrnxHrlnLJcaPp0MgtrKzGGdWLKA7cDP49c1kfDX4gfDHTv2t9Yv9H1fTbPQ77R4tPsDb2zRxSXBlj/dqoUYOR1IA960jBOpGFt1f566ffp6kSm1GUk9n+Gn9fifXMsdrFG0kiQoiAszMAAoHUk1yGifEr4Z63rw0HSfFugXmpliq20VwhdmHUD1P0rH8ceKPC3jK18cfDU39/Z3Vlo8j6hdR2zMkEbJ1BH3iM529TzXy3p8GpeJb74e+BvCOueGfEg0PWLeVbvRdFubee2gjOWkuJnwo47AcmppxUppW0dvxbTfy/HvoVNuMHK+qv+Cvb5n154i+Jfwz8O6wdH1vxdoFhfg4a3luEDqfQjt+NTeKviD8PPCptB4i8TaNpv2yLzrYzSqBKn95T3FfNf7T+o+H5z4l0nTfHMOn3srqJfCp8Kr5uo3CkZYXIQStvP8AEG/GvTdZ8cWfgT9mzRte1vwnbabrbafHaaXo0kXmMLhlwkYV8tgHkg84BqFb2bnbt873287+b+Q237RRvvf5bb/1956f4M8Z+CPGf2j/AIRXXNL1j7NjzvsrB9memam8YeKvB/g+0juvFGs6XpEMjbY2upFTefYHk15n8KNH0/4H/Bq/8WeMmlbU7wjUdcnhj8xzI54QKOy7sdq4T9pbxBpN347+HniSC4l8NxNbNcQ+J76xNxaRROufIaAowZ2zxnaRn8aucYqSivJP1s35dnbv+BNOTknJ+bXnb7+6PoLR/GXgbWPD0/iHTPEOi3Wk2+fPu450McWP7x/h/GqvhL4hfDrxbqLad4b8UaHql4qljBbzKz4HUgdT+FfJWk3NpdfAf4ni58Maj4nS81NZn17To3t4L5t/yzpHsHlrH1IVSCBzitv4L6tFqHx/8JzLrVp8Qzb6Y1ut7pWmGxTSCVwzSgRqJAeRliOvAzxVwpxlPl9P/Sb/AJ90vXoE5uMG79/waX9b+h9ivBBsb9zH0P8ACK8Q/Yaijb9nTRy0aMftl51XP/Ld69zk+430NeHfsMf8m56P/wBfl5/6Peo5V2Dmfc9e8RapoXh3SJ9X1y6s9PsIBmW4nwqIPc1FqGueG9P8Nf8ACS3t/YwaP5Kz/bHIEXlkZDZ9CDXF/tR6NqmvfAvxLpuj2U17ePbbkghXc77TkhR1JwOgrxrxx8VfBniP9myL4f6DeXepeLLjSoNPXSIbKU3CzKqqwZduBgg55rN7T5VqrWXe9y1vG70d7vta3/B+4+h9e8deAdB0ey1jWfEWjWFhfIslpNNKqrMrDIZe5GKn0vxf4J1TwzL4m0/XtHuNFi3ebepMnlJjrubt+NfPPxK0rwr4ei8CTeIfGt14I8YaFoENvDdXOlG8sZRsw0RBUqWznocgVXsda0vx18DfE9v8SNOXQNEOrJHH4h0HSpYIb0gjZdGIqSU4GSRjHpWk4x9/l1s3b77f1tr95EJyfJzdbX+6+2/5nuHww+KvgP4jajq2n+G7yCWfTbhoSjmMGdB/y2jAJLRnsePpXfeRB/zxj/75FfMnwB8YXl98WLPw3pt1oXjzRbXT3C+JrPRDZ3FngcRSNgKc4HA656k19P1UoRSTS/rYmNSTbTI/Ig/54x/98ijyIP8AnjH/AN8ipKKnlXYrmfcj8iD/AJ4x/wDfIo8iD/njH/3yKkoo5V2Dmfcj8iD/AJ4x/wDfIo8iD/njH/3yKkoo5V2Dmfcj8iD/AJ4x/wDfIo8iD/njH/3yKkoo5V2Dmfcj8iD/AJ4x/wDfIo8iD/njH/3yKkoo5V2Dmfcj8iD/AJ4x/wDfIo8iD/njH/3yKkoo5V2Dmfcj8iD/AJ4x/wDfIo8iD/njH/3yKkoo5V2Dmfcj8iD/AJ4x/wDfIo8iD/njH/3yKkoo5V2Dmfcj8iD/AJ4x/wDfIo8iD/njH/3yKkoo5V2Dmfcj8iD/AJ4x/wDfIrF8XeJPCfhGwW+8TatpmkWzttSS6kVAx9BnrW9XzX+2DdWlr4z8BXU7SaFLa3E0ieJbi2NxZ2alRujki2MHZ8DGcYxkHrUtK6Xd/wBf1/wxcW3d32R7r4Q8T+EfF9lJe+F9Y0vV7eNtsj2sivsPoccj8ah8Z+L/AAX4Mit5fFWtaZo6XLFYWumCByOoFfP37MvirTNCHxL8U6or6pZQypeXPii0tTBb36KCAkcO1QpXJ+7nOee2dz49ar4N8V6Z4G8XXfja+8Fwp5l9pt/c6CbqIll27JFYFFbBJAYHIye1VUio2sv5b/P7uzt3sTFtuSb2vb5ff3R7BoXjnwFrmhXmu6T4i0a60uyOLm7WVRFCf9pjwKi8JfED4eeLdQk0/wANeJtE1W7jUs0NvMrPgdTjv+FeK/Cr4jTf8Ky8aax8Tre11zwfpVzF9g1T+xFtv7VG/wCU+RtCHDhMHAwTya534MeI/AHj/wDaAsviFqGuaTo+qNG1poPh2zjfzcbGXfcOFCbtpb5QcdOeMGowjKfLbS3z1Wnzb6dCXNqm5X1T+W/+XU+lm8YeCV8Vw+FP7e0htdm3eXYLKrTHaCT8o6YAJ59K6BobdVLNFEABknaK+QvH3jr4WaN+1Z4L1bTNS0ux07Skvk1ea3tWQRzvGyjfhMsxJxkZr6UT4ieGZfHtj4JjmuZNUv7E38BWA+U0OM539uO1RCKnTjJbu/4X/RX9CpycajjfRW/H/gtIxZfjV8G4pHjk8eeHFdCVYGcZBHUdK6zWfEPhbRvDn/CR6tqenWWkbVb7ZMyrHhiAvPvkV4P8UoLL4tfGaw+FOiWtsmgaLIt/4ouIYVXzCpGy33AdS2Mjr37VT+Pdn4x1HxXqf9q/D3V9U8GaDpcv9jx2c0CwfaPKZftMwZwzBBkqoHHXmok0qalbe/3Lr83ovv2KV3U5b9vvey+S1f8AnofRvh/UtD8QaRBq+iXNpf2Fwu6G4hwyOPUGvmn/AIKQRxp8LvDmxFX/AInfYY/5YSV6F+xlf3d58CdFguNIurGO2j8uGaVkK3K8/Om0kgducVwH/BSP/kl3hv8A7Df/ALQkrepTUJNIxp1HON2fSumNc/2ZbKLaNl8pcEy4yMemKsF7s9bWI/8AbX/7GuO+KHiq+8E/B/UPFGmwW091YWQkjS4DGMnA+9tIOPxFYen/ABA1+HxloGjNqHhrxZbauzJM+hwvFJp+Fz5smZpVZO3VDnpnpUx1dipe6rvz/A9Mb7Qxy1lAT7yf/Y0u+6xt+yxY9PN/+xryq3+IWvah468V6GPE3gvw9b6JfJawLqdq8ktwrRq+/P2mMdTjhe1dBc+MtX0f4n6L4V1yCxk03WrAmz1G3Row14gy8ZBZgAw5UZzzjJojqo+e33X/ACCXut36f52O233eMfZYsf8AXX/7GmD7QDuFlAD6+Z/9jXDar471X/hMvEml6TZ2kum+HdK8+8uZVYk3bKXSEEEDAXaT35xxVH4UeMvEHi7StB1S58YeCGfUbSK6n0q0sn+0xhkDMgY3TYK5xkp26UR97by/G9vyYS93f+tv80elB7sf8usX/f3/AOxpA92Cf9Fi5/6a/wD2NeRWnxf1i1+Ket6T4g0qwt/CNnqaaTDqkTP5kFy0aOvn5O0I28AMMYI5rpLfx1qcni3x9o5tbPyPDcEElq4DbpC9ush3846nHGOKTa5efpa/ysn+TRSi3Nw67fjb8zuD9o3bvscG7183n/0GlZrphhrSEj3l/wDsawfBXiK71z4X6P4quYYI7u+0iK+kjjB8tXeIOQMnOMn1rzq6+LXiA/DDwH4kVdC0+78TXsVtdTXUTtbWqsWy4XzFPGO71couMnF7ppfe7L8iIvmjzLa1/uVz2JTcr92zhX6S4/8AZadvu85+yxZ/66//AGNYfgi/1LUI7ia88TeG9diUhUbR7VohG3cMTPLnjHHFc78RvGmraL490Tw1Y6r4d0e3v7Oe4lvdXhaRQ0ZACKBNEOc+p6VL3S7/AOV/yQ+jfb/hjvi92f8Al1i/7+//AGNJvu85+yxZ/wCuv/2NeYeOvH2veHNE8MSQa94SvZNa1cWMmqC1cWcMZBO4KLg5IIx/rMVd8JePtUm8YapoWqSaRrWn2WnC/Ot6NG8dunLAwOrPIN4C7shzwRkDuaa/1srv8Aelv63dvzPQW+0MctZwE+pl/wDsaUvdkYNrEf8Atr/9jXn/AIR8Q+P/ABxoS+JtCbw5ouk3W9tOgvrSa7nnjDELI7JLGse7GQoD4BByTwOe1z4xa5D8KNe1uz0SwtvFOh6ouk3dlcSNLbeeSmHVl2sUZXVh0IyQemSPTTr2+aX5teg0r7f1u/0Z7Dvu85+yxZ/66/8A2NLvu8/8esX/AH9/+xri/CPxEtr74b3nibXo49PvNJMsGr2yk4huIjgquecN8pXPJDrWZ8C/H3ifxpeeJLbxNpNhpkum3MIt4rYPu8mWMSp5m4n59rLnAAzmnb3muyv8v+CSnon/AF5/cejb7vJP2WLP/XX/AOxoLXRPNrEf+2v/ANjXn3xq8SeNvBfh278SaRe+HpbKKWCJLS60yZpP3kioSZVuFHBbP3Pb3p3j3xR4w8EfDu78Rahc6Dql2txaxwpBp8tvGqySqjbgZ3LHDcYI6dDSWq+dvnp/mN6O3zO+X7QpytnAD6iX/wCxpxe7IwbWIj/rr/8AY1xfiXxnqzeNbLwL4Ws7OTWZ7D+0Lq7vdxt7KDcFUlFw0rMdwChl+6ST2Mfi7XfG/g/wRr+u6pJ4d1NrG08+1kt7aa3BfOCjxNI+Rg53CQem3vSckouT21/DccVzNJb6fjsdxvu8Y+yxY/66/wD2NNX7Qp3LZQA+ok/+xrzzwd8RNW8dalp0fg+0sJ9IgjjbW9Xl3NAJSgY21sAwLuCRuYnaowPmJ4yvDXxD8ReIdZ1+1/4SrwPoI03WZNOgtL6zkknlVVQh8/akySXxwvaq5Xzcv9Wul+un37E305vT8U3+n9M9ZD3Y6WsQ/wC2v/2NG+6xj7LFj083/wCxrzv4xeJPHfgzw+3iDTtQ8NXFr9ptbZbafSpy+ZZUjLeYtwBgFs429sZ712/hqPxDHbOfEGoaXeyNgxGxsZLZVGOQQ8smT75FJapv5fl/mNuzS7l7fd4x9lix/wBdf/saaxuWGGs4SPQy/wD2NeY3PxE1y5+I+r+FYb/w14dksHQWVvrUMpl1VT954nEiKq5IXhZCCc47HpPiZ4q1bQNM0uw0K1sbrxNrN0trYW9w7GENtLyO+3DFFRWOeMnA4zSv7ql3/r+u3Ww7atdv6/r8Dqy10V2/ZIcenm//AGNIv2hfu2cC/SX/AOxrz+H4k3Nz8Eta8awWdvHrGkWtz9qspA2yK6hB3IwznHQ9eh612Gl6vcXfgi312SOJbiXTxdFFzsDGPdj1xmnNqKk3sv1v/kKPvNLq7/ha/wCZo77rGPssWPTzf/saRvtDY3WcBx0zL0/8dry34TePPEfjTR9G1W48W+B7aW++eTSYrKQ3KgMcoGN197A67Pwp7fETXb34iax4XhvvDXh6bT5lSzs9Zhl87VU7yRSCRFVSSFGFkIJyQehpxalyvf8Ay/roK+lz1HzLz/n1i/7/AH/2NHmXn/PrF/3+/wDsanj3GNS4UNgbgpyAfY0tSMr+Zef8+sX/AH+/+xo8y8/59Yv+/wB/9jViigCv5l5/z6xf9/v/ALGjzLz/AJ9Yv+/3/wBjViigCv5l5/z6xf8Af7/7GjzLz/n1i/7/AH/2NWKKAK/mXn/PrF/3+/8AsaPMvP8An1i/7/f/AGNWKKAK/mXn/PrF/wB/v/saPMvP+fWL/v8Af/Y1YooAr+Zef8+sX/f7/wCxo8y8/wCfWL/v9/8AY1YooAr+Zef8+sX/AH+/+xo8y8/59Yv+/wB/9jViigCv5l5/z6xf9/v/ALGjzLz/AJ9Yv+/3/wBjViigCv5l5/z6xf8Af7/7GjzLz/n1i/7/AH/2NWKKAPBtdaf/AIbe8PEwoH/4Qqb5fM4/4+JO+K9x8y8/59Yv+/3/ANjXievf8nxeHf8AsSpv/SiSvdKAKzNdN960hP1l/wDsaXfd4x9lix/11/8Asa84+EfxF1fxh4/8d+HtQs7GC28O3yW1q8CuHkUgnL5YjPHYCuftPjNr/wDa3xThk8OwahH4N8r7Fb2YcTXO5cneSWHHsOlTzKyf93m+Wn+aHZ3t58vz1/yPZg10v3bSEfSX/wCxrKGgWA8VHxT/AGNb/wBsm1Fn9qNwxbyQxYIBjAGST0zXlPwU+KnjnxzqdhcXE3w7vdKulJuLbStQmGoWJxnEkcowxHQhe9chqvxb+IHij4sT6b4e1Hwv4Zh8N6g8R0XWb6S2udZTgbslNu3qVwR15zV2fOl11/yf5kppxbvp/TX5H035l5/z6xf9/v8A7GjzLz/n1i/7/f8A2NOsZJprKCW4hEMzxq0kYfeEYjldw64PfvU1DVmCd1cr+Zef8+sX/f7/AOxo8y8/59Yv+/3/ANjViikMr+Zef8+sX/f7/wCxo8y8/wCfWL/v9/8AY1YooAr+Zef8+sX/AH+/+xo8y8/59Yv+/wB/9jViigCv5l5/z6xf9/v/ALGjzLz/AJ9Yv+/3/wBjViigCv5l5/z6xf8Af7/7GjzLz/n1i/7/AH/2NWKKAK/mXn/PrF/3+/8AsaRmum+9aRH6y/8A2NWaxfGuoa7pugy3Ph3RoNWvxwsU92LeNBjl2bBOB6AEn9amUlFXY4pydkaANyOlnCP+2v8A9jR/pH/PnB/39/8Asa8u+B3xO13xz8INV8YaxY6bbahZTXcaxWocRHylyM7mJ+vI/CuJ+C/xu8ZeOta0qO9134WWkN3KRNpqXF0mpKoJ4VWJTf7ZNXZ8/J10f3kt2jzdNV9x7l4f8PafoE+oT6RottbTalcG6vZROzPPKf4mZgSfYdB2rWDXS/dtIR9Jf/saTVprq30q7uLG1S6u4oXeCB5RGsrhSVUuc7QTgZ7V87+FPjx4y1D4p6L4XeLwFr9rqczJMmgX8zz2Cjq0jyAI2PRRzjjFKPvSUF/Xb+ug5aRc2fRJa6JybSEn183/AOxoLXRxm1iOPWX/AOxr528Z/HPxfYfFXxB4R0/VfhroltpciRwyeIprqKS43D+Exkg478Ct/wCN/wAXPEvgdfB1vp914MSXXFb7TqGoyTfYYiqZ3K8Z3bSeASD1FSpJxUujt+I3FqTj1X6HtZe7IwbWIj/rr/8AY0ha6IwbSEj/AK6//Y1x/wAF/E2seK/C76lrOr+D9Ul84qkvhueWSAL6N5nzBq5n4/fGJvh9qmj+HNKj0j+2dWV5FuNXujBZWkSjmSQr8x9lHJ7elVL3Wk+oo+8m10PVg10BgWsQHp5v/wBjQrXS/dtIR9Jf/sa8TPxe8SWnwN8S+OJNQ8B67qGlEeQdDuJ5bUjIGJA+11bn15q38CviZ4n8b635Oq+I/hlfWv2bzDbaDc3LXiMRxuWXjA74ppXk49tfv1E3aKl3PYXkvNjf6NF0P/Lb/wCxrxH9h1rhf2ddH8uFHH2y85MmP+W7+1e7Sfcb6GvDv2GP+Tc9H/6/Lz/0e9IZ7V5l5/z6xf8Af7/7GkDXIORZw59fN/8Asa5D46+MdQ8A/C7WPFWl21rc3djGGjjuQxjYkgc7SD+tZvjf4g6toX7P7/EO1s7KTUhpMV75EisYd7oGIwGDY59alzSjKXa1/nf/ACKUW5Rj3v8Ahb/M9BZrpvvWkJ+sv/2NNlFxLC8MlpEUdSrDziMg/hXg/j345+JdF07wPHZ6f4d06bxJpcd9Nq2tSTR6bbuy5MWYwWz6ZPcVva38UfF/hn4K6n4z1jQ9C1nUbWURwHQbx57OdT0lzguijuDzx2pzXKpc3TR/fb+v8iYPmcbddf1PSvC+iWfhjQ7bRNB0i3sdPtgVhgSdiFBOTyQSeT3NafmXn/PrF/3+/wDsa8V/Zx8UeO9e1K+utd8SeEvE+lamzXkUukaizyaaT0tzE6htg6DqQc5Jr3KtJxkvi3ZMZJ3sV/MvP+fWL/v9/wDY0eZef8+sX/f7/wCxqxRUFFfzLz/n1i/7/f8A2NHmXn/PrF/3+/8AsasUUAV/MvP+fWL/AL/f/Y0eZef8+sX/AH+/+xqxRQBX8y8/59Yv+/3/ANjR5l5/z6xf9/v/ALGrFFAFfzLz/n1i/wC/3/2NHmXn/PrF/wB/v/sasUUAV/MvP+fWL/v9/wDY0eZef8+sX/f7/wCxqxRQBX8y8/59Yv8Av9/9jR5l5/z6xf8Af7/7GrFFAFfzLz/n1i/7/f8A2NHmXn/PrF/3+/8AsasUUAV/MvP+fWL/AL/f/Y0eZef8+sX/AH+/+xqxRQBX8y8/59Yv+/3/ANjSF7phhrWIj3l/+xryL45fFDxt4D8ReHrex8M6T/Y2p6xb6cby7umkll8w/MUiTGzAB5Zjk/w1L+0f8Udd+HT+GYdFbw5AdYupIZrrWzKLeAKm7cTGcgduh6ip5lyqXnb56f5ofK728r/L+keieJ9BsfE2jvo+uaPb3unu6SSW7XDKjlGDLuCgbhkA4PBxyK0oxPHCkMdjAsaAKqCTAUDoANtcZ8EvFWteLfD1xqGs6z4L1V1m2xSeGZ5ZIVXHR/N+YNWR8XviT4g0Lxv4c+H/AIL0nTb3xHrwlkjm1OV0tbaOMbmZwg3HIzjFU/daj3/y/wAvyEnzJy6I9M3XWNv2SHHp5v8A9jSA3IORZwg/9df/ALGvAP8AhobWPDug+Nrfxt4csD4l8LSwxCHTLh/s96ZWCqVLjcoBIznJPtWhp3xa+IXhzxz4Y0X4l6H4Zi07xPDI9nc6PPMWtWVN+2USDDEjA+XHrntQtbef+Vwen9dj2/8A0j/nzg/7+/8A2NLuus5+yxZ/66//AGNfONx8d/iVc+CtU+J+j+E/DbeCdMvTbyW1xdTf2jMiuEZ1IHlgZYdQcc9a+hNG1u01PwxbeII8raz2ouhnqFK7qNouT6fqr/kH2uX+tNy0GugTi1iGev73/wCxpfMu/wDn1i/7/f8A2NfN8/x5+JVx4H1D4paT4S8Nt4IsLwwPaz3U39oyoJAjOpA8sckHkHHvXTah8XPGXinx4fB/ws0fQJJ7bS49Su7zXJpRFtcDEaLEM7skck4pf1+F/wAh/wBfjb83/SPag92BgWsQH/XX/wCxr5c/4KOtM3wu8OebEif8Tvs+7/lhJ7V7P8APiRN8S/BkuqX2mR6ZqdndPZ3tvHIXQSIcEqTzg+h6eteO/wDBSP8A5Jd4b/7Df/tCSqasSnf+ux7d8S/Ct142+Ed94XsrmC2nv7NY0lmBKKcDrjmoNa8ASQ+LtB8UeE5LDSb+zYQakgh2R31ofvIwUcsOqk9DXU2gsYNKtZbq48gNGvL3DIM47c4qSKbSJZVij1CN5G+6q3hJP0G6ktHdDlqrP+r/APDHnVn4E8T6R438Va3Zaf4T1a3129S6j/tGSRJYNsapt4icHpnr3roviX4Rv/GHguC1hubXTfEFnJFeWFyoLxW91GQVPQEpng8DI7V0ty2mWrhLm9WFiMgSXZUkfi1OnGn28ayT3XlI33We6ZQfoS1L7KXa1vlsO/vN97/jucl4W8D3mlfDfUdDvdQhu9c1ZZ5tRvghCS3M2SxA67ATgDsoFZ/wu8KeLPCej6Dot1o/g94dNtIrSW+t5pRcSKiBS4BhAycZwW/Gu5im0iWVYo9QjeRvuqt4ST9BuqdobNZViaZxIwyqm4bJ+gzVJ2bfe34Xt+ZL1VvX8d/yOJ0L4cwpc+O4vEH2TUdN8U6h9p8gKfkj8lI9rZ75TOR7Vk/Cz4Wat4XuvFY1/wARf21BrCR21vMVInW3jiESeaejOFABYdcZ716a1vaq6xtJIHb7qm4bJ+nNO+xw+s3/AH+f/GpsrW8rfJaFXd79b3/U850Pwt8RdC8GQeCdP1Dw5Np9rbCxtdTn84XCQBdqloQNrOq4H3wDjPHSqviX4U3I8E+CfD3h24sZ18LXkFxt1LcEuxGuCG2q2CxJPQ16PLJpMMvlS36RydNjXhB/LdUtxHY28fmXFwYU/vPcso/Mmqbb1b1un81sJK2i21X37/10Mvwfa65ai4j1bSfD2nRkgxjSpXbce+4NGnt61neIPBv9r/EvRvE9x9imstPsLi2e3mi3szSFSGGRjjFdBFJpUys0V8kgXG4rdkgZ6fxVYe1t0Qu7yqo6kzuAP1o6qXb/ACt+TDo13/zucd8RPAY8SXXhT7CLC1s9F1db6a3eL5ZUCkFVUDGcnPNR2fgGTSvHuoalos1paeHNasjHqulrHtBuB8onjAG0Eqdreu1a62eTSoCBPfJESMgPdkZHry1Pxp/krN9q/dOcK/2ptrH2O7mpt+v4q39eY27/ANdnf9TgvCPhj4geCdAHhjQbzw9qulWzONPn1BpYZ4ImYlY3WNWWTbkgEFcjAwOtZ2rfCG8uPhlqXh2PWoZ9a1bVk1XUb+aEpHJKHQkKi5KqFRVAyenJr1KS3tYwDJJIgJwN1wwyfTrQLa1MhjEkhcAEr575A+mapN35uv8Ak0/zSv36hf8Ar8P1Z5l4o+Etxq3xKj1uDV1t/Dt60FxrmlYb/TbiAMIn9ACCu4d/LT0rpvBXhG70Hxt4x16e6glh167gngjQHdEI4VjIbPHVc8V0/wBntfM8vzJN+N237Q2ceuM1W8/R/M8v+0Yt+cbftpzn0xupR0Vl5/jb/JfJWE+/p+Bh/GDwnd+NvAtz4fsrqC1mlngkEkwJUCOVXI455C0z4teEbzxl4Bl8OWd1BbTvNbyCWUEriOVXPTnkLXVfY4fWb/v8/wDjR9jh9Zv+/wA/+NC0++/z0/yDrfyscR4q8E6ufG1h458KajZ2+s29j/Z91bXqMba8g3BgCy/NGynJDAHqQRS+K/D/AI08XeCNe0HV5tAsGv7XyLdbVpZgrZB3u7BeMDG0L+Pau2+xw+s3/f5/8aPscPrN/wB/n/xpOKcXF7a/juOL5Wmt9Pw2PPtH+HmpeF9c0vVvCN/Z2Qkhht9f090Itr0Im0TxhR8kw9ejDhugNZ3hjwH4s8M6rr81ppvg/VotT1iTUYpr2WVJogyoAnETdNmcg969S+xw+s3/AH+f/Gj7HD6zf9/n/wAaq7vf1/Fp/mibK1vT8Lr9Tlfix4Tv/GvgddDt7m2tLk3dpcM77ig8qZJGAwM87SBxXYRrtjVfQAVD9jh9Zv8Av8/+NH2OH1m/7/P/AI0lomvO/wCS/QLap/I8++J3hDxX4z0jU/Dlzb+ErjTL0FIb25ilNxaKcfMseCGdcZDB15xwMc17X4VTXnjC31XxDrl9c2ek6XHp+jizv7i1nTp50srxMpLNtTjJGBXpP2OH1m/7/P8A40fY4fWb/v8AP/jSSt/Xlb8mxvX+vNP9EeTXnwh1C1PjnT9A1rZovirSmiaC/uZ7mWK+IK+dvcsSrKeec/KK6rwtpnja30CLw/rFv4eS0i082ontLuZ5CwTaDtaNRj15rr/scPrN/wB/n/xo+xw+s3/f5/8AGhq8XF7NW/P8rjv7yl1X/A/yR5l8K/Bfi7wXoej6HLpPg66isP3b36TSrcOpYksB5P3sHpu/GrPxP8G+K/G2j6l4bvIfCUum3mUhv54pTc2iEj5kjwQZFxkMJF5wcDFeifY4fWb/AL/P/jR9jh9Zv+/z/wCNVN87vIUfd2GaNZf2bpNpp/2iW4+zwrF5spy77RjJ96t1X+xw+s3/AH+f/Gj7HD6zf9/n/wAaG23diilFWRYoqv8AY4fWb/v8/wDjR9jh9Zv+/wA/+NIZYoqv9jh9Zv8Av8/+NH2OH1m/7/P/AI0AWKKr/Y4fWb/v8/8AjR9jh9Zv+/z/AONAFiiq/wBjh9Zv+/z/AONH2OH1m/7/AD/40AWKKr/Y4fWb/v8AP/jR9jh9Zv8Av8/+NAFiiq/2OH1m/wC/z/40fY4fWb/v8/8AjQBYoqv9jh9Zv+/z/wCNH2OH1m/7/P8A40AWKKr/AGOH1m/7/P8A40fY4fWb/v8AP/jQBYoqv9jh9Zv+/wA/+NH2OH1m/wC/z/40AeJ69/yfF4d/7Eqb/wBKJK90rwbXbeMftveHo8ybf+EKm/5aNn/j4k75zXuP2OH1m/7/AD/40AeOSfC/x/4V+IXiLxT8NfEugRweIpFmvbLXLOSQRygY3RtEwPrwat+BPhR4n8LaN4o1ODxjbv438SXC3NzqRsFa2iK/djWInlRyMk5xXqscNnI7pHM7shwwW4YlfrzxQkNm7uiTMzJ99RcMSv154pRVo8q7W+Wmn4Ibd3d97/PueH23wY8Xa58SdD8ZeMdU8I2M2jSmVG8OaW9vNdkjgSyOxyB6c9T61lfEv4cfFjx9rt34L11/B914clT7RH4jk0fF7ADIcQph8CRVAG4KARjnOa+goV0+aQxw3XmOOqrdMSPw3Vla54h8L6JrelaJqmqm21HV5GisYDLKzTMoBI4yF4I5bFNJe6unYWur69/Q0vDGlLoXhzTdFjuJblbG1jtxLL99wihcn3OK0ar/AGOH1m/7/P8A40fY4fWb/v8AP/jTlJybbFFKKSRYoqv9jh9Zv+/z/wCNH2OH1m/7/P8A40hliiq/2OH1m/7/AD/40fY4fWb/AL/P/jQBYoqv9jh9Zv8Av8/+NH2OH1m/7/P/AI0AWKKr/Y4fWb/v8/8AjR9jh9Zv+/z/AONAFiiq/wBjh9Zv+/z/AONH2OH1m/7/AD/40AWKwPH1v4suvD0lv4NudGt9SdgpfVYpJIfLIIbiMg59K1/scPrN/wB/n/xpsltbRoXkkkRRyWadwB+tTKKkrMcW07o8a+BHwx+JHw+8Oal4YvfEfhptNuRcTwXFrZyvcRXMmMMRIdjIOflxz61S1L4M+NvF/inw/e+Oda8IxafoN8l7D/YekvBc3LocgSM7EKDjkLx/Ovb4lsJYmljuS8a/eZbliB9TuqJZdJZgq6hGSTgAXh5/8eq7vmUuqt+GxNvdcejv+O5w/h2L4n6p4u8YXF9qX9jaB5ZtNAt5rWGR1kH/AC8nAyV9FZufauI1X4K+N/GHjHw9qvjbXvCltaaDdrdRNoGlvBc3LKwIEjsx2g4528e1e8/Y4fWb/v8AP/jUMa6fJKYY7rfIOqLdMSPw3Uo+64vqv06jlqmuj/qx5J8T/hx8SPFi6vocOveDG0DVMq095ojNf20bfwoytsYgdGIzWlP8PfGPh3wj4d0DwHrfh6a30izFrJB4h0xp0mI/5aho2DK3bb05r0mZdPhkEc115bnor3TAn82p88NnAnmTTNEn957hgP1NJKyt/Wn/AA/9Mbd3f+tTx7wB8IPFXgfwX4p/4R/xVp9t4w8QXAujdx2CrZ2r5+7HEQw24J6j8Kk+JHwm8UeIdd8JeM9N13RT4s0K3MFwdRsTJZ3m4YclFII5Jxj9K9eit7WZBJFK8iHoy3DEH9aZcJYW+PtFyYs9N9yy5/M07arytbysrflv36iXXzvfzv8A18jyDwP8IPFPhvTvFGrReJNFj8V+IbpbiXytLzpsYVs+UISclW6Fs7hn1pfBvwi8SN8WrL4keNtU8Oi+063e3tbPQNPa3hYMpUtIzksxwen/AOqvX4IrK4TfBO0q5xlLlmH6GhI7F5mhS4LSr95BcsWH1GaadpJ9tvLS35f57ieqafXfzLcn3G+hrw79hj/k3PR/+vy8/wDR717S9nDsbmbof+Wz/wCNeI/sO28cn7Oujsxkz9svOkjD/lu/oaQz1H4o+D7Px94E1TwnfXMtrDfwmPzogC0bdmweuD2ryXUfhT8YNe8C2/w613xx4Xj8MpEltLdWemyi+lgTACnc3lgkAAkAV7tLb2sUZklkkjQdWa4YAfrSNDZrD5zTOseM7zcMFx65zS5Vr52v8th3enked+LPBfjqGx0/SPBGq+FX0G0sI7I6Z4h0xrhMINocPGwJOBjB4rnPAXwf8X+APBeuJ4Z8UaTDr2qX/wBveAaZ/wAS1B3t0i3ZVCOMgggV7LJHYxxCaS4KRno7XLAH8c06OGzki82OZ3j/AL63DEfnmm7+876vr87/AJ/5bCSVkraL/K39ffueF/Bn4X+Lbj4hWnxX8cW+heHtW+yPAdI0Wy8hX3ZG+dt7bm+hPavf653wxr/hjxNNqcOhaob59Lums7wJJKPKmXquTjP1GR71tfY4fWb/AL/P/jVN6JLbp89f1FbVvr/loWKKr/Y4fWb/AL/P/jR9jh9Zv+/z/wCNSMsUVX+xw+s3/f5/8aPscPrN/wB/n/xoAsUVX+xw+s3/AH+f/Gj7HD6zf9/n/wAaALFFV/scPrN/3+f/ABo+xw+s3/f5/wDGgCxRVf7HD6zf9/n/AMaPscPrN/3+f/GgCxRVf7HD6zf9/n/xo+xw+s3/AH+f/GgCxRVf7HD6zf8Af5/8aPscPrN/3+f/ABoAsUVX+xw+s3/f5/8AGj7HD6zf9/n/AMaALFFV/scPrN/3+f8Axo+xw+s3/f5/8aAPF/j18NfiZ8Q9b0v+zda8J2ekaPqMWo2KXFvOZzKgPEhU7SvPQAH3rqPEOh/FW+0PSZrXWPBR1iBHW+trvSpZbGUkjDxnf5qEAYxkg5PoK7uddPgYLNc+Ux6B7pgT+bU6aGzhj8yaZ40/vNcMB+eaSVo287/Mbd3f5HiHhz4a+MPhp4O8Z65oNzDq3jjxJJG0cenWscFpaybiAyI+RtXcWJOenStDxZ8LfG+rXfgrxnZeKdNHjvw9bvFc3F5aH7JeeYuHDJHtIxnjbj8K9fhgtJoxJDK8iHoy3DEfzptxHY24BuLgxA9N9yy5/M09reVreVlay+T179Rd/O9/O9t/u07Hhcn7PN5r3hzxnJ4w8SQT+JvFMkUz3VjbFLezaJtyBFYliuQM5OcVf0n4ReNtd8ZeG9c+JniTRL618MwvHY2mlWkkYnZk2b5jIx5AwflFeywx2MyF4bgyKOrJcsQPyNEC2E7FYLkyleoS5Zsfk1C06f1awPX+u589t8A/HkHhHVPhrp/jTRovA2pXxuJHkspG1GNC4cxqd3l4yoHSvVrHwr4p0/xPp1nZ69Zr4FtdKNnLpTWymaSTbtD+ZjIHtnHtXXtDZrMsLTMJW+6huG3H6DNSfY4fWb/v8/8AjR0t/T0tr6Lb79w63/rdPT1t+mx86n4BePIfB2o/DOx8aaNF4Fv703Du9lI2oxoXDmNTu8vGVA6V0ep/CHxZ4d8f/wDCYfC7XtFsZrjS0027tdXtpJIiqY2uvlkHdx34/lXrpm0gHnUIx/2+H/4qp3hs0i815nWPGd5uGA/PNHT+u1tfkH9fjf8AM4v4FfDhPhn4Pk0mTUjqd9dXL3d7dGPYJJXOTgZOAK8Y/wCCkf8AyS7w3/2G/wD2hJX05Fb2ssYkikkkQ9GW4Yg/rXy9/wAFHYUi+F3hzYX/AOQ3/FIzf8sJPU05NtiSsfSb6PpOs6FZ2+saXY6jCkassd1brKoOOoDAjNeV/s4eG/D6eHNd1GHw9pH2+28SamttOLOMSRhbhwoVtuVA4Ax0rTuPjZ4d0aeTSbjw342nms2MDyW3h+eWJyvBKOBhl44I61Q0n40+BdJhlh0vwL42sopZnnkSDwtOgeRzuZyAOSSSSe9Z80bvXdW/Ff5FuMmkrdb/AIP/ADG/s/6H4Y8VeBH1zxNpum634knupxrMuoRLcSwTh2Biw4JjVegUYGMUfBDSdL1b/hMtJltLTWvB+n648egrdot1FEgUeYkRcH5FfcBjpjA4rJ1n4g/CLWb+TUNV+Ffii8u5P9ZNL4QmLv8AU7efxrdsPjl4M0+yisrHwX45tbaJQscMPhedERfQADAqlOOvpa3Tda/hp679yUZPp1v+f+ZD+zX4e8NQ+F9V1RtB0iO6tfEWqCO5+xxiSJVupAAGxkAAYHoBXBeIdUu/FVxrnxN0vR/EE+s2F6p8LyQaXPLA1pbn5gJFXbtmYOxPowHau5tfjB8PbXTbnTLX4f8AjOGyunkeeBPCkypK0hJcsAuCWJJPrmrGnfG7wTpumwabp/gnxxa2VvEIYbeLwtOscaAYChQMAAdqXPs09Ulb101/D7mw5Hrpu3f0ben4/giDVNf0/wAVfFf4R+ItKk8yz1CxvriI9wGhU4PoR0PuK9sr58u/HnweurG0sbj4T+JpLWzeSS2iPg6XbCzklyg2/LuJJOOta+g/GPwBoNj9h0XwH420+13FvKg8LTquT1OAKrnhay8/xdyfZzvf0/A48afeS618XL+1+H/hzxOIdZIaW8lH2qIfZYc+XGYiHAHzY81MnPTrVjxlZ2svws+EFnpt9D4vhfWLURTamxRLvKk4lyJCgHTBDkYxziursPjR4DsJr2ay8C+NraW+l867eLwrOpnk2hdz4HzHAAyewrKuviL8JbrR49HuPhb4ol06KdriO1bwfL5aSsxZnC7cBiSTkdzURlGMYq+3J/5L/Wn436XKLcpStvzf+Tf1/XXubz4f22u+A9c8P6h4T8N+HJNQj2I2iy+byBlHLGCIhg3Tg/XmvPl8SX3xD8IeH/hbdXRTxBJcPaeJgp+eOC1bbI5HbzcKy+oJrS8OfFX4aeHGmbQfh14y00zYEpt/Cs6b8dM4HvU1l8X/AId2Wt3uuWfw+8ZW+qXyqt3dx+E5llnCjCh2C5bA9apShzavTT71t8u/cXLK2i11/Hf/AIHZlC40Nrz9ozxNa2Pg/wAMa7FbaBpyrDq8/kpAu6YDy8W8vYYPC9B17Wv2gfDmnalY/Dfwxf6XaWVjda+kU9nYOVijJjcnYQqdG5B2j6VU134ifCXXdTbU9Y+F3iq+vmQRtcTeEZmkKjopbbkgZNW4viv8NY7XTrVPh14wEGmS+dYp/wAInMRbPz8yfL8p5PI9aSlFpKT6p/jcbjK7cVurf+S2OV+Iuuarptn4e+HHi6czaxpviWxk069f/mJ2P7wJL/10TGxx1yA38VenaFLHB+0t4ngmYRy3Xh3T2gVuDKElud5X1xuXPpkVgaz8X/h3rVxZXGr/AA+8Y381jL51pJceE5naB/7yEr8p9xUXiP4sfDXxIkSa98OvGGpCE7ovtPhOZyh9iV4pxqpLV3d3f5pL79Lvv5dFKDd0lpZfhK/3du356xZLz9pXXZbZlmSy8IwQXLKciKRpp2Cn0JXnHpiuc/Zt8PPdeBtKvZvAXg26tjf3jHU57jN7xdS/N5f2UjIIwP3vQdR0rS0L4v8Aw70Kwax0b4f+M9PtmJLRW/hSZFYnrnC81i23jT4L210t1b/CTxLDMsnmq8fg+ZSHzndwvXPNEJxjZX/q7f69wnGUk9Ov5RUf0PoiivI/+F/eF/8AoVfH/wD4TVx/hR/wv7wv/wBCr4//APCauP8AClzx7hyS7HrlFeR/8L+8L/8AQq+P/wDwmrj/AAo/4X94X/6FXx//AOE1cf4Uc8e4ckux65RXkf8Awv7wv/0Kvj//AMJq4/wo/wCF/eF/+hV8f/8AhNXH+FHPHuHJLseuUV5H/wAL+8L/APQq+P8A/wAJq4/wo/4X94X/AOhV8f8A/hNXH+FHPHuHJLseuUV5H/wv7wv/ANCr4/8A/CauP8KP+F/eF/8AoVfH/wD4TVx/hRzx7hyS7HrlFeR/8L+8L/8AQq+P/wDwmrj/AAo/4X94X/6FXx//AOE1cf4Uc8e4ckux65RXkf8Awv7wv/0Kvj//AMJq4/wo/wCF/eF/+hV8f/8AhNXH+FHPHuHJLseuUV5H/wAL+8L/APQq+P8A/wAJq4/wo/4X94X/AOhV8f8A/hNXH+FHPHuHJLseuUV5H/wv7wv/ANCr4/8A/CauP8KP+F/eF/8AoVfH/wD4TVx/hRzx7hyS7HrlFeR/8L+8L/8AQq+P/wDwmrj/AAo/4X94X/6FXx//AOE1cf4Uc8e4ckux65RXkf8Awv7wv/0Kvj//AMJq4/wo/wCF/eF/+hV8f/8AhNXH+FHPHuHJLseuUV5H/wAL+8L/APQq+P8A/wAJq4/wo/4X94X/AOhV8f8A/hNXH+FHPHuHJLseuUV5H/wv7wv/ANCr4/8A/CauP8KP+F/eF/8AoVfH/wD4TVx/hRzx7hyS7HrlFeR/8L+8L/8AQq+P/wDwmrj/AAo/4X94X/6FXx//AOE1cf4Uc8e4ckux65RXkf8Awv7wv/0Kvj//AMJq4/wo/wCF/eF/+hV8f/8AhNXH+FHPHuHJLseuUV5H/wAL+8L/APQq+P8A/wAJq4/wo/4X94X/AOhV8f8A/hNXH+FHPHuHJLseuUV5H/wv7wv/ANCr4/8A/CauP8KP+F/eF/8AoVfH/wD4TVx/hRzx7hyS7GPr3/J8Xh3/ALEqb/0okr3SvkrV/izoc37V+i+Kl0HxaLSDwrLaNbtokwumYzO25YsbimD97pnNes/8L+8L/wDQq+P/APwmrj/Cjmj3Dll2OK+AWsaRoXxz+LtprWpWemXEupxSxx3cywl02n5huIyOR+dc34GXT/EOs/HfUIfFUWg6PqV1Dawa8r7Yo3C4OHyM88HB7123ij4hfCLxTcpdeJPhT4l1eeNdqSXng2SVgPTLLmr1v8Wvhtb6AfD8Hw58XRaSU2GyXwjKISvps24qE48iTe0eX8tfwKalzNpby5vz/Vnl3w2XQ/ht8S/CWh674U8KX2pXbtBZeIvC2ru8kpCjJuYCcnPUk8Z6A4rM8faHo/hXWPEvjvVz4N+J2i3V+0zSPrDW+r2BD7THHyQQhGAF547V6p4a8ffB7wzete+HvhN4j0q5YYM1p4MkifH1C5rDl1n4JzfEN/HE3wy8Yyak0IjMTeEXMG8MW87b5eTKc43E9AK09ouaLvtf/Pb5bqxCptJq3b+r/PzPofwbfW+peEtI1CziuIre4soZYkuCTIqlAQGJ5Jx1PetavIl+PvhVVCr4T8fAAYAHhm44/Sl/4X94X/6FXx//AOE1cf4U5VIuTdxRpyUUrHrlFeR/8L+8L/8AQq+P/wDwmrj/AAo/4X94X/6FXx//AOE1cf4VPPHuVyS7HrlFeR/8L+8L/wDQq+P/APwmrj/Cj/hf3hf/AKFXx/8A+E1cf4Uc8e4ckux65RXkf/C/vC//AEKvj/8A8Jq4/wAKP+F/eF/+hV8f/wDhNXH+FHPHuHJLseuUV5H/AML+8L/9Cr4//wDCauP8KP8Ahf3hf/oVfH//AITVx/hRzx7hyS7HrlFeR/8AC/vC/wD0Kvj/AP8ACauP8KP+F/eF/wDoVfH/AP4TVx/hRzx7hyS7HrledftAabpmseDYtPvZvDoupLpTYwa9fS29lPIAcrJ5RDONm8heRkA9qyP+F/eF/wDoVfH/AP4TVx/hWd4i+MHw88R6c2m6/wDD7xjqtmxDGC78JzSpkd8MpGamTi1uVFSTvY8z/ZgstLtfjF468Darpumym+sCZrfQbpptFEJKhlCt8ysc4yT3I4zTv+Fc+BPGn7Rll4e8EeF9N0zw/wCEJFvNav7RDme5BzHb7iemRz6gH0r0Lwx8VPhj4XtXtfDnw18WaRDIculn4RliDH32qM0/w38WPht4biuIvD/w68X6UlzJ5s4tPCU0fmP/AHmwvJ9zWiqRUoyv8K+99PkvzM3Tk4yVvif4dfvt8j0zVPEPhDUH1rwrc69aJcWti76jAlz5cttblcFyQQUGD97PFfMHh/w/4G8W/G/w9rXwtksvC/h7QLn/AE7V2vfLl1aUMD5MaO2+QHG0seCGPXgHutD8cfDHTNR8R6jL4M+IeqXfiN2/tGW/8NTSmSMjHkgBABGB/Dj65qva+IPgJa3MVzbfBHWIZ4nEkcieB3DIwOQQdnBBqac1GcZt6r8/1S/PyLnFuEoJb/l/wfy8zzf4w+HZ9I1j4i6p4s0jw34s+1tLJp2sT+J0hudJAU7I0gILlwSuFUAZGM12raHdeJfg34Aj19vBt34nTTd5tPGWo3EUb25HDiONhukztGWHAJror3xz8Gr3Xjr158IvENxqrP5hvJfBcjSlvUsVyTVzxR8TvhZ4phhh8SfDHxVq8cP+qW88HyyhPpuU4qYuKp8t+34X/HXf797jkpOfNbv+Nvw0OX/Yz8TaB4d8AeLYdWvDYQaPqJN7dveCTTkySALdv4V9uc8cmtr9pLw1Z+Ptf8H3+l654CnW0hku1svEV68cF5C4wGAjGWXJB6jtV8fE/wCFq+G38NL8MfFS6LIu17AeD5RAw9024NQ678RvhLr2nWuna18K/E2o2dmoW2gufB0siQgDACgr8ox6VVScZtNva34K3+RMIyjfTe/4/wBM4jwD8V5PDPwa8UDwt8P9L0/VtP1Qacj6GJbiwlmfj7QMBnKqOcDOcds1ifADU/C+i/tPCKyvtb1GbUtISO4vbzT7hJbm9cgySOrqCik55IAHrXs2ifGfwFoenR6do3gPxpp1nEMJBbeFJo0X6BVxUSfGD4eJ4gfxCvw/8Zrq8kIge9HhSbzmjHRC+3OPaqjUipqTd+n/AJLb89fu3siZU5ODilb/APaT/wCB9/c9tk+430NeHfsMf8m56P8A9fl5/wCj3rVf4/eFyhH/AAivj/of+ZauP8K8o/ZM+LWheFPglpmjX2geLryaO5uWMthok1xCQ0zMMOowTzz6Gp5l3K5Zdj1v9ruGWf8AZ78UrDE8hW3DEKucAMCT9AK4L4qeLvCs/wCxulnb+INMmuZ9DtreKCO5VpGl2KNgQHOc+3FdxL8evCksbRyeEfHrowwyt4ZuCCPQjFcnYeMPgjYasurWXwb123v1cutxH4JdXDHuCE61D5ZKUW9JW/C/+ZS5k4yS1jf8bf5HOeO/BT61ofw9Da/4VfUNG8O24ufCfiW6aG3nBjA8z5WBDg8DIxx1qHw3deGfGvwP8VeDdFmtfhhPFq4tJm/tP7Rp8lwSP3cUoIAjfuF9e9dx4q+JPwn8VPE/ib4W+KNYeIYja98HSylB6AspxRN8SvhXJ4Yk8Mf8Ky8VLozrg2S+DpPJHvs27c/hVzqKXPf7Tbt87/1uvyIhTlHkt9m2vorbf0zlfgFc6H4W+Mdn4MufBfh6x16XTXZNX8L6q09ndRrnJliPKnjgtznsBX1LXzl8L/Gfwo+HGix6b4Z8A+OomVcSXknhWX7TPznMjqg3V2P/AAv7wv8A9Cr4/wD/AAmrj/CrnVi7a7f5kxpSTen9WPXKK8j/AOF/eF/+hV8f/wDhNXH+FH/C/vC//Qq+P/8Awmrj/Co549y+SXY9coryP/hf3hf/AKFXx/8A+E1cf4Uf8L+8L/8AQq+P/wDwmrj/AAo549w5Jdj1yivI/wDhf3hf/oVfH/8A4TVx/hR/wv7wv/0Kvj//AMJq4/wo549w5Jdj1yivI/8Ahf3hf/oVfH//AITVx/hR/wAL+8L/APQq+P8A/wAJq4/wo549w5Jdj1yivI/+F/eF/wDoVfH/AP4TVx/hR/wv7wv/ANCr4/8A/CauP8KOePcOSXY9coryP/hf3hf/AKFXx/8A+E1cf4Uf8L+8L/8AQq+P/wDwmrj/AAo549w5Jdj1yivI/wDhf3hf/oVfH/8A4TVx/hR/wv7wv/0Kvj//AMJq4/wo549w5Jdj1yivI/8Ahf3hf/oVfH//AITVx/hR/wAL+8L/APQq+P8A/wAJq4/wo549w5Jdj1yivI/+F/eF/wDoVfH/AP4TVx/hR/wv7wv/ANCr4/8A/CauP8KOePcOSXY8w/ab0/4aa3repeE9D0601b4jao6M95c35SPSUBXMjyO22MAD7i8ndnHr0fjLwdYSfDPwb4dl8QeCfE2s2Fuyo/ifVJltLmPje6rE37xlbYAWzgZ6ZqPWPFnwP1nU59T1b4Na7fX1w26a4uPBUjySN6liuTVi78dfBu70O20K6+EfiGfS7Ulre0k8FyNFET1KqVwM+1TFpU+W/VP7u39a/dapKTmnbo/x/r5GF+xfrmj6DonjvT9QmFomkXomvbmG783S4kO7/j3P8K8HOck8c8Vu/tG6LpnxLPgq/wBD8ReBbiGFpr6G31+8eO3v4SoQldgywBI6Edqh13xz8L9S8DXHgu18E+P9E0W5KieDSvC8tv5iBgxQ4Q4VsYOMHBPIq3qXxD+EmqaFZaHqnws8UX+m2KhbW2ufB8siRADA2hl4qpzjO13ty/h1/L8SYxlFvTfm/H+n+Bg/BDXfBOo/D7x34e8TeHNA8MaPo11Guq3uhXsi2N382RsfO/qoGATuBx3xWX8CvDvh3WPjynj7wObPwl4Qht2trSwF2qz6w5VlLmDdlU53fMM5UcdSO3b4lfClvDLeGD8LvFH9iNjdp/8Awh0vkNggjKbcHkA/hWbo3i34H6LqkGqaR8G9dsL63bdDcW/gqRJIzjGVYLkVUakVPmv0t+Fm/wDJbL8k6cvZuKW7v+N/+He5heMLfwnoH7YvgK+sdWgPmxX8moXFxqRm2v5LABmdiE64C8D2r6RfxN4cbxFF4ZbWLI6vcQGeOy80eZJFjlgO4xXgt74j+A97dy3l58E9ZnuJnLySyeCHZnY9SSU5NdBF8WPhrFrVvrUfw58XpqdtB9mgux4SmEscWMbFbbkLjtUwlFU4wb2v+N3+bS9BzjJ1HNLt+H/Av8zzn40/Db4f+I/ilovwq8C+EtKstRuJRf6/qVvGfMs7VTkgHOAz9PxA71P+0L4msb/WL74eatBrOl+ENA01mVbbT7iUapdLGfKRnRSqxI2GJJ5IHSu/0v4sfDXS9ZvdZ034c+L7TUr85u7uHwlMss/OfnYLlvxrRu/jt4PvLSa0uvB/jye3mRo5Y38MXBV1IwQRjkEVDs6ajfu369Pu6eepST5+a3ZL03f39fLQg/Yx1mx1P4E6LaWnn+ZYR+TP5kDou7k/KWADD3Ga4H/gpH/yS7w3/wBhv/2hJXfaJ8afAmiaZDpmj+BfG1hYwDbFb2/hadI0HoFAwK8L/bh+JWj+Nvh/odjp2jeJbCSDVfOZ9T0mW1Rh5TjCs4wTz09K3qVYzldGMKcoRs0fRvi7xHY+E/Cl54h1Nbh7Oyi8yVYFDOR7AkD9RUekeIb6/nCSeE9fsIyhcTXLWuw8ZA/dzs2T24/KsL46aZqGs/CDXtM0qznvLye12xQQrudz6AetO8FXFrb3JWNfHkz+RyurW9yYhtGcLvUDd2HrXz8op8z63Z73M1yJdV/kSxfE3wy3g+78SvJeQx2lw1pPYyRgXi3Ibb5HlhuZCegzg8HOKnvfHKw682h23hvxBf38dkl5PFbrbjyUY4AYvMoLZ4wua83vPCniq68SH4vpoirqUFwHh8OPAokktVG3e3/T2VGQe3C9q6f+xPEGrfFa+1qyvtW8P2NzocCCYWcRZ335MZEqttYA8gYNPkjZd+vlpt/Xp01TnLX8PPX9F/mbE/xO8Pjw3pmuWcOp38epXw0+G2ghVZ1uS20xusjIFIYEHJxxWza+Ipmsr281Lw/rOkQWkRlZrs27bwOoURSvz9cV538SPA66R4S8MaX4fs9aure08QxX19NaF5bvBk3yzZX5txJJ4H0FdLbBbvwlr2n6fH4uuJpLR9g1qGcMzFcBYzIBn6CoqKPs5Sh5/kv+CXBv2sYy2dvzf6WND4d/ELQPHXh+bWdFa8iSDma2u4vLnjG3cpK5IwykMCCQQRUEXxK0Kfw7oWsWtvqdy2vOY9Nso4l+0TMOowWCLjuSwFcTZ+D/ABFovw+8L+JfD2nSL4n07QoLLU9Mf5DfwiIBomH/AD0U52k9+Kl8M+HLWP4NeFdF8Y+E9dmlt4i26yhc3VhLnII8s+YjHjlQQO9a1KdNSlyvRNL87/fpb7jKnUqOK5t2r/l+XXy1O61rxzZ6L4RvvEmsaRrdjFZOEmtZYU84k4xtw5jYHI5Dkdjggir2leILy8mZbvwxrmlQJG0jXF41sYwAM4/dTO2fwryTxJo/jnVvhF4w0ua313UraS7T+w0vox/aLQAqW3KPmwG3bdw3YxmvQfCE1qlxPFDH45uneA5TWYZxEcdlMoChjnHXmolBKLa3/wCAn/n+Ram+aK/rct+G/HFv4gFrc6boevPpd27JbamYI/s8mCRuwHMiqSDhmQD1I4rqVkVmZVkBZfvANkj6143a6Xf6f4l0hvh1pPirQ45b7zNX0++hePTEhI/eYEhKhs9PJJycnpXougQ6fH4o16S18N3WnXTyRfab+WIKl+dgwyNuJbaMKeByKU4R3X9bf57r7hwm72f9b/5bfidDuPqaNx9TSUVibC7j6mjcfU0lFAC7j6mjcfU0lFAC7j6mjcfU0lFAC7j6mjcfU0lFAC7j6mjcfU0lFAC7j6mjcfU0lFAC7j6mjcfU0lFAC7j6mjcfU0lFAC7j6mjcfU0lFAC7j6mjcfU0lFAC7j6mjcfU0lFAC7j6mjcfU0lFAC7j6mjcfU0lFAC7j6mjcfU0lFAC7j6mjcfU0lFAC7j6mjcfU0lFAC7j6mjcfU0lFAC7j6mjcfU0lFAC7j6mjcfU0lFAHj2rk/8ADYug8n/kT5v/AEfJXsW4+prxzV/+TxdB/wCxPm/9HyV7FW1XaPoY0t5eou4+po3H1NJRWJsLuPqaNx9TSUUALuPqaNx9TSUUALuPqaNx9TSUUALuPqaNx9TSUUALuPqaNx9TSUUALuPqaNx9TSUUALuPqaNx9TSUUALuPqaNx9TSUUALuPqaNx9TSUUALuPqaNx9TSUUALuPqaNx9TSUUALuPqaNx9TSUUALuPqaNx9TSUUADMdjcnof5V49+xuT/wAKC0nk/wDH3d/+jmr2BvuN9D/KvH/2N/8AkgWk/wDX3d/+jmrWP8OXqv1MpfxY+j/Q9i3H1NG4+ppKKyNRdx9TRuPqaSigBdx9TRuPqaSigBdx9TRuPqaSigBdx9TRuPqaSigBdx9TRuPqaSigBdx9TRuPqaSigBdx9TRuPqaSigBdx9TRuPqaSigBdx9TRuPqaSigBdx9TRuPqaSigBdx9TRuPqaSigBdx9TRuPqaSigBdx9TRuPqaSigBdx9TRuPqaSigBdx9TRuPqaSigBdx9TRuPqaSigBdx9TXzf+36T/AMK18P8AP/MYP/ol6+j6+cP2/f8Akmvh/wD7DB/9EvXRhf4sTDFfwmev3vh/433F5NNour/D+PTXctaJdWd20yxE/KHKuAWxjOOM1D/wjX7QP/Qb+Gn/AIA3n/xyu2+Iet+IfD/wxfVPDGlPqepRxxBYliaUohIDSCNfmfaMttHJxis7wDrt54u0i8fQfiVo+s5RCk8OmhJ7RjztkhL5GR2YKwr1/q9KV/dPJ9vUSXvHNf8ACNftA/8AQb+Gn/gDef8Axyj/AIRr9oH/AKDfw0/8Abz/AOOVoeCNS+IGt+O/Feg3PjCzSDw/dwQq6aOm6dXiWQ5+fj72OKn+KfjbxZa+I5tF8CW9nd3Gj2B1PVlmiMhdOdlumCNsjYzk5wCDik8PRSTaWuvyte/3DWIrNtJ7fntb7zI/4Rr9oH/oN/DT/wAAbz/45R/wjX7QP/Qb+Gn/AIA3n/xyum8T/EkNpfhL/hEYIL698XOv9nPclhDFGUDtJJt5O1T90YyeM1HY69eaf4vs9F1L4reF72+Mwin0qS2jgnckdIwJSwb0BBzTWFp8zjy9bfMn61Utfm6XOd/4Rr9oH/oN/DT/AMAbz/45R/wjX7QP/Qb+Gn/gDef/ABymQ/ES/vPHni7RtT+I/h/wtFpOpraWVtc20RkmjMSNuJeQE/MxHA7V7TZCRbOFZrhbiQRrvlVdokOOWAHTPXFJYak4qXLvZ/erjeIqqTjzbHjP/CNftA/9Bv4af+AN5/8AHKP+Ea/aB/6Dfw0/8Abz/wCOV1Pxs8Wa74Ts9JuNOja10ye5K6rqwsnuxp0IAw5iTkgnjd0GOaz9X+IkugfDU6/aa5o3jK4ur5LHTLizxFFLLIdoWTazAbW3Zx2A4zQsNSa0j5fPT/MbxFVW97+v6Rjf8I1+0D/0G/hp/wCAN5/8co/4Rr9oH/oN/DT/AMAbz/45XQeK2+J3hrwrdeJF8R6Nq09jEbi405tNMMUqDl0SQOWU46Eg9ORTtP8AiDd6x4v8Aw6dGkWk+JdGuNRlSVMyoVWJkAOeMbyDxzTjhaUnZRV/+A3+jE8TVSvzf1p/mjnf+Ea/aB/6Dfw0/wDAG8/+OUf8I1+0D/0G/hp/4A3n/wAcrsvHfirVdG+I3gjQbPyPsetS3S3e+PLYjRCu0545Y+tcRpXxY8SWPxE1/wD4SWCx/wCELtta/saO7hjKyWM3lRurzEnBjcyEbuNpA9aI4alJpKPf8Gl+bVhyxFWKvzf1r/kyX/hGv2gf+g38NP8AwBvP/jlH/CNftA/9Bv4af+AN5/8AHK1rnx9r0d58UY0+yFPDKRNp37o/xWyyHfz83zE+nFVYtb+JFn8LLD4grrmmavnTYdRutLk07yA8bIHdUkVyQwBOMgg45qfq9G3M46WT++/+Q/b1rpJ6u/4W/wA0U/8AhGv2gf8AoN/DT/wBvP8A45R/wjX7QP8A0G/hp/4A3n/xyvWvC2sW3iHw1puvWaulvqFrHcxq4+ZVdQwB9+a8t1z4na9a+LLrWbSO0k8B6XqkWj38oiLStM65edXzjy0Zo0Ix1Lc8VbwtNT5HHX/g2/NpELFVHHmUtP6f5alf/hGv2gf+g38NP/AG8/8AjlH/AAjX7QP/AEG/hp/4A3n/AMcq98XfHXjbQfiHomkeErKx1C0Ol3GqX9rIhM1zFE8alYmBwGw5Ycc4xWjL8SDqfi/4fReHLi3n0TxJBeyzs8eZAYRHhevysGZgw55GO1THDUpWtHe/4X/yf3DeIqp25vP8L/kzA/4Rr9oH/oN/DT/wBvP/AI5R/wAI1+0D/wBBv4af+AN5/wDHK0vBer+PvGV94sks/E+n6ZHpGtS6fawHShKrKkcbguxcHkuQcV03wl8Y3fi3StSi1axjs9Y0bUJNO1COFiYmkUKweMnnayspweRyPeiOGpNJ8vRP5O3+a+8csRVi2ubrb5q/+TOH/wCEa/aB/wCg38NP/AG8/wDjlH/CNftA/wDQb+Gn/gDef/HKk134g30fxY8R+Gb7x9oXhOw021tJbT7Zbxs9wZfM38u6527F6f3qu/FfxZ420Gy8F6f4QvtJ1XVNavXja4uYNsVyiQvLhQrYXcEwDk4zmj6vS5VLlB16qk4823+VzO/4Rr9oH/oN/DT/AMAbz/45R/wjX7QP/Qb+Gn/gDef/ABytHVfitNeeGvCOraDHHBNqPiKLSNVtLqPMlq3lyGSIjI2sCi4PoQe9L8R9T8e+H/FPhewsvFtmbfxBqzWREmkKTbp5MkgIO/5j+7A59af1Wl/L1t+T/VC+s1LX5ul/lr/kzN/4Rr9oH/oN/DT/AMAbz/45R/wjX7QP/Qb+Gn/gDef/ABytD4o+KvEfgufwfpd34v0y0XV9RmgvtWu7FESKNYXdcKXCg7lAyT3q5rPi3UNK+EXijxZpPjLSfFU1havJbT29sgijdByrbHO7qO4qXh6Ki5cuxSr1nKMb6v8Ar9DD/wCEa/aB/wCg38NP/AG8/wDjlH/CNftA/wDQb+Gn/gDef/HKZ4d+ImvXWseF7fRvFejeN5NUZBqljY2qq+nQsm5p2kjdggVsLhwMlgBzWr8QNS8faD4v8LaVZ+LrNrfxBqclod+jqWt1EEkoIO/5j+7A59at4WndLl62+f8AXyIWKqNN83S/y1/yM3/hGv2gf+g38NP/AABvP/jlH/CNftA/9Bv4af8AgDef/HK7Txvr+reC/AZkmv4dY8QXU6WenZtxEJriVgqDYpPyrks2D91WNVvht4s1q/tfEGheJzbf8JLoDlbhoYjHFPGyloplUkkKcHjPaodCilJ8u36Wv+a+8pV6unvbnKf8I1+0D/0G/hp/4A3n/wAco/4Rr9oH/oN/DT/wBvP/AI5Ve9+JfjSf4AeG/FWmyaXF4i1q/tbISTW5MCGa4EedgOcYPrV/W/ixqkfwp1LVIrW307xbo1/aWOqWE671heS4jjLKMgsjKzFW7/hVvC0rtcuzt+X+a+8SxNV297f/AIP+TIP+Ea/aB/6Dfw0/8Abz/wCOUf8ACNftA/8AQb+Gn/gDef8Axyk+J/xN8V+FvidZ2dnDZT+HLPSk1LWUMJM4hMyRPIjA8BA+88dFNbHx2+ImreHfDyweCfsdxrc9jNqSyTr5kUFpDGZHkYAjIbAQc/eYVDoUVDncdLtfd+mj+5lKvVc+Tm10/H/h196Mj/hGv2gf+g38NP8AwBvP/jlH/CNftA/9Bv4af+AN5/8AHKXxd8R9asYvh0sviDSfD8HiKF31C/urdWSIrAZBt3MAMsAOT3rW8VeMdT0L4LeJPGGkeLtJ8U3FnbvJaXUNughR1GNpCOQ2D7iqnhacea8dv0diYYmrPltLe34mR/wjX7QP/Qb+Gn/gDef/AByj/hGv2gf+g38NP/AG8/8AjlWbP4m69a+APFlpr8Vna+N/DukTXwVUP2e8jEZaO4jUnJQnAYfwnip/H/iLxtp/wem+IOl+ILO3kt9FW9ayfTRIkkgj3H5t4IBP5UnhqSu+XRW/G/8AkxxxFWVrS3v+Fv8ANGf/AMI1+0D/ANBv4af+AN5/8co/4Rr9oH/oN/DT/wAAbz/45XpXgm38QrZJea54gi1QXEKOiJYLb+WSMnkMc10VVLC0ou3KTHFVJK6keJ/8I1+0D/0G/hp/4A3n/wAco/4Rr9oH/oN/DT/wBvP/AI5XtlFT9Wpfyj+sVf5jxP8A4Rr9oH/oN/DT/wAAbz/45R/wjX7QP/Qb+Gn/AIA3n/xyvbKKPq1L+UPrFX+Y8T/4Rr9oH/oN/DT/AMAbz/45R/wjX7QP/Qb+Gn/gDef/AByvbKKPq1L+UPrFX+Y8T/4Rr9oH/oN/DT/wBvP/AI5R/wAI1+0D/wBBv4af+AN5/wDHK9soo+rUv5Q+sVf5jxP/AIRr9oH/AKDfw0/8Abz/AOOUf8I1+0D/ANBv4af+AN5/8cr2yij6tS/lD6xV/mPkDVdG+Lq/tT6NZzan4JPiJvC8rwyra3P2QW/nOCGXfv35zyDjGOK9T/4Rr9oH/oN/DT/wBvP/AI5VfXv+T4vDv/YlTf8ApRJXulN4em94iVeotmeJ/wDCNftA/wDQb+Gn/gDef/HKP+Ea/aB/6Dfw0/8AAG8/+OV3Xw78Salruv8AjOxvvJ8rR9ZFla+Wm0+X9mhk+bnk7pG59MVzs3jnxYdW+Jdnpelw6rceHTbjSrSNCHlLwI7Bjn5uWJAGOmKl4eklfl6c3y0/zLVeq5OPN1t+NjH/AOEa/aB/6Dfw0/8AAG8/+OUf8I1+0D/0G/hp/wCAN5/8crc+FPjK78SW8k8fjPSteu47QvdaR9gNld2k4yNhjZt6jcGX517Ag1zHgbxdqviLxba3esePrTw94jile0uPCN9ZtAoG4kBA7K0rldrCRdwweKv6pT5lHl/r9fkR9aq8rlzf1+nzLf8AwjX7QP8A0G/hp/4A3n/xyj/hGv2gf+g38NP/AABvP/jle2UVP1al/KP6xV/mPE/+Ea/aB/6Dfw0/8Abz/wCOUf8ACNftA/8AQb+Gn/gDef8AxyvbKKPq1L+UPrFX+Y8T/wCEa/aB/wCg38NP/AG8/wDjlH/CNftA/wDQb+Gn/gDef/HK9soo+rUv5Q+sVf5jxP8A4Rr9oH/oN/DT/wAAbz/45R/wjX7QP/Qb+Gn/AIA3n/xyvbKKPq1L+UPrFX+Y8T/4Rr9oH/oN/DT/AMAbz/45R/wjX7QP/Qb+Gn/gDef/AByvbKKPq1L+UPrFX+Y8T/4Rr9oH/oN/DT/wBvP/AI5R/wAI1+0D/wBBv4af+AN5/wDHK9soo+rUv5Q+sVf5jxP/AIRr9oH/AKDfw0/8Abz/AOOUf8I1+0D/ANBv4af+AN5/8cr2yij6tS/lD6xV/mPE/wDhGv2gf+g38NP/AABvP/jlH/CNftA/9Bv4af8AgDef/HK9srw7Q/HfihLmaXxt4jufCqjVmtoYrnwpcLbPFvAjzdMPLG/pkt1oWHpOSjy/1ov1G8RVUebm/r+kS/8ACNftA/8AQb+Gn/gDef8Axyj/AIRr9oH/AKDfw0/8Abz/AOOV7NcXNvbWcl3cTxx28UZkklZgFVQMliewxzXk+k/EHxVq/wASPDfkWsFl4T1qW5htYri3YXVwsULuJySfkViowpGcZzimsNSbty/1/X9bieJqqPNzFH/hGv2gf+g38NP/AABvP/jlH/CNftA/9Bv4af8AgDef/HKl1f4nXt/4q8RWNnqk+h6X4fmNvPcQeHrrU5JJFGXZzEhSJAOmTk9eAKveMPF/iXzvCEnhjU5r3QdSgkkvta07QZdRHCZjYRw7toZsDoetSsPSaT5d7fjsN16qdnL+kZn/AAjX7QP/AEG/hp/4A3n/AMco/wCEa/aB/wCg38NP/AG8/wDjlehfDLXrfXtDluIfE0WvyRTtFLILE2ckLD/lnJC3zIw9GANZHi/xLr1x8StO8BeHLm10+WWwk1G8v5oPOMcasFCImQCSxHJPA7U3hqV0uXf/ACv+Qlialm+bb/O35nKf8I1+0D/0G/hp/wCAN5/8co/4Rr9oH/oN/DT/AMAbz/45TdT+Kfibw6vifw/qEFjqOvabqNlY6fdCMxQ3Au2VY3kQE4K7hkA844xXQz+IPF3hPx/4X0TX9Us9c0/xC8tuJYrIW0ltOkZcEAMQyEDHPIprDUnayVnt62vb8geJqq93t+Xc59vDX7QO051v4a4wf+XG8/8AjleW/sq6L8Xb34LabN4T1TwTBpRubny01K1uXnDeawbJRwuMg446V9fSfcb6GvDv2GP+Tc9H/wCvy8/9HvR9Xp2tyi9vUve5N/wjX7QP/Qb+Gn/gDef/AByj/hGv2gf+g38NP/AG8/8Ajld78ZvEWo+E/hhr/iLSfJ+22Fm80PmpuTcBxkZGam+JuvX/AIe+F+veItP8r7dY6ZLcw+Yu5N6oSMjuM1MqFGMXJx0Rca1aUoxUtX/wP8zzz/hGv2gf+g38NP8AwBvP/jlH/CNftA/9Bv4af+AN5/8AHKs+M/iF4h0xvCbXd5D4f0PVNPSa9199Pa5hiuWA2wsAdsSnOd7nHbNXvHXjXxBofgDRtY07ULHV7K6uAuoeINPs3uYbW1P/AC8iGMsW464JUcnpVSwtKN7xWjt+Nvl8+muxMMTVla0t1f8AC/8AVvTcyP8AhGv2gf8AoN/DT/wBvP8A45R/wjX7QP8A0G/hp/4A3n/xyuu+DFys2kXMdr8QrHxrZxyZS5jwZ4mb5ikhDt68AgEDjHFd9Q8LSX2RLFVX9o8T/wCEa/aB/wCg38NP/AG8/wDjlH/CNftA/wDQb+Gn/gDef/HK9sopfVqX8o/rFX+Y8T/4Rr9oH/oN/DT/AMAbz/45R/wjX7QP/Qb+Gn/gDef/AByvbKKPq1L+UPrFX+Y8T/4Rr9oH/oN/DT/wBvP/AI5R/wAI1+0D/wBBv4af+AN5/wDHK9soo+rUv5Q+sVf5jxP/AIRr9oH/AKDfw0/8Abz/AOOUf8I1+0D/ANBv4af+AN5/8cr2yij6tS/lD6xV/mPE/wDhGv2gf+g38NP/AABvP/jlH/CNftA/9Bv4af8AgDef/HK9soo+rUv5Q+sVf5jxP/hGv2gf+g38NP8AwBvP/jlH/CNftA/9Bv4af+AN5/8AHK9soo+rUv5Q+sVf5jxP/hGv2gf+g38NP/AG8/8AjlH/AAjX7QP/AEG/hp/4A3n/AMcr2yij6tS/lD6xV/mPE/8AhGv2gf8AoN/DT/wBvP8A45R/wjX7QP8A0G/hp/4A3n/xyvbKKPq1L+UPrFX+Y8T/AOEa/aB/6Dfw0/8AAG8/+OUf8I1+0D/0G/hp/wCAN5/8cr2yij6tS/lD6xV/mPE/+Ea/aB/6Dfw0/wDAG8/+OUf8I1+0D/0G/hp/4A3n/wAcr2ysbxpcXNp4fmubfW7DQxGVMt9eRh44UzycFlGeg5OOaTw9JfZGsRVb+I8s/wCEa/aB/wCg38NP/AG8/wDjlH/CNftA/wDQb+Gn/gDef/HK6D4ReMNY8ReJ/EOmSapp/iLRdP8AK+y63Zw+SkkrZ3w4BKuVwDuU45xVj4t694t0jW/DltoK3kOmXcsy6neWuiTak9uqoSnyRAkZbAzjvTeGpJJ8u4liKrv72xy//CNftA/9Bv4af+AN5/8AHKP+Ea/aB/6Dfw0/8Abz/wCOVp3vxJ/sv4Zalrun69b+J9SivodPjSWxaxaCeaVIlSaJvnTBfccgEgVPqXiPxh4M8UeFrfxFqtlrWm69O9nMYrH7PJazCF5VZcMdy/IVIPPIPtR9Xo/y/wDD2v8AqvvQfWKvfv8Ah/X4GL/wjX7QP/Qb+Gn/AIA3n/xyj/hGv2gf+g38NP8AwBvP/jlJF428fal8LNR+KVhfaXb2VvHNeW+jPZ7/ADbeInIabcCHZVbkDAOODXreiatDqfhu01tUaOK4tVuNp6qCucUPDUkm3Hbfy/qz+4PrNW6Slvf8N/zR5L/wjX7QP/Qb+Gn/AIA3n/xyj/hGv2gf+g38NP8AwBvP/jlNj8b+P9Q+FF98VbG90uCyghlvbfRXs93mW0RJKtNuBDsqtyBgHHFbel+MPEfjjxld6N4avrbQ7HTtPtrq4uJbQXEssk67lQKWAVQAcnnJxT+q0725devl/VvvB4mpa/Np/wAFL9UY3/CNftA/9Bv4af8AgDef/HK8G/bW0r4maf4B0R/G+oeE7mzbVMQrpFtPHIJPKfljIxG3APTnOK+rfg74s1PxRo+pw63DAmq6PqU2m3T24IimaM48xQSSMjtnivEf+Ckf/JLvDf8A2G//AGhJTVCnFqUV5r5idepJOMn5fcfRlzbatdeG7VNF1OLTrxUjZJJrbz42AxlWTKkg9OGU+hrn/C/gS8tPiDeeO9e1azvNXuLJbEJp9ibSARKc5cF3aR89y2AOAK6FX0fT9Aj1DVJbO0to4VeW4uHWNEGOrM2APxqLQdY8H+IGlXQdY0XVWhAMosruOYoD0zsJxWq3utzJ7Wf9dSl4T8HtoPjHxX4h/tAXH9v3MM4h8nb5HlxLHjduO7O3PQVhaB8I9EjvNW1XxNM+uazqt5JcXF2jy2w2E4jiCJJ91EwvJOcZrfj8WfD2TUhpkfijw098ZfJFsuowmUyZxs27s7s8YxmtjU20XS7GW+1KWysrSIbpJ7h1jjQepZiAKWlk/K3y0/yQdWvO/wAzzfTPgra2GjJplt4gubZdL1eTUvDk0EA8zS1c7jB85YSx5JGCB8vHvWrf+B/FHiDW/D974q8TaVcQaJeLexR6bpT2zzSqONzPPINvqAoPuK6bQNY8IeIDKug6vourGHHmiyu459memdhOKqal4r+H2mX8lhqXijw1ZXkR2yQXGowxyIfQqzAiqu018vw6/lr94b3+f47/AJswtJ8EeLdA8UeJtW8P+JtDSDXr8Xrw32jyzPEwjSPaGS4QEYQH7vetWW58aS/ETStPhWJNDtrBpdWufs21LmduESLJJGMFjycAgZNb91Jodppx1K6msYLIIHNxJIqxBT0O4nGPen3q6TY2cl7etaW1rEu+SaZgiIvqWPAFL4beWn3Ky+4H71/P/O5V8SWniO4MEvh7WbKwdCRLHeWJuYpQfZXRgR7Nj1BrhYfg1YXOgeIrTWNWkbUde1FdSmutPt1tY7a4QARvDHlsEBQSWLFiSSea9BvJNDs9NfU7yaxt7FI/Ma5lkVYlT+8XJwB75rKg8UeAZ9On1KDxL4clsbdgs9ymoQtFET0DMGwpPvS2v/XW/wCaQ73sYms+EPHXiDQz4f1zxxpw02ZBFdzafo7QXc8fcb2mdELdyqfTFWvEXw/jmm8OX/hnUF0TUfDcLW2nl4PPgMDKqmKSPcpZcIvIZSMdatQeNfhrcTpBB4w8KSyyMFRE1SBmYnoAA3JretTo13PcQWsllPNauI7iON1ZoXwDtYD7pwQcHsRVf1/X3/j5k6bf1r/w34eRy9n4L1W+8Z6b4q8W65aahdaVFLHp9tYWJtoIzJjfIweSRmf5QB8wAA6d6Xw98O7Gxh8Y2uqzx6pZeJ9Se8lgeDaI1aKOPZ1O7/V53cdenFaNz4n8BWuqnSbnxJ4ch1BXEZtZNQhWYMei7C2c+2K0NYuvDujQRz6xeabp0Ukgije6mSJWc9FBYjJPpStdeT0+9p/nYd9fPf7r/wDBPO/B3wbl8P8Ah/xlpMniu51EeIlEUM1xb5ktYViEcaMd37wqoAz8uQB9atRfDvxZdeBrLwPq3jLTxoUFpFZzHTdJeC6niRQu0ySTSKoYDnC59CK7+/bRdPjikvpbK1SWQRRtNIqB3PRQSeSewqz9hs/+feP8qN9/Jfdt+fz6gna1v6v/AMN8uhQn0drXwi2g+Hpo9K8qz+y2UhiMi24C7VO3I3YHvXCWHwN8FReBz4cvbea8nmt2W6vDPKvnTtlmmMYfaDvO7HbivSvsNn/z7x/lWJrniHwPoN2LPXNf0DS7koHEN5fRQuVPAbazA44PPtSlq3fd/wBf1/wBx0St0Oc8J/DfUNJ8ReGNb1PxMNUuNC0WfSWJs/LNyrujK5O84KrGFPXJ546VUtvg/aWPxdtPG+l61LaafB58zaMIAYhcTBVeVGyNm4IuVwQSM8ZNdpqureEtJ0+DUdU1bRrCyuMeRcXN1HHHLkZG1mIByOeKl0K+8M69avdaHqGl6pbo+xpbO4SZFbrglSQDyOKu75ubqr/i7v8AF/1oTZWt3t+Ct+Whxvh/wJ4x8N3viFtB8WaLFa61qcmoMLnRZJZoGdEQhWFwqnAQEZXqeQa6X4d+DtP8F6NPY2dxcXlxd3L3l9eXJBluZ3xudsAAcAAAAAACtGS48Px6tHpEl1pyajJGZY7RpVEzoDgsEzuI98VU17W/Bvh+SOLXta0PSZJQWjW9vI4C4HUgORmpTskl2t8l0/D8PIb1bb73+b6/j+JzjeCfE+n/ABD17xb4d8RaPANagtopba/0qSfy/J8zBVknj6+Yc5HYVf8AEPg3UNf1fwfq+pavbLd+Hr17uYW9myx3JaJ49qhpCY/v55LdK2ze+GhpcOqG+0safOVWK689PKkLHChXzg5PAweTU98dFsRCb2SytRPKIYfOdU8yQgkIuerEA8Dng01dWXYG73fdfha35Hn/AI1+D9prvxC0nxdp2tS6T9nvYrzUbJIA8V/JErLG55GxwHYFucg4I4FdP448IHxLrvhbUxqAtf7B1I3xj8nf5+YZI9mcjb/rM556dK2Yjos1/NYRSWUl3AqvNArqZI1bO0svUA4OCeuDWdq/iDwRo+oLp2ra9oGn3rBStvdXsUUhBOAQrMDyelKPupJd7r10/wAgl7zbfaz9P6ZmfEbwbqXiTW/DOtaRrFpp15oF5Jcxi6smuI5d8TxlSFkQjhyevajxJ4W8SeKfAOv+F/EGu6T5mp2rW8NzY6ZJEIQw5LI8z7+3QrWxrur+EdBjhl1zV9G0tJ8+S15dRwiTHXaWIz+FaUFvp9xCk0EcEsUihkdMMrA9CCOooto0NSakpdUchr/w+a+Xwte6bqy6drXh541jvhbb/PgC7ZYXXcPlce/BAPOKv+M/CDeIvEnhXWP7QFt/YGoPeGPyd/n7oZItudw2/wCsznB6Yq5r+teD/D7xJr2s6JpLTAmIXt3HAXA6kbyM4yOlXJJtBj0o6tJcWCaeI/NN00qiEJ/e35xj3zT5vted/n/SJ5dOXyt8v6ZzXjT4e2/jDxnpWq69fG40fS4ZDBpao0ebluBMZVcHhdwAAH3s5qjB8KdO0vx7beKPDV6+lq1jNY6lat5k4vY2HyEs75UowBHXjI75rptB1zwb4gmkh0HWtD1WSJd0iWV5FOyL6kITgVaiuvDsusS6NFeabJqcUYlks1mQzohOAxTO4DPfGKnl0t6/je/9f5Fc2t/T8Nv67nCQfCVovhh4Z8Ff28CdD1G1vjdfZP8AXeTOJduzf8ucYzk464PSnfGD4Q2vjy9tNRstZl0K/V4VvZIoBIt7bxyLIIpFyOQyKVbOV9xxXeq+iNfTWKzWJu4IxJNAJF8yND0ZlzkA+ppmj3Ph7WbM3mj3enajbByhmtZklTcOo3KSMjuKptt83nzfPRX/AAsTa2nlb9f1uc/c+Abe7+Is3im8u47i0n0J9HmsHgyHRnVixbd0IUjbjv1rmfCvwXXRfCPijRbjxLPqV1rOnyaXaXlxb5axtCjJHEBu+YLkE8jcQOld7cax4Qt9HGs3GsaLDphbYLx7uNYS2cY3k7c54603Qdc8Ga/PJBoOt6Hqssa7pEsryKZkX1IQnAqeW6cfJr73f9X8m+jL5mmn5p/dovyXzS6o5XVfhvqrTeCbzR/ENlbXvhWJ40a705po7jfCYiSqyoV4Yn7xrR8YeEPEPjD4c654U1/XtLWfUoDDHdWOmyRrCD3KPM5Y/wDAhWtqfiHwPpeqDS9S8QaBZX524tbi+ijlO77vyMwPPbjmoNR8WfD3Tb2Wx1HxT4Zs7qI7ZIJ9RhjkQ+hUtkVTk5Xb6/8ADkxXJa3S3/AMP4u/Cy28e+GYrKDVpNG1i3tntoNThhDnynQpJG6ZG9GUn5c98jmtPxR4G/tr4Q3XgBNT+z+fpf2AXhh3bfk279m4Z9cZ/GtKx17wXf2X26x1zQrq185bfz4b2J4/NY4VNwbG4kgAdTWhaHRbue4gtZLK4ltn8udInVmib+6wH3T7GlbRrvr/AF9/4hF25Wum39fL8Czptv8AY9Pt7Tfv8mJY92MZwMZxVise7vfDVm90l3faXbtZxCa6WWdFMEZ6O+T8q+54qjq/ibwHo90LXVvEfh3T7goHEV1fwxOVPQ4ZgcH1puV3dijFRVl0OmormLDxR4B1D/jw8TeHLv8AeLH+51CF/nY4VeG6k8Ad61rt9Es7m2truaxt57pilvHLIqtMwGSEBOWOOwpDuaNFV/sNn/z7x/lR9hs/+feP8qALFFV/sNn/AM+8f5UfYbP/AJ94/wAqALFFV/sNn/z7x/lR9hs/+feP8qALFFV/sNn/AM+8f5UfYbP/AJ94/wAqAPE9e/5Pi8O/9iVN/wClEle6V4NrtvAv7b3h2MQoE/4QqbjHH/HxJXuP2Gz/AOfeP8qAOM/4QvXtH8UazrfhDxBY2Sa1Ktxe2mpae11GJlRY/MjKSxsuVRQQSw44xUvhvwRe6HZ67eQeIWfxHrlyLq61FrRfLV1RUVFizxGFUDBYnqd2ea6a1/se7luIrV7OeS2k8qdY3VjE+A21gPunBBwexFNifQ5ri6t4prGSa0x9pjWRS0GRuG8ZyvHPPaktF8vw0/DYHq/63OPh8A6xfeO7Txn4h17T5NT0+xls7L+zNMNsq+ZglpS8sjSYIGFyFHPBzWPrXgXxt46ik0Dx3qmjf2LY3sMtvdWWm+Xd3uwK28M0zrD82QcLk4OMA13mh6x4P16aaHQ9Y0XVJYMeclndxzNHngbgpOOh6+lZj+NPASeNY/Bx1jSjrLoW+ziePIIP3Dzneeu3rjmmt4pfL87/AKg3ZN/f+R2CqFUKM4AwMnNLVf7DZ/8APvH+VH2Gz/594/yoAsUVX+w2f/PvH+VH2Gz/AOfeP8qALFFV/sNn/wA+8f5UfYbP/n3j/KgCxRVf7DZ/8+8f5UfYbP8A594/yoAsUVX+w2f/AD7x/lR9hs/+feP8qALFFV/sNn/z7x/lR9hs/wDn3j/KgCxRVf7DZ/8APvH+VH2Gz/594/yoAsHkHnHvXnPifwP4v8WaDN4Z8S+L9Nl0S5IW7+xaQ0F3NGG3BPMMzIucAEiPpnGDzXffYbP/AJ94/wAqPsNn/wA+8f5UWHdnE3Gmatr3i6/8M6lpyN4Dg0pbaSG5i5vZ2I+633iiqpB7Ekdap6j8GvC03ivw/rVpHJaw6TJI7W/nzv526MqoDGT5MEg8A5xivQvsNn/z7x/lWNo+veCtZv30/SNd0HUbxAS9va3sUsigcElVYkYoW67/APD/AOfyJa0fb/hl+hzbeAfEGla34hvPCHiiy0218QSGe6gvdMa6MM5GGkiYSoBnOcMGGQO3FW9E8Ga54S8P6RoPgrXtPtdPsLYwvHqenNdGV858zdHLGVPXjkc9K2ta1zwbol5FZ6zreh6bcyjMcN3eRQu4zjIViCa0b1dIsbKW+vWtLa1iQySTzMqRoo5LFjwB70lpHy/y6fIp6y8/8zjtD8AatoeleIrnTPFAj8U6/OLm51SSxDwxyDgCO3LcIBkAFifUmrHiTwTqd54r0nxfouvQWOvWNo9nM9xZedb3ULckNGrowO4Agh+PeurtItLvLWK6tBbXFvKoeOWIhkdT0II4IqtrV14d0OyN7rV5pumWoYL513MkKZPQbmIGab0a8v8Ahvy0Fv8AP/h/67dDhLz4Qx6ppGvNrGvyS+INZvIL19St7YRpbSwEGARRMWwilRwWJPc1q2ngnWtQ8X6R4j8X+ILLUZNFVzYW1hp7WsQkdSjSyb5ZCzbSQACoHXFdPp1x4f1LTBqmnXWnXlgQWFzBMkkRA6neDjj61W0HWfB+vySx6DrGi6q8IzKtldxzFB7hCcU1o9On+VvyE7Na9Tdk+430NeHfsMf8m56P/wBfl5/6PevaXsbTY3+jx9D/AA14j+w7bW8v7OujtJCjH7Zeckf9N3pDPX/Gnh2w8WeFNS8N6p5os9Qt2glMbYdQwxkH1rj9Y8C+Mte8LyeEte8aWEuizw/Z7qW10gxXs8OMFTIZmjBYcEiMewFdzfrpGn2ct5ftaWltEu6SadlREHqWPAFLeJpNnZyXl4bW3tYkLyTSsERFHVix4A96VlqPXQyNX0jxLF9nh8Ma1pdjZR24gNpf6Y1ygA4BUpLGwOOMEke1crpfgfxR4D8BfYvAmrWd1qUc9xezW13YqLe8llYuY0VXTyFDE7cMQB1zXZ6vqnhPR7GG/wBW1TR9PtJ8eVPdXUcUcmRkbWYgHj0qSa+8NQ6J/bkt9piaV5Yl+2mdBAUPRt+duPfNNt6u/r+Yo20VtP6RzngbwLdaZ4x1Lxxrt9az69qlrFbzx2Fr9mto0Tn7pZmds5y7MfYAV3dcx4G8SeEfGuknVPDd3Z31usjRv5bqzIQcfMATjPUZ6gg1v/YbP/n3j/Km+wl3LFFV/sNn/wA+8f5UfYbP/n3j/KkMsUVX+w2f/PvH+VH2Gz/594/yoAsUVX+w2f8Az7x/lR9hs/8An3j/ACoAsUVX+w2f/PvH+VH2Gz/594/yoAsUVX+w2f8Az7x/lR9hs/8An3j/ACoAsUVX+w2f/PvH+VH2Gz/594/yoAsUVX+w2f8Az7x/lR9hs/8An3j/ACoAsUVX+w2f/PvH+VH2Gz/594/yoAsUVX+w2f8Az7x/lR9hs/8An3j/ACoAsVl+JLbXLmzi/sDVbXTrtJQxa6tDcRSLggoyh0buDkMDkDtkVc+w2f8Az7x/lR9hs/8An3j/ACoA8+tPB2paD4l134k6leJrPiKTSjZw2ul2Bt4nVTuUbC7s7lgBuZsAdhzV/QrP4nTeGdGnvPEGi22r/Z2/tGG50ozRs7MCu3y5YypUfKeSDk12X2Gz/wCfeP8AKoryPS7K0lu7z7LbW8Kl5ZZWCIijqSTwB7mjZeX/AA/531Dd/wBeS/Q88k+EFtf6D4li1jXLi41rxFcQXVzfwQiNIJoGDQmGIltqqwHDMxPOTWjD4F1zVPEWiat4y8Q2Opx6GXksray05rZHmaMx+ZKWlkLEKzYA2jJz6V1sUmhy6X/akU1i9h5Rm+1LIpi8sDJffnG3HOc4qnoGseEPEDSroOsaLqxhx5osruOfZnpu2E4/Gi1nb+u39f8AABu6v3/U4aL4U65beD73wHZ+L4I/CV20imJtNLXsdvIcvCs3mhMEEjcYyQCe+DXb2GiapY6xAlvq8K+HILAWqaUbMFt4wBJ52c4wCNuO/Wi51zwZba0uiXGuaFDqjkKtlJeRLOxPQCMncc/Stj7DZ/8APvH+VG68v+Bb5/09we/9d7/oeXxfCnW7fwbd+AbXxhAnhG5Z4zE2mk30du5y8KzeaEwQSu4xkgE9+a138AalpHi2fxF4L1yy0x7uyis7u1v7BrqFxEMRuuySNlYDIPJBz0robjXPBlvrS6Hca5oUWqswVbJ7yJZyT0AjJ3ZP0qXX9U8KeH445Ne1TSNJSU7Y2vbmOAOfQFyM0ul/67Dera/re/6FP4ceEIfB2iz2YvZdQvLy6kvb67kQKZp5DlmCjhR6DnHrXgH/AAUj/wCSXeG/+w3/AO0JK+mbOLS7y1iurQW1xbyqHjliIZHU9CCOCK+Yf+CjsEMPwu8OeVEqf8TvsP8AphJVO5KsetftAkj9n7WSqhj9iTAJwCeO9Fv4T8Sa58SdA8Y6vpulaDDolrNEsdpdG5mu/MUjazbECoM5xg8+ld3bxx3miQ2t3pYu7dolDJIsbI4x3DH+dXvOmxj7DNj/AHk/+KpLR3/raw5a6HyzpsHiKX4A+JF+x6XdeGZNZ1NdQMUDPfw2/wBqk8yWMH5GZRkgcdBXda7LoY+K/wAORql5He+EDpH/ABJ7i6bfby3uP3bMx+UyFNpUnnPTmvY7e2tra1e0t9FSG3kLM8UaRKjFjliQDg5JJPrmopdO06bSRpEvh63k04IEFo0MRhCjoNmduPbFEfdd/T8E1+t12YS95vzv+LT/AOA+67Hl3xg/s29+JPw/HhiW3fxTFqiO72ZBkTT8/vvMK/8ALIjPDcE5xzU3wmn0uLx78Vl1KazRDr67hOygFfssWc57da9I0TSNJ0NZF0XwzaaYJTmQWlvDDvPvtxmquoeFvC+o3r32oeCdJu7pzl557G3eRj6ljyaI+7dd0/xcX/7b97bHJ834fhf/AD/A8DmtLi6+CXxVj8O2s8vhU6hK/h+OJMxmEBTKYB/zy8zzCMcenFekfHPxFoeofAPWXsNVtLr+09OEVksMqu07yAbFQA5JPoK9OWSRUCLYSqoGAoKAAen3qybLw74esdTOp2Xg/Tba/JZjcw2kCSknqd455780pLmjyPbT10SX42+XmOMnGamt02/LV3/D8fI8o8Sxw6f8Wvh5a+NAkfh6DRBHaC6x9lXU1AHzZ+XftC7c++K9fibwzPrimE6TLqvkEKU8tp/KyeMj5tuc+2an1GCDUrOSz1DR1vLWQYkhnWORHHoVJwaraJpOk6GkiaL4ZtNMWU5kFpBDCHPqdpGatyb37t/fr/wPSyM1GyVuyX3f1f1uzgfg1DD/AMLI+KX7qPjXocfKOP8AQ4K5QHWhp/x1Ph3zf7UGpL5Hkgl8/Y7fO3HOcZ6V7nbRQ20081vpAhluHDzvGsatK2AMsQeTgAZPpRbRQ20081vpAhkuH3zPGsatK2AMsQeTgAZPpWbjePL/AHeX/wBJ1/A0TtLm/vc356fied+Fbr4Yr8CLVVl0NfDr6UPtCSlNrHb+8EgPJk35zn5t3vXlU+hy6n8K/hHoPiy3murS78RPGkF2G3/YyZjArbueI9mM8gY9K+h5PDPhuTVP7Uk8GaW9/v8AM+1NZ25l3f3t/XPvmtK6hhunhkutHE7wP5kLSLGxjf8AvLk8H3FaSalJya3advR3IiuWPKuievqrf8F9/kfNvxI1DVPDcfhr4Y+JJZrmS18RWc+hag6ki9shvGxm6ebFwp9VKHua+nLu5t7O1lurueOC3iUvJLIwVUUdSSeAKp3ttbXzwPe6Kly1u/mQtMkTmNv7y5PB9xVHxlo//CUeG7vQbpb+1trtQkzW7xh2TOSuSTgHofY1PNLktu73v8ktfu1Ksue/S36t/roWdUvJL/wld33h24hupZ7J5LCaFwySMUJRlYcEE4wa8i+Ed9b2vwfjm0WTQI/EkRmfxGmsAm4a5BYyCXBDbuOC2RtxjivY9Mhj03TrbTrHS5ILW2iWGGJWTCIowAPm7AVQ1fw74f1i7F5q/g/TtQuQoUTXVpBK4UdBubJxyaUlrLl6/p/Wq8l2FFuy5un9f8M/XueHa7rF54j8OfBvVtL0rR9Ju7nX5mitUiItEISYEhVwcHBbjua6PwddxaR8ZfFmreOJbPStet9HjZI7PKWdzYIzsZwW5aQMSrA/dG3HWvXJLa2k+zeZoiP9kIa23JEfJIGAU5+XjjjtTL+wsNQl82+8PwXUnltFumiic7GwSuSfunAyOnAqpN3bj5/irf15X9Q0aSfZfhJv+vM+bbt/E2q6FffFa28Fa+2v/wBpJqunXsZtfJGnQgoIfmmEmxo2lfGzJZhxwDXazeJLjX/i/wCFfEfhPS7PWE1DwpcTRx3F59nCqZoc/NsfkHgjHrXssf7u2W2j0xkgVNixr5YULjGAM4xjtVeysLCxaJrLw/BbGFGjiMMUSFFY7ioweATyR60Kyatstv8AwFx/yf39xO7Tvu9//Ak/8/vXY8B+I3g3VPB/wX1IXUtgl9q3i6z1BLW3DfZbRnniAjXoSMrkkAZJPFb3xnXxkJ/An/CQS+H2s/8AhKrXaLKOZZN3lTY++xGMZ/SvZb6KG+hEN7pAuogyuEmWN13A5BwT1B5Bou4obwRfa9HFx5Mgli81Y22OMgMuTweTyPWiD5eXykn8lyq3/ko5e8n5pr5u+v4nlFp/aH/C6vil/Y+f7S/4Ryy+yY6+bi52f+PYqf8AZ3uPCH/CpoI55NPXUSJBr63hUTm5yfN88PyTj+9/D7V6hHFDHeS3kekBLmZVWWZVjDuFzgFs5IGTjPqaztS8OeHdTvxqGpeD9NvbwYxcXFnBJJx0+ZsnipjoreVvxf8AnqvJdglq7+d/wS/TT1Z594n0W1tvFjeNfAfibwtFd22kraz6ZqGw2htRudNjIQYcsPvAFSAeOK6j4W+NNG1rwF4f1KS1svDj6oWitNPMiIryDcSsPTeCFZhgcjJrc1fQtD1iSKXV/CdhqEkI2xNdWsEpjHopbOOnaqmpeGbLUfFmkeIby0u5JNHjkWxtt0YhidwFMuM53BcqOcAMeKa25en5bv8AG/yYnrr1/wCAkvu/I89/Z1uNLj/4SceJJbZPGn9rzf2p9sKrcGPP7nG7nytv3ccdai+Ib+GU+Ivw+E40seCDc3WREq/Yv7R2/ufM2/Ju+/jd/FjvivUta0LQ9clSXWvCdhqckYKo13awTFQeoBbOKty2lpLpp0yXQ43sSnlm2aOIxFf7uzOMe2KFpyvt/Xy7+T16FPVy87/j/X3aHlfx5/sq+1fwVD4dltX8Xprlu9g1oQZ47YN/pJO3kReXuDZ+U8DriuYfwlea78aPiHrvh2aO18WaJLYT6XcPwsmYpN9vJ/0zkHyn0OD1Fe5aJoui6G0jaL4VstMaUASG0toYS4HTO3GauQQwwXU91Bo4iuLjHnSosYeTHTcQcnGe9C91aPXX5N8v+XzuwburNdl9zb/U8G+HHii38XfFLx9q8dtPZ3C+GYILy0nQrJbToH3xsD6H86y/g/bXHw4+Gnhj4haTA7+HtQsY18T2cSljGSSBfIB3XPz+q5PavoqKzs4rm5uotDjSe6AFxKscQeYDs5zlvxp9vDBb2K2Fvo6w2ipsEEaxrGF9NoOMe1H2WlvZfnJtej5vwvuJ+89dv+Akvnp/SPlywlaT9mTwRPZyW29/Flk8Lz58rJvFILY52+vtXvF1N4ufwT4jFvdaDNrY0+Y6b/ZIbIl8ttmdxPO7GK6CbRtHm0ldIm8L2cmnLjbaPbwmEY6YQ/L+lM0XQtD0SZ5tF8J2GmySLtd7S1ghZh6ErjIon78ZR7/5JfoUpPnU+3+bf6nCfAe48C/8KdsI0k0wA2xGsJeFPNM+P332gPyWznO6ov2hY9O/4QTw22nx2v2U+I9J8kwquzZ9qjxtxxjHpXe33hvw7faj/aV94O026vsg/aZrOB5cjodx54rRvIYbyNI7zRxcIjrIiyrG4VlOVYAngggEHtVOV5qduqf3O9v8uxmo2i4+TX3q3/D9zzj9pBEj8JeHgiqo/wCEn0rgDH/L1HVHx5dWXww+K9v8QLycWvh7X7f7DrTt9yGZFzDMfrgJ+Neq3kUN7Gkd5pAuUR1kRZVjcK6nKsATwQRkHtTdSt7bU7NrPUtFS9tnILQ3CRSI2DkZViR1qFdLTe7fyaSa/D8uxWjeu1kvubd/xPBfFGlXD/s5/EPxxq0bpqvimxmvXSQfNBBsIgh9tqYB967T49Rxn9mrxC7Ihb+w2wSOf9XXpN3HHeWklnd6T9otpF2PDKsbIy+hUnBFJdRQ3Vk9ldaQJ7V12PDIsbIy+hUnBHtTkk04rbS3ohxbUoye6vf52/yMHW/CekeL/hx/wj2pwgW91aJiSMAPE4UFZEPZlOCD6iuB+AWn6l4o1S78beMb6LVNV0aefQ9OdYyqxLAxjkm25P7yUqST2BxXsSyyKoVbGVVAwACgAH/fVQ2UUNlG8dnpAtkd2kZYljQM7HLMQDySeSe9U377l3/Pv9118zOMbU4w7fl2++z+Rfoqv583/PlN/wB9J/8AFUefN/z5Tf8AfSf/ABVSWWKKr+fN/wA+U3/fSf8AxVHnzf8APlN/30n/AMVQBYoqv583/PlN/wB9J/8AFUefN/z5Tf8AfSf/ABVAFiiq/nzf8+U3/fSf/FUefN/z5Tf99J/8VQB4nr3/ACfF4d/7Eqb/ANKJK90rwfXZJD+294eb7PIG/wCEKm+XK5/4+JPfFe4efN/z5Tf99J/8VQB5n8Kr+z034h/EnTNQuIrO8k1uO8jimcI0kDWkCiRc9V3IwyO4Nc3pGn6N4r1P4wS3+rLY+HtVvbeyXU0lVE3R20Svtc/KcP8AL9civXdb0XRtcMZ1rwtZamYs+X9stoZtmeuN2cVbS3t49PGnR6Mq2Qj8sW4SMRhP7u3OMe1K3upP+Xl/L9EVzNScl1d/1/P+up5L4a1i90DxlpngHxL/AMI5q0TaNObTW9MQQz2kEeFYTISRGCu35lYKSp44rHa4vPhX4S02G2uPC/jXwi2oxiyhCAahtmcsrIV3JMwZiQcKSOc17Po2i6NoqSpo3hay01ZgBKLS2hiD46btuM9T1rM8P+CPCug67fa5pPhG1ttQvZfNknSGEMp2hcIc/KDtyQOpJPerTfMm/n563/p/PqRZcrX9bW/pfI61G3KGwRkZweopar+fN/z5Tf8AfSf/ABVHnzf8+U3/AH0n/wAVUjLFFV/Pm/58pv8AvpP/AIqjz5v+fKb/AL6T/wCKoAsUVX8+b/nym/76T/4qjz5v+fKb/vpP/iqALFFV/Pm/58pv++k/+Ko8+b/nym/76T/4qgCxRVfz5v8Anym/76T/AOKo8+b/AJ8pv++k/wDiqALFFV/Pm/58pv8AvpP/AIqjz5v+fKb/AL6T/wCKoAsUVX8+b/nym/76T/4qjz5v+fKb/vpP/iqALFFV/Pm/58pv++k/+Ko8+b/nym/76T/4qgA1OSyh065l1J4EskidrhpyBGIwDuLZ424znPGK8M8dTTWvxG+Ht9qY0K9sY9V8jTYPD/yXKtIjKHfJO6FVJLKuOx6cV7k8sjoUewlZWGCCUII/76rK0jw/oGj3bXmkeEdO0+5ZSrTWtpBE5B6gsuDiiOk1Ltb+v+D0CWsXHvf8f6+Z5Z8Orjw/CvxTXxfNYrff2tdjUPtjKGNntPlD5uTHszjtWdpPhzTNT/ZS05vGlmtxdWGh3E1jFfuRsbyXCExkgMwBGNwJHBHNezanoeiapexX2p+FbG+uoseXPcW0EkiYORhmyRT9Z0nSdaSJNZ8M2mpLEcxrd28MoQ+o3E4rOUL03DukvuTV/XX5Fxlaopebf39PT/gHNfCjWtH0v4KeHdR1HVbGzsrbSoDPcTzqkcQ2gfMxOB+Nc/4luLE/tIeGJ9Yntzpj6FcNpbysPJNyWGSpPG/y92Mc4zXf2nh3w/Z2NxYWnhDTre0usG4gitIFjmx03KOG/GrOqadp2q2S2OqeHbe+tVIKwXMMUkYI6YViRW9SfNV9p5t/emv10MacOSmqflb7rf5anzZ478trr4kXWmtnwm/iHSf7SaH/AFDgSJ9rORwRjdv7dc16P40bTbr41fDU+G5LeS8hNybk2hUhbIwtw+3ohbGM8ZxjmvULS0tLPThptpocdvZBSgtoo4liCnqNoOMe1V9F0fR9E8z+xfC9npvm/wCs+yW8MO/67cZqIe7yrt/lb7v0ui5e9fzv+PX1/WzNmT7jfQ14d+wx/wAm56P/ANfl5/6PevaXnm2N/oU3Q/xJ/wDFV4j+w5LIv7OujhbaSQfbLzlSv/Pd/U0Adv8AtGWtze/BDxZb2dvJcTNpsu2ONdzNhew71lfGXxNoN9+z9rtxZataXK6jpDxWaxSq7TySJhEUA5LEkDA5r03z5v8Anym/76T/AOKrItPDvh6z1Q6paeD9Nt9QLFjdRWkCy5PU7xzk9+amUeaLi9n/AE/66eZUZcsoyW6/4H+R55q3hSddS8La1pfiXSNN8U6Lo0dtJp+qKJYZICMPlQwdDnI3j6YNZVpJZfE7wLoWoJdaR4P1/TtZuJrCNSk1jd3UDsJJEU7fOjYgtuGDznOea9e1vR9I1wRjWvDFnqYiJMf2u3hm2H23ZxVTxR4Z0PxL4ak8O6v4djn01ovKWHZEBEMYGzn5CB0IxirlJybl539He/8ASIhFJKPlb5Wt/X3HL/DXxVqF78Q9e8L61o+iHUrG1hmfVtHyYZ0b7qSbhuRx12ljwRXplZGhabp+g6cmn6LoEWn2ifdito4o1z64Ujn3q/583/PlN/30n/xVDYK5Yoqv583/AD5Tf99J/wDFUefN/wA+U3/fSf8AxVIZYoqv583/AD5Tf99J/wDFUefN/wA+U3/fSf8AxVAFiiq/nzf8+U3/AH0n/wAVR583/PlN/wB9J/8AFUAWKKr+fN/z5Tf99J/8VR583/PlN/30n/xVAFiiq/nzf8+U3/fSf/FUefN/z5Tf99J/8VQBYoqv583/AD5Tf99J/wDFUefN/wA+U3/fSf8AxVAFiiq/nzf8+U3/AH0n/wAVR583/PlN/wB9J/8AFUAWKKr+fN/z5Tf99J/8VR583/PlN/30n/xVAFiiq/nzf8+U3/fSf/FUefN/z5Tf99J/8VQBYoqv583/AD5Tf99J/wDFUefN/wA+U3/fSf8AxVAFiuH+Neg+HNb8Cak3iK1t7pbOzuJ7WO4kPliUQuAxTO1yMnG4HB5HNdh583/PlN/30n/xVUNa0vS9biji1rw3a6lHG26NbuCGYKfUBicGoqQ54uJdOXLJM4f4S33h2D9nzQ7nXrjTv7KtNMSS7NyVaKNVOQWB44IGPcDFY3hCM+N/ilD8SLGCDSNMs9LmsdJikwl1qO8g+a6dVjG35Qeec4Fej23hrw5a2VzY23g3TIbS62/aII7OBY5tpyN6jhsHpmmad4V8L6bex32n+CdJs7qMkxzwWNvHIhIxww5HFa1H7SpKfe/4pp/np/VsoR5Kah2t+FrfitTwrR5vD7fskeIrfUntm1p47tbyNyDctqJc+XwfmMm/y9vfOMV7h4V1aNNC03QbvVLQ+JRpSTPZvOv2jhQN5TrjJAzjFXZND0OTWBrEnhSxfU1OReNbQGYH13/e/Wrn2e3/ALR/tL+xV+2+X5X2jZH5uzOdu7Oce1TL3k0+tvlZNaff9yRXVPtf8Wnr9x866VN4ff8AZC1231CS3bW5IblbqNyDdPqRc7OD8xl8zZjvnGK6r4aSLbfGfWl8XzQpqg0Cw+wtdsAfK2/vtm7/AG9u7HfrXqj6Hob6wNZfwpYtqYOReG2gM4Prv+9+tP1vSNJ1xY11rwzaamsZJjF3bwzBD7bicU7u7l3+7ZrT7/u08weq5f63T1+779Tgf2aEC+HPET2QI0WTxDePpQAxH5Bfgx9thPTHHpXmH/BSP/kl3hv/ALDf/tCSvpuBjbwpDBprxRIAqImxVUDsADxXy/8A8FHZHf4XeHN0Dx/8Tr+Iqf8AlhJ6E0PouyS+5WF1b7tv73c908f+MJvAvgSz8RnTDf2EDwLqBWQq8FuxAeUDB3bQckccDrVj4geNP+Edg0SLTLOPVNR1u+itLGDztiuGI3yFgD8qr8x46VuCxtdU8MDTb6FZra6tfKljYZDKy4Irzj4R/DzxToevQ3Xi/UbK/ttBtDpvh/ySzP8AZ8/62XcOJSuFOM8d6UPis+9/l1X5fe30HLa69Pn0f539F3NLTPGvjDXvF/ifRfD+haF5GgXiWjzX2oyxvMWjV8hUhYAfNjrVf4pfE7WPA+qeHdNTwr/bVxqEMtxfLaXJBgihXdK0QK5kIGcA7SaxB8N9QtviD4t12/8Ah74R8VwaxfJcWc2oXCCWBFjVSuHgfHIJ4Peus1vwprGqfEvwX4p8mytrXSbW5jvLcTFmVpY9oVPlAYA9+PpRHVQ9Ff15f8/+HKlbmn87ff8A5EmsfEayh1PwRHo8UOqaf4rmZYbtJtoRBGHDgYO7OenFafg/xW+veJvFWjtYrbjQb6O0WQSbvODQpLuIwNv38Y56V57N8JNc074saDqfh++sU8HWWoTam2nylhJaTyrh1hwCDGxy2CRgsccV0kHh/wAW+FvHPiLW/D9jputWHiCaK5lguLxrWW2mSJYzhgjh1IQHsQfWnFxtd9b/AC+G3/t2pMk9l0t89/8AgaFlviFKviLxxpX9lJjwvbxTLJ55/wBJ3wiXBG35cZx3pfh54j8ceKND0PxBcaL4dtNL1S1huyI9RmknjjkQMBtMIUsAfXFZ+k+BdcaDxxrGqy2Ka34pQKtvA7GG1RIRHGhcgFzxkttHJ4FZ3wg8E3/hGw0CyuPhn4Qtb6xs4rW61q0uk+0OVQK8g/0dWO4jJBbvyaKfaW9o/frf9P0Cb0XL5/pb9T1m7uIrW1luZ3CRRIXdj0AAyTXnfwz+J8nizXm03UdF/shby0/tHRXafeb6zLsokxtG1sKG284Vl5rT+Mfh7XvFvhMeGdFuIbS31CdItSuWlKyR2ufn8sAHLnoM4Fcv4q+FmuW9x4c1rwp4n1G71Xw/cILW31SWFLc2pAWWHMUIYZULjqOKUNZe9te3/B++33MJfDpvv/wPnr+BLo/xiE3xQ1Twrq+hHTtKg1H+y7PV/tG9Jrvy0k8p1wPLJDjbyQcGtib4iyx6p49s/wCyUI8KRROjeef9J3wLLgjb8mN2O9UNI+GK3kHj/TvFEVtPp/iTVze23lOS8S+TEitnA2uGQkY9uaw/Bfw08cWGmfECLxFqunalfa9ElvZ3SMymVI4BEjzDb8rkKN2M85NQ+b2fny/jZfinf+kzSPL7TXbm/C/5Nf1qjXt/iD42h8A2PjzUPCWkz6LPZRX08On6k73cMLqG3BXiVWKg8gN9M16LperWeq6Bba3psouLO6tlubdxxvRl3Kfbg15jY+HviVN8LdP+H507Q9HEemRadcaoNRe5IRYwjMkQjT5iAcZbA969H8PaFbaB4RsfDmns7W9hZJaQtIfmKqm0En14rWrb3+Xa+n4/8C3zMad/d5vn+H/B/AwfAfjiTxN8M5PGD6atq6fbP9GE28HyJZI/vYHXy89OM1i2vxWa68EeEtUtdBa513xUD9g0yO4AVSOXZ5SBhFGMnGeRgGs3wP8ABfQ7D4bT6T4h8K+Fr/xBK16xvHsY5WJlmkaMmRk3ZCso9scdKisfhh4k07wX8P5NPutMXxN4QjdfLlLNbXKPgSR7wAy5wuGxwR0pO13fa8fu1v8Ap+hfp/e/4Bu+I/HXijwWLHUPGnh7TF0W5uEtprzSr952tHcgIzpJGhKE8ZXJHHFJN8Q9Wv8A4iav4O8O6bozXWlJE7pqepNbzXYddxaBFjbcgBA3EgbuKh8Z+HfGnxDtrPQtd0zSdB0NbqO5vmhvmu57gRtuWNB5aBBkDLHPTgVH8WfCOteMbK70ebwV4X1JdpTTNVuL1op7HO351AjLqykZ+RxnAFK7tt1f3afrfsCtf+v62/rc1/Efi7xJB430rwnouiaXJd3umyX8r3188axbGRSg2RvuOX68dKwbj4wTW3gLXdcn8PqmqaDq8elXtmLvdE0jPGN6SBcldsgPKg5yDUx+GOoXnirwxea5q13f22k6A+n3N3DqNxaXM85aP58wspKkK2ct6detXPiP8N4b34WT+D/BtjY6f5l5BcbXYqrssyO7u2CzOQp+Y5JPU01ZWv3/APb/AP5H/Mm7f4f+k/8AyQ74r+NPF3gvRJvEFroeh32lpLBEgl1CWOcmV1TlRCygAt69BXS6fqus2OhX2reL4NJsYLWEz7rG6kmHlqpZi2+NMHjtmsj4y+FdT8XfDuTQNKa2W7a4tZAZ3KpiOZHbkA9lOOKZ8XvCuueMfDdh4X0+5hs9NurmP+2LjzSsq26fNtiG0gszBRzxjPWp15Wlvey9NNfzCO8W9rXfr2K/wt+I9z4s1S50vWNDGiXjWseoafEbjzDdWbsyrJ90YYbQSvOA6881r/D3xhJ4qvfEtu9gtp/YurPp6kS7/OCxo+/oNv38Y56da5PX/hnr1n4j8M+J/DXia/v9R0efyHg1SWJYnsZABLGDFCpz8sbDORlO2al8F6H458IeIPFTW+gaVqdlrOtNfxTHVjC6RtHGmCnktyNhPWrVm/k/vurf+S3+d/ITul8191nf8bfK3mb1v4x1LUPHnibwjpul2n2nSLK1uYJri5ZUmaYyDa21CVA8vqM5z0rD0bxt4/1Lx5rHhFfD3heO50m3t7ieY6rOUdZi+Av7jOR5Zzn1FbPhrwrqlh8W/E3iy5NsLHVdPsreBEkJkV4jKX3DGMfOMHPPNL4b8K6np/xd8U+K7hrY2Gq2NnBbqrkyBojLu3DGAPnGOT3qY/Zv219Ry+1burfhf9TOn+KlroereJNK8Y2KaTd6RbreWojmMi6jbsQoMWQMv5hCbOuWX1rrvBGpavrHhiz1PXNIXSL25TzGsxN5piU/dDNgfNjGR26VzXxS8DS+LfFHgnU0ttPmi0PVjd3P2gfN5fkuoCcHJ3mNscD5Qewrv6I/Drvt93X5/ppvZOXxabb/APA+Vr/Py1KKKKACiiigAooooAKKKKACiiigAooooAKKKKACiiigAooooAKKKKACiiigAooooA8L17/k+Lw7/wBiVN/6USV7pXhevf8AJ8Xh3/sSpv8A0okr3SgDmPBXip/EWseKNPaxW2Gh6oLBXEm7zh5EUu4jA2/6zGOelc/qPxQGn3Hj8T6JNLF4R8kj7PJvkuvMhWT7uBtxux1PAzRY6D4v8JeL/EmpaBYabrmna/dpfNFcXrWsttMIkiYZ8tw6kRqR0I561J4Q8K+JtFfxV4lm/subxFr90lx9k3v9mhRI0jSLfjLHCklto5PTFLeK/wAP/k2l/wBfL8CtFJ6XV/w/4bQu+BPFWva9o8Wu3Wn6FNpNxaG4hn0jUzdEEDJjYGNQW7fKTyCDXOeAvG3jLxxfW3iXQotBPhwM9tc6Ub/N9A4cqXlxGQjgL/q9w4PJzUfh3wDrdv8AEweMrHQND8HotjNFdWenXbSLqkztuRpgsaINpyd2Cx3nmsTxB4P8QeO9bZj4F0jwfr+nahBJP4ptrhhNKVVSxhKxo0qlSE+diByOcVas5p2/4Gtvnp6P5kNe61f5/L8NfX7j3iikQFVALFiB1PelqRhRRRQAUUUUAFFFFABRRRQAUUUUAFFFFABXnX/CxNXHxZ0zwbceD7ix0/UFufJ1C5ukDymFd25Ilydh9WIPtXoteU+LNH+IF/8AFTQPFVl4b0d7TREuolSTWWR7gSptDY8khcemTQvjXz/L/MH8Lt5Hqc7OkEjxxmV1UlUBA3HHAyeBmvPJ/HHijRfGXh7QfEnh/SlTXppIYDpuoPPNCyoX3SRtGvyYXBYE4JFaQ8Ua9fePNR8N6TpNq9vYaX5015NI3lpePjy4cgcjG4sRyMVx7/D/AF6/8W6Jq2m+GPD3gSWzvVudQv8ASLvdNfxA5a3ZUijDK5wTvLYxwM80Q1lF9H/nb+vK1twl8L7/APAv/X47G38WvigfB6XVtomkprmpWNt9tv4jceVHaW/ZncK3zMcBVxk5z0BNJ8SfiVP4W1vw1pcUOhwDW45XN3q+pG0t4NibsFtjZJ6DpWZ47+Ds974U8TWfh3xTrkd7rbPNLFc3EJhllbs7eSX2jsM8dsV1klv4u0Oy06w03T7TxLBHb7ZptR1AQTiQYx92Eqy4z2B6Ul8Kvv8A1p/X62G/i02/rX+v+Ca3gvVLzWNETULuXRJhIx8uXSb03UDr2IcquT+FY3i3xlf2fjLT/Bvh3S7fUNavLZ7x2urgw29vAhwWZlVmJJIAAXv1FYfgjwh4s8JaT4q1bT4dFbW9bvPttvpIlaOxtG6FN6rkk9SwUZParfibwz4nj+IekePdBt9NvLyLTn0/UNPnuWhV0Zg4aOTa2CGA4K8j0pveP4/dt9+jYuj/AA+//LYz5/i9/Zdh4httd0ExeINFvLez+xWtx5kd29wQIDHIwUhWLDOQCvvWrD428QaT4z0Tw54w0PTrQa6JEsrrTr150WZFLmOQPGhGVBwRkZrldX+FfiPX7TxJrt9dadZeJNT1Gyv7KBGaW3tvsjK0UbvgFt20bmCjGeBXQt4c8WeKPHfhzXvE1jpuj2Xh9pZ4re1vWunuZ3jKZLFECKAc9yTTh05t+va1vzvf526Cls7edvX/AC/S56RJ9xvoa8O/YY/5Nz0f/r8vP/R717jJ9xvoa8O/YY/5Nz0f/r8vP/R70hnpvxQ8UP4M8A6x4ojs1vW062acQNJsEmB03YOPyqXx54jbwz4A1fxQtoLptPsJLsQGTYHKru27sHH1xTfiX4ZXxl4D1nww10bT+0bV4BMF3eWSODjvXH+KNJ+JPirwNdeDL/S9B04X1qbO61WPUHmAQjazpB5anJGcAvxnqamV3FqO/QuPKpRctuv4f8Ek134oXVvrPhbQrHTtNh1DX7AXkcup3xt7YEj/AFKOEYvIT0UDpzVzx78QNQ8HeH9Im1jSbK21LU70WIeW+22Nu5OBJJMVyqHqPlz2xmrHi3Qb+TR7Tw9D4P8AD/inQ4rdI/s+p3HlsjoMK2GjdTwBgjBBrmNG8OeKfAPwjGkS6HYeMLRGuJLrRnmkl8q2clo7WDejmUIDtww5A4x0q5uPvW2v+F9u606699CKafup72/G2/nr007HcfDxvGi6e8HjE6XdTA74b7T59yTKxyBtKLtxnA65ABzmupry74R+BdQ8P+KtX8RDT7LwxpepwRCPw7YTNJBFKPvTNwqK56YRQMDvXqNOStb+v6/rqTFhRRRUlBRRRQAUUUUAFFFFABRRRQAUUUUAFFFFABRRRQAUUUUAFZnifUrzSdHkvLDRrzWbkMqx2lsyK7liBks5CqozkknoK06o65Pqdvp7y6Rp8GoXYI2wTXPkKR3+fa2PypS2Gtzmvg74zvPHXhOTWL/SY9JuYr2a1ktkuPOCmMgZ3YGevpW14luPEkX2ePw7pen3buSZZL67aGOMDt8qOxJ+mODzXn3wpsvFHw78Ha2virS9Ngs4pbvU/tFrqDTkliGEewxKc8HkHk4GOam1q9+LPij4faLLoemadod9qKl9U33pjntoSflWEmNwJGXHzMPl9M9HLZW3svvf/BTFFWbv3f3L/gWEsPjAkfg/xHq2s6G0Go6BqS6XNa2twJY7m5dlSMRSELwWdc5AxWj/AMJ14g0XxJoGl+MtC02ytted4bW5sL55xDMsZkEcoeNMZVW5GRke+axZvhzf3/wpuvBdloGm+GHt7iC8sJV1BrwTXEcqy75jsRiWZACeTz7YrRu/DPi7xf4m8M3niqw0vSdP0GZ7po7W9a5e7nMTxAZKJsQB2buTwKNem+npa2r9b309A6ff9/Rem34lJvil4huPBd/8QNN8K2c3hWzLyfvL9lvZreNsSSpGIynQEhS+TjtXp+maja6hpFvqlvJm1uIVmRjx8pGea8fs/Anj/T/hhf8AwutYdFk0y4Sa0h1lrtxJFayk7s2+w5cKzAfPgnFei6Rp+tadd2ugR2mnv4Zg00Q/aDO/2oygBcbMbdpGed2c0P4Xy/L7ne/4fO4fa187/erW/E4tvip4hn8EXvxC0/wrZzeFLXfL+8v2W9mt0OHlWMRlOgLBS+TjtWwPH2pa74ol0DwTpNjfNa2UN5eXWoXbQRIJhmNF2I7MxGScgAYrlrPwH4/sfhbe/Cu3h0V9Mnjls4tZa7cSR2shOSbfZzIFJA+fGcGtnT/B3ibwX42vdb8K2enaxYajp9taz2t1eNayRSQLtVw2xwwIJyMDBo0v5dO+3X8Pn5A7203/AA3VrfK//DnT/DHxkvjLRbq4lsH07ULC8lsb+1L7xFNGcNtbjcp7HA+leCf8FI/+SXeG/wDsN/8AtCSvc/hL4SvvCujag2rXME+qatqM2o3hgB8pHkOdiZ5IHTJxn0rwz/gpH/yS7w3/ANhv/wBoSU3072V/W2v4iXX1f3X0/A+ldLtt2m2zedOMxLwH46VZ+yj/AJ+Lj/v5XmP7Rks0H7OevywSSRyLpw2sjFT27iuQuIW8J/EXwTqy+FZfBGlXNx9ivJra6SZb6SQYiikjjJAG4g7zyKUfelbzt/X9XHL3Y39X9x779lH/AD8XH/fyj7KP+fi4/wC/lfNt5FFN42+K1/feAZfFqWWoIElW5RXtV+zqSEBO/j73yc+nNdZfeLL7wf8As56LJF4lbxJrmq20drp2oRq8xmll+7IAAXYIDk8bsDnmkneHN1tH/wAm2X9aDatPl9fw3PZvso/5+Lj/AL+UfZR/z8XH/fyvDvg3remeFPH9x4As9S1O70jU7NbvS59QtriN/tCIFnj3TKNxYqZeM/fNc18J73WfA+jT/EQ3l9qHh6/1rUIfEVvLI0htAl3IiXcYPQKoAcDsMiqsrrXR/ne356X/AE1U62vbW+3yv+XT5H0t9lH/AD8XH/fyj7KP+fi4/wC/lfMetajJd/s+fE29t7+SaN/E175EyTEgxm442kH7uD27V23xp0HR/APgVPGHgyFdB12znh+zCzLKt6zMB5EkYOJA3PBGR2xSWyb62/FJ/qU1rZf3v/JXb8T2b7KP+fi4/wC/lH2Uf8/Fx/38rzDTrm5f9pLWI5JJEX/hE7WQxbztVzNLnjpmvOPhDfax4F8Pj4gSXl7qHhvVNWv4vEEMsjSGyZbyVI7qMHooUKrgdlBHehdL/wBatfpv/wAOTfRteX4x5v6/pH0t9lH/AD8XH/fyj7KP+fi4/wC/lfNlt4q1bTvhHr99pOrzQRX/AI5ubSTU4n3m1tZLhgZEbkAYxg9Bmux+IGmeD/AMVtqkngC7vLWOeH/idW+pBboSu2NxcuJWOTknPOe9OKvZvrb72k/1XzHLRtLpf8G1+h7F9lH/AD8XH/fyj7KP+fi4/wC/lWB0FFI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Cv9lH/Pxcf9/KPso/5+Lj/v5ViigDwfXIcftveHk8yU/8UVNyW5/4+JK9w+yj/n4uP+/leJ69/wAnxeHf+xKm/wDSiSvdKAK/2Uf8/Fx/38o+yj/n4uP+/lee/B64eTxl8SreWZ3aLxEu1HYnYhs7fGAegzmud0vT9a8SeLfjHpeja1Np1xNcWttaXgZisEn2SIsBg8decetK+ia6x5vy0/EaS5mm9nb8bHsn2Uf8/Fx/38qo8+nrqqaU2puL6SIzJB53zmMHBbHpmvJ/h0bTw14ns/B+seED4W8S32myrbajY3hntNQ8vCs5OQTIMq+JFyN5wetYMWlw/DkW2pfEjwWupywagE/4TKxvPMuH3udjzKSsqgbghUFl49Kqy5lro/8AO2nz727E68r01/p/1a/fyPoH7KP+fi4/7+UfZR/z8XH/AH8qdWDKGU5BGQfalpDuV/so/wCfi4/7+UfZR/z8XH/fyrFFAFf7KP8An4uP+/lH2Uf8/Fx/38qxRQBX+yj/AJ+Lj/v5R9lH/Pxcf9/KsUUAV/so/wCfi4/7+UfZR/z8XH/fyrFFAFf7KP8An4uP+/lH2Uf8/Fx/38qxRQBX+yj/AJ+Lj/v5R9lH/Pxcf9/KsUUAV/so/wCfi4/7+UfZR/z8XH/fyrFFAFf7KP8An4uP+/lH2Uf8/Fx/38qj4zvbXTvCOr317qTaXbwWUzyXqjLW4CH94B3K9R9K+atFtdR0m28Daxqmgy+H7FNSia58W29y8lzfq7bY1mi++qzFgreZuC59cEEPeny+n4/16vomEtI83r+C/r062PqP7KP+fi4/7+UfZR/z8XH/AH8r5u+O/io+JNH8TNfzazpWlaPE6aZajT7uNry5H/LxJIE2iMc7ATgnDHGMV2Pi+3vfEWv+E9bm0nVvEfglbCRbjTreFlb7UV+SWWGQoXUDIGehIOO9JO6TXX8v+D+q87D0dv6/r/g79fYPso/5+Lj/AL+UfZR/z8XH/fyvKP2fLq6/4SPxxpNvZ6hZaDY38X9nWt4+Wti6EyRqMttUH+HPy9K6/wCKFj4Hh0G78UeNdLsrq10u2eRpZ4t7Kg5Kr7k9B3NE3yxUulk/vVxxTlJx63sdR9lH/Pxcf9/KPso/5+Lj/v5Xzg+i6v4R+Ds+tkTaDe+LdcslvIbZzGNNs5p0Tykx9wiNsFgc5Oc12OvaNp/gn4ufD+LwhCNNTVZri11C0gZvLuYVhZw7rnBZSAdx5qktbPvb52T/AAva/r2Jvo2uzfy/4Nnp6dz117UbG/0i46H/AJaV4j+w7B5n7OujnzZV/wBMvPuvj/lu1e7Sfcb6GvDv2GP+Tc9H/wCvy8/9HvSGe1fZR/z8XH/fyj7KP+fi4/7+Vwn7SMk0PwO8WTW8kkciadIweMkMuB1yKk+Nt4sXwG8UXkVzszokzRyq+DkxnBBqZy5YOXYuEeacY9/+B/mdv9lH/Pxcf9/KDagAk3FwAP8AppXj3ifwh4m1S18Ha1Hptv4l0yx0qOG98PXl2YN8jKMzqTlGdRxh8dOCKhuLab4gfDLS38BWs1pBpOpSLqHhzVLl4hcGJyslnJIC2FBBAHKYwMYrSceVtdn+F7X/AF0v95lCXMlLuvxte3/D2+49d0uaw1SzW807UnurdmZVlimypKkg8+xBFWvso/5+Lj/v5XmvwgvvDVh4o1fwlZ+DJvB2tQQx3VxYLIr20sZ4EsRRinUEHhW45FepUmthplf7KP8An4uP+/lH2Uf8/Fx/38qxRSGV/so/5+Lj/v5R9lH/AD8XH/fyrFFAFf7KP+fi4/7+UfZR/wA/Fx/38qxRQBX+yj/n4uP+/lH2Uf8APxcf9/KsUUAV/so/5+Lj/v5R9lH/AD8XH/fyrFFAFf7KP+fi4/7+UfZR/wA/Fx/38qxRQBX+yj/n4uP+/lH2Uf8APxcf9/KsUUAV/so/5+Lj/v5R9lH/AD8XH/fyrFFAFf7KP+fi4/7+UfZR/wA/Fx/38qxRQBX+yj/n4uP+/lH2Uf8APxcf9/KsVmeJ9IOuaPLpv9qalpiysu+fT5hFNtBBKhyCVBxgkYOCcEUne2g0W/so/wCfi4/7+UfZR/z8XH/fyvL/ANliMw/Di8tvNnlSDWryNGmlaR9oYYyzEk/jV74xeKLy1u7HwnYtqNgmogvf6rDp9xOLa2BAZIzEjfvnztHTaNzdQAXKytbrb8VcUdb36X/B2PQvso/5+Lj/AL+UfZR/z8XH/fyvnDwdrui2/wABvG+l2fiLVdIWLVJ4LW7NvcmVd7xrGilgGLOx2kA7huJ4qx4Uh1DQPiV4SuNU8KjwMk9nLBGLK6NxHrNy0RYQzYACYClwXBbIxkc5Lr5WT+9Xt69O4dPv/B2/rofQ/wBlH/Pxcf8Afyj7KP8An4uP+/lfOen6ZY6t+zbrPxG1K5mbxcLW6vhqxmYT208TMY0RgflUFQNowMEjHNe9eF72/uvBWnahdpuvpLFJZFxjc5TP6miXuKTfS1/nfb7n+HcN2kut/wALf5ml9lH/AD8XH/fyj7KP+fi4/wC/lfONlptjqn7NGq/EjULqZvF/2O41AauZmFxb3EZLIiMD8qgqBsGBgkY5rpfBtuvj/wCJur2vjiEX8WmaPYSWlhOT5KtMhaSXZnBYkAZOSASBT5Xdx6r/ACf37fqDaS5un+TS/U9p+yj/AJ+Lj/v5Xy5/wUdi8v4XeHP3kj/8Tv8AibP/ACwkr1v9nS6vH0HxBpct5NeWOla9dWWnyzOXYQI2FTcSSQvQV5T/AMFI/wDkl3hv/sN/+0JKNLJrqk/vVw6tPo2vudj6D1PS9F8SeEDoOu2Mt5p91brHPDslUOMdNy4P4g1Q0/wP4Ps9TtNS+w6teXNkxe0bUL29vVgfGNyLM7qrY/iAB96ueI/FWleDfBEeu6wZjbxpFGqQpvklkchURR0ySQOSB6kUtl4quGsr+51bwtrejCytzcFbryHEqAc7Wildc8fdJB/Cpuo3l2/r8h2crRLOk6ToOlahqmoafp8sNzq0wnvnEUp85woUEg5A4AHGKydJ8C+B9Ku9NurDQZIZNLknlsRi4ZbdpiTIVUkqMkntx2xUfgvx5e+KtP0vVLHwL4ig0vU4o54by4nsQixOAQ7KtwXHB6BSfapr7x9af8JBeaDoGiat4k1CwIW+XTxEsdqSMhXlmkjTdgj5VYsO4FU04tJ7/wCX+RN1JN9P8zS17RfD+u3mmXmq6dLcXGl3AubKXy5VaGTpuBXH4g5B9KXQtG8PaHo0mj6XpjwWEsksskBhldWaVy8hO4HqzE46c1m6h49s9M0/TLnVdE1mwl1DVItLW2miQPHLI20MSHKsmf4kZvbNXvHvi3T/AAZo8GqanBdTQzXkNmq26qWDyttUncQMZ6/ypW0t3dvm7f5od9fx/P8A4P4mRZ/Dv4f2fgu68GWnhswaBdSNJNZxrOqszHJIYHcOfQjHarGneCfB9lqdvqX9najfXdqd1tJqVzd3xt2/vRidnEbe64PvUWr/ABAW18cXPg/TfC2t61qNrZx3kxtHtUjWNyQvM0yEnKngCq8nxW8Np8PtV8ZfZ9SNvpEz2+oWfkqLmCZG2vGQW2kg9wxB7E0J9V/XT/gA19n+tdfx3OhXSdBXxLP4kXT5Rqs9qtpLceXLloVJYLjp1Y84zzTdE0Xw7ouhPoem6W8Omu8rvbmGV1YyuzyZ3AnlmY/jWL8QPiGfBukXGtXvhHXr3SLeJJZL21ktNoDY42POr5GcfdpusfEb+wtB/t3xD4P8Q6Vpwmijknka1mESOf8AWsIpnIQcZPUZ6UWurfIL7P5/cv8AL/I0PDfhDwZ4d8MTeGNH8OxW+izM7S2TW0kkTlzlshwcg+nSs+H4c+BIvIj/ALJ1KW1t5RLDZT3l7LaRsDldtu7mIAZ4G3A7AVq3HjTSl8b2PhG0hur+/urQ3kklsqtDaw9FeViwxuOdoGScGulp6/F/Wmn4C02/rX/Mg+1xf3J/+/D/AOFH2uL+7P8A9+H/AMKnopDIPtcX92f/AL8P/hR9ri/uz/8Afh/8KnooAg+1xf3Z/wDvw/8AhR9ri/uz/wDfh/8ACp6KAIPtcX92f/vw/wDhR9ri/uz/APfh/wDCp6KAIPtcX92f/vw/+FH2uL+7P/34f/Cp6KAIPtcX92f/AL8P/hR9ri/uz/8Afh/8KnooAg+1xf3Z/wDvw/8AhR9ri/uz/wDfh/8ACp6KAIPtcX92f/vw/wDhR9ri/uz/APfh/wDCp6KAIPtcX92f/vw/+FH2uL+7P/34f/Cp6KAIPtcX92f/AL8P/hR9ri/uz/8Afh/8KnooAg+1xf3Z/wDvw/8AhR9ri/uz/wDfh/8ACp6KAIPtcX92f/vw/wDhR9ri/uz/APfh/wDCp6KAIPtcX92f/vw/+FH2uL+7P/34f/Cp6KAIPtcX92f/AL8P/hR9ri/uz/8Afh/8KnooAg+1xf3Z/wDvw/8AhR9ri/uz/wDfh/8ACp6KAIPtcX92f/vw/wDhR9ri/uz/APfh/wDCp6KAIPtcX92f/vw/+FH2uL+7P/34f/Cp6KAIPtcX92f/AL8P/hR9ri/uz/8Afh/8KnooAg+1xf3Z/wDvw/8AhR9ri/uz/wDfh/8ACp6KAIPtcX92f/vw/wDhR9ri/uz/APfh/wDCp6KAPB9dnQ/tveHpNsuP+EKmH+qbP/HxJ2xmvcftcX92f/vw/wDhXiWvf8nxeHf+xKm/9KJK90oA5PXPCPhTWNXbV7mw1C31F4xHLdWE93ZSyoOiyNAyFwO27OO1TWvhjwla+HJvD1voax6bOxeaIW8mZXPJkZ8bmckA7yd2ec1Z8MeKLHxBqWu2FnDcxyaJfCxuDKqhXfyo5cpgnK4kUc4OQeKybv4leHbKbxat8Ly2i8K+V9vmaIFW8yNXXywpJPDAcgc/nS0S8rX+W/6js3Lz2+e3/AJdK8GeENNvpr+PTL67vJbc2zXOoTXV7KIT96NXnZ2VTnkKQD3rI0X4Z+FLDUZbi6/tnVLRJ0m0/T7+4u7i1sNiBVEcUjMnBBIJGV3YGBW74c8XzapGtxeeFtc0a0ktftUVzeCB43jxnnyZXKHBBwwUnt0OMHQfiLq3iDVLHUdF8Hard+DrpWRNVUQ72kDld4iMokEXykZKbu+McmkmpJdfy/y1/EltcrfQ7/7XF/dn/wC/D/4Ufa4v7s//AH4f/Cp6KQyD7XF/dn/78P8A4Ufa4v7s/wD34f8AwqeigCD7XF/dn/78P/hR9ri/uz/9+H/wqeigCD7XF/dn/wC/D/4Ufa4v7s//AH4f/Cp6KAIPtcX92f8A78P/AIUfa4v7s/8A34f/AAqeigCD7XF/dn/78P8A4Ufa4v7s/wD34f8AwqeigCD7XF/dn/78P/hR9ri/uz/9+H/wqeigCD7XF/dn/wC/D/4Ufa4v7s//AH4f/Cp64a3+KHh+6+I1r4HtbLWJbu488LeGzKWm+FcugdyC5x3QMPehauwPRXOsvGsb20ms7y1a4tp0aOWGW1ZkkQjBVgVwQRwQa5LTvh34FsJLEw6TqMkWnyCWztbm7vZ7aBx91kgkdo1K9VwvynBGMV288ghheVldgiliEUsxwOwHJPsK4pPiNFb+IdJ0fXvC2v6CdYlaGwuLwW7RSyhS2w+VK7IxUEjcB09aI/Fpv/Vv+AD+HXb+r/8ABOi1+z0nXtGudH1azmurG6QxzQmKVQ6+mQAfyNVNd0PRdaS3S8OtxLbrtjFnfXtpx7+S67vxzWZ4x8fN4Zh1C+uvB/iS60nTVL3eowRwCNEHLsEeVZHVRySqHgcZqTVviFpFtJo1rpdnqGu6hrMBubKzsUQSPCBkyMZWREUZH3mHJAGTSVn/AF/Xn+I9v6+/9Cafwj4Om8GzeD30Lboc6lZbVIpkEmTklmXDFieSxOT3NWdd0Hw5rmmWml6tpst1ZWk0U0MDpMEDxkFCwH3gCAcNkccio/BXjLT/ABRPqdjHaXum6ppUwhvrC9VRLCSMqcozIysOQVYim+K/GdnoWs2GgwadqGsa1fo0kFhYiPf5a/ekZpHRFUdMlhk8DJpvdPvZ/qn+olt6X/4Jpa7Z6NrukXGkaxp326wuUMc1vNauyMv0x/8AqrJ8O+EfCmg6kNTsNPv3vli8mO4vJrq7kij/ALiNMzFF9lwKzo/ir4bj0TWtQ1OHUdLudEuEtr7T7iENcpK5AjVRGWV95I2lWIOetWdL+IFvL4nsPDuteHtZ8O32pRvJYC/8hkudgyyhoZJArAAna2DgU0tdP60/y/AHtqdU93Fsb5Z+h/5YP/hXiP7DlxHH+zro6sspP2y8+7EzD/Xv6CvdpPuN9DXh37DH/Juej/8AX5ef+j3pAezXT2d3bSWt1bPPBKpSSOS1ZldT1BBXBFcjb/DrwHCIY/7HvprSBw8NjcXN5NZxkcrttnYxADsAuB2xW/468S2Pg/wlqXiXUobia00+BppUt1BkZR2UMQM/UipPFniCz8N+EdR8TXsU8tpYWj3UqQgGRkVdxCgkDP1IpNqK5uw0nJqPcoeIfDfhzXb1L2+ttTjulj8rz7K4u7SRk67WaFkLLns2RWVrnw/8K3nhSDQdKtbzQfsayf2fdaaJ4JrV3GGkV0KszHq24nceual1H4jadDf6Npem6Pqur6rq1j9vgsbUQo6QY++7SyIg9Mbic1Nrvj+x0XSdMuL7R9Xj1LVbn7HZaUYkFxJPnGzJbywP9vftxyCRTcbKzXX8b2/PT1FGW0l/St/l+Bb8J+HPD3hnzpNNs7try4Ci5vbnz7i5uNowN8sm5yBjgZwOwFb32uL+7P8A9+H/AMK5/wCH+t+ItWspY/FPhi60LUoWJZWaN4ZEJO0o6SOCQMA5wc54xXT022xRsloQfa4v7s//AH4f/Cj7XF/dn/78P/hU9FIZB9ri/uz/APfh/wDCj7XF/dn/AO/D/wCFT0UAQfa4v7s//fh/8KPtcX92f/vw/wDhU9FAEH2uL+7P/wB+H/wo+1xf3Z/+/D/4VPRQBB9ri/uz/wDfh/8ACj7XF/dn/wC/D/4VPRQBB9ri/uz/APfh/wDCj7XF/dn/AO/D/wCFT0UAQfa4v7s//fh/8KPtcX92f/vw/wDhU9FAEH2uL+7P/wB+H/wo+1xf3Z/+/D/4VPRQBB9ri/uz/wDfh/8ACj7XF/dn/wC/D/4VPRQBB9ri/uz/APfh/wDCqWtW1hrFg1jef2mkTEEm1kuLaTI9HiKsPwNalFDVwOD03wLoPhvR9St/Bqalpl1dwSohnur25gSSTrIYpHKlsgHOATjGea1/h/omn+D/AAfp3hyza8mis49plkhcs7Eksx47kmulrG8RavqWmPCth4V1XWw4JZrOa1QR47HzpYyc+2elF7f12v8A5ha5Rbwr4RfQNR0GXQxNpmpzPPeW8sErrLIxBLc5IOQCCMYIBGDVbRvBXhHStVtdUgsNTuLyzQpayX93eXn2cEYPliZnEZxxlQDgkdCaxYvjBpf9k+LNRu/DevWieFti3yv9mk3u3/LONo5mUsOMgkYyK6fwz4j1PWZIzceDda0i2kiEqXN3PZshBAIGIp3bJB9MULTbsvu6fgDffz/4P/BMqX4d+AZL2W5bQbgJNcC6ltFkultJJgQd7WwbyWbIByU6gGtldD8Or4rXxSumyjWFtPsYuBHNxDkHZt+71A5xmuYuPi5pKaTeeILfw/r134ZspTHca1DHD9nUK215AhkEzIvdljIwCRnFeg2txDdWsV1byLJDKgkRx0ZSMg0LRJrZf5f5fgD3af8AVn+j/E4x/h34Ba8kuDoNwEluRdSWiyXS2ckwOd7WwbyS2QDkp1ANXfEPhHwnrupx6pfabex6hHEYFu7KW6s5jGf4C8JRmXj7pJFYk/xd0lNIu/EUHh/XrrwxaSmOfW4o4fs6qG2tIEMgmZF7ssZGASM4rV1Lx/ZJr40HQtH1TxHqK2qXc0Wn+SqwRP8AcZ3mkjXLdlBJ74pWVkraf8D/AC/Abbu/66/5/ibegWOi6BpMOlaNpxsbKAYjhitnCj36cn1J5NfNf/BR6ZJPhd4cCrIP+J1/FGy/8sJPUV9GeBfFmleMdEOqaX58YSZ7e4t7iPZNbzIcPG69mB9CR6Gvnf8A4KR/8ku8N/8AYb/9oSVUr31JVuh774ogs7rwKlrqPhqTxHZSxRrcWSIjsycZYKxAYjrgHPpXnPhHw/4otbzxHZaJaeJLXwbJoxgs9O1y582VLrbgCDezOseMAhmxnpXr2lx3J022K3KqPKXA8vOOPrVnyrr/AJ+l/wC/X/16zlBSUl3Vvwt/w3mWpNNPt/nf/h/I8c+BWmv4e8P+F9N1Hw/8QLbVLaxhtrn7TeTyWMcgQK3yGYxhQc4wuB2FX/CNrr/w58WeK4bnw3qOs6Rreqy6paXumIkjo0nLRSoSGGDnDcgjHSvVPKuv+fpf+/X/ANejyrr/AJ+l/wC/X/161lNym59Xf8Wn+aRmopR5fT8L/o2edfEux8QeLvC2k6ppWgXMF3pOtW2pR2F26Ry3EcT7iBgkKxHQE/XFUfiIutfEi00fQNP8La1pcEeqW17e3epxpCkUUT7iFAYl3OMYHHvXqflXX/P0v/fr/wCvR5V1/wA/S/8Afr/69StGvW/z0/yRT1+63y1/zZ5VqngK/wBc+OmvatdtrenaZNoNvb219p+oyWpMwdyw/dsN2AQcMCOa5/UfCfitv2e/FXgX/hGj/attNJDbTQLGg1VS+5bjgj52B+fOMtuNe6+Vdf8AP0v/AH6/+vR5V1/z9L/36/8Ar0krK39b3/r/AIYpy97m/raxwfx00PVtd+Ceq6JpNjJd6jNaxpHAhG5mBXI5OO1drNYW994fOm6haxzwS23lTQyKGVgVwQRU/lXX/P0v/fr/AOvR5V1/z9L/AN+v/r05aqSfUiK5eW3Q83/Zy8Gz+EfCd+upafPa6jc6lcAm4lMkhto5GjtlDEk7BCsYAzwK9Qqv5V1/z9L/AN+v/r0eVdf8/S/9+v8A69NtuwJWuWKKr+Vdf8/S/wDfr/69HlXX/P0v/fr/AOvSGWKKr+Vdf8/S/wDfr/69HlXX/P0v/fr/AOvQBYoqv5V1/wA/S/8Afr/69HlXX/P0v/fr/wCvQBYoqv5V1/z9L/36/wDr0eVdf8/S/wDfr/69AFiiq/lXX/P0v/fr/wCvR5V1/wA/S/8Afr/69AFiiq/lXX/P0v8A36/+vR5V1/z9L/36/wDr0AWKKr+Vdf8AP0v/AH6/+vR5V1/z9L/36/8Ar0AWKKr+Vdf8/S/9+v8A69HlXX/P0v8A36/+vQBYoqv5V1/z9L/36/8Ar0eVdf8AP0v/AH6/+vQBYoqv5V1/z9L/AN+v/r0eVdf8/S/9+v8A69AFiiq/lXX/AD9L/wB+v/r0eVdf8/S/9+v/AK9AFiiq/lXX/P0v/fr/AOvR5V1/z9L/AN+v/r0AWKKr+Vdf8/S/9+v/AK9HlXX/AD9L/wB+v/r0AWKKr+Vdf8/S/wDfr/69HlXX/P0v/fr/AOvQBYoqv5V1/wA/S/8Afr/69HlXX/P0v/fr/wCvQBYoqv5V1/z9L/36/wDr0eVdf8/S/wDfr/69AFiiq/lXX/P0v/fr/wCvR5V1/wA/S/8Afr/69AFiiq/lXX/P0v8A36/+vR5V1/z9L/36/wDr0AWKKr+Vdf8AP0v/AH6/+vR5V1/z9L/36/8Ar0AWKKr+Vdf8/S/9+v8A69HlXX/P0v8A36/+vQB4nr3/ACfF4d/7Eqb/ANKJK90rwfXEmH7b3h5TMpf/AIQqb5tn/TxJ2zXuHlXX/P0v/fr/AOvQB5roS634G8beL5brw3qmrabruoJqFpc6ZGspU+RFE0cilgVIMeQeQQaj8KaDqkcnjzxVrvhZ7mPxHdRPFortG8r28cKRjeCdm47WO3Pp3r07yrr/AJ+l/wC/X/16PKuv+fpf+/X/ANeklpbyt8tP8kh31b87/P8A4fU8c8D6HrWkeO4W8H6P4m0rwamnzC+0nWJ8wNMW3Rrao7s0Z5YHBCYKjFYD2bXeqSx/CTQvFfhXxHb6nE+qWzzeVpcTMqtIssRdomyrA/u1BJYHNfQXlXX/AD9L/wB+v/r00Rzq+37XGGbnHlDJ9+tUnZp9v87/AHdLdhdH5/8ADff+pZXdtG7BbHOOmaWq/lXX/P0v/fr/AOvR5V1/z9L/AN+v/r0gLFFV/Kuv+fpf+/X/ANejyrr/AJ+l/wC/X/16ALFFV/Kuv+fpf+/X/wBejyrr/n6X/v1/9egCxRVfyrr/AJ+l/wC/X/16PKuv+fpf+/X/ANegCxRVfyrr/n6X/v1/9ejyrr/n6X/v1/8AXoAsUVX8q6/5+l/79f8A16PKuv8An6X/AL9f/XoAsUVX8q6/5+l/79f/AF6PKuv+fpf+/X/16ALFeOeNbzWJ/jR4W1628G+JrjTtFivIbmaO0QhjIm1SgL5YZ71635V1/wA/S/8Afr/69HlXX/P0v/fr/wCvQt0w6WObn8axf8Jlc+FbHR769vrfSm1GQoUVVOQEhYk/K754zxwea85vtF1nUvH/AIZ1rwtoXiqzvLS+3ahP4jmNxbRWrZ81YllkcpIegMW04JycZFexW+mrbXNxdW4tYZ7kgzyx2yq0pHALEctj3qx5V1/z9L/36/8Ar0R0al1X+f5dPP5g9U49/wDL+n5XPIPileeJ/Feu3XhC88L+JLPwYmFvrmwt1kn1UZ5iQ7x5UR6MT8zDIGM5q3qWn6lpPxG8N+OtJ8LancaOuiyaXPYQxoLqzBZWRvKLDI+XBwSRmvVPKuv+fpf+/X/16PKuv+fpf+/X/wBelFctrb/8Br8n8gl72+3/AAz/ADVzy7wtb+IdM8QeN/iPP4V1F21P7PHYaQjRi7ljiXbuYFtqk5zgt0qfxRY63pfxc0bx/baBf6lp8mjyadeW9rse4tmZw6tsJG4ZGDgnFeleVdf8/S/9+v8A69HlXX/P0v8A36/+vTWlrdNvuaf33B63v1/4Fvut/meCeI/Ani3xH/wlfjKDRXtbu71bTb3TtLuJFSaaKzdGIfkqrPt4BP1xXW6hb6145+I/g/U18N6no2meH5Zru5m1JEjeSRoiixxqGbPJyTwMCvTvKuv+fpf+/X/16PKuv+fpf+/X/wBeiPu2S2W3ra1/wXzCXvXv10+XYnk+430NeHfsMf8AJuej/wDX5ef+j3r2l47rY3+lL0P/ACy/+vXiP7DqTt+zro/lzKg+2XnBTP8Ay3b3oA9L+MPhy98XfDLxB4c014kvL6ykigMhwu8jgE9hXIeOdT8TeLvhrqPhCz8Da3aazqdi1k73SxpawMy7WcyhzuUckYBJ9K9T8q6/5+l/79f/AF6PKuv+fpf+/X/16TimmnsylJpqS3W34f5Hm3jfw3ov2HRNN1jwdruryaZaxrZato7bLiCRBjCujpInTP8AdPeueeC8sfg3DB8YfD+q+IrGKeeU3DGOS9sLZWJgkmdGU+cF2gvGcgjOe9e1eVdf8/S/9+v/AK9I0NywIa6QjuDF/wDXpybldvr/AJ3JglGy6L/Kx5r8HrLxRB4o1a5WXX08FzW8Tadba/cGa6SbHzFCxLrFjGA7E5ya9TqsiXDLlbyNh6iMf40vlXX/AD9L/wB+v/r1TdxJWLFFV/Kuv+fpf+/X/wBejyrr/n6X/v1/9epGWKKr+Vdf8/S/9+v/AK9HlXX/AD9L/wB+v/r0AWKKr+Vdf8/S/wDfr/69HlXX/P0v/fr/AOvQBYoqv5V1/wA/S/8Afr/69HlXX/P0v/fr/wCvQBYoqv5V1/z9L/36/wDr0eVdf8/S/wDfr/69AFiiq/lXX/P0v/fr/wCvR5V1/wA/S/8Afr/69AFiiq/lXX/P0v8A36/+vR5V1/z9L/36/wDr0AWKKr+Vdf8AP0v/AH6/+vR5V1/z9L/36/8Ar0AWKKr+Vdf8/S/9+v8A69HlXX/P0v8A36/+vQBYoqv5V1/z9L/36/8Ar0eVdf8AP0v/AH6/+vQBYrmviZfeIrDwbet4T017/W5wLezUY2xO52+a+SPkTO4/TGK3fKuv+fpf+/X/ANejyrr/AJ+l/wC/X/16UldWGnZ3OH0vwjpvhD4Tf8I9caFN4njcBtStgqSyXsjsPNchyA3POPReK5fw/wCF7iT4laXqHg7wvqPhHQYbWaHWVuR5CXgZCIkSEMQSrYbfgYxjnNeweVdf8/S/9+v/AK9HlXX/AD9L/wB+v/r05e823/WlvuEtI8v9f8P5nhOmaV4v0z4Ial8KD4P1GbVpILjTre9XYbF45SQJmk3ZAAYkjbnjGOa9S8Pi901bLwW2j37WkGlKrasCnkbwApjAzu3dT93HFdJ5V1/z9L/36/8Ar0eVdf8AP0v/AH6/+vQ/eTUuu/no1+rYbNNdL28rtN/lY8I07SvGGn/Ay/8AhOfB+oy6u9tPpsF6uw2LxyEgTtJuyAFYkjbnjGK3PDmj618OfiBqd8dA1PW9J1PS7OFJ9ORZZIpoEKlWQlSFOSQRnpXrflXX/P0v/fr/AOvR5V1/z9L/AN+v/r0Xd3K+r38/6vf1BpWtbT/gp/ojh/gh4d1bQ9H1m/1u1Wyvdb1e41I2gcMYEkbKoxHG7HXBIrxn/gpH/wAku8N/9hv/ANoSV9PeVdf8/S/9+v8A69fLn/BR1Zl+F3hzzJQ//E77Jj/lhJT7JdLL7tBd331+/U+j9S1vT/DfgmXXtVmEFlY2XnzOeyquTXkHwy8eazaeMtCXxR4otdRg8ZQPLFaLdRP/AGXdZLrbqF527CF56sK9K8UeG9F8Y+GdO0nWNRnis4pYLia3hmRVuPLIYRyZBJQkcgYz61D4y8B+CvE2kLYSR2umSRzx3EF5pwihuIZI2DKyttOOR3BpQ0ld/wBLr+enp5jlrGy/p9P+D6+R5Zqni1o/GPxGbxD4i8cW9po96kdl/ZEcpgt0MKthmVCi/MSfnIGOvFd5p2m+J9Y+FGn6v4o8Q39pr0WmtLM+j3qxwyNgsrHZlGOMcrx6cV0eg+F/Dukan4jv4r1rh/ENwJ72O4lRkyIxHhQAMAgdDmk8J+GND8N+C/8AhErPVrmfTlWSOH7RcI7wxsTiNSAPlUHC5BwAOTUSi/ZOK35V96Wv49epaa9qpPa7+4474SR6nP8ABnTPGl74m16+1S80IXEv2m83xCRo8llTGBz0rHi1b4har8EPh/r2nSavqaTWsFx4hOmtGNRniMYJMO7ALZzkAgkdK9P8OeH9C0HwHZ+DbPUHfT7SyWyjklmQymMLtySABnHt+FZ+neENP0nwponh7Q/F2saTFo1uttb3EFzA0kiKoXEiyRtGxwOuzI7Yrao05za2urfJy/zRlTTUY331v80v+DYzPBbaL4w8P3drpPjPxVIbC8aOdJ5mtr21kAGYpdyB8dxuB4PBxisb4EWur614du9d1DxT4gvr211bULWGO4viYGSG4kjjDIBzwq59a7jwb4Z0LwzJqV3Dqc+oalqs3n39/e3CNNcMFCrkKFRQFAAVVUADpTvBvh3QvCuhXWj6bqMzwXN3c3bvLcL5geeRpH2soGACxx3Axyal9fT8dB9EvP8ADX/gHmvgPXtS0vX9N074k614r0XxRcXjxAXAVtI1BidwSBlBjA2kAAlXBB7161418Q2HhXwrqPiHU5RFa2MDSuT7dB+JxXMTeBNLv7zTZNf8Y63r1pplwtzaWV7cW4iWVfuMxjiSSQr23s2epya1vHfhvQfGdpY2Wr6lKLK1u0untoZ0EdyU6JKCCWT2GM0pXcbLR/p/nvpsUn713/T1/DY8y+FfjjV7LxppGm+KPFVtqy+LbE3kES3MT/2ddhizWoCfwiNowM9WVqoWHjXxponj/wAY+Kb/AFK51Xwjpmu/2Zfaf5YJsIPJidbmPAyQGdtw9MGvTvF/gPwX4ksraBlt9LntbuO8t7vTfKhnikQ5BDbTx2IxzV7w54Z8PaHc+IZoLw3A1+9a8vI7iVGTeY0jKqABhdqDg56nmnfXmS2Tt23i1+F1367k20s+rX5O/wCNn9/Q8+Hi/WLi/wDi3LZ63JNaaZbW8uktGyskIezSTch7gk579aZa2fiS1+COnePNO8b65/bSaNBqUq39yJ7WdjErujRsOAeeQQR2rovCnwp8EeGdK8S6XpWoXqWniEkXEb3aMLdNu0JDlflUDoDux06cUtv8NdIbw7Z+GdU8b6/q3h+0hjgXTZ7i1iikjjACK7QQxyOoAHBfB7g1Nvdajo7Rs+1r3/NepaavHmV7Xv57f5P0udX4R12TxF8P9M8SeQbWTUNNju/Kznyy8YbAPfBNeBaR4t1q68EafqXhzxl4g1fxzJqkkZ0vcZ4HjFy6Mrx7dqIIwPmyMYHPNfR6NpsdiLKGW2ht1j8pEjZVCLjAAHQACs3wZpOj+FPDtvoWnX5ltoHldWnmRnJkkaQ5IAHVjjjpirbXtHJbXX57GaTUFF7/APAPK9c128uPjd4j0XVNV8Zpp9npdjNbW2gwzSCOSQy+YW8pGIztXGfQ4q78YtWvtDsfh/Y2GseJ4bLUdW8m8aESNfzRGJ32kBS+7IHAGRiurv8AwVYyeNNQ8WaX411jRb/UbeG3ultGs3jdYixTiaGQg/O3Q1b1bwrpOsS+HLjVvEF5e3WgXhvILhpIEaaQqy/vAiBcYY8KF6CpWyXmvzLe79Hb/wABt+f+Zx3wy1vWL/xd4ng0vWNWvPDOn2aoU1sbb6G+wSwCsBKsezYRvXBOdves34L6o+u6ZpV9q2sfEK41Ka5n8xzBcCwbbNIAC4j8vbtUDrivR5vC+gP44l8XRalNbX09gbC6ihnQQ3MeSVZ1IJLLltpyPvHrV3wZpOjeFPDdtoOnXxktbYuUaeZGc73ZzkgAdWPaiO13v/wX/wAD8uhMlul/Wi/4P59Tg/h4+s/EqPV/EWqeJNY0yzh1OexsdP02YW4iSI7S0jAbndjk8nAGMDrWHe+K/FmiaX8UfC8+tT303hzTY73S9WdFWdVlWTEchA2symPhsZIPNd2vgfSrDVtR1Dwz4t1bw1/aUvn3lvYS20kEsuMGQJPFIEYjGdm3OBkGlg8AeE4vCmuaB9vupW19WGp6hNdrJd3DMNu4uwIGBwAFCjsBUtN02l/Lb59/v1vuaRa9pd7Xv8r7fdp+J5p4Z8R6zNqXga08O6/4qk1nUUjn1OHxAjx2s1r5YMzRecq733FNvlZOCSeKf4o8aeLdA+OGv6qdYuJvCeh/2fFqOnMAY44brzVM44zuV0j/AOAs1en654L8N6t4f0HSJNTuLc6DLBNp95BcItxG0S7R8xUjDLkMMcgnpTx4O8LtrXiXVJ7trh/ElpFaX8MsyGLy41cDaMZBIkbOSe2MVpJ+85R6N2/DTyW68tX10yivd5ZdUl+Ovz/4bpr5p+0L438RSQ3dv4H1qXT7bQI7a91O9tsHzXmmSOK3BIIwUaRz3G1fWuo+LPiuaC08M+EbDxEmiar4gZWm1AyIjWtrGm6WVS/y7idiD/fJ7VY034U+CtP+Gl54Cg1O+bT724W4uLqS7ja6kdXRly5XGB5ar93oPxrZtvBXhNfFl34kvZl1S7uLSKzjjvnilitoo88RLt+XcTliSc4HSpsrcvS9/wANvv09PMq7367flr+b9dNjgLX4iapdfALxnMurxP4n8MRXFrcXcEqvudRmOYEcfMpHPqDUGh+NPE/h7wTq3hnxXq01xq7+Hp9T0DWmUK16ogLsh7edGcHHdeexrtNb+GPgvUr/AF26jvJtNTXdK/su+t7GWKOF0DZWQLsOJBlgG6YY5Bq7438B+EfGHgWHwhq9zJ9lt40S3uYbhUuYCq7N6PjAYqSDxghiMc1NS8ou27Vvzu126P8AAqFoyj2Tb/Kyf4r8TiLfxh4m1Ow+GnhS21Z7O88S2MlzqGqlVaYRxR5ZYwRgOxYfNg4AJxXoMfhy60C2vL+28U6/dqlpLuhvrkTqWCkqwJXKkH0OD3qnqXgHwjfeGtF0Zr24t5NCCnTNQt7sR3dswXbuVwMHIJBBBU55Bq9p2giF5DqfjnWtZV4XhVLqW2jRAwwTtgijDHH9/djtVV/e5+TS97fPb09Pn1Ipe7yc3S1/1/r5HmnwG1OXxJ4c8Pajq+tfEG41W5BkmkaK4Wwdgzfx7PL2YGOuDU3ivWNd0Hxprd54+1PxXo+geaj6PqmkAPp9vDkDFyFDMr7iMmRdhAPIrsfBngiPwlpthpOk/ETX/wCy7E4ispRp7IUznYW+zb8c9d2fepvEnguz16G/sL3xz4gGj6gSLrTEurfypEb70YkaIzKjDghZBwSBjNXNpzvHz/T7vxCO1pHa2csc9pDNDMs8boGWUEYcEcHjjmpao6f/AGXp9jBY2cltDbwRiOKNZBhVAwB1qf7Zaf8AP1B/38FS7X0CN7K+5PRUH2y0/wCfqD/v4KPtlp/z9Qf9/BSGT0VB9stP+fqD/v4KPtlp/wA/UH/fwUAT0VB9stP+fqD/AL+Cj7Zaf8/UH/fwUAT0VB9stP8An6g/7+Cj7Zaf8/UH/fwUAT0VB9stP+fqD/v4KPtlp/z9Qf8AfwUAT0VB9stP+fqD/v4KPtlp/wA/UH/fwUAT0VB9stP+fqD/AL+Cj7Zaf8/UH/fwUAT0VB9stP8An6g/7+Cj7Zaf8/UH/fwUAT0VB9stP+fqD/v4KPtlp/z9Qf8AfwUAeJa9/wAnxeHf+xKm/wDSiSvdK8H124gP7b3h6QTRlP8AhCphu3DH/HxJXuP2y0/5+oP+/goA4n4WaxqWp+J/H1rf3slxFp+vC3tEfGIYvssD7R7bmY/ia5yLWPHGpeI/ivpfh3UFlv8AT3to9GiuCPKhZraNmAOO5JPPc11N74O0z/hIr7XtC8Van4cvNR2m/wD7Plt3juWVQquyTxyKGCgDcoUkAZziptG8I+H9J0bUrGx1i/ju9Tm+03up/bh9rmmwB5hfoMBVAUKFAGNuOKW8Vf8Alt89Nfwb+ZV7SbXe/wAt7focj8L9fRtTXRL3WPF1h4sbT2eXSPEajbK6/KZYmAKMoYH/AFbEYYZA4rmdCvF0vxFY6r8UNR8Y+HvFsd0bP+0HXOk3Cs5ZI43QNEsbKVGG2tuHrXpdp4K0o+IItf1rxXq2u6nbW0ltZT3k9vH9kWT77RrBHGu84X5iCRtGMVkL8P5tWefTvGfjzUdf8PQ3MUljp80tum9UVSPtEkcSSSEPk43YIA3ZNWn76l/W/T5fLpsRb3XH+tuvz+fXc9RHIoqBbqzVQq3NuABgAOOKPtlp/wA/UH/fwVIyeioPtlp/z9Qf9/BR9stP+fqD/v4KAJ6Kg+2Wn/P1B/38FH2y0/5+oP8Av4KAJ6Kg+2Wn/P1B/wB/BR9stP8An6g/7+CgCeioPtlp/wA/UH/fwUfbLT/n6g/7+CgCeioPtlp/z9Qf9/BR9stP+fqD/v4KAJ6q6xHfzaXcxaXdQ2l88TLBPNCZUjcjhigK7gPTIp/2y0/5+oP+/gqDUJYbmylt4dW+xSOpVbiFoy8Z9VDhlz9QR7UnsNbnnPwMv/EUniXx3pHiDxFda42manHFDNNGke0FCSFVRhRntWX8WW1nw3d6Unhvxlr1/wCLtR1OH7NprSpJDLCXHnF4QuEiWPcd3GCBzmup8G+B7Pwx4j1DW7fx1rd7Lqcwnv4bo2Xl3DhSoJ2QKy4znClenOaoaP8ADWz0jXdT1zTviN4ji1HU5C9zcyf2dNIR2QNJbMyoOyg4FP7UH2Sv8rfnb7vUVvdku9/xv+R6V++Nv1RZtnUjKhsencZryb4eXfi60+OeveHvEXiubW4U0aG6VBbLBBFIzgHy0GSBj1Yn3rprGz16X4jXeq3niFodDg04WlpbLcoftEzEF7h1A2hl24HH8R4HSqWm+Abey8bSeLx8Q/EE+pTRJbz+Z/Z/lywqwYRkLbDA4xlSG96cfjUvX9Uv0f8AwdBS+Fx9P0b/AFRw2qeIdSm1rxlF4s8Zaz4X1OyuXTQrS0UrC0IUmKQDYROWOMg59MDNdLoWu3fiz4S+FvFOtXviezku7ZJLiHQbaRpJJCPvERozhe/YdK6fxD4bXXZbiK+8d64umXJxNptvLaxRMnePzFhEwU9DiQHB61PqWg2skdlHonirUPDkVnD5EcWmyW5iKcYBjmjkXIxwwAPvzUxVoWfl+F7v56XKlrK68/xtZfL+upz37PWvaprfhnUl1bV21CS01GWGFLor9ut4c/Il0q/dlx1BGfWk8Yalq2s/GLTPAdtq15pOmf2VLqV3LZsI552DhFQPg7VBOTjk4xmr+n+AtA07QNa0+w8R6ta6hrcvn3+sw3qJfSS/3wwXYh7AKgAHQVa8R+EdG1fVNL1mLxDqGma1pkTQwalaXERlaNh8yOsiPG4PXlevIxTe8fK1/ut+evmLpK3W/wCd/wAtPI8t13xx4u8Lz+LvCNtrMt3JbatptnpupXQWSa2jvHRW3nGHKbjtJz0Gc11mqSa14H+JfgvT7bxFqurabr8s1neW+pTiYqyxM6yocZU5GCOhFbB+G/g6bw9q+k6jfXWoTazOtzfajPdqLqSZCDHIGQKqFCBtCqAMdKt6R4O0q28R2fiDV/FGp+IdQsImisX1Ga3C2wYYYqsMcaliMjcwJwetODta+/XzVrW+++vnfcJa3t528n3/AOB5W6nayfcb6GvDv2GP+Tc9H/6/Lz/0e9e1PeWmxv8ASoOh/wCWgrxH9hy4t4/2ddHWSeJD9svOGcD/AJbvSA734+atqWhfB/xLq2kXklnfWti8kE8eNyMBwRmpvi7ql9pPwd8R6xp129tfW2kzTQToRuRxGSGHvmt7X7TQ9e0W80bVvst1YXkTQzwvIMOjDBHBzXH3Hw90y+0hdB1fxz4h1TQQoRtMuLq2EckY6RvKkSzOvbmQ5/izUyTlFx2v1/r+vQuMlGUZWvbp32Od8WX3jYw+ENSkHiO68LyaZGdUbQNpvluWUYkdfvtGM5ITJzng1Jr+ta3rHwz0bVfh5rGseJdJW7I1SS22Lqj2oJDxxhwmJV5BBw/HrXea5oyX1zFPpvjLVdB2RCEx2Etu0TKOnyTxyKpHqoB965+48Cw6R4R/s3wP4svtF1SKSa5S8e6jl+13MuS73IkR1fLEnhRjPy4q5yT5nbrf8b29Pu00M6aa5U30t+Fvvv8A5kPwRufCdu+peH/Dus6+ZbQrJPpGtI6XFoX5LASKHKsSTnLLnODXptcd4R8K6Tous3PiK+1ufWvEN5AlvcaheSxBvLXpGiRqiIucnhcnPJNdV9stP+fqD/v4Kcugok9FQfbLT/n6g/7+Cj7Zaf8AP1B/38FSUT0VB9stP+fqD/v4KPtlp/z9Qf8AfwUAT0VB9stP+fqD/v4KPtlp/wA/UH/fwUAT0VB9stP+fqD/AL+Cj7Zaf8/UH/fwUAT0VB9stP8An6g/7+Cj7Zaf8/UH/fwUAT0VB9stP+fqD/v4KPtlp/z9Qf8AfwUAT0VB9stP+fqD/v4KPtlp/wA/UH/fwUAT0VB9stP+fqD/AL+Cj7Zaf8/UH/fwUAT0VB9stP8An6g/7+Cj7Zaf8/UH/fwUAeaftHy+LtO8B32u+HvFT6Lb2ESvJFb2qtNO5ljA/esTtXBbIC5OevY9pcWVxrnhOyjbWb7TTJDFJPcWjqkrDaCRuIO3J6kc1l/EfwrZeONIl0e88XanpunToEuLexa1xLhgwJaWJ2BBA+6RVPX/AARaa54EPhDUPHmvtbF133MU1pFO8SjiFtsIQx8DI25PQkjIpK/K15j+0mYvwd1TV77x94qtbHWtQ1zwdZrFHZ3t6wkJu8nzUjlwDIijbzyAT1q9481PVtS+K3h/wHZ6pd6TYXWn3Oo3s9owSeXymjVY1cg7RmTJxycYz1q/p2hXvhjw/cW+h+LLzUzBZPDp+nXK2EFuj4+Q5hgjYYPvjrwTWfp3gOOfQvDk2t+MNR/4SrR43261bXMZmJk/1kZEiujp0GGU/dBGKel49Uvx3/J2fpZak6693+G357et2cP4n8b+K/Bd5418L2usTagbWTTBpd9e4lltReTiJg5wN+37y579c10niKbW/h/4u8Ftb+JNX1iz1m7ksdQttQnEu4+RJKssfyjYQ0fQcEE10C/DrwhNouuafqt/datPrrI2o391dKLmRozmIqYwqpsPKhFAB7VNpPgrSbfXNO1jV/FWq+IbnSkZdOGozW4S2LLtLhYY49z7SV3PuOCfWkr2Svr38rbf8H57jdrvTTXTz7/r5fM85tNS8V6x8DdU+Kv/AAl2p2usx29xqFraxSKtlEkJJWFosfMCFIJJJ5617R4d1aTUfCFjrU0OySezW4eNexK5IFcUfhd4aXTLrQofFGsweGruczT6Gl1B9mYM25o95jMyxk9VEgGMjoSK6u30mxt/EkesQ+IL6OCKz+yJpYu1+xAZGH8vGd4AxnPQnim9YtLS+3lo/vu7fdcPtX33+d2rfcr/AJHkFrqfivVfgTqPxX/4S7U7bWktZtStrWORRZRJESwhMWMMCFIJJJ5zmt3wzrGtfEXx5qOnXOs6loumaVplnMtvp03kyTTToWZmfGSowQAMDnmtf/hVvhpdLudBh8UazD4ZuZjLNoaXUH2ZgW3NHvMZmEZPVBIBjI6EitTVPBWjTeIz4h0XxJqPhzUntVtJ5NOmgKzxL9wMk0ciZXswAPvRddtOi7afj0+6+4PZ669++q+7S/322KfwK17WdX0fW9O1y8N/c6JrFxpyXjABriONsKzYAG7HUjrXjv8AwUj/AOSXeG/+w3/7Qkr6E8F6H4f8I6KNK0mceWZXmmmnuBJLPK5y8jserE9a+d/+Cj00Mvwu8OCOaNz/AG1/CwP/ACwkpvp6L77av5sS6+r+6+h9HX+taV4c8HNrmtXK2mn2dqJbiYoz7FA5OFBJ/AVqNdWq2BvmcC3Efml9p+7jOcdeledfH2Ga4/Z38SQ28Mk0raO4VI1LMx2dgOTWxofijw94l8OvouiavbXd+dPK+SuQQdmOcj1rOTfJNx3W33MtJc0E9nv+H+Z0uh6vpet6Daa7pdwtxp15brcW8wRl3xsNwbBAI4PQjNc3qvxQ8A6X4JtPGl/r0UOg3jrHb3ZtpTvZjgDYE3Dn1Fcd8MPG2ieGvhFo3hnXGurPxBpWmR2M+ltayG4aZE2bUUL8+4jgjIIIrlpvC+raT8H/AISaHqumy/aoNdsGvLcx7/KDSbmVwMjjODW0or2jUHpeKT8m7fkRB+7eW9m7eiv+Z7nrXijw7o+iWut6hqUMenXckUdvcIpkSRpSBHjYDkNkc9Kb4l8WeHfDs9va6pfbby5/497O3gkubmYdykMStIwHchcDvXgHxa0XXvBlpZ+BrLT77UvC1/rtndaLLChk/s4iYNJavjkRjqhPAB29q7mW4XwX8fvEHiLxRBcR6RrVhbQ6dqnlNJDbmNcPA7DPl5bLDOAc1Cs0n3b/AASdvW7a7dul201ddUl+dr+ltfzO4m+IXg+30O/1m71CaztdPKi7F1YTwTQ7sbS0LoJADkYO3BrV8SeIdE8OWEF/rV4tpbTzx28bmNm3SSHCLhQTye/SvL/2gdc0/wAW/A3xInhuS41DasaiSG2cqzbh9wlcMR3xnHes/wCOfh3xPF4T0SW48VanrcS65Ys1qdPgUY8z7xMcYbj604q7SfdL77f5g9Ffyb+4912r/dH5Vz9j4z8K33jC78I2uqwy63ZoHntRG3yjAON2NpIBBIBJGRkCnfEPxEnhXwbqWuGCa4kt4T5MMUZd5JDwqgD3xXhWo+GPiR4Y8C6L4sbw7pEuuaLeyazfz22ryyXN357brmLyvswHIIULvOAgAJqYtc2uy3+f+W7/AOCNp203e3y/z2X/AAD2288eeDrPx3b+BrrWreHxDcw+fDZujgunbD42ZOOFzk+laMniHRI/E3/CNPeKNW+x/bfs/ltnydxXfuxt6qRjOeOleM3Hhqx+Inxb8TySR3dvbXvhvS7rTb8RskltNulZHRiOHXIyPwNRfD298Van8ebmPxVpFzb6ppPhj+z7y6EJFvduJpGWaNhxh0ZW2/wkkdqdmmovf3vwUv1ST9dPJO2rW3u/jy/o3b018/R4viv4Flsn1Bb7Uf7PjleJ79tEvVtEZHKNunMPlgBgQWLYyOtdraTW13axXVrLDcW8yCSKWJgyOpGQwI4II7ivC/gt4y8O6B8I20PVZZX1VbzUlOlpbSPcSl7uYqojC5O4MD9DXdfs+6Dq/hv4V6ZputQG1uvMnnW0LbjaxyTPJHEfdVZRjtjHanbf5Cej+bX3dS3dfE7wZb3epWzXWpSnS5jBfy2+i3k0Ns4UMQ8qRFFwGUk7sAHJq9rfjrwno+maXqV1qgmtdWkEenPZW0t4bpiMgIIVctwCeBXj2i+HfGl7F8VZPD2uXOnPJr8pSxks0Md4v2aDdhyN6lhlQynAIqp4um0xvh98I7rQYb7wzptlq6rIXgMkmnFY5FfeHUg4fI3MMHOe9TF3jFvd8n/k2/8AwPx6XqStKSWy5v8AyXb+vuPcbbxhoM2l3+qOuqWdpYR+ZcSX2j3VrtXnlRLGpfp/CDUOgeOPD2uNF/Z8WtGOaLzo559BvYIWTGd3mSQqmCORzz2rkdX1S31j4T+LLax8XSeKrhLOTLi2RGTcvChY0UHoexNafw30XX7LwNpU+oeKb++g/sWJfsMtlBGEJhXAyqB8jpyfrRJ25n2S/G/+QLXl82/wt/mWbX4r+A7i2jvF1K8jsJJjAt/PpF3FZ7wxQg3DxCIfMCuS2M8Vp+IfHHhnQtXtNIvri7lv7yBri3t7LTbi8d4lIDPiCN8AFl5PqK8B0fw74oX9nW0uri6v9R0OK/uJdU8OG0SOSW2F5ISI5FAkyOHwSdwBFdP48vbWH4xeDNYtNeuPDWlN4ZuVhvhZq4UM8JSIiRGCkgdCM/LVWXNy+b/9Jb/NW69eons3/XxJfk/yPWbnxp4bs/Dx16/uLrT7HzhAv23Tri3mkkPREhkQSOT2Cqc846Gkh8b+GZNH1LVpLm6tLbTI/NvReadcW0sKYJDGKRFcqcHBCkHBx0Ncn4qbwb4m+HNoPEHii+1C1hvQ0Ot2sRie2uVBKyExptTAbGSNpzg9a4281vxRrHw/+JGiS6jN4q0K10gf2ZrRsfIknkZGDwHaAspXCnegH3sGpk7KXdf5L+unTW5UEpSiujav99v6+eh7Tqnijw/pnhQeKb6+WHRzFHKLnynI2SFQh2gbuSy9u9Z+t/EHwXoniPR/D2q61Fa6nrS7tPheGTEw/wB4LtXqPvEV5F8QvDfipf2bYmfxVql6gsNPzpv9nW4yPMh+XKx7+Prnjmrnj3wifF/xT0nSZoZY0k8F3Ahudh2wXKz2zxNu7EMoOOuAauSSm10TfrZRb+/QiL5qal1a+W8V+p7D4z8TeH/Bvh648QeJdQi07TbfHmzOjNgk4ACqCxPsAaztR+IPhCx0zRtRmv55YNbONNFtp9xcSXJ2lsLHGjP90E8gdK8bW48TfErQNTPibR7qzi8IaNdRTQyIcX2qGGSMSIMfMqx5I95R6VBraXNn4Q+CdxNfXOiLaTubi9+zBza5tZRlldSBkkL8w70kt9esbejv/ldeTQ3+kr+qS0/Gz8z3NPGXh/8AsLUdcuDqNjp+nRmW6lv9JurTaoBJIWWNWfp/CDRoPjbwnr3gt/GWkavBd6EkLzvdIjfIiDLZQjcCAM7SM+1cD471KHW/gJ42t9P8US+K7hdPlBlW2RHXcvCBY1UHoe2a5bxxomr+B/AF54l8O6dc3eka74fNrrulW8eXina3Kx3cadc7iFcDqGDfw1FR8sZPyVvXXfydvl6aqoRUnHzbv6K346/0z1vVfiN4R0zR4tZup9TOmS2v2sXkGi3k8Cw4zuZ44iqcdQxBFSWfxA8KXOkXOsNc31npttALiS7v9KurOEocYKvNGocnIwFJJzwK4nUrS6H7I13ZfZpvtP8Awi8ieT5Z37vKPG3rn2roL/T9BvfgjY6b4tguv7Lk0+1W58lJPMiI2FX+Qbl2sAc9sZPFaVY8kpxXR/5/5GdOXMoPvv8AK3+Z0fhzxZoXiC5a109r1J1j84R3mm3Fozx5A3oJkTevI5XIGR61u7V/uj8q8g+FWu69/wAJ63hvT/Edx4y8Jx6cZDqlzaCOWzmDALE0yqqzblJPTcNvJr2ChpWTQ03dpibV/uj8qNq/3R+VLRUjE2r/AHR+VG1f7o/KlooATav90flRtX+6PypaKAE2r/dH5UbV/uj8qWigBNq/3R+VG1f7o/KlooATav8AdH5UbV/uj8qWigBNq/3R+VG1f7o/KlooATav90flRtX+6PypaKAE2r/dH5UbV/uj8qWigBNq/wB0flRtX+6PypaKAPC9eA/4bh8O8f8AMlTf+lEle57V/uj8q8M17/k+Lw7/ANiVN/6USV7pQBmaPrekaxd6laaddLPNplz9lvFEbL5UuxX28gZ+V1ORkc1UPi7wwtxrcEmrW8LaFt/tMygottuQOuWYAHKkHgnrjrXAeFNasPA3j3x1beLHfSo9V1ZNQ0+5ljbybmI20MZ2uBjcGjYFevT1rP8AD2mabrTfE7xF4j02/PhbX7qBIQbaUSXEEdvGhlVVG/buBwcdFz0pXvFNfy3+emn3t/cVZKTT72+X/DanpPh7xr4b16YQ2E92jND9ojN5ptxaLLF3eNpo1EigEElScAg9xWNB8UfDlz4jttOs4NQudMnDIutR6fO1iZg23yhOI/LbkH5g20EYzniuM8Da1qFn4vg8MaN4jvPG3gv+zJmu5rizJm07af3aeeigS7lJUIQX+TOeaxLfWo/CsFrafCDxlda6v2+P/ik7q084wRSHMihyqywBclvnJA6Yq0k5xts/87fL8fu0Id+V9/8AgX/rb79T6K2r/dH5UbV/uj8qELFQWXaccjOcUtSNCbV/uj8qNq/3R+VLRQAm1f7o/Kjav90flS0UAJtX+6Pyo2r/AHR+VLRQAm1f7o/Kjav90flS0UAJtX+6Pyo2r/dH5UtFACbV/uj8qNq/3R+VLRQAm1f7o/Kjav8AdH5UtFACbV/uj8q56bxp4Vh8aQeDX1SI67OhdLRYnbgKW+Zgu1TtUkAkEgHFaHiga43h6+Xw2bEaw0LCza9ZhCshHBfaCcDrwOa8MtfDvjHwz8QfANt/wjukz3H2u8nvL3+2552uZXt3Ekkrm0XaeTtGCM4HGc0R1lZ/1/XX+miWkW1/X9dP6T9l8beMfDHgvT4r/wATanHYQSv5cZMTyM7YycKgLHABJOMAAk0viHxd4d0E2UepXj+ff5+yW1tay3NxOANxKRRKzkAckhcDvXi/xf8ADPj7/hHfGviLV9H0PVLm5tHtrJ4NWnLWdpkEJFB9mwXOAWO/nHYcV0niq1/s3W/DHjbUPEGi+GPEcGnvZtb3SSX9rLCwBIBHkuGBAOeO4waSeib/AK0/Pv8A8DVvey/r/gf1pfT0vwr4k0HxRZS3eh3yXSQymGZDG0csMg6pJG4Dow9GANR+J/FOgeG2tY9WumS4u2KW1tb20lxcTEDJ2RRKztgckgYA615l8Lri78PHxz8R/FE039l6ncwywvBpksRlSNdhlW3+eQBieM5JHJq34svYdE+Omg+MtWWdPD9zoUtnHemFzHbTM6uA+BlNygjJA54pveK2va/k7Xt9+gukvw89Ur/K92dzY+OfCF5oN/rketW8Njpzsl81yjW72rL1WWOQK6N7MATTdA8deFtb1aPSbO7uYb+WEzw299p9xZyTRjq0YnRPMA7lc4rwvxbpWp6/J428aaPpd9c6HLrek3UcaQNuv4bWRDPIidWGFOOPmxxmu41vU7Hx18WPAdx4UaS+g0aae71C8jjdY4I2hZFjZiB8zEgbevcinDW1+vTtpe/p/k+opaJ+V/n5ev8Amj2GRV2N8o6HtXh/7DIB/Zz0fIH/AB+Xn/o969xk+430NeHfsMf8m56P/wBfl5/6PekM9g8SazpXhzQ7vW9auVtNPs4zLPMUZtijqcKCT+Ap2t6tpmi6Hda5qdwtvp9pA1xPMULbI1GS2ACTx6DNcx8eNG1LxB8IPE2kaRbNc31zp8iQQqeZGxwo9zXJfErxxonif4R6v4e0I3d7r+p6a9pBpSWsguVldNu11K/JtJ5JwBipk3yvl37f15lxS5o82z38tjv9W8ceFtMGnLcX0s02pQ+fZ21pZTXVxLHjO8RRIz7cdyuBS3vjbwrZ6Db61cakEtrqTybdPs8nnzS5x5Sw7fNMmRjZt3A8YrgfGWj+GtLfw5PqfijUfCnifS9Mjt7fU7aMmOWMD5omDK0cgyCSvXvxWU+pWvif4Z6PqHxVv7vw9qNvfzPpWvWtvJa48tj5d0VYFYd6AHbJwc4Aq52TfK9n+F7ffb018jOF2ldbr8bX+77/ALz0/wAAeMLPxZZzMNN1DSr6BiJ7HULOW3mjUk7WxIi5DDByMjnGciun2r/dH5V5d8IvEnibVPFmsabNqo8T+GIIIpLHXjZC3LyH70OVwkuBzuUDk4r1Km1a39f1/XQSe4m1f7o/Kjav90flS0VJQm1f7o/Kjav90flS0UAJtX+6Pyo2r/dH5UtFACbV/uj8qNq/3R+VLRQAm1f7o/Kjav8AdH5UtFACbV/uj8qNq/3R+VLRQAm1f7o/Kjav90flS0UAJtX+6Pyo2r/dH5UtFACbV/uj8qNq/wB0flS0UAJtX+6Pyo2r/dH5UtFACbV/uj8qyPEfiPR9ANumovctNcEiGC0sprqZ8DkiOFGfaO7YwMjnkVsVw/xc+Idp4D022C2cl9qmoOYrKDlYgR1eWTBEca5GTyT0AJqZOw4q5qaR448I6r4du/ENnrdr/ZtiWW8lmBhNsy/eWVJAGjYejAGotC8e+FNa1W30uzvLmK9uommtYr3Tri0Nyi/eaLzo0EgAIPyZ456V4xf6Db3Hwb8RPousr4q1651m01nXRYwsBJtuI3eONOu0IjYHJOPfFdN4p1Ox+IHjXwDF4QeW5bS72S+vbpInVbKL7NLHtckDDFnUbevXjAqvz00+V2/S9/uYun3/AIbL1en3o7i8+Jnge0uJ45tWfybacW9xeJYzvZwykhdj3KoYUOSAcuMEjNdgnlugdNrKwyCOQRXzbpOpWth+zlq/w2vLG7/4S1ra609dKNs/nXE8hYI68YKncDvzgAE54r2TwxqVvY2uneBbie5GuxaOsjE28hjAChSfNxsyCRxnND0i2te3no27elvxD7Vnpv8ALVJX9b/gNuviZ4HtbieObVn8m3uBbT3qWM72UMpYLse5VDCpyQDlxgnmtDXvGfhrRdRh027up57+aIzJa2FjPezeX/fMcCOyryPmIA5614ZpWpWtl+zZqfw0u7C7/wCEva0udNGlG2fzp55CwVxxgqSwbfnAAJzxXReD7iP4efFDWJfGUktrBqGjWCWd/LG7RM0KFZIt4BwwJBweuKNO+nfo9L6f1s+4O+umvbtql+v4HsHhvXNG8SaPDq+h30F9ZTZ2Sx+o6qQeVYdwQCO4r5r/AOCkQA+FvhvA/wCY3/7Qkr1r9nrTr220TxBqlzZ3Fjbaxrt1f2UE6FHEDt8rFTyu7rggGvJv+Ckf/JLvDf8A2G//AGhJTa20tovlpt8thJ7+r/Pf5n0rpbXf9m222OAr5S4y5zjH0qzuvf8Anlb/APfw/wCFZV5a6zd6BZJousQ6XMEUtJJZi4DDHTaWXH1zXDfCDW/G3iazvtY1nxLp/wBl07Vruykt4dKCeakErJu3+YdpIXPQ4qU979P6/Ub0Sfy/P/I9O3Xv/PK3/wC/h/wo3Xv/ADyt/wDv4f8ACvN/A2t+OPiHoY8VaXrOmaBpF1I/9nW5083UrxKxCySMXUAtjO0DjPWl8FeJvFvi2LXNAlvrDRfEPhzUPsd9cQ2n2i3ulKhkkRWYFMqQSCTg8c07Pbrv8v6a8wen5fP+l6Ho+69/55W//fw/4Ubr3/nlb/8Afw/4V5p8GdY8ceK7O41bVvEmnm3tNWu7F7WHSgnmrBM0Ybf5h2khc9OM1n+MPidr+neKtR1HTIbOXwZ4du4bLWpTEzTNI+DK8bA4CxBgGGDyCO1NLVLv+tv80Hfy/NdPwZ63uvf+eVv/AN/D/hRuvf8Anlb/APfw/wCFcb4q8Walp3xS8GeHbI2zadrUd09wzJuc+WgZdpzgdfQ13VLpf+tNBX1t/WpX3Xv/ADyt/wDv4f8ACjde/wDPK3/7+H/CvGbX4jX97448WaPqXxG8MeFk0nVBZ2dtd28ZlmjMSNvy8qk/MxHAxxXS/Ebxhr3w/uNM8RarJb6h4NEIh1eaG2IntZP4bgAE7oz0KgEjjk0k1yqT2dvxV0U0+Zx6r9D0Hde/88rf/v4f8KN17/zyt/8Av4f8K8j1vx543h+FmreOxFY6ZDdzxHQ7We3LyRWzEASzfMMs+d4XjaCAec1pWXi7xJpfxTsfBt9q2meIoL/TZrxp7a18mWxaM8eYqswKP0BODlT1p+T/AKsrtfcK+l/63t+Z6Vuvf+eVv/38P+FG69/55W//AH8P+FeL/C/4hal4ttreXUPid4W07U5tQuLf+xhaRefiOd0VQDNuyyoD071P41+J3izw98WtTs49PtLzwjolha3GqJHExu41naQGZTnDKmzlcdDntR2v1Dv5f52PYd17/wA8rf8A7+H/AAo3Xv8Azyt/+/h/wrhIfHF3efFkaBp81lcaHL4Zj1aCZF3NI7yyKCGzgqVVT0/GsH4f618TPFvw+/4S618Q6Klw010I9Pk0oiJhDPJGFMgk3DIQc44J6UbK72/4LX6Mdv0/FX/JnrO69/55W/8A38P+FG69/wCeVv8A9/D/AIV5Q3xX1DUvDfgLWtLsorM67rv9l6jbzrvMRTzVkVCCP44+D6dqn+KGrePfDeueHYdP8UacbfXdZWwCS6QGNujI7ZDeaNxG3HIHWnZ3t52+en+ZN1Z+Sv8ALX/JnqG69/55W/8A38P+FG69/wCeVv8A9/D/AIVwninXfE3hW88G6dcalZ6nLrGufY7qf7H5P7kwyPhVDHByg5yfpVr4weKtU8K2nhyXSxbltR123sJ/OQt+6dXLYwRg/KOaLXaXdpfN2/zH39L/AC1/yOx3Xv8Azyt/+/h/wo3Xv/PK3/7+H/CvH/EvxEv7b4p+I/Dd7488OeErDTLK1ntWv7ZHe4aXzN+N8q5xsXhRn5vpUev/ABM8YWHwJTxheWVpo2ptqUVqJbq3YRPbtMEFz5blSoZTuAJ6d8VKd1934uw2rO39bX/I9k3Xv/PK3/7+H/Cjde/88rf/AL+H/CuR+HesNrF7cND8RtB8VRQxjzIdOgiUxMTwWZJG9Dxiu2qmrEp3K+69/wCeVv8A9/D/AIUbr3/nlb/9/D/hViikMr7r3/nlb/8Afw/4Ubr3/nlb/wDfw/4VYooAr7r3/nlb/wDfw/4Ubr3/AJ5W/wD38P8AhViigCvuvf8Anlb/APfw/wCFG69/55W//fw/4VYooAr7r3/nlb/9/D/hRuvf+eVv/wB/D/hViigCvuvf+eVv/wB/D/hRuvf+eVv/AN/D/hViigCvuvf+eVv/AN/D/hRuvf8Anlb/APfw/wCFWKKAK+69/wCeVv8A9/D/AIUbr3/nlb/9/D/hViigCvuvf+eVv/38P+FG69/55W//AH8P+FWKKAK+69/55W//AH8P+FG69/55W/8A38P+FWKKAK+69/55W/8A38P+FG69/wCeVv8A9/D/AIVYooAr7r3/AJ5W/wD38P8AhRuvf+eVv/38P+FWKKAK+69/55W//fw/4Ubr3/nlb/8Afw/4VYooAr7r3/nlb/8Afw/4Ubr3/nlb/wDfw/4VYooA8H103H/Db3h3KRb/APhCpuA5x/x8Sd8V7huvf+eVv/38P+FeJ69/yfF4d/7Eqb/0okr3SgCvuvf+eVv/AN/D/hRuvf8Anlb/APfw/wCFeYfBr4ga94s+IvxB0HVVsxZ+H79Ley8mIq5Qgk7yScnj2rn9N+LHjSfXfizZ22jW+rv4T8r+yrK2hYSzFlJIYgkt68AdKnmVk/7vN8tP80Pl1a8+X56/5Ht+69/55W//AH8P+FVbOwFndXd1a6fYwz3kgkuZEJDSuFChmO3k7VA+gFeH/A/4qeKfGeu6et5418DXgmU/btEW0mstQtWxkhBIx83aeDgY965HxF8TvG2tfFyewu/F+jfD1/D+oOLDSNYS4gj1eI4AaWbIRlOMqO2c81dnzKPf+vn8rkqScXK+i/r+rn1Ruvf+eVv/AN/D/hRuvf8Anlb/APfw/wCFLp8ks1hbzT+SJXiVn8l9ybiBnae4z0NT0NWdgTurlfde/wDPK3/7+H/Cjde/88rf/v4f8KsUUhlfde/88rf/AL+H/Cjde/8APK3/AO/h/wAKsUUAV917/wA8rf8A7+H/AAo3Xv8Azyt/+/h/wqxRQBX3Xv8Azyt/+/h/wo3Xv/PK3/7+H/CrFFAFfde/88rf/v4f8KN17/zyt/8Av4f8KsUUAV917/zyt/8Av4f8KN17/wA8rf8A7+H/AAqxXP8AjoeMH0uKLwW+jw30kwWWfU1do4Y8HLBEwXbOBjIHJ5pNjSubG69/55W//fw/4Ubr3/nlb/8Afw/4V4l8DPiZ488TfEHxf4Q1y30bWIdCQ+VrGmI8NvJNkARHJbk5JyCcbT1q18OPiF491D9oHXPh/wCK4dDitrLSRfRpp6yMUYugAMjkbuGOflFUldpLqrr03FL3b36O39feex7r3/nlb/8Afw/4Ubr3/nlb/wDfw/4VlfELX5PC3gbWvEcNi99JptlLcrbqcGQopOM9hxXzbo/7Q/iq3bwjrWpeIvAus2Wv30VtdaJppYX+nLIcAtlyTt75UZNKPvS5V5fjt+X+Y5K0eb1/Dc+p917/AM8rf/v4f8KN17/zyt/+/h/wrxD4/eNfit4B0HUvF9rqXgy10i2nSOy0+eCWW5vFZgB825QH5ztAOADzXU3msfFHXPBWh61o6+HPCrz6eLvVG1lJZTavgHYEBUBcZJZjx6Ur+45dt/uv+QcuqXc9G3Xv/PK3/wC/h/wo3Xv/ADyt/wDv4f8ACvKP2W/iR4o+JPhPUdQ8TabawtaXht7e+tEZILxRnLIGJ6EY611HxMj8fxhdQ8K+JvDei6bbQPJetqtg8+Mc7gyuoAABzTqe5v8A1pcUVzNrrt+h1+69/wCeVv8A9/D/AIUbr3/nlb/9/D/hXzJoXx3+IFj8Gde+IOvWWlanEdRSw8P+TbPbLd5faZWBZiF744+tddpfxA+JHhf4s+GPB3j6Tw/qdp4lgdoLjTbaSBraVRnaQzNuGcDPFNRbko/1e17ethNpJv1+5O1/S57Y7Xuxv3Vv0P8Ay0P+FeI/sOm5/wCGddH8tIiPtl595yP+W7+1e7Sfcb6GvDv2GP8Ak3PR/wDr8vP/AEe9IZ7Vuvf+eVv/AN/D/hRuvf8Anlb/APfw/wCFcV+0B4t1bwP8J9a8T6ILc39lGGiFxGXTJIHIBH86y/HnjvXNF/Z0fx9ZraHVxo8N5h4iYvMZFJ+XOcZPrUuaUZS/lt+N/wDIpRblGPe/4W/zPSd17/zyt/8Av4f8Kr6nZnU9Pn0/ULGyurS4QxzQysWR1PUEbeRXgnxC+M3jPRdE8CXCrpmi2OvaVFd3/iG80+e5tbedkB8rZGcrn1J71u3/AMSvGml/A3VfF1g/hvxxqdtNttrjw/vkgaI9ZJIwSylOcqD27VU1yqV/s6fjb+r+uxMHzOPK9Xqj2SMXUcaxxwWyooAVQ5AA9Pu07de/88rf/v4f8K8I/Zl8Ua9rWs38tz8SvDvi+01IvezWqPNDeabIf+WSQyEkRDpjAA969/qpRcbX6kxkne2xX3Xv/PK3/wC/h/wo3Xv/ADyt/wDv4f8ACrFFSUV917/zyt/+/h/wo3Xv/PK3/wC/h/wqxRQBX3Xv/PK3/wC/h/wo3Xv/ADyt/wDv4f8ACrFFAFfde/8APK3/AO/h/wAKN17/AM8rf/v4f8KsUUAV917/AM8rf/v4f8KN17/zyt/+/h/wqxRQBX3Xv/PK3/7+H/Cjde/88rf/AL+H/CrFFAFfde/88rf/AL+H/Cjde/8APK3/AO/h/wAKsUUAV917/wA8rf8A7+H/AAo3Xv8Azyt/+/h/wqxRQBX3Xv8Azyt/+/h/wo3Xv/PK3/7+H/CrFFAFfde/88rf/v4f8KN17/zyt/8Av4f8K8Z+PvxD+IXgXxF4a/s210GPQ9U1q304tL5ktzIJM7jj5VQADjljzUvx9+KmteDvF3hfwppV1oehjWxK8uua3n7LbCMA7SAyjJzjJYdqSd0murt80r/kNqzfpc9h3Xv/ADyt/wDv4f8ACjde/wDPK3/7+H/CvIv2dvipqnjjXPFHhnW7rRNTu9Clj8vVNGYm1vI3z8y5JxgjsTXbfEY+PfLgHg2/8OaZbpHJJe3urRyS+WFxgKilRjG4liwxjpTl7qUuj1FHVuPVHT7r3/nlb/8Afw/4Ubr3/nlb/wDfw/4V86+BfjX4+1r4JeOvFV5pemtf+H3Men39vC/2W+IbDYQnJxx0P8Qq98DPi/f+K9bji1j4j+EtQYWT3E2k22j3Nndbgu4hGlbD7cHO0HgUOyk12Sfyab/QHdL5tfNWX6nvm69/55W//fw/4Ubr3/nlb/8Afw/4V8zy/Gb4r3/w21f4t6Tb+GYfDWm3phGkTQyNczRLIqM3nBgAfmz93tX0ToevW+qeELTxGqlLeezF0V7hdu4ih6Rcn038rq6D7Siut/w0Zf3Xv/PK3/7+H/Cjde/88rf/AL+H/CvmaX4z/Fe9+Gep/F3TLbwzF4asL0xDSJYZGuZYlkCM3nBgAfmz93tXTn4o+OfHXxFk8IfDk6HpUdppEWpXN7qkEk+8yAYjVFK4wT156Ua9tf8AgX/IHZen/Bt+bR7luvf+eVv/AN/D/hXy5/wUdM5+F3hzzUjX/id/wsT/AMsJPavX/wBnT4i6h8RvBdxfa1ZW9pq2n3klleJbk+Wzocblz0z6ZNeS/wDBSP8A5Jd4b/7Df/tCSm1b+u4k7/l92h9OaT/yCrX/AK4r/Kud+Gng8+D9H1LT5L8XwvdUu7/cIvL2ieVn2Yyc43Yz39BXgviX4d+GNQ8RajfXKaqZ7i5kkk8vVrlF3FiThVcAD2AxWf8A8Ku8Jf8APPWf/B1d/wDxyu+OWVWr3Wq/roccsdTWjT0f+a/U9w8NeB/Ffg6ym0fwj4o0xdE855bS21TTHuJLQOSTGjxzR5QEnG4Ejpk1vfD7wdD4Ts79pNQn1PVNUumvNRvplVWnlPHCrwqgAAKOgA5NfOP/AAq/wj/c1j/wdXf/AMco/wCFX+Ef7msf+Dq7/wDjlUssrLqu39aA8fTfR9z6E8BeDbzwj4V1TSbXVo5rm8v7y9iuGtiFiaeV5ACu75tu7HUZx2rB0D4I+EbXwgdG1lLnVry5R21G7N1PELueQkySGNZNoyxJxz+NeM/8Kv8ACP8Ac1j/AMHV3/8AHKP+FX+Ef7msf+Dq7/8AjlJ5VVfVbW+S+X9fIP7Qp3vru382euWvwt8TWMXgme18YWNzqPhSG4to577TXkW5icbUDBZlIZUCjOTkjOBXpWgx61HY7deu9PurvcfnsrZ4I9vYbXdzn8a+Wf8AhV/hH+5rH/g6u/8A45R/wq7wl/zz1n/wdXf/AMcqnltd7tf8Pr2J+vUuzPb9H8E+MPD3iXxLqegeI9CFvruoC+eG+0mWV4m8tI9oZLhARhAenetDxJ4Ek8WeIdLuvFd/a6ho2nxBxpC2hWCe67zSbmbeo/hQjjnJNeAf8Kv8I/3NY/8AB1d//HKP+FX+Ef7msf8Ag6u//jlSsrrWSutLfgrLp/W5TzCm23rqew3nwjnk8F614Jh8QRjw7d3Sz6bazWfmNYpu3PDnfh4y2dowNoOOQBXoOkeHtD0a1nt9E0fTdLWcfvBZ2qQhjjGSFAzXy4/wx8Hohd11dVUZJOt3YAH/AH8qja+CfhzdrG1rqlxcCVzHGYvElw4dxyVXEvJ9hzR/ZlW3Ldff6IPr1O97P+tT3z4f+C/G/gvRYtC0/wAS+HrjTo7uecGfR5vOKyzPKV3C4C5G8gHb26Vt6d4LW3+JOv8Ai6a8S4h1jT7ayazaDhBEZCSWz8wbzOmB07187/8ACr/CP9zWP/B1d/8Axyj/AIVf4R/uax/4Orv/AOOU/wCzKz3a/r5B9fp66PX/ADv+Z7J4G+EEXhLx/qfiCy16aXS57E2dhpkkORYo0jSMqvu5Tc7ELgYzjOMUnhP4feOPDnhA+EbDxlpEOmmW4YXKaO/2tFmleQ7WacpuG8gEoR7V45/wq/wj/c1j/wAHV3/8co/4Vf4R/uax/wCDq7/+OUv7LrW5bq3z7t9vNh/aFO97Pe/4W/I9wuPhTp0OieDdG0a+eztPDWqLqGZY/Ne6bD79xyMMzSFiefpW38QPB7eKr/wzdLqAtP7E1ZNQKmHf521HXZ1G372c89OlfOn/AAq/wj/c1j/wdXf/AMco/wCFX+Ef7msf+Dq7/wDjlV/Zta97re/z08vJE/XqXZ7W+Wv+bPo74i+EV8WWenNDqEmm6lpV6t9YXSoJBHKqsuGQ/eUhiCMg+hFZF74K8QeI9W0e68Z6/p11aaRdi9gtNM097dZZwrKrSNJLISAGOAu3k854rwj/AIVf4R/uax/4Orv/AOOUf8Kv8I/3NY/8HV3/APHKSyusndNd/n9w3j6T3T7fI+hNP8CwReOvFXiG+uYr218Q2dtaSWTwcIsXmg5JJ3BvN6YGMd65m++EupTfDCTwPH4qQwwapHeaXNPZF/s0KSiRIGAkBcAggHK8EDHFeQ/8Kv8ACP8Ac1j/AMHV3/8AHKP+FX+Ef7msf+Dq7/8AjlJZXWTumun4O66dH/Wo3mFNu9n/AErfkfTPh238Xw3Tf8JBqmhXdtswi2OnSwOG9SzzOCMZ4x+NbtfJP/Cr/CP9zWP/AAdXf/xyj/hV/hH+5rH/AIOrv/45T/syt3X9fISx1JdGfW1FfJP/AAq/wj/c1j/wdXf/AMco/wCFX+Ef7msf+Dq7/wDjlH9l1u6/r5D+v0+zPraivkn/AIVf4R/uax/4Orv/AOOUf8Kv8I/3NY/8HV3/APHKP7Lrd1/XyD6/T7M+tqK+Sf8AhV/hH+5rH/g6u/8A45R/wq/wj/c1j/wdXf8A8co/sut3X9fIPr9Psz62or5J/wCFX+Ef7msf+Dq7/wDjlH/Cr/CP9zWP/B1d/wDxyj+y63df18g+v0+zPraivkn/AIVf4R/uax/4Orv/AOOUf8Kv8I/3NY/8HV3/APHKP7Lrd1/XyD6/T7M+tqK+Sf8AhV/hH+5rH/g6u/8A45R/wq/wj/c1j/wdXf8A8co/sut3X9fIPr9Psz62or5J/wCFX+Ef7msf+Dq7/wDjlH/Cr/CP9zWP/B1d/wDxyj+y63df18g+v0+zPraivkn/AIVf4R/uax/4Orv/AOOUf8Kv8I/3NY/8HV3/APHKP7Lrd1/XyD6/T7M+tqK+Sf8AhV/hH+5rH/g6u/8A45R/wq/wj/c1j/wdXf8A8co/sut3X9fIPr9Psz62or5J/wCFX+Ef7msf+Dq7/wDjlH/Cr/CP9zWP/B1d/wDxyj+y63df18g+v0+zPraivkn/AIVf4R/uax/4Orv/AOOUf8Kv8I/3NY/8HV3/APHKP7Lrd1/XyD6/T7M+tqK+Sf8AhV/hH+5rH/g6u/8A45R/wq/wj/c1j/wdXf8A8co/sut3X9fIPr9Psz62or5J/wCFX+Ef7msf+Dq7/wDjlH/Cr/CP9zWP/B1d/wDxyj+y63df18g+v0+zPraivkn/AIVf4R/uax/4Orv/AOOUf8Kv8I/3NY/8HV3/APHKP7Lrd1/XyD6/T7M9C17/AJPi8O/9iVN/6USV7pXwXfeBfDyfH7TNEVdS+xy6BJcMDqdwZN4kccSb9wHHTOPau+/4Vf4R/uax/wCDq7/+OVEcuqyvZrQcsbTjbRnqt78IfEmkeOtb8VfDrx9/wjr68yyaja3elpexNIBgMmWUr+tWvBvwgu/DHh/xEbLxtqP/AAlniCcXN7rv2ePcJB0CRHKhBzxknB615B/wq/wl/wA89Z/8HV3/APHKP+FX+Ev+ees/+Dq7/wDjlNZVVUeVNbW3e3b8EJ5hTbu0+/z7npcfwV17WvHmi+LPHvjm31m40WQy2i2GiRWLuxGP3kgZmYDHA4/U1keO/hV8UPGmt3nhDXvGlvd+BZ0NwLybSbdrxHaQn7OjbtwKjGJMDg4wea4v/hV/hL/nnrP/AIOrv/45Vc/DzwONRXTjJq32tojMIv7au87Acbv9Z0zT/surom110/pfP5dg+v09Xr/X9fj3Pq/w5pNvoXh/T9Fs2ka3sbaO3iaRssVRQoJPrxV+vkn/AIVf4R/uax/4Orv/AOOUf8Kv8I/3NY/8HV3/APHKp5bWbu2v6+RMcdSirJM+tqK+Sf8AhV/hH+5rH/g6u/8A45R/wq/wj/c1j/wdXf8A8cpf2XW7r+vkV9fp9mfW1FfJP/Cr/CP9zWP/AAdXf/xyj/hV/hH+5rH/AIOrv/45R/Zdbuv6+QfX6fZn1tRXyT/wq/wj/c1j/wAHV3/8co/4Vf4R/uax/wCDq7/+OUf2XW7r+vkH1+n2Z9bUV8k/8Kv8I/3NY/8AB1d//HKP+FX+Ef7msf8Ag6u//jlH9l1u6/r5B9fp9mfW1FfJP/Cr/CP9zWP/AAdXf/xyj/hV/hH+5rH/AIOrv/45R/Zdbuv6+QfX6fZn1tXC/Gzwb4j8deEDoHh3xlL4VeWUfabmK2MryxYIMYw6lckjkHtjvXgf/Cr/AAj/AHNY/wDB1d//AByj/hV/hH+5rH/g6u//AI5UyymrJWbX4/5DjmNOLukz2H4S/Dnxp4Fsv7JPjPRJ9IS2dILW08OralZiOJWcSEuc8nPX1rntC+DfxF034rTfEOT4o6dPqF3ClreIPDiqsturqxQfvsKTtxuxXn//AAq/wl/zz1n/AMHV3/8AHKP+FXeE/wDnnrP/AIOrv/45V/2bX51O6v8A15EfXqXK42dj27wzo3xFvPGHjDVda1qXTNKuo2tNCsD5c4hwP+PpgOMk9EJ6ZziuU0v4CXV54p0zWPGfibS9TttMu1vYLPTPD0GnLNOv3XmZCS+DzjivPP8AhV/hH+5rH/g6u/8A45R/wq7wl/zz1n/wdXf/AMcpRyutFppq6/q+2/8AXYqWYU5Jpp6nf+Lfgp441v4nSeNl+JVg/kuTpdlf6ALqHT17eWplC7x/f25q/wDFX4TePfH3h/RdJvPidDbR2i51KNNHxDqL5BG9FlGExwUyQa8x/wCFXeEv+ees/wDg6u//AI5R/wAKv8Jf889Z/wDB1d//AByksqqqKjdWX9dh/wBo0+bm1uez6T4F+Iln4E1Lw23xE0+2nkiSLS7rTdAS1XTwp5xGJCGBHHbFWfif8P8AxF40+Gdt4LXxo1gZUji1W/FnvlvIwPnVQHATd368HGK8P/4Vf4S/556z/wCDq7/+OUf8Kv8ACX/PPWf/AAdXf/xyiWV1ZXu10/D5ff36kxx9ONrJ6fr/AFp26Hunj34TeHfFHwmX4dx79LsIIo1s5bcDdbvHgowHfkc+vPNYXhj4Q64fH+j+MvH3jg+Jr3Q4Gh0yKDTVs4o9wwWcBmLt78V5R/wq/wAJf889Z/8AB1d//HKP+FX+Ev8AnnrP/g6u/wD45VLLa6k5XV9/ntfbfzF9epcqjZ22+XY+tZPuN9DXh37DH/Juej/9fl5/6PevOm+F/hLafk1jof8AmNXf/wAcrgvgB4F8Pa38L7HUb9dSNw9xOreTqdxCuBIQPlRwo/Ks3l1VSUbrUtY2nyuVmfanxF8Jab458Gal4W1dpktL+Ixu8LYdD2Ydsg8815RefBPx1q3hODwPr/xae68JxIkLW1voscN1JCn3UabeewAJ281wH/Cr/CX/ADz1n/wdXf8A8co/4Vf4S/556z/4Orv/AOOU1lVW71Wv6fIX9oU/M9w8T+BfF2yytfA3juPw/plrYpZf2dd6THfQMijAYbmUg44OSQa57wj8F9W8F+FNZj8L+N7iz8SapfDUJ76PToVtzIOfKW34VYz0xn8a8w/4Vf4S/wCees/+Dq7/APjlB+F/hEA5TWeP+o1d/wDxym8rravmV31vrvft3EsfSVlZ2X+Vj0X4SfCnxQ3jWy+KPxK1S3bxUlq8AsbCzigiiDZBMjxk+a2D17dOcV7jXyDp3w88D6haLd2MmrTwOSFkXWrvBwcHrJ6irH/Cr/CP9zWP/B1d/wDxyn/ZtVpWat/T7B9ep3bs7n1tRXyT/wAKv8I/3NY/8HV3/wDHKP8AhV/hH+5rH/g6u/8A45R/Zdbuv6+Q/r9Psz62or5J/wCFX+Ef7msf+Dq7/wDjlH/Cr/CP9zWP/B1d/wDxyj+y63df18g+v0+zPraivkn/AIVf4R/uax/4Orv/AOOUf8Kv8I/3NY/8HV3/APHKP7Lrd1/XyD6/T7M+tqK+Sf8AhV/hH+5rH/g6u/8A45R/wq/wj/c1j/wdXf8A8co/sut3X9fIPr9Psz62or5J/wCFX+Ef7msf+Dq7/wDjlH/Cr/CP9zWP/B1d/wDxyj+y63df18g+v0+zPraivkn/AIVf4R/uax/4Orv/AOOUf8Kv8I/3NY/8HV3/APHKP7Lrd1/XyD6/T7M+tqK+Sf8AhV/hH+5rH/g6u/8A45R/wq/wj/c1j/wdXf8A8co/sut3X9fIPr9Psz62or5J/wCFX+Ef7msf+Dq7/wDjlH/Cr/CP9zWP/B1d/wDxyj+y63df18g+v0+zPraivkn/AIVf4R/uax/4Orv/AOOUf8Kv8I/3NY/8HV3/APHKP7Lrd1/XyD6/T7M9P+Nnwj8Z/EbW7CeL4g2Wl6Zpl9Ff2Fo2iCZopkBwWk81Sw56EVteL/AnjjxD4X0nTZvGmhyX1rv+2zXvhmG6gumP3WETviMqMjgnOa8W/wCFX+Ef7msf+Dq7/wDjlH/Cr/CP9zWP/B1d/wDxyksqqqPLdWvfruP+0Kd+az7HpenfCvXPh/4A8UP4NvH1fxx4gdPM1ErFaJE2QoZU+6iIpZtoyT05p/xL+Enjjxr4J8PeHZPidLaLZQj+1jJYeaNTk4P7zbInydRt6HPNeY/8Kv8ACX/PPWf/AAdXf/xyj/hV/hL/AJ56z/4Orv8A+OUPK6r3a6fht0/r5ISzCmtr9fxPafCvgTx9pPhS70Gb4hWMIWONdLk0vw/FaLZFGzjZuZXU4wRxwTzWZovwd1e8+I2neOfiD4zTxJqGlQyQ2MNtpaWUSh1KsXAZi/BPcV5T/wAKv8JZ/wBXrP8A4Orv/wCOUf8ACrvCX/PPWf8AwdXf/wAcp/2ZWbu2v607C+v0kuVJ2O0k/Z21hNA1HwRY/Eee28Cajem6n0z+zEa5ALhyi3G7gZUfw16Za+C9Xs/F2n3Fn4pli8KWmmmxbQPsylJTt2iQyZzn2xXz/wD8Kv8ACX/PPWf/AAdXf/xyj/hV/hH+5rH/AIOrv/45S/suta11/Strprp3G8fTvez/AKd/lqtTs3/Z11dPD1/4GtPiPcW/gO+vDcy6YNMQ3IBcOUW43cDIH8NdDrnwZ1Oy8bDxd8OfGI8LX0mnJp11HPpy3kUsSY2kKWXa3A55ryv/AIVd4T/556z/AODq7/8AjlH/AAq/wl/zz1n/AMHV3/8AHKP7LrWtdfj2tr30D6/S7P8Ap3/M+gPgz8OtP+GnhI6HZXtxqE0073N3dzgB5pWOScDoPQc/WvD/APgpH/yS7w3/ANhv/wBoSVn/APCr/CX/ADz1n/wdXf8A8cryT9qHwfonh3wfpV1pa34ll1Axt59/NONvlseBIxAPHUc1NbA1YRc5Naf12HTxdOUuVJ6nsX7QxI+Hnibb1w386Xw5oa2pkuLfwZomg3XkEQXduY5G3EdCFjU4/Gm+PPGPgyfUdX0DW7XVLqIXEkNxENJunRiGIOGVMEe4NYml+LPh7plyLmxtfEEcoBUFtP1CQYPswI/SvRp1KW7ktl112/rqcVSFS1lF7vp6f5Fq18X6zeaJpVhbpar4luL5rK7UxExwmI/vpNuc7cAkc81VXxX4t1i41htD065SPT7uW0iRLOGZZGjJGXZ50ZckdAvA9alg8ZfD6DW59bh0/VU1K4QJLcDRLzcygYA+5jp7VWvvEvw1vb6S+uNN1g3EuPNePSb6PzMdNwRQG/EGm6sXa9Rff6f8HTz8hKm1tB/d/X9LzNaXXPFF1r+gaRGllpE1/pzXN4ssf2gwSDqEIYBsfXFc74s8ReIrv4ceLNupraX+i3j2zXVrEUMyjBBGGzGcHnBNbK+OvAa3tvepY6qlxbRGGB10O7Xy4z/CAI8AVF/wmHw8+zahbf2bqhh1Fy94h0O7InYjBLfu6J1IST/eLW/XzTX4aBCEotPkelun3ncaFFfRabENQvlvZioPmLB5XGOmMn8815UNMt9U1DxrCvg+XVtRfUWjtr4LCnkN5a4/eswkTB5yoNdJpXj3wTpdmtnYQ67FAv3VOk3r4/FkJpbHx94HsZbmS0ttYhe6l86crol3+8fAG4/u+uAKurUo1JazVrNbrrb/AC33IpwqwXwvp0Eiu/F9lrPhzwiup2RnbSvMv72aEzOZE4JXkbskd/rV621XXNY8VanoOnalaWI0hIlnme082S4kdA24JuAROfU85qk/j7wO+px6m1trBvYozEk39iXe5UPVf9X0qnq3ir4c6rdrd32n6w9yq7BMmkX0UhX0LIgJHsc0OtDfnW76+tvuGqU/5X93oUvFut6zrHwv8ZW1xPbQXOkytay3FvHujulAQ5UE/IfmweTggitO5luNLXwJaTJpt9JdXKxiZ7BVaBfLXBj5O1u2e+Kb/wAJh8PP7EfRBpupjTZFKvbjQ7sK4Jyc/u8kk8k5yakuPHHgO4exeey1aRrBg9oTol3+5YDGR+79BUxnTTvzq/u9ez1+8bhNq3I/tdO60F+HL+ILjxX4qW919rq1tNTEYhe34wYYyApLHYOegHJye9eg15zF4x+H0WtSazFZazHfy48yZNIvV38AZZQm0nAAyRnitL/hZ3hX/qN/+CS7/wDjdaUq9KEFFzWnmTUpVJSclF/cdpRXF/8ACzvCv/Ub/wDBJd//ABuj/hZ3hX/qN/8Agku//jdafWaP86+8j2FT+V/cdpRXF/8ACzvCv/Ub/wDBJd//ABuj/hZ3hX/qN/8Agku//jdH1mj/ADr7w9hU/lf3HaUVxf8Aws7wr/1G/wDwSXf/AMbo/wCFneFf+o3/AOCS7/8AjdH1mj/OvvD2FT+V/cdpRXF/8LO8K/8AUb/8El3/APG6P+FneFf+o3/4JLv/AON0fWaP86+8PYVP5X9x2lFcX/ws7wr/ANRv/wAEl3/8bo/4Wd4V/wCo3/4JLv8A+N0fWaP86+8PYVP5X9x2lFcX/wALO8K/9Rv/AMEl3/8AG6P+FneFf+o3/wCCS7/+N0fWaP8AOvvD2FT+V/cdpRXF/wDCzvCv/Ub/APBJd/8Axuj/AIWd4V/6jf8A4JLv/wCN0fWaP86+8PYVP5X9x2lFcX/ws7wr/wBRv/wSXf8A8bo/4Wd4V/6jf/gku/8A43R9Zo/zr7w9hU/lf3HaUVxf/CzvCv8A1G//AASXf/xuj/hZ3hX/AKjf/gku/wD43R9Zo/zr7w9hU/lf3HaUVxf/AAs7wr/1G/8AwSXf/wAbo/4Wd4V/6jf/AIJLv/43R9Zo/wA6+8PYVP5X9x2lFcX/AMLO8K/9Rv8A8El3/wDG6P8AhZ3hX/qN/wDgku//AI3R9Zo/zr7w9hU/lf3HaUVxf/CzvCv/AFG//BJd/wDxuj/hZ3hX/qN/+CS7/wDjdH1mj/OvvD2FT+V/cdpRXF/8LO8K/wDUb/8ABJd//G6P+FneFf8AqN/+CS7/APjdH1mj/OvvD2FT+V/cdpRXF/8ACzvCv/Ub/wDBJd//ABuj/hZ3hX/qN/8Agku//jdH1mj/ADr7w9hU/lf3HaUVxf8Aws7wr/1G/wDwSXf/AMbo/wCFneFf+o3/AOCS7/8AjdH1mj/OvvD2FT+V/cdpRXF/8LO8K/8AUb/8El3/APG6P+FneFf+o3/4JLv/AON0fWaP86+8PYVP5X9x2lFcX/ws7wr/ANRv/wAEl3/8bo/4Wd4V/wCo3/4JLv8A+N0fWaP86+8PYVP5X9x2lFcX/wALO8K/9Rv/AMEl3/8AG6P+FneFf+o3/wCCS7/+N0fWaP8AOvvD2FT+V/cdpRXF/wDCzvCv/Ub/APBJd/8Axuj/AIWd4V/6jf8A4JLv/wCN0fWaP86+8PYVP5X9xjaj/wAnOaP/ANizL/6Nkr02vEr3xfpMnxz03xMtvrJ0uHQ5LR5v7JuciUyOQu3ZuPBHOMV3P/CzvCv/AFG//BJd/wDxusaOIpLmvJb9zSpRqPl917B8OHz4i8aQFiZF1gNsPUKbeHB+nWsjTbG41rXPiPZ2WovYtc3EMEV2hP7txBHkDBH0OPWjVPFPw41O8+23mn6y10V2GaPSb6J2XsGZEBYfXOKli8Y/DyLSG0mPTNSSxfO+EaFd4Y+p/d5Lf7Wc+9Rz0nFRlJaK2++y+WxXLUUnJRevl8xvhNYNB1+28N6j4Zs9E1a6sZBBqGmyZhugnBZxgMHGVb5weScHrWX/AGbF4Jt7a88VeGNP1WJLxQviG1k/0sl2O15A2HJ52/K54HTFaGn+J/htYTSz22mav50sRheSXSL2Zyh6rudCQDnoKoaVqnw00+/kulttfuB5qyW0FxpV7JDa4UACNGQqOhPTIycYFHtIXi+dXXmu99v8rD5J6+6/x/r8z1oHIyOQeaWuL/4Wd4V/6jf/AIJLv/43R/ws7wr/ANRv/wAEl3/8brp+s0f5l95h7Cr/ACv7jtKK4v8A4Wd4V/6jf/gku/8A43R/ws7wr/1G/wDwSXf/AMbo+s0f5194ewqfyv7jtKK4v/hZ3hX/AKjf/gku/wD43R/ws7wr/wBRv/wSXf8A8bo+s0f5194ewqfyv7jtKK4v/hZ3hX/qN/8Agku//jdH/CzvCv8A1G//AASXf/xuj6zR/nX3h7Cp/K/uO0ori/8AhZ3hX/qN/wDgku//AI3R/wALO8K/9Rv/AMEl3/8AG6PrNH+dfeHsKn8r+47SiuL/AOFneFf+o3/4JLv/AON0f8LO8K/9Rv8A8El3/wDG6PrNH+dfeHsKn8r+47SoNQtvtllNa/aLi381Cnm27bZEz3U4OD71yX/CzvCv/Ub/APBJd/8Axuorv4jeD7u2ktp11xopBtYDR7xSR9QgI/CpliKLTXMvvGqNRP4X9xX+EdhDpfiDxnZW5naKHU0wZpWkc/KclmYkkmsS+8PDwJo11r2paJ4Y122jvTcyXEluRdhXcYCMwIJU9BVvSfEHwy0q/a+0/TdcguWYs7jTdQbecYywZSGOD3BpINd+F0E8c0ekauTE++NH0m+eNG9RGylR7ccdq51Knyx95XStv6f5G3LO7912eu3r/melh4bi0GWKJLEGxuKsFI9RyOvUdK8v1iwg8P8AjXwze/8ACP23hu1e7a3+06fIJXvHcELHKAF+Uk7ix3EEdutPPifwZP4qvdd1B9YuvPs/sMVudBuwkcJ++D8nzFsD0qWx8R/DOyvIry30zWfPh/1Ty6VfS+X7qHUhT7jFXKtTlKMuZKz7ro/8vPr1IjSnFNWbuu3kWfilpmgKkOmWHh3R5vEWuymG3leyjZ0yMyTsSM/KuTn1AqA6Fp8Hjjw74LuohPolno8ksNrN80dxMrBdzr0cgEnn61cPjrwIdYGsGz1c6gIfJE50S7LBM5Kj93gdO1R614y+H+siH+07HV7hoG3RP/Y14jxnodrKgYfganmop35lv30tql+d/X0uVy1LW5Xt+P8AWnp6ln4fhNP8a+LtHsmEekWssDwwg4jt5HUl0QdFGew4qt8SUGo+M9A021todYu0jkmk0i74tZIuhlcnIDLn5cq30HWoP+En+Gv9hzaIdJ1M6dOd00B0S8IlOc5Y7NzH3JzT9V8WfDnVPs327TtXla1BW3ddHvUeMEYIDqgYDHbOKHUpuEYc60t1/rytvp23BQnzOXK9fL+t9bmZ4T1e88N6N4itodJul1sXy/8AEotreSa1sPM+6yeXuPlYO5sAdOFFP+H0tlY/FC8gE2q3V1daYjXNzcadcRGaYuCzEOg2L6Zwo6CtbRvG3gHRoZIdMstXtllcySEaLeM0jerMyFmP1NSp4+8Drqb6ottrAvZIhC839iXe4oDkL/q+macJ04uLc1p/k13/AK/AJQm1Jcr1/wA0zvW+630Neafsxf8AJHNN/wCvm5/9Gmtc/E7wrtP/ACG+h/5gl3/8brh/gX4w0nwz8NrLR9Zt9Zt72KednjXSblwA0hI5VCOlVLEUvaxfMtn19BKjU9m1yvdfqd98Zd3/AAq/Xyu7ItGPHbil+J9xEPhNrlwsoEcmmP5bg8MSvGD71Wl+JXhGWNopY9YkjcFWVtDuiGHoR5fNYdvrfwtgkjePR9VxE26ON9IvniQ9sRspQY7ccdqmrUpzUo86s/McITi4vlfuu+3p/kXtZ8M6pqCeH9Ris9P1iGysFin0bUGIjYkcyrwV3gcDcO3WoPso8ZeCtPPhq1jsF0+9cT6LfyMYJmjYh7dypIKAg4wCuO2OKk1bxd8PdWnW4v7LWpJlXYJE0m+iYr6EogJHsapatr3w4vtCj0iK01qwjgVhay2mi3cclsWGCyERg5PfOc980VKlNuT5lrrut733/R3+SCFOolFWenl5G94Cu9KtfEOp+Ho/C0PhzVIYknmgtnVreZDwHXYAAeMcqDXb15zofjLwDosbrp9prMbyY82VtGvHklIGBudkLH860v8AhZ3hX/qN/wDgku//AI3W0cRSUUnNf1/X/DGUqNRu6iztKK4v/hZ3hX/qN/8Agku//jdH/CzvCv8A1G//AASXf/xuq+s0f5194vYVP5X9x2lFcX/ws7wr/wBRv/wSXf8A8bo/4Wd4V/6jf/gku/8A43R9Zo/zr7w9hU/lf3HaUVxf/CzvCv8A1G//AASXf/xuj/hZ3hX/AKjf/gku/wD43R9Zo/zr7w9hU/lf3HaUVxf/AAs7wr/1G/8AwSXf/wAbo/4Wd4V/6jf/AIJLv/43R9Zo/wA6+8PYVP5X9x2lFcX/AMLO8K/9Rv8A8El3/wDG6P8AhZ3hX/qN/wDgku//AI3R9Zo/zr7w9hU/lf3HaUVxf/CzvCv/AFG//BJd/wDxuj/hZ3hX/qN/+CS7/wDjdH1mj/OvvD2FT+V/cdpRXF/8LO8K/wDUb/8ABJd//G6P+FneFf8AqN/+CS7/APjdH1mj/OvvD2FT+V/cdpRXF/8ACzvCv/Ub/wDBJd//ABuj/hZ3hX/qN/8Agku//jdH1mj/ADr7w9hU/lf3HaUVxf8Aws7wr/1G/wDwSXf/AMbo/wCFneFf+o3/AOCS7/8AjdH1mj/OvvD2FT+V/cdpXNfEDWdQ0vTIoNKtbt7u8k8lbmGyluEtFx80rLGrHgdBjkkds1Q/4Wd4V/6jf/gku/8A43R/ws7wr/1G/wDwSXf/AMbqJ16Uo2U195UaVRO/K/uMT4SyabZ+MPE2m2X9pMGNu/mXNlOjO2197OXUbST2bGe3Suu8a/8ACKx6cmoeKIra5tYGxFHMvmq7ngBYuQ7noOCeT05rmbzxv4PMOpyacurWd/qEWyS6/sK7Y5wQrEbBnG44rKtdS+F6aNpWm3Vhrd2NLUi3lfSb5XVm5ZgVUYJOay9tDk5OaOluv6eRp7KXNzWf9L9Tofht4Zlj8N39vrulpHp9/eNPaaTcgSraw8bUKnIHPO0dKy/C2iaHrfxEl1rR9HsLLSdBZ7eB7a2SL7VdEYdiVAyqAkD3bParOm+MvAOmxTx2dvr6JOMSB9Nv5Mj/AIGpx17YqfSfHvgbSbCKw0211e1tYs7Io9Eu8Dv/AM8+acZ0E4+8rRXf5L7l+PoJxq2l7r18vv8A67FbU9Gi0/40+HLxbm/uZ7yG8Z2uLhnCjbwqL91VHoB+dejEqTsJXOPu55xXll3rXwuu78X9zpmuyXQJKynT9RDLnrtwPlz6DFaSeNvAK6wNYWy1f+0BB9nFx/Yt5v8AL4O37nTgU6VanBcvMvvFOlOTvyv7jP8AHvhvw3qeuWXgzSPD+kwXl5/pOoXMNlGr29qpG4hgMhnOFHf5ian8eXn2ue48OzWmrWmg2FqTKYtMuZBeuF+VA8aFRGpALHPOMdCat2njrwJaajd6jb2erx3d5t+0TDRLstJt6Akx9B6CrU3xK8IzQvDKmtPG6lWU6Jd4IPUf6uspOk6bipq7+7y+787+hcVUUk+V6f0/67WLfwiu4rv4d6L5SzjyrVEbzYHj5HpvA3D3GR7153+2P/yImjf9hM/+imrtdP8AiF4L0+yhsrKDWILaFQkUa6Jd4VR2H7uvK/2ovF+jeIvB+lWum/2h5kWoGRvtGnzQLjy2HBkUAnnoOavGYinOlK0lcWGozjUTcWfoNpH/ACC7X/rkv8qtVV0j/kF2v/XJf5Var509oKKKKACiiigAooooAKKKKACiiigAooooAKKKKACiiigAooooAKKKKACiiigAooooAKKKKACiiigAooooAKKKKACiiigAooooAKKKKACiiigAooooAKKKKACiiigAooooAKKKKAKtwT/aVoO22T+lWqqXH/ITtP8Adk/pVugAooooAKKKKACiiigAooooAKKKKACiiigAooooAKKKKACiiigAooooAKKKKACiiigAooooAKKKKACqumkmKbP/AD3k/wDQjVqqumf6qb/rvJ/6EaALVFFFABRRRQAUUUUAFFFFABRRRQAUUUUAFFFFABRRRQAUUUUAFFFFABRRRQAUUUUAFFFFABRRRQAUUUUAFFFFABRRRQAV8s/8FI/+SXeG/wDsN/8AtCSvqavln/gpH/yS7w3/ANhv/wBoSUAcZ45/a68a+FPGeteGbPwz4fnttKvprOKSUTb3WNyoLYcDJA7Vjf8ADbXj7/oU/DP5T/8AxyiigA/4ba8ff9Cn4Z/Kf/45R/w214+/6FPwz+U//wAcoooAP+G2vH3/AEKfhn8p/wD45R/w214+/wChT8M/lP8A/HKKKAD/AIba8ff9Cn4Z/Kf/AOOUf8NtePv+hT8M/lP/APHKKKAD/htrx9/0Kfhn8p//AI5R/wANtePv+hT8M/lP/wDHKKKAD/htrx9/0Kfhn8p//jlH/DbXj7/oU/DP5T//AByiigA/4ba8ff8AQp+Gfyn/APjlH/DbXj7/AKFPwz+U/wD8coooAP8Ahtrx9/0Kfhn8p/8A45R/w214+/6FPwz+U/8A8coooAP+G2vH3/Qp+Gfyn/8AjlH/AA214+/6FPwz+U//AMcoooAP+G2vH3/Qp+Gfyn/+OUf8NtePv+hT8M/lP/8AHKKKAD/htrx9/wBCn4Z/Kf8A+OUf8NtePv8AoU/DP5T/APxyiigA/wCG2vH3/Qp+Gfyn/wDjlH/DbXj7/oU/DP5T/wDxyiigA/4ba8ff9Cn4Z/Kf/wCOUf8ADbXj7/oU/DP5T/8AxyiigA/4ba8ff9Cn4Z/Kf/45R/w214+/6FPwz+U//wAcoooAP+G2vH3/AEKfhn8p/wD45R/w214+/wChT8M/lP8A/HKKKAD/AIba8ff9Cn4Z/Kf/AOOUf8NtePv+hT8M/lP/APHKKKAD/htrx9/0Kfhn8p//AI5R/wANtePv+hT8M/lP/wDHKKKAD/htrx9/0Kfhn8p//jlH/DbXj7/oU/DP5T//AByiigA/4ba8ff8AQp+Gfyn/APjlH/DbXj7/AKFPwz+U/wD8coooAP8Ahtrx9/0Kfhn8p/8A45R/w214+/6FPwz+U/8A8coooAP+G2vH3/Qp+Gfyn/8AjlH/AA214+/6FPwz+U//AMcoooAP+G2vH3/Qp+Gfyn/+OUf8NtePv+hT8M/lP/8AHKKKAD/htrx9/wBCn4Z/Kf8A+OUf8NtePv8AoU/DP5T/APxyiigA/wCG2vH3/Qp+Gfyn/wDjlH/DbXj7/oU/DP5T/wDxyiigA/4ba8ff9Cn4Z/Kf/wCOUf8ADbXj7/oU/DP5T/8AxyiigA/4ba8ff9Cn4Z/Kf/45R/w214+/6FPwz+U//wAcoooAjf8AbU8eNPHMfCfhrdGGA4n7/wDbT2qT/htrx9/0Kfhn8p//AI5RRQAf8NtePv8AoU/DP5T/APxyj/htrx9/0Kfhn8p//jlFFAB/w214+/6FPwz+U/8A8co/4ba8ff8AQp+Gfyn/APjlFFAB/wANtePv+hT8M/lP/wDHKP8Ahtrx9/0Kfhn8p/8A45RRQAf8NtePv+hT8M/lP/8AHKP+G2vH3/Qp+Gfyn/8AjlFFAB/w214+/wChT8M/lP8A/HKP+G2vH3/Qp+Gfyn/+OUUUAH/DbXj7/oU/DP5T/wDxyj/htrx9/wBCn4Z/Kf8A+OUUUAH/AA214+/6FPwz+U//AMco/wCG2vH3/Qp+Gfyn/wDjlFFAB/w214+/6FPwz+U//wAco/4ba8ff9Cn4Z/Kf/wCOUUUAH/DbXj7/AKFPwz+U/wD8co/4ba8ff9Cn4Z/Kf/45RRQAf8NtePv+hT8M/lP/APHKP+G2vH3/AEKfhn8p/wD45RRQAf8ADbXj7/oU/DP5T/8Axyj/AIba8ff9Cn4Z/Kf/AOOUUUAH/DbXj7/oU/DP5T//AByj/htrx9/0Kfhn8p//AI5RRQAf8NtePv8AoU/DP5T/APxyj/htrx9/0Kfhn8p//jlFFAB/w214+/6FPwz+U/8A8co/4ba8ff8AQp+Gfyn/APjlFFAB/wANtePv+hT8M/lP/wDHKZB+2r48hVlXwn4a+Z2c8T9Sc/8APSiigB//AA214+/6FPwz+U//AMco/wCG2vH3/Qp+Gfyn/wDjlFFAB/w214+/6FPwz+U//wAco/4ba8ff9Cn4Z/Kf/wCOUUUAH/DbXj7/AKFPwz+U/wD8co/4ba8ff9Cn4Z/Kf/45RRQAf8NtePv+hT8M/lP/APHKP+G2vH3/AEKfhn8p/wD45RRQAf8ADbXj7/oU/DP5T/8Axyj/AIba8ff9Cn4Z/Kf/AOOUUUAH/DbXj7/oU/DP5T//AByj/htrx9/0Kfhn8p//AI5RRQAf8NtePv8AoU/DP5T/APxyj/htrx9/0Kfhn8p//jlFFAB/w214+/6FPwz+U/8A8co/4ba8ff8AQp+Gfyn/APjlFFAB/wANtePv+hT8M/lP/wDHKP8Ahtrx9/0Kfhn8p/8A45RRQAf8NtePv+hT8M/lP/8AHKP+G2vH3/Qp+Gfyn/8AjlFFAB/w214+/wChT8M/lP8A/HKP+G2vH3/Qp+Gfyn/+OUUUAH/DbXj7/oU/DP5T/wDxyj/htrx9/wBCn4Z/Kf8A+OUUUAH/AA214+/6FPwz+U//AMco/wCG2vH3/Qp+Gfyn/wDjlFFAB/w214+/6FPwz+U//wAco/4ba8ff9Cn4Z/Kf/wCOUUUAH/DbXj7/AKFPwz+U/wD8co/4ba8ff9Cn4Z/Kf/45RRQAf8NtePv+hT8M/lP/APHKP+G2vH3/AEKfhn8p/wD45RRQAf8ADbXj7/oU/DP5T/8Axyj/AIba8ff9Cn4Z/Kf/AOOUUUAH/DbXj7/oU/DP5T//AByvPPjv+0D4k+Lvh6w0XWtF0mwhsrv7Uj2fmbmbYy4O5iMYY0UUAf/Z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4676775" y="400050"/>
          <a:ext cx="304800" cy="3003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topLeftCell="A13" zoomScaleNormal="100" workbookViewId="0">
      <selection activeCell="D26" sqref="D26"/>
    </sheetView>
  </sheetViews>
  <sheetFormatPr defaultColWidth="8.7109375" defaultRowHeight="20.100000000000001" customHeight="1" x14ac:dyDescent="0.25"/>
  <cols>
    <col min="1" max="1" width="34.28515625" style="132" customWidth="1"/>
    <col min="2" max="2" width="2.42578125" style="132" customWidth="1"/>
    <col min="3" max="4" width="16.7109375" style="129" customWidth="1"/>
    <col min="5" max="5" width="14.5703125" style="130" customWidth="1"/>
    <col min="6" max="6" width="13.140625" style="131" customWidth="1"/>
    <col min="7" max="7" width="2.42578125" style="132" customWidth="1"/>
    <col min="8" max="10" width="8.7109375" style="132"/>
    <col min="11" max="11" width="12.7109375" style="132" customWidth="1"/>
    <col min="12" max="16384" width="8.7109375" style="132"/>
  </cols>
  <sheetData>
    <row r="1" spans="1:7" ht="15.75" x14ac:dyDescent="0.25">
      <c r="A1" s="128" t="s">
        <v>56</v>
      </c>
      <c r="B1" s="128"/>
      <c r="G1" s="128"/>
    </row>
    <row r="2" spans="1:7" ht="15.75" x14ac:dyDescent="0.25">
      <c r="A2" s="160" t="s">
        <v>91</v>
      </c>
      <c r="B2" s="160"/>
      <c r="C2" s="160"/>
      <c r="D2" s="133"/>
      <c r="E2" s="129"/>
    </row>
    <row r="3" spans="1:7" ht="15.75" x14ac:dyDescent="0.25">
      <c r="A3" s="134"/>
      <c r="B3" s="135"/>
      <c r="C3" s="136" t="s">
        <v>57</v>
      </c>
      <c r="D3" s="136" t="s">
        <v>34</v>
      </c>
      <c r="E3" s="137" t="s">
        <v>58</v>
      </c>
      <c r="F3" s="138" t="s">
        <v>59</v>
      </c>
      <c r="G3" s="135"/>
    </row>
    <row r="4" spans="1:7" s="128" customFormat="1" ht="15.75" x14ac:dyDescent="0.25">
      <c r="A4" s="139" t="s">
        <v>7</v>
      </c>
      <c r="B4" s="140"/>
      <c r="C4" s="136" t="s">
        <v>13</v>
      </c>
      <c r="D4" s="136" t="s">
        <v>12</v>
      </c>
      <c r="E4" s="137" t="s">
        <v>13</v>
      </c>
      <c r="F4" s="138"/>
      <c r="G4" s="140"/>
    </row>
    <row r="5" spans="1:7" ht="15.75" x14ac:dyDescent="0.25">
      <c r="A5" s="141" t="s">
        <v>60</v>
      </c>
      <c r="B5" s="142"/>
      <c r="C5" s="143">
        <f>REVENUE!B16</f>
        <v>31250.580086580085</v>
      </c>
      <c r="D5" s="143">
        <v>0</v>
      </c>
      <c r="E5" s="143">
        <f>REVENUE!E16</f>
        <v>77943.72294372294</v>
      </c>
      <c r="F5" s="144"/>
      <c r="G5" s="142"/>
    </row>
    <row r="6" spans="1:7" s="128" customFormat="1" ht="15.75" x14ac:dyDescent="0.25">
      <c r="A6" s="139" t="s">
        <v>61</v>
      </c>
      <c r="B6" s="140"/>
      <c r="C6" s="145">
        <f>SUM(C5:C5)</f>
        <v>31250.580086580085</v>
      </c>
      <c r="D6" s="145">
        <f>SUM(D5:D5)</f>
        <v>0</v>
      </c>
      <c r="E6" s="145">
        <f>SUM(E5)</f>
        <v>77943.72294372294</v>
      </c>
      <c r="F6" s="146">
        <f>C6/E6-1</f>
        <v>-0.5990622604831991</v>
      </c>
      <c r="G6" s="140"/>
    </row>
    <row r="7" spans="1:7" ht="15.75" x14ac:dyDescent="0.25">
      <c r="A7" s="139" t="s">
        <v>1</v>
      </c>
      <c r="B7" s="142"/>
      <c r="C7" s="143"/>
      <c r="D7" s="143"/>
      <c r="E7" s="143"/>
      <c r="F7" s="147"/>
      <c r="G7" s="142"/>
    </row>
    <row r="8" spans="1:7" ht="15.75" x14ac:dyDescent="0.25">
      <c r="A8" s="141" t="s">
        <v>71</v>
      </c>
      <c r="B8" s="142"/>
      <c r="C8" s="143">
        <f>'expenses '!B7</f>
        <v>8054.45</v>
      </c>
      <c r="D8" s="143"/>
      <c r="E8" s="143">
        <f>'expenses '!F7</f>
        <v>40100</v>
      </c>
      <c r="F8" s="144"/>
      <c r="G8" s="142"/>
    </row>
    <row r="9" spans="1:7" ht="15.75" x14ac:dyDescent="0.25">
      <c r="A9" s="141" t="s">
        <v>70</v>
      </c>
      <c r="B9" s="142"/>
      <c r="C9" s="143">
        <f>'expenses '!B8</f>
        <v>0</v>
      </c>
      <c r="D9" s="143">
        <v>0</v>
      </c>
      <c r="E9" s="143">
        <f>'expenses '!F9</f>
        <v>600</v>
      </c>
      <c r="F9" s="144"/>
      <c r="G9" s="142"/>
    </row>
    <row r="10" spans="1:7" ht="15.75" x14ac:dyDescent="0.25">
      <c r="A10" s="141" t="s">
        <v>2</v>
      </c>
      <c r="B10" s="142"/>
      <c r="C10" s="143">
        <f>'expenses '!B9</f>
        <v>500</v>
      </c>
      <c r="D10" s="143"/>
      <c r="E10" s="143">
        <f>'expenses '!F11</f>
        <v>5600</v>
      </c>
      <c r="F10" s="148"/>
      <c r="G10" s="142"/>
    </row>
    <row r="11" spans="1:7" ht="15.75" x14ac:dyDescent="0.25">
      <c r="A11" s="141" t="s">
        <v>67</v>
      </c>
      <c r="B11" s="142"/>
      <c r="C11" s="143">
        <f>'expenses '!B10</f>
        <v>0</v>
      </c>
      <c r="D11" s="143"/>
      <c r="E11" s="143">
        <f>'expenses '!F12</f>
        <v>900</v>
      </c>
      <c r="F11" s="148"/>
      <c r="G11" s="142"/>
    </row>
    <row r="12" spans="1:7" ht="15.75" x14ac:dyDescent="0.25">
      <c r="A12" s="141" t="s">
        <v>68</v>
      </c>
      <c r="B12" s="142"/>
      <c r="C12" s="143"/>
      <c r="D12" s="143"/>
      <c r="E12" s="143">
        <f>'expenses '!F14</f>
        <v>300</v>
      </c>
      <c r="F12" s="148"/>
      <c r="G12" s="142"/>
    </row>
    <row r="13" spans="1:7" ht="15.75" x14ac:dyDescent="0.25">
      <c r="A13" s="141" t="s">
        <v>69</v>
      </c>
      <c r="B13" s="142"/>
      <c r="C13" s="143"/>
      <c r="D13" s="143"/>
      <c r="E13" s="143">
        <f>'expenses '!F15</f>
        <v>0</v>
      </c>
      <c r="F13" s="148"/>
      <c r="G13" s="142"/>
    </row>
    <row r="14" spans="1:7" ht="15.75" x14ac:dyDescent="0.25">
      <c r="A14" s="141" t="s">
        <v>72</v>
      </c>
      <c r="B14" s="142"/>
      <c r="C14" s="143"/>
      <c r="D14" s="143"/>
      <c r="E14" s="143">
        <v>500</v>
      </c>
      <c r="F14" s="148"/>
      <c r="G14" s="142"/>
    </row>
    <row r="15" spans="1:7" ht="15.75" x14ac:dyDescent="0.25">
      <c r="A15" s="141"/>
      <c r="B15" s="142"/>
      <c r="C15" s="143"/>
      <c r="D15" s="143"/>
      <c r="E15" s="143"/>
      <c r="F15" s="148"/>
      <c r="G15" s="142"/>
    </row>
    <row r="16" spans="1:7" ht="15.75" x14ac:dyDescent="0.25">
      <c r="A16" s="141"/>
      <c r="B16" s="142"/>
      <c r="C16" s="143"/>
      <c r="D16" s="143"/>
      <c r="E16" s="143"/>
      <c r="F16" s="148"/>
      <c r="G16" s="142"/>
    </row>
    <row r="17" spans="1:11" s="128" customFormat="1" ht="15.75" x14ac:dyDescent="0.25">
      <c r="A17" s="139" t="s">
        <v>3</v>
      </c>
      <c r="B17" s="140"/>
      <c r="C17" s="145">
        <f>SUM(C8:C10)</f>
        <v>8554.4500000000007</v>
      </c>
      <c r="D17" s="145">
        <f>SUM(D8:D10)</f>
        <v>0</v>
      </c>
      <c r="E17" s="145">
        <f>SUM(E8:E14)</f>
        <v>48000</v>
      </c>
      <c r="F17" s="146">
        <f t="shared" ref="F17:F21" si="0">C17/E17-1</f>
        <v>-0.82178229166666661</v>
      </c>
      <c r="G17" s="140"/>
      <c r="K17" s="149"/>
    </row>
    <row r="18" spans="1:11" ht="15.75" x14ac:dyDescent="0.25">
      <c r="A18" s="141"/>
      <c r="B18" s="142"/>
      <c r="C18" s="145"/>
      <c r="D18" s="145"/>
      <c r="E18" s="145"/>
      <c r="F18" s="144"/>
      <c r="G18" s="142"/>
      <c r="K18" s="150"/>
    </row>
    <row r="19" spans="1:11" ht="15.75" x14ac:dyDescent="0.25">
      <c r="A19" s="139" t="s">
        <v>62</v>
      </c>
      <c r="B19" s="140"/>
      <c r="C19" s="145">
        <f>C6-C17</f>
        <v>22696.130086580084</v>
      </c>
      <c r="D19" s="145">
        <f>D6-D17</f>
        <v>0</v>
      </c>
      <c r="E19" s="145">
        <f>E6-E17</f>
        <v>29943.72294372294</v>
      </c>
      <c r="F19" s="146">
        <f t="shared" si="0"/>
        <v>-0.24204047274830132</v>
      </c>
      <c r="G19" s="140"/>
    </row>
    <row r="20" spans="1:11" ht="15.75" x14ac:dyDescent="0.25">
      <c r="A20" s="139" t="s">
        <v>63</v>
      </c>
      <c r="B20" s="140"/>
      <c r="C20" s="143"/>
      <c r="D20" s="143"/>
      <c r="E20" s="143"/>
      <c r="F20" s="151"/>
      <c r="G20" s="140"/>
    </row>
    <row r="21" spans="1:11" ht="15.75" x14ac:dyDescent="0.25">
      <c r="A21" s="139" t="s">
        <v>64</v>
      </c>
      <c r="B21" s="140"/>
      <c r="C21" s="145">
        <f>C19-C20</f>
        <v>22696.130086580084</v>
      </c>
      <c r="D21" s="145">
        <f>D19-D20</f>
        <v>0</v>
      </c>
      <c r="E21" s="145">
        <f>E19-E20</f>
        <v>29943.72294372294</v>
      </c>
      <c r="F21" s="146">
        <f t="shared" si="0"/>
        <v>-0.24204047274830132</v>
      </c>
      <c r="G21" s="140"/>
    </row>
    <row r="22" spans="1:11" ht="15.75" x14ac:dyDescent="0.25">
      <c r="A22" s="139"/>
      <c r="B22" s="140"/>
      <c r="C22" s="145"/>
      <c r="D22" s="145"/>
      <c r="E22" s="145"/>
      <c r="F22" s="146"/>
      <c r="G22" s="140"/>
    </row>
    <row r="23" spans="1:11" s="128" customFormat="1" ht="15.75" x14ac:dyDescent="0.25">
      <c r="A23" s="139" t="s">
        <v>65</v>
      </c>
      <c r="B23" s="140"/>
      <c r="C23" s="152">
        <f>C21/C6</f>
        <v>0.72626268132304106</v>
      </c>
      <c r="D23" s="152">
        <v>0</v>
      </c>
      <c r="E23" s="152">
        <f>E21/E6</f>
        <v>0.38417106359344622</v>
      </c>
      <c r="F23" s="138"/>
      <c r="G23" s="140"/>
    </row>
    <row r="24" spans="1:11" ht="15.75" x14ac:dyDescent="0.25">
      <c r="K24" s="153"/>
    </row>
    <row r="25" spans="1:11" ht="15.75" x14ac:dyDescent="0.25">
      <c r="A25" s="161" t="s">
        <v>66</v>
      </c>
      <c r="B25" s="162"/>
      <c r="C25" s="162"/>
      <c r="D25" s="162"/>
      <c r="E25" s="162"/>
      <c r="F25" s="162"/>
      <c r="G25" s="162"/>
    </row>
    <row r="26" spans="1:11" ht="15.75" customHeight="1" x14ac:dyDescent="0.25">
      <c r="A26" s="163" t="s">
        <v>83</v>
      </c>
      <c r="B26" s="164"/>
      <c r="C26" s="164"/>
      <c r="D26" s="164"/>
      <c r="E26" s="164"/>
      <c r="F26" s="164"/>
      <c r="G26" s="164"/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zoomScale="71" zoomScaleNormal="71" workbookViewId="0">
      <selection activeCell="B14" sqref="B14"/>
    </sheetView>
  </sheetViews>
  <sheetFormatPr defaultColWidth="9.5703125" defaultRowHeight="15" x14ac:dyDescent="0.25"/>
  <cols>
    <col min="1" max="1" width="55.42578125" customWidth="1"/>
    <col min="2" max="2" width="17.28515625" style="100" customWidth="1"/>
    <col min="3" max="4" width="17.28515625" customWidth="1"/>
    <col min="5" max="5" width="17.42578125" customWidth="1"/>
    <col min="6" max="6" width="20.42578125" customWidth="1"/>
    <col min="7" max="7" width="3.42578125" hidden="1" customWidth="1"/>
    <col min="8" max="8" width="11.5703125" hidden="1" customWidth="1"/>
    <col min="9" max="9" width="12.28515625" hidden="1" customWidth="1"/>
    <col min="10" max="10" width="3" hidden="1" customWidth="1"/>
    <col min="11" max="11" width="13.5703125" hidden="1" customWidth="1"/>
    <col min="12" max="12" width="19.5703125" hidden="1" customWidth="1"/>
    <col min="13" max="13" width="9" hidden="1" customWidth="1"/>
    <col min="14" max="14" width="17.7109375" style="124" hidden="1" customWidth="1"/>
    <col min="15" max="15" width="9" hidden="1" customWidth="1"/>
  </cols>
  <sheetData>
    <row r="1" spans="1:17" x14ac:dyDescent="0.25">
      <c r="A1" t="s">
        <v>92</v>
      </c>
    </row>
    <row r="2" spans="1:17" x14ac:dyDescent="0.25">
      <c r="A2" s="62"/>
      <c r="B2" s="63" t="s">
        <v>6</v>
      </c>
      <c r="C2" s="64" t="s">
        <v>6</v>
      </c>
      <c r="D2" s="64" t="s">
        <v>6</v>
      </c>
      <c r="E2" s="64" t="s">
        <v>5</v>
      </c>
      <c r="F2" s="65"/>
      <c r="G2" s="66"/>
      <c r="H2" s="165" t="s">
        <v>43</v>
      </c>
      <c r="I2" s="166"/>
      <c r="J2" s="66"/>
      <c r="K2" s="165" t="s">
        <v>44</v>
      </c>
      <c r="L2" s="166"/>
      <c r="M2" s="66"/>
      <c r="N2" s="68"/>
    </row>
    <row r="3" spans="1:17" x14ac:dyDescent="0.25">
      <c r="A3" s="69" t="s">
        <v>45</v>
      </c>
      <c r="B3" s="70" t="s">
        <v>13</v>
      </c>
      <c r="C3" s="71" t="s">
        <v>36</v>
      </c>
      <c r="D3" s="71" t="s">
        <v>46</v>
      </c>
      <c r="E3" s="71" t="s">
        <v>13</v>
      </c>
      <c r="F3" s="72" t="s">
        <v>47</v>
      </c>
      <c r="G3" s="73"/>
      <c r="H3" s="74" t="s">
        <v>48</v>
      </c>
      <c r="I3" s="67" t="s">
        <v>49</v>
      </c>
      <c r="K3" s="64" t="s">
        <v>50</v>
      </c>
      <c r="L3" s="75" t="s">
        <v>51</v>
      </c>
      <c r="N3" s="74" t="s">
        <v>52</v>
      </c>
    </row>
    <row r="4" spans="1:17" x14ac:dyDescent="0.25">
      <c r="A4" s="76"/>
      <c r="B4" s="70"/>
      <c r="C4" s="71"/>
      <c r="D4" s="71"/>
      <c r="E4" s="71"/>
      <c r="F4" s="77" t="s">
        <v>89</v>
      </c>
      <c r="G4" s="73"/>
      <c r="H4" s="78"/>
      <c r="I4" s="79"/>
      <c r="K4" s="80"/>
      <c r="L4" s="81"/>
      <c r="N4" s="78"/>
    </row>
    <row r="5" spans="1:17" ht="17.25" x14ac:dyDescent="0.25">
      <c r="A5" s="82" t="s">
        <v>53</v>
      </c>
      <c r="B5" s="83"/>
      <c r="C5" s="84"/>
      <c r="D5" s="84"/>
      <c r="E5" s="84"/>
      <c r="F5" s="85"/>
      <c r="G5" s="85"/>
      <c r="H5" s="86"/>
      <c r="I5" s="86"/>
      <c r="K5" s="87"/>
      <c r="L5" s="78"/>
      <c r="N5" s="78"/>
    </row>
    <row r="6" spans="1:17" ht="17.25" x14ac:dyDescent="0.25">
      <c r="A6" s="157" t="s">
        <v>90</v>
      </c>
      <c r="B6" s="52">
        <v>0</v>
      </c>
      <c r="C6" s="53"/>
      <c r="D6" s="154"/>
      <c r="E6" s="125">
        <v>65025</v>
      </c>
      <c r="F6" s="85"/>
      <c r="G6" s="154"/>
      <c r="H6" s="86"/>
      <c r="I6" s="158"/>
      <c r="K6" s="85"/>
      <c r="L6" s="94"/>
      <c r="N6" s="94"/>
    </row>
    <row r="7" spans="1:17" ht="16.5" x14ac:dyDescent="0.25">
      <c r="A7" s="88" t="s">
        <v>84</v>
      </c>
      <c r="B7" s="89">
        <v>12380.71</v>
      </c>
      <c r="C7" s="53"/>
      <c r="D7" s="90"/>
      <c r="E7" s="125">
        <v>0</v>
      </c>
      <c r="F7" s="85" t="s">
        <v>88</v>
      </c>
      <c r="G7" s="54"/>
      <c r="H7" s="91"/>
      <c r="I7" s="92"/>
      <c r="K7" s="93"/>
      <c r="L7" s="94"/>
      <c r="N7" s="95"/>
      <c r="Q7" t="s">
        <v>93</v>
      </c>
    </row>
    <row r="8" spans="1:17" ht="16.5" x14ac:dyDescent="0.25">
      <c r="A8" s="88" t="s">
        <v>85</v>
      </c>
      <c r="B8" s="96">
        <v>1440</v>
      </c>
      <c r="C8" s="97"/>
      <c r="D8" s="53"/>
      <c r="E8" s="126">
        <v>5000</v>
      </c>
      <c r="F8" s="85" t="s">
        <v>88</v>
      </c>
      <c r="G8" s="54"/>
      <c r="H8" s="98"/>
      <c r="I8" s="92"/>
      <c r="K8" s="93"/>
      <c r="L8" s="94"/>
      <c r="N8" s="95"/>
      <c r="Q8" t="s">
        <v>93</v>
      </c>
    </row>
    <row r="9" spans="1:17" ht="16.5" x14ac:dyDescent="0.25">
      <c r="A9" s="88" t="s">
        <v>86</v>
      </c>
      <c r="B9" s="96">
        <v>3898</v>
      </c>
      <c r="C9" s="53"/>
      <c r="D9" s="53"/>
      <c r="E9" s="126">
        <v>5000</v>
      </c>
      <c r="F9" s="85" t="s">
        <v>88</v>
      </c>
      <c r="G9" s="54"/>
      <c r="H9" s="98"/>
      <c r="I9" s="92"/>
      <c r="K9" s="93"/>
      <c r="L9" s="94"/>
      <c r="N9" s="95"/>
      <c r="Q9" t="s">
        <v>94</v>
      </c>
    </row>
    <row r="10" spans="1:17" ht="16.5" x14ac:dyDescent="0.25">
      <c r="A10" s="88" t="s">
        <v>75</v>
      </c>
      <c r="B10" s="96">
        <v>2500</v>
      </c>
      <c r="C10" s="53"/>
      <c r="D10" s="53"/>
      <c r="E10" s="126">
        <v>2500</v>
      </c>
      <c r="F10" s="85" t="s">
        <v>87</v>
      </c>
      <c r="G10" s="54"/>
      <c r="H10" s="98"/>
      <c r="I10" s="92"/>
      <c r="K10" s="93"/>
      <c r="L10" s="94"/>
      <c r="N10" s="95"/>
      <c r="Q10" t="s">
        <v>93</v>
      </c>
    </row>
    <row r="11" spans="1:17" ht="16.5" x14ac:dyDescent="0.25">
      <c r="A11" s="99" t="s">
        <v>74</v>
      </c>
      <c r="B11" s="159">
        <v>10875.71</v>
      </c>
      <c r="C11" s="53"/>
      <c r="D11" s="53"/>
      <c r="E11" s="155">
        <v>7500</v>
      </c>
      <c r="F11" s="85" t="s">
        <v>88</v>
      </c>
      <c r="G11" s="54"/>
      <c r="H11" s="98"/>
      <c r="I11" s="92"/>
      <c r="K11" s="93"/>
      <c r="L11" s="94"/>
      <c r="N11" s="95"/>
    </row>
    <row r="12" spans="1:17" ht="16.5" x14ac:dyDescent="0.25">
      <c r="A12" s="99" t="s">
        <v>82</v>
      </c>
      <c r="B12" s="159">
        <v>5000</v>
      </c>
      <c r="C12" s="53"/>
      <c r="D12" s="53"/>
      <c r="E12" s="156">
        <v>5000</v>
      </c>
      <c r="F12" s="85" t="s">
        <v>88</v>
      </c>
      <c r="G12" s="54"/>
      <c r="H12" s="98"/>
      <c r="I12" s="92"/>
      <c r="K12" s="93"/>
      <c r="L12" s="94"/>
      <c r="N12" s="95"/>
      <c r="Q12" t="s">
        <v>93</v>
      </c>
    </row>
    <row r="13" spans="1:17" ht="16.5" x14ac:dyDescent="0.25">
      <c r="A13" s="1"/>
      <c r="B13" s="52"/>
      <c r="C13" s="53"/>
      <c r="D13" s="53"/>
      <c r="E13" s="53"/>
      <c r="F13" s="85"/>
      <c r="G13" s="85"/>
      <c r="H13" s="98"/>
      <c r="I13" s="101"/>
      <c r="K13" s="85"/>
      <c r="L13" s="94"/>
      <c r="N13" s="94"/>
    </row>
    <row r="14" spans="1:17" ht="17.25" thickBot="1" x14ac:dyDescent="0.3">
      <c r="A14" s="102" t="s">
        <v>54</v>
      </c>
      <c r="B14" s="103">
        <f>SUM(B6:B13)</f>
        <v>36094.42</v>
      </c>
      <c r="C14" s="104">
        <f>SUM(C7:C13)</f>
        <v>0</v>
      </c>
      <c r="D14" s="105">
        <f>SUM(D7:D13)</f>
        <v>0</v>
      </c>
      <c r="E14" s="105">
        <f>SUM(E6:E13)</f>
        <v>90025</v>
      </c>
      <c r="F14" s="106">
        <f>SUM(F7:F13)</f>
        <v>0</v>
      </c>
      <c r="G14" s="85"/>
      <c r="H14" s="98"/>
      <c r="I14" s="101"/>
      <c r="K14" s="85"/>
      <c r="L14" s="106">
        <f>SUM(L7:L13)</f>
        <v>0</v>
      </c>
      <c r="N14" s="94"/>
    </row>
    <row r="15" spans="1:17" ht="17.25" thickTop="1" x14ac:dyDescent="0.25">
      <c r="A15" s="1"/>
      <c r="B15" s="107"/>
      <c r="C15" s="108"/>
      <c r="D15" s="53"/>
      <c r="E15" s="53"/>
      <c r="F15" s="85"/>
      <c r="G15" s="85"/>
      <c r="H15" s="98"/>
      <c r="I15" s="101"/>
      <c r="K15" s="85"/>
      <c r="L15" s="109"/>
      <c r="M15" s="110"/>
      <c r="N15" s="94"/>
    </row>
    <row r="16" spans="1:17" ht="19.5" thickBot="1" x14ac:dyDescent="0.35">
      <c r="A16" s="111" t="s">
        <v>55</v>
      </c>
      <c r="B16" s="112">
        <f>B14/1.155</f>
        <v>31250.580086580085</v>
      </c>
      <c r="C16" s="113">
        <f>C14</f>
        <v>0</v>
      </c>
      <c r="D16" s="114"/>
      <c r="E16" s="114">
        <f>E14/1.155</f>
        <v>77943.72294372294</v>
      </c>
      <c r="F16" s="115"/>
      <c r="G16" s="85"/>
      <c r="H16" s="98"/>
      <c r="I16" s="101"/>
      <c r="K16" s="85"/>
      <c r="L16" s="116"/>
      <c r="M16" s="110"/>
      <c r="N16" s="94"/>
    </row>
    <row r="17" spans="1:14" ht="17.25" thickTop="1" x14ac:dyDescent="0.25">
      <c r="A17" s="1"/>
      <c r="B17" s="107"/>
      <c r="C17" s="53"/>
      <c r="D17" s="53"/>
      <c r="E17" s="53"/>
      <c r="F17" s="85"/>
      <c r="G17" s="85"/>
      <c r="H17" s="98"/>
      <c r="I17" s="101"/>
      <c r="K17" s="85"/>
      <c r="L17" s="109"/>
      <c r="M17" s="110"/>
      <c r="N17" s="94"/>
    </row>
    <row r="18" spans="1:14" x14ac:dyDescent="0.25">
      <c r="A18" s="117"/>
      <c r="B18" s="118"/>
      <c r="C18" s="119"/>
      <c r="D18" s="119"/>
      <c r="E18" s="119"/>
      <c r="F18" s="117"/>
      <c r="G18" s="117"/>
      <c r="H18" s="120"/>
      <c r="I18" s="117"/>
      <c r="J18" s="121"/>
      <c r="K18" s="117"/>
      <c r="L18" s="119"/>
      <c r="M18" s="119"/>
      <c r="N18" s="120"/>
    </row>
    <row r="22" spans="1:14" x14ac:dyDescent="0.25">
      <c r="A22" s="122"/>
      <c r="E22" s="123"/>
    </row>
  </sheetData>
  <mergeCells count="2">
    <mergeCell ref="H2:I2"/>
    <mergeCell ref="K2:L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4"/>
  <sheetViews>
    <sheetView workbookViewId="0">
      <selection activeCell="B7" sqref="B7"/>
    </sheetView>
  </sheetViews>
  <sheetFormatPr defaultColWidth="9.5703125" defaultRowHeight="15" x14ac:dyDescent="0.25"/>
  <cols>
    <col min="1" max="1" width="42.5703125" bestFit="1" customWidth="1"/>
    <col min="2" max="2" width="22" customWidth="1"/>
    <col min="3" max="3" width="18.7109375" customWidth="1"/>
    <col min="5" max="5" width="11.42578125" customWidth="1"/>
    <col min="6" max="6" width="15.28515625" customWidth="1"/>
    <col min="7" max="7" width="8.7109375" hidden="1" customWidth="1"/>
  </cols>
  <sheetData>
    <row r="2" spans="1:7" ht="20.25" thickBot="1" x14ac:dyDescent="0.35">
      <c r="A2" s="167" t="s">
        <v>92</v>
      </c>
      <c r="B2" s="167"/>
      <c r="C2" s="167"/>
      <c r="D2" s="167"/>
      <c r="E2" s="167"/>
      <c r="F2" s="168"/>
      <c r="G2" s="167"/>
    </row>
    <row r="3" spans="1:7" ht="16.5" thickTop="1" thickBot="1" x14ac:dyDescent="0.3">
      <c r="A3" s="36"/>
      <c r="B3" s="36"/>
      <c r="C3" s="36"/>
      <c r="D3" s="36"/>
      <c r="E3" s="36"/>
      <c r="F3" s="37"/>
      <c r="G3" s="36"/>
    </row>
    <row r="4" spans="1:7" ht="15.75" thickBot="1" x14ac:dyDescent="0.3">
      <c r="A4" s="38" t="s">
        <v>10</v>
      </c>
      <c r="B4" s="39" t="s">
        <v>35</v>
      </c>
      <c r="C4" s="40" t="s">
        <v>36</v>
      </c>
      <c r="D4" s="41" t="s">
        <v>35</v>
      </c>
      <c r="E4" s="42" t="s">
        <v>37</v>
      </c>
      <c r="F4" s="43" t="s">
        <v>73</v>
      </c>
      <c r="G4" s="44" t="s">
        <v>8</v>
      </c>
    </row>
    <row r="5" spans="1:7" x14ac:dyDescent="0.25">
      <c r="A5" s="45"/>
      <c r="B5" s="46"/>
      <c r="C5" s="47"/>
      <c r="D5" s="47"/>
      <c r="E5" s="48"/>
      <c r="F5" s="49"/>
      <c r="G5" s="50"/>
    </row>
    <row r="6" spans="1:7" ht="15.75" thickBot="1" x14ac:dyDescent="0.3">
      <c r="A6" s="51" t="s">
        <v>38</v>
      </c>
      <c r="B6" s="52"/>
      <c r="C6" s="53"/>
      <c r="D6" s="53"/>
      <c r="E6" s="54"/>
      <c r="F6" s="49"/>
      <c r="G6" s="50"/>
    </row>
    <row r="7" spans="1:7" ht="15.75" thickTop="1" x14ac:dyDescent="0.25">
      <c r="A7" s="45" t="s">
        <v>76</v>
      </c>
      <c r="B7" s="52">
        <f>1400+1494+1836.45+540+1319+1465</f>
        <v>8054.45</v>
      </c>
      <c r="C7" s="53"/>
      <c r="D7" s="53"/>
      <c r="E7" s="54"/>
      <c r="F7" s="55">
        <v>40100</v>
      </c>
      <c r="G7" s="56" t="s">
        <v>39</v>
      </c>
    </row>
    <row r="8" spans="1:7" x14ac:dyDescent="0.25">
      <c r="A8" s="45" t="s">
        <v>70</v>
      </c>
      <c r="B8" s="52"/>
      <c r="C8" s="53"/>
      <c r="D8" s="53"/>
      <c r="E8" s="54"/>
      <c r="F8" s="55">
        <v>0</v>
      </c>
      <c r="G8" s="56"/>
    </row>
    <row r="9" spans="1:7" x14ac:dyDescent="0.25">
      <c r="A9" s="45" t="s">
        <v>2</v>
      </c>
      <c r="B9" s="52">
        <v>500</v>
      </c>
      <c r="C9" s="53"/>
      <c r="D9" s="53"/>
      <c r="E9" s="54"/>
      <c r="F9" s="55">
        <v>600</v>
      </c>
      <c r="G9" s="50" t="s">
        <v>40</v>
      </c>
    </row>
    <row r="10" spans="1:7" x14ac:dyDescent="0.25">
      <c r="A10" s="45" t="s">
        <v>69</v>
      </c>
      <c r="B10" s="52"/>
      <c r="C10" s="154"/>
      <c r="D10" s="53"/>
      <c r="E10" s="54"/>
      <c r="F10" s="55">
        <v>500</v>
      </c>
      <c r="G10" s="50"/>
    </row>
    <row r="11" spans="1:7" x14ac:dyDescent="0.25">
      <c r="A11" s="45" t="s">
        <v>77</v>
      </c>
      <c r="B11" s="52"/>
      <c r="C11" s="54"/>
      <c r="D11" s="53"/>
      <c r="E11" s="54"/>
      <c r="F11" s="55">
        <v>5600</v>
      </c>
      <c r="G11" s="56"/>
    </row>
    <row r="12" spans="1:7" x14ac:dyDescent="0.25">
      <c r="A12" s="45" t="s">
        <v>78</v>
      </c>
      <c r="B12" s="52"/>
      <c r="C12" s="54"/>
      <c r="D12" s="53"/>
      <c r="E12" s="54"/>
      <c r="F12" s="55">
        <v>900</v>
      </c>
      <c r="G12" s="56"/>
    </row>
    <row r="13" spans="1:7" x14ac:dyDescent="0.25">
      <c r="A13" s="45" t="s">
        <v>80</v>
      </c>
      <c r="B13" s="52"/>
      <c r="C13" s="54"/>
      <c r="D13" s="53"/>
      <c r="E13" s="54"/>
      <c r="F13" s="55">
        <v>4550</v>
      </c>
      <c r="G13" s="56"/>
    </row>
    <row r="14" spans="1:7" x14ac:dyDescent="0.25">
      <c r="A14" s="45" t="s">
        <v>79</v>
      </c>
      <c r="B14" s="52"/>
      <c r="C14" s="54"/>
      <c r="D14" s="53"/>
      <c r="E14" s="54"/>
      <c r="F14" s="55">
        <v>300</v>
      </c>
      <c r="G14" s="56"/>
    </row>
    <row r="15" spans="1:7" ht="15.75" thickBot="1" x14ac:dyDescent="0.3">
      <c r="A15" s="127" t="s">
        <v>81</v>
      </c>
      <c r="B15" s="52"/>
      <c r="C15" s="53"/>
      <c r="D15" s="53"/>
      <c r="E15" s="54"/>
      <c r="F15" s="55">
        <v>0</v>
      </c>
      <c r="G15" s="50"/>
    </row>
    <row r="16" spans="1:7" ht="16.5" thickTop="1" thickBot="1" x14ac:dyDescent="0.3">
      <c r="A16" s="45"/>
      <c r="B16" s="52"/>
      <c r="C16" s="53"/>
      <c r="D16" s="53"/>
      <c r="E16" s="54"/>
      <c r="F16" s="57"/>
      <c r="G16" s="56" t="s">
        <v>41</v>
      </c>
    </row>
    <row r="17" spans="1:7" ht="15.75" thickTop="1" x14ac:dyDescent="0.25">
      <c r="A17" s="45"/>
      <c r="B17" s="52"/>
      <c r="C17" s="53"/>
      <c r="D17" s="53"/>
      <c r="E17" s="54"/>
      <c r="F17" s="55"/>
      <c r="G17" s="56" t="s">
        <v>41</v>
      </c>
    </row>
    <row r="18" spans="1:7" x14ac:dyDescent="0.25">
      <c r="A18" s="45"/>
      <c r="B18" s="52"/>
      <c r="C18" s="54"/>
      <c r="D18" s="53"/>
      <c r="E18" s="54"/>
      <c r="F18" s="55"/>
      <c r="G18" s="58"/>
    </row>
    <row r="19" spans="1:7" x14ac:dyDescent="0.25">
      <c r="A19" s="45"/>
      <c r="B19" s="52"/>
      <c r="C19" s="53"/>
      <c r="D19" s="53"/>
      <c r="E19" s="54"/>
      <c r="F19" s="55"/>
      <c r="G19" s="50"/>
    </row>
    <row r="20" spans="1:7" x14ac:dyDescent="0.25">
      <c r="A20" s="45"/>
      <c r="B20" s="52"/>
      <c r="C20" s="53"/>
      <c r="D20" s="53"/>
      <c r="E20" s="54"/>
      <c r="F20" s="55"/>
      <c r="G20" s="50"/>
    </row>
    <row r="21" spans="1:7" ht="15.75" thickBot="1" x14ac:dyDescent="0.3">
      <c r="A21" s="45"/>
      <c r="B21" s="52"/>
      <c r="C21" s="53"/>
      <c r="D21" s="53"/>
      <c r="E21" s="54"/>
      <c r="F21" s="57"/>
      <c r="G21" s="61">
        <v>0</v>
      </c>
    </row>
    <row r="22" spans="1:7" ht="15.75" thickTop="1" x14ac:dyDescent="0.25">
      <c r="A22" s="45"/>
      <c r="B22" s="52"/>
      <c r="C22" s="53"/>
      <c r="D22" s="53"/>
      <c r="E22" s="54"/>
      <c r="F22" s="55"/>
    </row>
    <row r="23" spans="1:7" ht="15.75" thickBot="1" x14ac:dyDescent="0.3">
      <c r="A23" s="59" t="s">
        <v>42</v>
      </c>
      <c r="B23" s="60">
        <f>SUM(B7:B16)</f>
        <v>8554.4500000000007</v>
      </c>
      <c r="C23" s="60">
        <f>SUM(C9:C9)</f>
        <v>0</v>
      </c>
      <c r="D23" s="60">
        <f>SUM(D9:D9)</f>
        <v>0</v>
      </c>
      <c r="E23" s="60">
        <f>SUM(E9:E9)</f>
        <v>0</v>
      </c>
      <c r="F23" s="60">
        <f>SUM(F7:F22)</f>
        <v>52550</v>
      </c>
    </row>
    <row r="24" spans="1:7" ht="15.75" thickTop="1" x14ac:dyDescent="0.25"/>
  </sheetData>
  <mergeCells count="1">
    <mergeCell ref="A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topLeftCell="A4" zoomScaleNormal="100" workbookViewId="0">
      <selection activeCell="G2" sqref="G2"/>
    </sheetView>
  </sheetViews>
  <sheetFormatPr defaultColWidth="8.85546875" defaultRowHeight="15" x14ac:dyDescent="0.25"/>
  <cols>
    <col min="1" max="1" width="32.28515625" customWidth="1"/>
    <col min="2" max="2" width="0.5703125" customWidth="1"/>
    <col min="3" max="3" width="12.28515625" bestFit="1" customWidth="1"/>
    <col min="4" max="4" width="18.85546875" style="23" customWidth="1"/>
    <col min="5" max="5" width="55.7109375" style="23" customWidth="1"/>
    <col min="6" max="6" width="21.85546875" style="23" customWidth="1"/>
    <col min="7" max="8" width="18.85546875" style="23" customWidth="1"/>
    <col min="9" max="9" width="10.42578125" bestFit="1" customWidth="1"/>
    <col min="10" max="10" width="13.85546875" bestFit="1" customWidth="1"/>
    <col min="11" max="11" width="11.5703125" bestFit="1" customWidth="1"/>
    <col min="12" max="12" width="10.42578125" bestFit="1" customWidth="1"/>
  </cols>
  <sheetData>
    <row r="1" spans="1:11" ht="15.75" x14ac:dyDescent="0.25">
      <c r="A1" s="3" t="s">
        <v>14</v>
      </c>
      <c r="B1" s="3"/>
      <c r="C1" s="3"/>
      <c r="D1" s="4"/>
      <c r="E1" s="4"/>
      <c r="F1" s="4"/>
      <c r="G1" s="4"/>
      <c r="H1" s="4"/>
    </row>
    <row r="2" spans="1:11" ht="15.75" x14ac:dyDescent="0.25">
      <c r="A2" s="5"/>
      <c r="B2" s="5"/>
      <c r="C2" s="5"/>
      <c r="D2" s="4"/>
      <c r="E2" s="4"/>
      <c r="F2" s="4"/>
      <c r="G2" s="4"/>
      <c r="H2" s="4"/>
    </row>
    <row r="3" spans="1:11" ht="15.75" x14ac:dyDescent="0.25">
      <c r="A3" s="3" t="s">
        <v>15</v>
      </c>
      <c r="B3" s="3"/>
      <c r="C3" s="3"/>
      <c r="D3" s="4"/>
      <c r="E3" s="4"/>
      <c r="F3" s="4"/>
      <c r="G3" s="4"/>
      <c r="H3" s="4"/>
    </row>
    <row r="4" spans="1:11" ht="15.75" x14ac:dyDescent="0.25">
      <c r="A4" s="5"/>
      <c r="B4" s="5"/>
      <c r="C4" s="5"/>
      <c r="D4" s="4"/>
      <c r="E4" s="4"/>
      <c r="F4" s="4"/>
      <c r="G4" s="4"/>
      <c r="H4" s="4"/>
    </row>
    <row r="5" spans="1:11" ht="20.25" thickBot="1" x14ac:dyDescent="0.35">
      <c r="A5" s="169" t="s">
        <v>11</v>
      </c>
      <c r="B5" s="169"/>
      <c r="C5" s="169"/>
      <c r="D5" s="169"/>
      <c r="E5" s="170"/>
      <c r="F5" s="4"/>
      <c r="G5" s="4"/>
      <c r="H5" s="4"/>
    </row>
    <row r="6" spans="1:11" ht="16.5" thickTop="1" x14ac:dyDescent="0.25">
      <c r="A6" s="5"/>
      <c r="B6" s="3"/>
      <c r="C6" s="3"/>
      <c r="D6" s="4"/>
      <c r="E6" s="4"/>
      <c r="F6" s="4"/>
      <c r="G6" s="4"/>
      <c r="H6" s="4"/>
    </row>
    <row r="7" spans="1:11" ht="16.5" thickBot="1" x14ac:dyDescent="0.3">
      <c r="A7" s="5"/>
      <c r="B7" s="5"/>
      <c r="C7" s="5"/>
      <c r="D7" s="4"/>
      <c r="E7" s="4"/>
      <c r="F7" s="6"/>
      <c r="G7" s="4"/>
      <c r="H7" s="4"/>
    </row>
    <row r="8" spans="1:11" ht="65.25" customHeight="1" thickTop="1" thickBot="1" x14ac:dyDescent="0.3">
      <c r="A8" s="7" t="s">
        <v>16</v>
      </c>
      <c r="B8" s="7" t="s">
        <v>17</v>
      </c>
      <c r="C8" s="8" t="s">
        <v>20</v>
      </c>
      <c r="D8" s="7" t="s">
        <v>21</v>
      </c>
      <c r="E8" s="8" t="s">
        <v>22</v>
      </c>
      <c r="F8" s="27" t="s">
        <v>30</v>
      </c>
      <c r="G8" s="7" t="s">
        <v>31</v>
      </c>
      <c r="H8" s="7" t="s">
        <v>0</v>
      </c>
    </row>
    <row r="9" spans="1:11" ht="16.5" thickTop="1" x14ac:dyDescent="0.25">
      <c r="A9" s="9" t="s">
        <v>13</v>
      </c>
      <c r="B9" s="10"/>
      <c r="C9" s="11" t="e">
        <f>'P&amp;L'!#REF!</f>
        <v>#REF!</v>
      </c>
      <c r="D9" s="12" t="e">
        <f>'P&amp;L'!#REF!</f>
        <v>#REF!</v>
      </c>
      <c r="E9" s="12" t="e">
        <f>C9-D9</f>
        <v>#REF!</v>
      </c>
      <c r="F9" s="12" t="e">
        <f>E9*0.7</f>
        <v>#REF!</v>
      </c>
      <c r="G9" s="12" t="e">
        <f>E9*0.3</f>
        <v>#REF!</v>
      </c>
      <c r="H9" s="12" t="e">
        <f>F9+G9</f>
        <v>#REF!</v>
      </c>
      <c r="J9" s="2"/>
    </row>
    <row r="10" spans="1:11" ht="15.75" x14ac:dyDescent="0.25">
      <c r="A10" s="9" t="s">
        <v>12</v>
      </c>
      <c r="B10" s="10"/>
      <c r="C10" s="11" t="e">
        <f>'P&amp;L'!#REF!</f>
        <v>#REF!</v>
      </c>
      <c r="D10" s="12">
        <v>0</v>
      </c>
      <c r="E10" s="12" t="e">
        <f>C10-D10</f>
        <v>#REF!</v>
      </c>
      <c r="F10" s="12" t="e">
        <f>E10*0.7</f>
        <v>#REF!</v>
      </c>
      <c r="G10" s="12" t="e">
        <f>E10*0.3</f>
        <v>#REF!</v>
      </c>
      <c r="H10" s="12" t="e">
        <f>F10+G10</f>
        <v>#REF!</v>
      </c>
      <c r="J10" s="2"/>
    </row>
    <row r="11" spans="1:11" ht="15.75" x14ac:dyDescent="0.25">
      <c r="A11" s="9"/>
      <c r="B11" s="10"/>
      <c r="C11" s="11"/>
      <c r="D11" s="12"/>
      <c r="E11" s="12"/>
      <c r="F11" s="12"/>
      <c r="G11" s="12"/>
      <c r="H11" s="12"/>
      <c r="J11" s="2"/>
    </row>
    <row r="12" spans="1:11" ht="15.75" x14ac:dyDescent="0.25">
      <c r="A12" s="9" t="s">
        <v>24</v>
      </c>
      <c r="B12" s="10"/>
      <c r="C12" s="11"/>
      <c r="D12" s="12"/>
      <c r="E12" s="12"/>
      <c r="F12" s="12"/>
      <c r="G12" s="12"/>
      <c r="H12" s="12"/>
      <c r="J12" s="2"/>
    </row>
    <row r="13" spans="1:11" ht="15.75" x14ac:dyDescent="0.25">
      <c r="A13" s="9" t="s">
        <v>4</v>
      </c>
      <c r="B13" s="10"/>
      <c r="C13" s="11">
        <v>4347.826086956522</v>
      </c>
      <c r="D13" s="12"/>
      <c r="E13" s="12"/>
      <c r="F13" s="12"/>
      <c r="G13" s="12"/>
      <c r="H13" s="12"/>
      <c r="J13" s="2"/>
    </row>
    <row r="14" spans="1:11" ht="16.5" thickBot="1" x14ac:dyDescent="0.3">
      <c r="A14" s="9"/>
      <c r="B14" s="10"/>
      <c r="C14" s="11"/>
      <c r="D14" s="12"/>
      <c r="E14" s="12"/>
      <c r="F14" s="12"/>
      <c r="G14" s="12"/>
      <c r="H14" s="12"/>
      <c r="J14" s="2"/>
      <c r="K14" s="2"/>
    </row>
    <row r="15" spans="1:11" ht="20.25" thickTop="1" thickBot="1" x14ac:dyDescent="0.35">
      <c r="A15" s="13" t="s">
        <v>9</v>
      </c>
      <c r="B15" s="13"/>
      <c r="C15" s="14" t="e">
        <f>C9-C13</f>
        <v>#REF!</v>
      </c>
      <c r="D15" s="14" t="e">
        <f t="shared" ref="D15:G15" si="0">SUM(D9:D14)</f>
        <v>#REF!</v>
      </c>
      <c r="E15" s="14" t="e">
        <f>C15-D15</f>
        <v>#REF!</v>
      </c>
      <c r="F15" s="14" t="e">
        <f t="shared" si="0"/>
        <v>#REF!</v>
      </c>
      <c r="G15" s="14" t="e">
        <f t="shared" si="0"/>
        <v>#REF!</v>
      </c>
      <c r="H15" s="14"/>
    </row>
    <row r="16" spans="1:11" ht="16.5" thickTop="1" x14ac:dyDescent="0.25">
      <c r="A16" s="5"/>
      <c r="B16" s="5"/>
      <c r="C16" s="5"/>
      <c r="D16" s="15"/>
      <c r="E16" s="15"/>
      <c r="F16" s="15"/>
      <c r="G16" s="15"/>
      <c r="H16" s="15"/>
    </row>
    <row r="17" spans="1:12" ht="18.75" x14ac:dyDescent="0.3">
      <c r="A17" s="16"/>
      <c r="B17" s="16"/>
      <c r="C17" s="16"/>
      <c r="D17" s="17"/>
      <c r="E17" s="17"/>
      <c r="F17" s="17"/>
      <c r="G17" s="21" t="s">
        <v>23</v>
      </c>
      <c r="H17" s="29"/>
      <c r="I17" s="18"/>
      <c r="J17" s="2"/>
    </row>
    <row r="18" spans="1:12" ht="18.75" x14ac:dyDescent="0.3">
      <c r="A18" s="19"/>
      <c r="B18" s="19"/>
      <c r="C18" s="19"/>
      <c r="D18" s="20"/>
      <c r="E18" s="20"/>
      <c r="F18" s="17"/>
      <c r="G18" s="28" t="s">
        <v>13</v>
      </c>
      <c r="H18" s="28" t="s">
        <v>12</v>
      </c>
      <c r="I18" s="18"/>
      <c r="J18" s="2"/>
    </row>
    <row r="19" spans="1:12" ht="18.75" x14ac:dyDescent="0.3">
      <c r="E19" s="32" t="s">
        <v>33</v>
      </c>
      <c r="F19" s="32"/>
      <c r="G19" s="30" t="e">
        <f>G9</f>
        <v>#REF!</v>
      </c>
      <c r="H19" s="22" t="e">
        <f>G10</f>
        <v>#REF!</v>
      </c>
      <c r="J19" s="2"/>
      <c r="K19" t="s">
        <v>28</v>
      </c>
    </row>
    <row r="20" spans="1:12" s="23" customFormat="1" ht="15.75" x14ac:dyDescent="0.25">
      <c r="A20" s="24"/>
      <c r="B20"/>
      <c r="E20" s="32"/>
      <c r="F20" s="32"/>
      <c r="G20" s="32"/>
      <c r="H20" s="32"/>
      <c r="I20"/>
      <c r="J20"/>
      <c r="K20"/>
      <c r="L20"/>
    </row>
    <row r="21" spans="1:12" x14ac:dyDescent="0.25">
      <c r="E21" s="32" t="s">
        <v>29</v>
      </c>
      <c r="F21" s="33" t="e">
        <f>C13/C9</f>
        <v>#REF!</v>
      </c>
      <c r="G21" s="34" t="e">
        <f>F21*G19</f>
        <v>#REF!</v>
      </c>
      <c r="H21" s="31"/>
    </row>
    <row r="22" spans="1:12" s="23" customFormat="1" ht="14.25" customHeight="1" x14ac:dyDescent="0.25">
      <c r="A22"/>
      <c r="B22"/>
      <c r="E22" s="32"/>
      <c r="F22" s="32"/>
      <c r="G22" s="32"/>
      <c r="H22" s="32"/>
      <c r="I22"/>
      <c r="J22"/>
      <c r="K22"/>
      <c r="L22"/>
    </row>
    <row r="23" spans="1:12" s="23" customFormat="1" x14ac:dyDescent="0.25">
      <c r="A23"/>
      <c r="B23"/>
      <c r="E23" s="32" t="s">
        <v>32</v>
      </c>
      <c r="F23" s="35"/>
      <c r="G23" s="31" t="e">
        <f>G19-G21</f>
        <v>#REF!</v>
      </c>
      <c r="H23" s="31" t="e">
        <f>H19-H21</f>
        <v>#REF!</v>
      </c>
      <c r="I23"/>
      <c r="J23"/>
      <c r="K23"/>
      <c r="L23"/>
    </row>
    <row r="27" spans="1:12" x14ac:dyDescent="0.25">
      <c r="A27" t="s">
        <v>25</v>
      </c>
      <c r="B27" s="23" t="s">
        <v>18</v>
      </c>
      <c r="C27" s="23"/>
      <c r="D27" s="23" t="s">
        <v>18</v>
      </c>
    </row>
    <row r="28" spans="1:12" x14ac:dyDescent="0.25">
      <c r="B28" s="23"/>
      <c r="C28" s="23"/>
      <c r="F28" s="26"/>
    </row>
    <row r="29" spans="1:12" x14ac:dyDescent="0.25">
      <c r="B29" s="25"/>
      <c r="C29" s="23"/>
      <c r="D29" s="25"/>
      <c r="H29" s="26"/>
    </row>
    <row r="30" spans="1:12" x14ac:dyDescent="0.25">
      <c r="A30" t="s">
        <v>26</v>
      </c>
      <c r="B30" s="23" t="s">
        <v>19</v>
      </c>
      <c r="C30" s="23"/>
      <c r="D30" s="23" t="s">
        <v>19</v>
      </c>
      <c r="F30" s="26"/>
      <c r="G30" s="26"/>
    </row>
    <row r="31" spans="1:12" x14ac:dyDescent="0.25">
      <c r="B31" s="23"/>
      <c r="C31" s="23"/>
      <c r="H31" s="26"/>
    </row>
    <row r="32" spans="1:12" x14ac:dyDescent="0.25">
      <c r="B32" s="23"/>
      <c r="C32" s="23"/>
    </row>
    <row r="33" spans="1:4" x14ac:dyDescent="0.25">
      <c r="A33" t="s">
        <v>27</v>
      </c>
      <c r="B33" s="23" t="s">
        <v>19</v>
      </c>
      <c r="C33" s="23"/>
      <c r="D33" s="23" t="s">
        <v>19</v>
      </c>
    </row>
  </sheetData>
  <mergeCells count="1">
    <mergeCell ref="A5:E5"/>
  </mergeCells>
  <pageMargins left="0.7" right="0.7" top="0.75" bottom="0.75" header="0.3" footer="0.3"/>
  <pageSetup scale="68" orientation="landscape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P&amp;L</vt:lpstr>
      <vt:lpstr>REVENUE</vt:lpstr>
      <vt:lpstr>expenses </vt:lpstr>
      <vt:lpstr>PROFIT SHARING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Chenai Agere</dc:creator>
  <cp:lastModifiedBy>monalisa mapere</cp:lastModifiedBy>
  <cp:lastPrinted>2025-06-02T14:13:55Z</cp:lastPrinted>
  <dcterms:created xsi:type="dcterms:W3CDTF">2019-04-24T10:14:51Z</dcterms:created>
  <dcterms:modified xsi:type="dcterms:W3CDTF">2026-06-29T18:13:49Z</dcterms:modified>
</cp:coreProperties>
</file>