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katsande\Downloads\OneDrive_1_3-5-2026\"/>
    </mc:Choice>
  </mc:AlternateContent>
  <xr:revisionPtr revIDLastSave="0" documentId="13_ncr:1_{21A5E608-A62D-4F30-BB7F-1142E012F68E}" xr6:coauthVersionLast="47" xr6:coauthVersionMax="47" xr10:uidLastSave="{00000000-0000-0000-0000-000000000000}"/>
  <bookViews>
    <workbookView xWindow="-108" yWindow="-108" windowWidth="23256" windowHeight="12456" firstSheet="1" activeTab="1" xr2:uid="{00000000-000D-0000-FFFF-FFFF00000000}"/>
  </bookViews>
  <sheets>
    <sheet name="Sheet1" sheetId="1" state="hidden" r:id="rId1"/>
    <sheet name="processes" sheetId="9"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572" i="9" l="1"/>
  <c r="E7572" i="9"/>
  <c r="F7573" i="9" s="1"/>
  <c r="D7572" i="9"/>
  <c r="E7573" i="9" s="1"/>
  <c r="F7556" i="9"/>
  <c r="E7556" i="9"/>
  <c r="F7557" i="9" s="1"/>
  <c r="D7556" i="9"/>
  <c r="E7557" i="9" s="1"/>
  <c r="D2" i="9"/>
  <c r="D7530" i="9"/>
  <c r="F7528" i="9"/>
  <c r="E7528" i="9"/>
  <c r="F7529" i="9" s="1"/>
  <c r="D7528" i="9"/>
  <c r="E7529" i="9" s="1"/>
  <c r="F7500" i="9"/>
  <c r="E7500" i="9"/>
  <c r="F7501" i="9" s="1"/>
  <c r="D7500" i="9"/>
  <c r="E7501" i="9" s="1"/>
  <c r="F7472" i="9"/>
  <c r="E7472" i="9"/>
  <c r="F7473" i="9" s="1"/>
  <c r="D7472" i="9"/>
  <c r="E7473" i="9" s="1"/>
  <c r="F7452" i="9"/>
  <c r="E7452" i="9"/>
  <c r="F7453" i="9" s="1"/>
  <c r="D7452" i="9"/>
  <c r="E7453" i="9" s="1"/>
  <c r="F7435" i="9"/>
  <c r="E7435" i="9"/>
  <c r="F7436" i="9" s="1"/>
  <c r="D7435" i="9"/>
  <c r="E7436" i="9" s="1"/>
  <c r="F7417" i="9"/>
  <c r="E7417" i="9"/>
  <c r="F7418" i="9" s="1"/>
  <c r="D7417" i="9"/>
  <c r="E7418" i="9" s="1"/>
  <c r="F7399" i="9"/>
  <c r="E7399" i="9"/>
  <c r="F7400" i="9" s="1"/>
  <c r="D7399" i="9"/>
  <c r="E7400" i="9" s="1"/>
  <c r="F7383" i="9"/>
  <c r="E7383" i="9"/>
  <c r="F7384" i="9" s="1"/>
  <c r="D7383" i="9"/>
  <c r="E7384" i="9" s="1"/>
  <c r="F7365" i="9"/>
  <c r="E7365" i="9"/>
  <c r="F7366" i="9" s="1"/>
  <c r="D7365" i="9"/>
  <c r="E7366" i="9" s="1"/>
  <c r="F7343" i="9"/>
  <c r="E7343" i="9"/>
  <c r="F7344" i="9" s="1"/>
  <c r="D7343" i="9"/>
  <c r="E7344" i="9" s="1"/>
  <c r="F7324" i="9"/>
  <c r="E7324" i="9"/>
  <c r="F7325" i="9" s="1"/>
  <c r="D7324" i="9"/>
  <c r="E7325" i="9" s="1"/>
  <c r="F7305" i="9"/>
  <c r="E7305" i="9"/>
  <c r="F7306" i="9" s="1"/>
  <c r="D7305" i="9"/>
  <c r="E7306" i="9" s="1"/>
  <c r="F7290" i="9"/>
  <c r="E7290" i="9"/>
  <c r="F7291" i="9" s="1"/>
  <c r="D7290" i="9"/>
  <c r="E7291" i="9" s="1"/>
  <c r="F7273" i="9"/>
  <c r="E7273" i="9"/>
  <c r="F7274" i="9" s="1"/>
  <c r="D7273" i="9"/>
  <c r="E7274" i="9" s="1"/>
  <c r="F7258" i="9"/>
  <c r="E7258" i="9"/>
  <c r="F7259" i="9" s="1"/>
  <c r="D7258" i="9"/>
  <c r="E7259" i="9" s="1"/>
  <c r="F7243" i="9"/>
  <c r="E7243" i="9"/>
  <c r="F7244" i="9" s="1"/>
  <c r="D7243" i="9"/>
  <c r="E7244" i="9" s="1"/>
  <c r="F7224" i="9"/>
  <c r="E7224" i="9"/>
  <c r="F7225" i="9" s="1"/>
  <c r="D7224" i="9"/>
  <c r="E7225" i="9" s="1"/>
  <c r="F7206" i="9"/>
  <c r="E7206" i="9"/>
  <c r="F7207" i="9" s="1"/>
  <c r="D7206" i="9"/>
  <c r="E7207" i="9" s="1"/>
  <c r="F7191" i="9"/>
  <c r="E7191" i="9"/>
  <c r="F7192" i="9" s="1"/>
  <c r="D7191" i="9"/>
  <c r="E7192" i="9" s="1"/>
  <c r="F7154" i="9"/>
  <c r="E7154" i="9"/>
  <c r="F7155" i="9" s="1"/>
  <c r="D7154" i="9"/>
  <c r="E7155" i="9" s="1"/>
  <c r="F7138" i="9"/>
  <c r="E7138" i="9"/>
  <c r="F7139" i="9" s="1"/>
  <c r="D7138" i="9"/>
  <c r="E7139" i="9" s="1"/>
  <c r="F7126" i="9"/>
  <c r="E7126" i="9"/>
  <c r="F7127" i="9" s="1"/>
  <c r="D7126" i="9"/>
  <c r="E7127" i="9" s="1"/>
  <c r="F7114" i="9"/>
  <c r="E7114" i="9"/>
  <c r="F7115" i="9" s="1"/>
  <c r="D7114" i="9"/>
  <c r="E7115" i="9" s="1"/>
  <c r="F7089" i="9"/>
  <c r="E7089" i="9"/>
  <c r="F7090" i="9" s="1"/>
  <c r="D7089" i="9"/>
  <c r="E7090" i="9" s="1"/>
  <c r="F7070" i="9"/>
  <c r="E7070" i="9"/>
  <c r="F7071" i="9" s="1"/>
  <c r="D7070" i="9"/>
  <c r="E7071" i="9" s="1"/>
  <c r="F7054" i="9"/>
  <c r="E7054" i="9"/>
  <c r="F7055" i="9" s="1"/>
  <c r="D7054" i="9"/>
  <c r="E7055" i="9" s="1"/>
  <c r="F7032" i="9"/>
  <c r="E7032" i="9"/>
  <c r="F7033" i="9" s="1"/>
  <c r="D7032" i="9"/>
  <c r="E7033" i="9" s="1"/>
  <c r="F7016" i="9"/>
  <c r="E7016" i="9"/>
  <c r="F7017" i="9" s="1"/>
  <c r="D7016" i="9"/>
  <c r="E7017" i="9" s="1"/>
  <c r="F7000" i="9"/>
  <c r="E7000" i="9"/>
  <c r="F7001" i="9" s="1"/>
  <c r="D7000" i="9"/>
  <c r="E7001" i="9" s="1"/>
  <c r="F6984" i="9"/>
  <c r="E6984" i="9"/>
  <c r="F6985" i="9" s="1"/>
  <c r="D6984" i="9"/>
  <c r="E6985" i="9" s="1"/>
  <c r="F6965" i="9"/>
  <c r="E6965" i="9"/>
  <c r="F6966" i="9" s="1"/>
  <c r="D6965" i="9"/>
  <c r="E6966" i="9" s="1"/>
  <c r="F6949" i="9"/>
  <c r="E6949" i="9"/>
  <c r="F6950" i="9" s="1"/>
  <c r="D6949" i="9"/>
  <c r="E6950" i="9" s="1"/>
  <c r="F6931" i="9"/>
  <c r="E6931" i="9"/>
  <c r="F6932" i="9" s="1"/>
  <c r="D6931" i="9"/>
  <c r="E6932" i="9" s="1"/>
  <c r="F6911" i="9"/>
  <c r="E6911" i="9"/>
  <c r="F6912" i="9" s="1"/>
  <c r="D6911" i="9"/>
  <c r="E6912" i="9" s="1"/>
  <c r="F6894" i="9"/>
  <c r="E6894" i="9"/>
  <c r="F6895" i="9" s="1"/>
  <c r="D6894" i="9"/>
  <c r="E6895" i="9" s="1"/>
  <c r="F6873" i="9"/>
  <c r="E6873" i="9"/>
  <c r="F6874" i="9" s="1"/>
  <c r="D6873" i="9"/>
  <c r="E6874" i="9" s="1"/>
  <c r="F6854" i="9"/>
  <c r="E6854" i="9"/>
  <c r="F6855" i="9" s="1"/>
  <c r="D6854" i="9"/>
  <c r="E6855" i="9" s="1"/>
  <c r="D6832" i="9"/>
  <c r="F6832" i="9"/>
  <c r="E6832" i="9"/>
  <c r="F6833" i="9" s="1"/>
  <c r="E6833" i="9"/>
  <c r="F6804" i="9"/>
  <c r="E6804" i="9"/>
  <c r="F6805" i="9" s="1"/>
  <c r="D6804" i="9"/>
  <c r="E6805" i="9" s="1"/>
  <c r="F6789" i="9"/>
  <c r="E6789" i="9"/>
  <c r="F6790" i="9" s="1"/>
  <c r="D6789" i="9"/>
  <c r="E6790" i="9" s="1"/>
  <c r="F6775" i="9"/>
  <c r="E6775" i="9"/>
  <c r="F6776" i="9" s="1"/>
  <c r="D6775" i="9"/>
  <c r="E6776" i="9" s="1"/>
  <c r="F6759" i="9"/>
  <c r="E6759" i="9"/>
  <c r="F6760" i="9" s="1"/>
  <c r="D6759" i="9"/>
  <c r="E6760" i="9" s="1"/>
  <c r="D6735" i="9"/>
  <c r="E6735" i="9"/>
  <c r="F6735" i="9"/>
  <c r="E6736" i="9"/>
  <c r="F6736" i="9"/>
  <c r="F6708" i="9"/>
  <c r="E6708" i="9"/>
  <c r="F6709" i="9" s="1"/>
  <c r="D6708" i="9"/>
  <c r="E6709" i="9" s="1"/>
  <c r="F6681" i="9"/>
  <c r="E6681" i="9"/>
  <c r="F6682" i="9" s="1"/>
  <c r="D6681" i="9"/>
  <c r="E6682" i="9" s="1"/>
  <c r="F6657" i="9"/>
  <c r="E6657" i="9"/>
  <c r="F6658" i="9" s="1"/>
  <c r="D6657" i="9"/>
  <c r="E6658" i="9" s="1"/>
  <c r="F6628" i="9"/>
  <c r="E6628" i="9"/>
  <c r="F6629" i="9" s="1"/>
  <c r="D6628" i="9"/>
  <c r="E6629" i="9" s="1"/>
  <c r="F6606" i="9"/>
  <c r="E6606" i="9"/>
  <c r="F6607" i="9" s="1"/>
  <c r="D6606" i="9"/>
  <c r="E6607" i="9" s="1"/>
  <c r="F6576" i="9"/>
  <c r="E6576" i="9"/>
  <c r="F6577" i="9" s="1"/>
  <c r="D6576" i="9"/>
  <c r="E6577" i="9" s="1"/>
  <c r="F6552" i="9"/>
  <c r="E6552" i="9"/>
  <c r="F6553" i="9" s="1"/>
  <c r="D6552" i="9"/>
  <c r="E6553" i="9" s="1"/>
  <c r="F6527" i="9"/>
  <c r="E6527" i="9"/>
  <c r="F6528" i="9" s="1"/>
  <c r="D6527" i="9"/>
  <c r="E6528" i="9" s="1"/>
  <c r="F6495" i="9"/>
  <c r="E6495" i="9"/>
  <c r="F6496" i="9" s="1"/>
  <c r="D6495" i="9"/>
  <c r="E6496" i="9" s="1"/>
  <c r="F6477" i="9"/>
  <c r="E6477" i="9"/>
  <c r="F6478" i="9" s="1"/>
  <c r="D6477" i="9"/>
  <c r="E6478" i="9" s="1"/>
  <c r="F6463" i="9"/>
  <c r="E6463" i="9"/>
  <c r="F6464" i="9" s="1"/>
  <c r="D6463" i="9"/>
  <c r="E6464" i="9" s="1"/>
  <c r="F6449" i="9"/>
  <c r="E6449" i="9"/>
  <c r="F6450" i="9" s="1"/>
  <c r="D6449" i="9"/>
  <c r="E6450" i="9" s="1"/>
  <c r="F6421" i="9"/>
  <c r="E6421" i="9"/>
  <c r="F6422" i="9" s="1"/>
  <c r="D6421" i="9"/>
  <c r="E6422" i="9" s="1"/>
  <c r="F6401" i="9"/>
  <c r="E6401" i="9"/>
  <c r="F6402" i="9" s="1"/>
  <c r="D6401" i="9"/>
  <c r="E6402" i="9" s="1"/>
  <c r="F6385" i="9"/>
  <c r="E6385" i="9"/>
  <c r="F6386" i="9" s="1"/>
  <c r="D6385" i="9"/>
  <c r="E6386" i="9" s="1"/>
  <c r="F6369" i="9"/>
  <c r="E6369" i="9"/>
  <c r="F6370" i="9" s="1"/>
  <c r="D6369" i="9"/>
  <c r="E6370" i="9" s="1"/>
  <c r="F6352" i="9"/>
  <c r="E6352" i="9"/>
  <c r="F6353" i="9" s="1"/>
  <c r="D6352" i="9"/>
  <c r="E6353" i="9" s="1"/>
  <c r="F6318" i="9"/>
  <c r="E6318" i="9"/>
  <c r="F6319" i="9" s="1"/>
  <c r="D6318" i="9"/>
  <c r="E6319" i="9" s="1"/>
  <c r="D1184" i="9"/>
  <c r="E1184" i="9"/>
  <c r="F1184" i="9"/>
  <c r="E1185" i="9"/>
  <c r="F1185" i="9"/>
  <c r="D6254" i="9"/>
  <c r="F6251" i="9"/>
  <c r="E6251" i="9"/>
  <c r="F6252" i="9" s="1"/>
  <c r="D6251" i="9"/>
  <c r="E6252" i="9" s="1"/>
  <c r="F6235" i="9"/>
  <c r="E6235" i="9"/>
  <c r="F6236" i="9" s="1"/>
  <c r="D6235" i="9"/>
  <c r="E6236" i="9" s="1"/>
  <c r="D6219" i="9"/>
  <c r="F6216" i="9"/>
  <c r="E6216" i="9"/>
  <c r="F6217" i="9" s="1"/>
  <c r="D6216" i="9"/>
  <c r="E6217" i="9" s="1"/>
  <c r="F6197" i="9"/>
  <c r="E6197" i="9"/>
  <c r="F6198" i="9" s="1"/>
  <c r="D6197" i="9"/>
  <c r="E6198" i="9" s="1"/>
  <c r="F6178" i="9"/>
  <c r="E6178" i="9"/>
  <c r="F6179" i="9" s="1"/>
  <c r="D6178" i="9"/>
  <c r="E6179" i="9" s="1"/>
  <c r="F6137" i="9"/>
  <c r="E6137" i="9"/>
  <c r="F6138" i="9" s="1"/>
  <c r="D6137" i="9"/>
  <c r="E6138" i="9" s="1"/>
  <c r="F6112" i="9"/>
  <c r="E6112" i="9"/>
  <c r="F6113" i="9" s="1"/>
  <c r="D6112" i="9"/>
  <c r="E6113" i="9" s="1"/>
  <c r="F6095" i="9"/>
  <c r="E6095" i="9"/>
  <c r="F6096" i="9" s="1"/>
  <c r="D6095" i="9"/>
  <c r="E6096" i="9" s="1"/>
  <c r="F6059" i="9"/>
  <c r="E6059" i="9"/>
  <c r="F6060" i="9" s="1"/>
  <c r="D6059" i="9"/>
  <c r="E6060" i="9" s="1"/>
  <c r="F6022" i="9"/>
  <c r="E6022" i="9"/>
  <c r="F6023" i="9" s="1"/>
  <c r="D6022" i="9"/>
  <c r="E6023" i="9" s="1"/>
  <c r="F5982" i="9"/>
  <c r="E5982" i="9"/>
  <c r="F5983" i="9" s="1"/>
  <c r="D5982" i="9"/>
  <c r="E5983" i="9" s="1"/>
  <c r="F5941" i="9"/>
  <c r="E5941" i="9"/>
  <c r="F5942" i="9" s="1"/>
  <c r="D5941" i="9"/>
  <c r="E5942" i="9" s="1"/>
  <c r="F5908" i="9"/>
  <c r="E5908" i="9"/>
  <c r="F5909" i="9" s="1"/>
  <c r="D5908" i="9"/>
  <c r="E5909" i="9" s="1"/>
  <c r="D3" i="9"/>
  <c r="F5871" i="9"/>
  <c r="E5871" i="9"/>
  <c r="F5872" i="9" s="1"/>
  <c r="D5871" i="9"/>
  <c r="E5872" i="9" s="1"/>
  <c r="F5852" i="9"/>
  <c r="E5852" i="9"/>
  <c r="F5853" i="9" s="1"/>
  <c r="D5852" i="9"/>
  <c r="E5853" i="9" s="1"/>
  <c r="F5835" i="9"/>
  <c r="E5835" i="9"/>
  <c r="D5835" i="9"/>
  <c r="F5818" i="9"/>
  <c r="E5818" i="9"/>
  <c r="F5819" i="9" s="1"/>
  <c r="D5818" i="9"/>
  <c r="E5819" i="9" s="1"/>
  <c r="F5780" i="9"/>
  <c r="E5780" i="9"/>
  <c r="D5780" i="9"/>
  <c r="F5763" i="9"/>
  <c r="E5763" i="9"/>
  <c r="D5763" i="9"/>
  <c r="F5740" i="9"/>
  <c r="E5740" i="9"/>
  <c r="D5740" i="9"/>
  <c r="F5721" i="9"/>
  <c r="E5721" i="9"/>
  <c r="D5721" i="9"/>
  <c r="F5699" i="9"/>
  <c r="E5699" i="9"/>
  <c r="F5700" i="9" s="1"/>
  <c r="D5699" i="9"/>
  <c r="E5700" i="9" s="1"/>
  <c r="F5685" i="9"/>
  <c r="E5685" i="9"/>
  <c r="F5686" i="9" s="1"/>
  <c r="D5685" i="9"/>
  <c r="E5686" i="9" s="1"/>
  <c r="F5670" i="9"/>
  <c r="E5670" i="9"/>
  <c r="F5671" i="9" s="1"/>
  <c r="D5670" i="9"/>
  <c r="E5671" i="9" s="1"/>
  <c r="F5653" i="9"/>
  <c r="E5653" i="9"/>
  <c r="F5654" i="9" s="1"/>
  <c r="D5653" i="9"/>
  <c r="E5654" i="9" s="1"/>
  <c r="F5634" i="9"/>
  <c r="E5634" i="9"/>
  <c r="F5635" i="9" s="1"/>
  <c r="D5634" i="9"/>
  <c r="E5635" i="9" s="1"/>
  <c r="F5619" i="9"/>
  <c r="E5619" i="9"/>
  <c r="F5620" i="9" s="1"/>
  <c r="D5619" i="9"/>
  <c r="E5620" i="9" s="1"/>
  <c r="F5603" i="9"/>
  <c r="E5603" i="9"/>
  <c r="F5604" i="9" s="1"/>
  <c r="D5603" i="9"/>
  <c r="E5604" i="9" s="1"/>
  <c r="F5589" i="9"/>
  <c r="E5589" i="9"/>
  <c r="F5590" i="9" s="1"/>
  <c r="D5589" i="9"/>
  <c r="E5590" i="9" s="1"/>
  <c r="F5574" i="9"/>
  <c r="E5574" i="9"/>
  <c r="F5575" i="9" s="1"/>
  <c r="D5574" i="9"/>
  <c r="E5575" i="9" s="1"/>
  <c r="F5559" i="9"/>
  <c r="E5559" i="9"/>
  <c r="F5560" i="9" s="1"/>
  <c r="D5559" i="9"/>
  <c r="E5560" i="9" s="1"/>
  <c r="F5543" i="9"/>
  <c r="E5543" i="9"/>
  <c r="F5544" i="9" s="1"/>
  <c r="D5543" i="9"/>
  <c r="E5544" i="9" s="1"/>
  <c r="F5529" i="9"/>
  <c r="E5529" i="9"/>
  <c r="F5511" i="9"/>
  <c r="E5511" i="9"/>
  <c r="F5512" i="9" s="1"/>
  <c r="D5511" i="9"/>
  <c r="E5512" i="9" s="1"/>
  <c r="F5493" i="9"/>
  <c r="E5493" i="9"/>
  <c r="F5494" i="9" s="1"/>
  <c r="D5493" i="9"/>
  <c r="E5494" i="9" s="1"/>
  <c r="F5474" i="9"/>
  <c r="E5474" i="9"/>
  <c r="F5475" i="9" s="1"/>
  <c r="D5474" i="9"/>
  <c r="E5475" i="9" s="1"/>
  <c r="F5451" i="9"/>
  <c r="E5451" i="9"/>
  <c r="F5452" i="9" s="1"/>
  <c r="D5451" i="9"/>
  <c r="E5452" i="9" s="1"/>
  <c r="F5431" i="9"/>
  <c r="E5431" i="9"/>
  <c r="F5432" i="9" s="1"/>
  <c r="D5431" i="9"/>
  <c r="E5432" i="9" s="1"/>
  <c r="F5410" i="9"/>
  <c r="E5410" i="9"/>
  <c r="F5411" i="9" s="1"/>
  <c r="D5410" i="9"/>
  <c r="E5411" i="9" s="1"/>
  <c r="F5393" i="9"/>
  <c r="E5393" i="9"/>
  <c r="F5394" i="9" s="1"/>
  <c r="D5393" i="9"/>
  <c r="E5394" i="9" s="1"/>
  <c r="F5377" i="9"/>
  <c r="E5377" i="9"/>
  <c r="F5378" i="9" s="1"/>
  <c r="D5377" i="9"/>
  <c r="E5378" i="9" s="1"/>
  <c r="F5359" i="9"/>
  <c r="E5359" i="9"/>
  <c r="F5360" i="9" s="1"/>
  <c r="D5359" i="9"/>
  <c r="E5360" i="9" s="1"/>
  <c r="F5343" i="9"/>
  <c r="E5343" i="9"/>
  <c r="F5344" i="9" s="1"/>
  <c r="D5343" i="9"/>
  <c r="E5344" i="9" s="1"/>
  <c r="F5327" i="9"/>
  <c r="E5327" i="9"/>
  <c r="F5328" i="9" s="1"/>
  <c r="D5327" i="9"/>
  <c r="E5328" i="9" s="1"/>
  <c r="F5310" i="9"/>
  <c r="E5310" i="9"/>
  <c r="F5311" i="9" s="1"/>
  <c r="D5310" i="9"/>
  <c r="E5311" i="9" s="1"/>
  <c r="F5292" i="9"/>
  <c r="E5292" i="9"/>
  <c r="F5293" i="9" s="1"/>
  <c r="D5292" i="9"/>
  <c r="E5293" i="9" s="1"/>
  <c r="F5276" i="9"/>
  <c r="E5276" i="9"/>
  <c r="F5277" i="9" s="1"/>
  <c r="D5276" i="9"/>
  <c r="E5277" i="9" s="1"/>
  <c r="F5260" i="9"/>
  <c r="E5260" i="9"/>
  <c r="F5261" i="9" s="1"/>
  <c r="D5260" i="9"/>
  <c r="E5261" i="9" s="1"/>
  <c r="F5244" i="9"/>
  <c r="E5244" i="9"/>
  <c r="F5245" i="9" s="1"/>
  <c r="D5244" i="9"/>
  <c r="E5245" i="9" s="1"/>
  <c r="F5229" i="9"/>
  <c r="E5229" i="9"/>
  <c r="F5230" i="9" s="1"/>
  <c r="D5229" i="9"/>
  <c r="E5230" i="9" s="1"/>
  <c r="F5214" i="9"/>
  <c r="E5214" i="9"/>
  <c r="F5213" i="9"/>
  <c r="E5213" i="9"/>
  <c r="D5213" i="9"/>
  <c r="F5194" i="9"/>
  <c r="E5194" i="9"/>
  <c r="F5195" i="9" s="1"/>
  <c r="D5194" i="9"/>
  <c r="E5195" i="9" s="1"/>
  <c r="F5177" i="9"/>
  <c r="E5177" i="9"/>
  <c r="F5178" i="9" s="1"/>
  <c r="D5177" i="9"/>
  <c r="E5178" i="9" s="1"/>
  <c r="F5160" i="9"/>
  <c r="E5160" i="9"/>
  <c r="F5161" i="9" s="1"/>
  <c r="D5160" i="9"/>
  <c r="E5161" i="9" s="1"/>
  <c r="F5141" i="9"/>
  <c r="E5141" i="9"/>
  <c r="F5142" i="9" s="1"/>
  <c r="D5141" i="9"/>
  <c r="E5142" i="9" s="1"/>
  <c r="F5123" i="9"/>
  <c r="E5123" i="9"/>
  <c r="F5124" i="9" s="1"/>
  <c r="D5123" i="9"/>
  <c r="E5124" i="9" s="1"/>
  <c r="F5106" i="9"/>
  <c r="E5106" i="9"/>
  <c r="F5107" i="9" s="1"/>
  <c r="D5106" i="9"/>
  <c r="E5107" i="9" s="1"/>
  <c r="F5081" i="9"/>
  <c r="E5081" i="9"/>
  <c r="F5082" i="9" s="1"/>
  <c r="D5081" i="9"/>
  <c r="E5082" i="9" s="1"/>
  <c r="F5058" i="9"/>
  <c r="E5058" i="9"/>
  <c r="F5059" i="9" s="1"/>
  <c r="D5058" i="9"/>
  <c r="E5059" i="9" s="1"/>
  <c r="F5036" i="9"/>
  <c r="E5036" i="9"/>
  <c r="F5037" i="9" s="1"/>
  <c r="D5036" i="9"/>
  <c r="E5037" i="9" s="1"/>
  <c r="F5014" i="9"/>
  <c r="E5014" i="9"/>
  <c r="F5015" i="9" s="1"/>
  <c r="D5014" i="9"/>
  <c r="E5015" i="9" s="1"/>
  <c r="F4993" i="9"/>
  <c r="E4993" i="9"/>
  <c r="F4994" i="9" s="1"/>
  <c r="D4993" i="9"/>
  <c r="E4994" i="9" s="1"/>
  <c r="F4977" i="9"/>
  <c r="E4977" i="9"/>
  <c r="F4978" i="9" s="1"/>
  <c r="D4977" i="9"/>
  <c r="E4978" i="9" s="1"/>
  <c r="F4960" i="9"/>
  <c r="E4960" i="9"/>
  <c r="F4961" i="9" s="1"/>
  <c r="D4960" i="9"/>
  <c r="E4961" i="9" s="1"/>
  <c r="F4938" i="9"/>
  <c r="E4938" i="9"/>
  <c r="F4939" i="9" s="1"/>
  <c r="D4938" i="9"/>
  <c r="E4939" i="9" s="1"/>
  <c r="F4911" i="9"/>
  <c r="E4911" i="9"/>
  <c r="F4912" i="9" s="1"/>
  <c r="D4911" i="9"/>
  <c r="E4912" i="9" s="1"/>
  <c r="F4888" i="9"/>
  <c r="E4888" i="9"/>
  <c r="F4889" i="9" s="1"/>
  <c r="D4888" i="9"/>
  <c r="E4889" i="9" s="1"/>
  <c r="F4871" i="9"/>
  <c r="E4871" i="9"/>
  <c r="F4872" i="9" s="1"/>
  <c r="D4871" i="9"/>
  <c r="E4872" i="9" s="1"/>
  <c r="F4852" i="9"/>
  <c r="E4852" i="9"/>
  <c r="F4853" i="9" s="1"/>
  <c r="D4852" i="9"/>
  <c r="E4853" i="9" s="1"/>
  <c r="F4834" i="9"/>
  <c r="E4834" i="9"/>
  <c r="F4835" i="9" s="1"/>
  <c r="D4834" i="9"/>
  <c r="E4835" i="9" s="1"/>
  <c r="F4802" i="9"/>
  <c r="E4802" i="9"/>
  <c r="D4802" i="9"/>
  <c r="F4801" i="9"/>
  <c r="F4803" i="9" s="1"/>
  <c r="E4801" i="9"/>
  <c r="E4803" i="9" s="1"/>
  <c r="F4804" i="9" s="1"/>
  <c r="D4801" i="9"/>
  <c r="D4803" i="9" s="1"/>
  <c r="E4804" i="9" s="1"/>
  <c r="F4782" i="9"/>
  <c r="E4782" i="9"/>
  <c r="F4783" i="9" s="1"/>
  <c r="D4782" i="9"/>
  <c r="E4783" i="9" s="1"/>
  <c r="F4748" i="9"/>
  <c r="E4748" i="9"/>
  <c r="F4749" i="9" s="1"/>
  <c r="D4748" i="9"/>
  <c r="E4749" i="9" s="1"/>
  <c r="F4734" i="9"/>
  <c r="E4734" i="9"/>
  <c r="F4735" i="9" s="1"/>
  <c r="D4734" i="9"/>
  <c r="E4735" i="9" s="1"/>
  <c r="F4714" i="9"/>
  <c r="E4714" i="9"/>
  <c r="F4715" i="9" s="1"/>
  <c r="D4714" i="9"/>
  <c r="E4715" i="9" s="1"/>
  <c r="F4698" i="9"/>
  <c r="E4698" i="9"/>
  <c r="F4699" i="9" s="1"/>
  <c r="D4698" i="9"/>
  <c r="E4699" i="9" s="1"/>
  <c r="F4682" i="9"/>
  <c r="E4682" i="9"/>
  <c r="F4683" i="9" s="1"/>
  <c r="D4682" i="9"/>
  <c r="E4683" i="9" s="1"/>
  <c r="F4666" i="9"/>
  <c r="E4666" i="9"/>
  <c r="F4667" i="9" s="1"/>
  <c r="D4666" i="9"/>
  <c r="E4667" i="9" s="1"/>
  <c r="F4650" i="9"/>
  <c r="E4650" i="9"/>
  <c r="F4635" i="9"/>
  <c r="E4635" i="9"/>
  <c r="F4636" i="9" s="1"/>
  <c r="D4635" i="9"/>
  <c r="E4636" i="9" s="1"/>
  <c r="F4619" i="9"/>
  <c r="E4619" i="9"/>
  <c r="F4620" i="9" s="1"/>
  <c r="D4619" i="9"/>
  <c r="E4620" i="9" s="1"/>
  <c r="F4602" i="9"/>
  <c r="E4602" i="9"/>
  <c r="F4603" i="9" s="1"/>
  <c r="D4602" i="9"/>
  <c r="E4603" i="9" s="1"/>
  <c r="F4587" i="9"/>
  <c r="E4587" i="9"/>
  <c r="F4588" i="9" s="1"/>
  <c r="D4587" i="9"/>
  <c r="E4588" i="9" s="1"/>
  <c r="F4535" i="9"/>
  <c r="E4535" i="9"/>
  <c r="F4536" i="9" s="1"/>
  <c r="D4535" i="9"/>
  <c r="E4536" i="9" s="1"/>
  <c r="F4517" i="9"/>
  <c r="E4517" i="9"/>
  <c r="F4518" i="9" s="1"/>
  <c r="D4517" i="9"/>
  <c r="E4518" i="9" s="1"/>
  <c r="F4501" i="9"/>
  <c r="E4501" i="9"/>
  <c r="F4502" i="9" s="1"/>
  <c r="D4501" i="9"/>
  <c r="E4502" i="9" s="1"/>
  <c r="F4483" i="9"/>
  <c r="E4483" i="9"/>
  <c r="F4484" i="9" s="1"/>
  <c r="D4483" i="9"/>
  <c r="E4484" i="9" s="1"/>
  <c r="F4466" i="9"/>
  <c r="E4466" i="9"/>
  <c r="F4467" i="9" s="1"/>
  <c r="D4466" i="9"/>
  <c r="E4467" i="9" s="1"/>
  <c r="F4451" i="9"/>
  <c r="E4451" i="9"/>
  <c r="F4452" i="9" s="1"/>
  <c r="D4451" i="9"/>
  <c r="E4452" i="9" s="1"/>
  <c r="F4436" i="9"/>
  <c r="E4436" i="9"/>
  <c r="F4437" i="9" s="1"/>
  <c r="D4436" i="9"/>
  <c r="E4437" i="9" s="1"/>
  <c r="D1505" i="9"/>
  <c r="E1505" i="9"/>
  <c r="F1505" i="9"/>
  <c r="E1506" i="9"/>
  <c r="F1506" i="9"/>
  <c r="F3" i="9"/>
  <c r="D264" i="9"/>
  <c r="E264" i="9"/>
  <c r="F264" i="9"/>
  <c r="D201" i="9"/>
  <c r="E201" i="9"/>
  <c r="F201" i="9"/>
  <c r="F1288" i="9"/>
  <c r="E1288" i="9"/>
  <c r="F1289" i="9" s="1"/>
  <c r="D1288" i="9"/>
  <c r="E1289" i="9" s="1"/>
  <c r="F1041" i="9"/>
  <c r="E1041" i="9"/>
  <c r="D1041" i="9"/>
  <c r="D1498" i="9"/>
  <c r="E609" i="9"/>
  <c r="F609" i="9"/>
  <c r="D609" i="9"/>
  <c r="E597" i="9"/>
  <c r="F597" i="9"/>
  <c r="D597" i="9"/>
  <c r="E59" i="9"/>
  <c r="F4206" i="9"/>
  <c r="E4206" i="9"/>
  <c r="D4206" i="9"/>
  <c r="CG407" i="9"/>
  <c r="CH407" i="9"/>
  <c r="CI407" i="9"/>
  <c r="CD407" i="9"/>
  <c r="CE407" i="9"/>
  <c r="CF407" i="9"/>
  <c r="Z407" i="9"/>
  <c r="AA407" i="9"/>
  <c r="AB407" i="9"/>
  <c r="T407" i="9"/>
  <c r="U407" i="9"/>
  <c r="V407" i="9"/>
  <c r="T406" i="9"/>
  <c r="U406" i="9"/>
  <c r="V406" i="9"/>
  <c r="Z406" i="9"/>
  <c r="AA406" i="9"/>
  <c r="AB406" i="9"/>
  <c r="CG406" i="9"/>
  <c r="CH406" i="9"/>
  <c r="CI406" i="9"/>
  <c r="CD406" i="9"/>
  <c r="CE406" i="9"/>
  <c r="CF406" i="9"/>
  <c r="DM406" i="9"/>
  <c r="DN406" i="9"/>
  <c r="DO406" i="9"/>
  <c r="DM405" i="9"/>
  <c r="DN405" i="9"/>
  <c r="DO405" i="9"/>
  <c r="CA404" i="9"/>
  <c r="CB404" i="9"/>
  <c r="CC404" i="9"/>
  <c r="Z404" i="9"/>
  <c r="AA404" i="9"/>
  <c r="AB404" i="9"/>
  <c r="K404" i="9"/>
  <c r="L404" i="9"/>
  <c r="M404" i="9"/>
  <c r="H404" i="9"/>
  <c r="I404" i="9"/>
  <c r="J404" i="9"/>
  <c r="DM403" i="9"/>
  <c r="DN403" i="9"/>
  <c r="DO403" i="9"/>
  <c r="DM402" i="9"/>
  <c r="DN402" i="9"/>
  <c r="DO402" i="9"/>
  <c r="DM401" i="9"/>
  <c r="DN401" i="9"/>
  <c r="DO401" i="9"/>
  <c r="U382" i="9"/>
  <c r="V382" i="9"/>
  <c r="T382" i="9"/>
  <c r="Q382" i="9"/>
  <c r="CJ400" i="9"/>
  <c r="CK400" i="9"/>
  <c r="CL400" i="9"/>
  <c r="CG400" i="9"/>
  <c r="CH400" i="9"/>
  <c r="CI400" i="9"/>
  <c r="T400" i="9"/>
  <c r="U400" i="9"/>
  <c r="V400" i="9"/>
  <c r="DH377" i="9"/>
  <c r="DI377" i="9"/>
  <c r="DG377" i="9"/>
  <c r="DE377" i="9"/>
  <c r="DF377" i="9"/>
  <c r="DD377" i="9"/>
  <c r="DB377" i="9"/>
  <c r="DC377" i="9"/>
  <c r="DA377" i="9"/>
  <c r="DH376" i="9"/>
  <c r="DI376" i="9"/>
  <c r="DG376" i="9"/>
  <c r="DE376" i="9"/>
  <c r="DF376" i="9"/>
  <c r="DD376" i="9"/>
  <c r="DB376" i="9"/>
  <c r="DC376" i="9"/>
  <c r="DA376" i="9"/>
  <c r="CD398" i="9"/>
  <c r="CE398" i="9"/>
  <c r="CF398" i="9"/>
  <c r="CA398" i="9"/>
  <c r="CB398" i="9"/>
  <c r="CC398" i="9"/>
  <c r="Z398" i="9"/>
  <c r="AA398" i="9"/>
  <c r="AB398" i="9"/>
  <c r="H398" i="9"/>
  <c r="I398" i="9"/>
  <c r="J398" i="9"/>
  <c r="BE381" i="9"/>
  <c r="BE380" i="9"/>
  <c r="BE378" i="9"/>
  <c r="BE377" i="9"/>
  <c r="BE376" i="9"/>
  <c r="AG381" i="9"/>
  <c r="AG380" i="9"/>
  <c r="AG378" i="9"/>
  <c r="AG377" i="9"/>
  <c r="AG376" i="9"/>
  <c r="BX358" i="9"/>
  <c r="BY358" i="9"/>
  <c r="BW358" i="9"/>
  <c r="BX353" i="9"/>
  <c r="BY353" i="9"/>
  <c r="BW353" i="9"/>
  <c r="BE358" i="9"/>
  <c r="BE357" i="9"/>
  <c r="BE354" i="9"/>
  <c r="BE353" i="9"/>
  <c r="AD358" i="9"/>
  <c r="AD356" i="9"/>
  <c r="AD355" i="9"/>
  <c r="AD354" i="9"/>
  <c r="AD353" i="9"/>
  <c r="T359" i="9"/>
  <c r="Q359" i="9"/>
  <c r="N354" i="9"/>
  <c r="N353" i="9"/>
  <c r="H354" i="9"/>
  <c r="H353" i="9"/>
  <c r="BX335" i="9"/>
  <c r="BY335" i="9"/>
  <c r="BW335" i="9"/>
  <c r="BX332" i="9"/>
  <c r="BY332" i="9"/>
  <c r="BW332" i="9"/>
  <c r="BX331" i="9"/>
  <c r="BY331" i="9"/>
  <c r="BW331" i="9"/>
  <c r="BE314" i="9"/>
  <c r="BF314" i="9"/>
  <c r="BG314" i="9"/>
  <c r="AD314" i="9"/>
  <c r="AE314" i="9"/>
  <c r="AF314" i="9"/>
  <c r="T314" i="9"/>
  <c r="U314" i="9"/>
  <c r="V314" i="9"/>
  <c r="Q314" i="9"/>
  <c r="R314" i="9"/>
  <c r="S314" i="9"/>
  <c r="BE331" i="9"/>
  <c r="BE332" i="9"/>
  <c r="BE334" i="9"/>
  <c r="BE335" i="9"/>
  <c r="AD335" i="9"/>
  <c r="AD333" i="9"/>
  <c r="AD332" i="9"/>
  <c r="AD331" i="9"/>
  <c r="T336" i="9"/>
  <c r="R336" i="9"/>
  <c r="S336" i="9"/>
  <c r="Q336" i="9"/>
  <c r="O332" i="9"/>
  <c r="P332" i="9"/>
  <c r="N332" i="9"/>
  <c r="O331" i="9"/>
  <c r="P331" i="9"/>
  <c r="N331" i="9"/>
  <c r="N314" i="9"/>
  <c r="N315" i="9" s="1"/>
  <c r="O314" i="9"/>
  <c r="O315" i="9" s="1"/>
  <c r="P314" i="9"/>
  <c r="P315" i="9" s="1"/>
  <c r="I332" i="9"/>
  <c r="J332" i="9"/>
  <c r="H332" i="9"/>
  <c r="I331" i="9"/>
  <c r="J331" i="9"/>
  <c r="H331" i="9"/>
  <c r="H314" i="9"/>
  <c r="I314" i="9"/>
  <c r="J314" i="9"/>
  <c r="T264" i="9"/>
  <c r="Q264" i="9"/>
  <c r="BX281" i="9"/>
  <c r="BY281" i="9"/>
  <c r="BW281" i="9"/>
  <c r="BE281" i="9"/>
  <c r="AE282" i="9"/>
  <c r="AF282" i="9"/>
  <c r="AD282" i="9"/>
  <c r="AE281" i="9"/>
  <c r="AF281" i="9"/>
  <c r="AD281" i="9"/>
  <c r="BX263" i="9"/>
  <c r="BY263" i="9"/>
  <c r="BW263" i="9"/>
  <c r="BX259" i="9"/>
  <c r="BX264" i="9" s="1"/>
  <c r="BY259" i="9"/>
  <c r="BY264" i="9" s="1"/>
  <c r="BW259" i="9"/>
  <c r="BW264" i="9" s="1"/>
  <c r="BE263" i="9"/>
  <c r="BF260" i="9"/>
  <c r="BG260" i="9"/>
  <c r="BE260" i="9"/>
  <c r="BE259" i="9"/>
  <c r="BE264" i="9" s="1"/>
  <c r="BE218" i="9"/>
  <c r="BF218" i="9"/>
  <c r="BG218" i="9"/>
  <c r="AD218" i="9"/>
  <c r="AE218" i="9"/>
  <c r="AF218" i="9"/>
  <c r="AE263" i="9"/>
  <c r="AF263" i="9"/>
  <c r="AD263" i="9"/>
  <c r="T218" i="9"/>
  <c r="U218" i="9"/>
  <c r="V218" i="9"/>
  <c r="Q218" i="9"/>
  <c r="R218" i="9"/>
  <c r="S218" i="9"/>
  <c r="AE261" i="9"/>
  <c r="AF261" i="9"/>
  <c r="AD261" i="9"/>
  <c r="AE260" i="9"/>
  <c r="AF260" i="9"/>
  <c r="AD260" i="9"/>
  <c r="AE259" i="9"/>
  <c r="AE264" i="9" s="1"/>
  <c r="AF259" i="9"/>
  <c r="AF264" i="9" s="1"/>
  <c r="AD259" i="9"/>
  <c r="AD264" i="9" s="1"/>
  <c r="AD217" i="9"/>
  <c r="AE217" i="9"/>
  <c r="AF217" i="9"/>
  <c r="K217" i="9"/>
  <c r="L217" i="9"/>
  <c r="M217" i="9"/>
  <c r="BX240" i="9"/>
  <c r="BY240" i="9"/>
  <c r="BW240" i="9"/>
  <c r="BX237" i="9"/>
  <c r="BY237" i="9"/>
  <c r="BW237" i="9"/>
  <c r="BF240" i="9"/>
  <c r="BG240" i="9"/>
  <c r="BE240" i="9"/>
  <c r="BF239" i="9"/>
  <c r="BG239" i="9"/>
  <c r="BE239" i="9"/>
  <c r="BF237" i="9"/>
  <c r="BG237" i="9"/>
  <c r="BE216" i="9"/>
  <c r="BF216" i="9"/>
  <c r="BG216" i="9"/>
  <c r="BE237" i="9"/>
  <c r="AD216" i="9"/>
  <c r="AE216" i="9"/>
  <c r="AF216" i="9"/>
  <c r="AE240" i="9"/>
  <c r="AF240" i="9"/>
  <c r="T216" i="9"/>
  <c r="U216" i="9"/>
  <c r="V216" i="9"/>
  <c r="AD240" i="9"/>
  <c r="AE238" i="9"/>
  <c r="AF238" i="9"/>
  <c r="Q216" i="9"/>
  <c r="R216" i="9"/>
  <c r="S216" i="9"/>
  <c r="AD238" i="9"/>
  <c r="AE237" i="9"/>
  <c r="AF237" i="9"/>
  <c r="AD237" i="9"/>
  <c r="K216" i="9"/>
  <c r="L216" i="9"/>
  <c r="M216" i="9"/>
  <c r="BX179" i="9"/>
  <c r="BY179" i="9"/>
  <c r="BW179" i="9"/>
  <c r="L177" i="9"/>
  <c r="M177" i="9"/>
  <c r="K177" i="9"/>
  <c r="L176" i="9"/>
  <c r="M176" i="9"/>
  <c r="K176" i="9"/>
  <c r="BE200" i="9"/>
  <c r="BF200" i="9"/>
  <c r="BG200" i="9"/>
  <c r="AD200" i="9"/>
  <c r="AE200" i="9"/>
  <c r="AF200" i="9"/>
  <c r="BX175" i="9"/>
  <c r="BY175" i="9"/>
  <c r="BW175" i="9"/>
  <c r="T200" i="9"/>
  <c r="U200" i="9"/>
  <c r="V200" i="9"/>
  <c r="Q200" i="9"/>
  <c r="R200" i="9"/>
  <c r="S200" i="9"/>
  <c r="X175" i="9"/>
  <c r="X180" i="9" s="1"/>
  <c r="Y175" i="9"/>
  <c r="Y180" i="9" s="1"/>
  <c r="W175" i="9"/>
  <c r="U175" i="9"/>
  <c r="V175" i="9"/>
  <c r="T175" i="9"/>
  <c r="R175" i="9"/>
  <c r="S175" i="9"/>
  <c r="AD199" i="9"/>
  <c r="AE199" i="9"/>
  <c r="AF199" i="9"/>
  <c r="Q175" i="9"/>
  <c r="K199" i="9"/>
  <c r="K201" i="9" s="1"/>
  <c r="L199" i="9"/>
  <c r="L201" i="9" s="1"/>
  <c r="M199" i="9"/>
  <c r="M201" i="9" s="1"/>
  <c r="L154" i="9"/>
  <c r="L157" i="9" s="1"/>
  <c r="M154" i="9"/>
  <c r="M157" i="9" s="1"/>
  <c r="K154" i="9"/>
  <c r="K157" i="9" s="1"/>
  <c r="X153" i="9"/>
  <c r="X157" i="9" s="1"/>
  <c r="Y153" i="9"/>
  <c r="Y157" i="9" s="1"/>
  <c r="W153" i="9"/>
  <c r="W157" i="9" s="1"/>
  <c r="BE198" i="9"/>
  <c r="BE201" i="9" s="1"/>
  <c r="BF198" i="9"/>
  <c r="BF201" i="9" s="1"/>
  <c r="BG198" i="9"/>
  <c r="BG201" i="9" s="1"/>
  <c r="U153" i="9"/>
  <c r="V153" i="9"/>
  <c r="T153" i="9"/>
  <c r="AD198" i="9"/>
  <c r="AD201" i="9" s="1"/>
  <c r="AE198" i="9"/>
  <c r="AE201" i="9" s="1"/>
  <c r="AF198" i="9"/>
  <c r="AF201" i="9" s="1"/>
  <c r="R153" i="9"/>
  <c r="S153" i="9"/>
  <c r="Q153" i="9"/>
  <c r="T198" i="9"/>
  <c r="T201" i="9" s="1"/>
  <c r="U198" i="9"/>
  <c r="U201" i="9" s="1"/>
  <c r="V198" i="9"/>
  <c r="V201" i="9" s="1"/>
  <c r="Q198" i="9"/>
  <c r="Q201" i="9" s="1"/>
  <c r="R198" i="9"/>
  <c r="R201" i="9" s="1"/>
  <c r="S198" i="9"/>
  <c r="S201" i="9" s="1"/>
  <c r="BF155" i="9"/>
  <c r="BG155" i="9"/>
  <c r="BE155" i="9"/>
  <c r="U156" i="9"/>
  <c r="V156" i="9"/>
  <c r="T156" i="9"/>
  <c r="R156" i="9"/>
  <c r="S156" i="9"/>
  <c r="Q156" i="9"/>
  <c r="AE154" i="9"/>
  <c r="AF154" i="9"/>
  <c r="AD154" i="9"/>
  <c r="AD179" i="9"/>
  <c r="AE179" i="9"/>
  <c r="AF179" i="9"/>
  <c r="BE179" i="9"/>
  <c r="BF179" i="9"/>
  <c r="BG179" i="9"/>
  <c r="BE178" i="9"/>
  <c r="BF178" i="9"/>
  <c r="BG178" i="9"/>
  <c r="AD177" i="9"/>
  <c r="AE177" i="9"/>
  <c r="AF177" i="9"/>
  <c r="AD176" i="9"/>
  <c r="AE176" i="9"/>
  <c r="AF176" i="9"/>
  <c r="BX153" i="9"/>
  <c r="BY153" i="9"/>
  <c r="BW153" i="9"/>
  <c r="BF153" i="9"/>
  <c r="BG153" i="9"/>
  <c r="BE175" i="9"/>
  <c r="BF175" i="9"/>
  <c r="BG175" i="9"/>
  <c r="AD175" i="9"/>
  <c r="AE175" i="9"/>
  <c r="AF175" i="9"/>
  <c r="BE153" i="9"/>
  <c r="AE153" i="9"/>
  <c r="AF153" i="9"/>
  <c r="AD153" i="9"/>
  <c r="BE133" i="9"/>
  <c r="BF133" i="9"/>
  <c r="BG133" i="9"/>
  <c r="BE132" i="9"/>
  <c r="BF132" i="9"/>
  <c r="BG132" i="9"/>
  <c r="AD132" i="9"/>
  <c r="AE132" i="9"/>
  <c r="AF132" i="9"/>
  <c r="AD131" i="9"/>
  <c r="AE131" i="9"/>
  <c r="AF131" i="9"/>
  <c r="BE130" i="9"/>
  <c r="BF130" i="9"/>
  <c r="BG130" i="9"/>
  <c r="AD130" i="9"/>
  <c r="AE130" i="9"/>
  <c r="AF130" i="9"/>
  <c r="CA129" i="9"/>
  <c r="CB129" i="9"/>
  <c r="CC129" i="9"/>
  <c r="Z129" i="9"/>
  <c r="AA129" i="9"/>
  <c r="AB129" i="9"/>
  <c r="N129" i="9"/>
  <c r="O129" i="9"/>
  <c r="P129" i="9"/>
  <c r="H129" i="9"/>
  <c r="I129" i="9"/>
  <c r="J129" i="9"/>
  <c r="CJ128" i="9"/>
  <c r="CJ134" i="9" s="1"/>
  <c r="CK128" i="9"/>
  <c r="CK134" i="9" s="1"/>
  <c r="CL128" i="9"/>
  <c r="CL134" i="9" s="1"/>
  <c r="CG128" i="9"/>
  <c r="CG134" i="9" s="1"/>
  <c r="CH128" i="9"/>
  <c r="CH134" i="9" s="1"/>
  <c r="CI128" i="9"/>
  <c r="CI134" i="9" s="1"/>
  <c r="CD128" i="9"/>
  <c r="CD134" i="9" s="1"/>
  <c r="CE128" i="9"/>
  <c r="CE134" i="9" s="1"/>
  <c r="CF128" i="9"/>
  <c r="CF134" i="9" s="1"/>
  <c r="CA128" i="9"/>
  <c r="CB128" i="9"/>
  <c r="CC128" i="9"/>
  <c r="BW40" i="9"/>
  <c r="BX40" i="9"/>
  <c r="BY40" i="9"/>
  <c r="BX15" i="9"/>
  <c r="BY15" i="9"/>
  <c r="BW15" i="9"/>
  <c r="Z128" i="9"/>
  <c r="AA128" i="9"/>
  <c r="AB128" i="9"/>
  <c r="H128" i="9"/>
  <c r="I128" i="9"/>
  <c r="J128" i="9"/>
  <c r="CN109" i="9"/>
  <c r="CN111" i="9" s="1"/>
  <c r="CO109" i="9"/>
  <c r="CO111" i="9" s="1"/>
  <c r="CP109" i="9"/>
  <c r="CP111" i="9" s="1"/>
  <c r="CA108" i="9"/>
  <c r="CB108" i="9"/>
  <c r="CC108" i="9"/>
  <c r="CG108" i="9"/>
  <c r="CG111" i="9" s="1"/>
  <c r="CH108" i="9"/>
  <c r="CH111" i="9" s="1"/>
  <c r="CI108" i="9"/>
  <c r="CI111" i="9" s="1"/>
  <c r="CD108" i="9"/>
  <c r="CE108" i="9"/>
  <c r="CF108" i="9"/>
  <c r="Z108" i="9"/>
  <c r="AA108" i="9"/>
  <c r="AB108" i="9"/>
  <c r="N108" i="9"/>
  <c r="O108" i="9"/>
  <c r="P108" i="9"/>
  <c r="H108" i="9"/>
  <c r="I108" i="9"/>
  <c r="J108" i="9"/>
  <c r="CA107" i="9"/>
  <c r="CB107" i="9"/>
  <c r="CC107" i="9"/>
  <c r="CA106" i="9"/>
  <c r="CB106" i="9"/>
  <c r="CC106" i="9"/>
  <c r="H106" i="9"/>
  <c r="I106" i="9"/>
  <c r="J106" i="9"/>
  <c r="CD105" i="9"/>
  <c r="CE105" i="9"/>
  <c r="CF105" i="9"/>
  <c r="CA105" i="9"/>
  <c r="CB105" i="9"/>
  <c r="CC105" i="9"/>
  <c r="CA96" i="9"/>
  <c r="CB96" i="9"/>
  <c r="CC96" i="9"/>
  <c r="CA98" i="9"/>
  <c r="CB98" i="9"/>
  <c r="CC98" i="9"/>
  <c r="T105" i="9"/>
  <c r="T111" i="9" s="1"/>
  <c r="U105" i="9"/>
  <c r="U111" i="9" s="1"/>
  <c r="V105" i="9"/>
  <c r="V111" i="9" s="1"/>
  <c r="Q105" i="9"/>
  <c r="Q111" i="9" s="1"/>
  <c r="R105" i="9"/>
  <c r="R111" i="9" s="1"/>
  <c r="S105" i="9"/>
  <c r="S111" i="9" s="1"/>
  <c r="E78" i="9"/>
  <c r="AD104" i="9"/>
  <c r="AE104" i="9"/>
  <c r="AF104" i="9"/>
  <c r="D78" i="9"/>
  <c r="BE104" i="9"/>
  <c r="BF104" i="9"/>
  <c r="BG104" i="9"/>
  <c r="BE103" i="9"/>
  <c r="BF103" i="9"/>
  <c r="BG103" i="9"/>
  <c r="AD102" i="9"/>
  <c r="AE102" i="9"/>
  <c r="AF102" i="9"/>
  <c r="BE101" i="9"/>
  <c r="BF101" i="9"/>
  <c r="BG101" i="9"/>
  <c r="AD100" i="9"/>
  <c r="AE100" i="9"/>
  <c r="AF100" i="9"/>
  <c r="BE99" i="9"/>
  <c r="BF99" i="9"/>
  <c r="BG99" i="9"/>
  <c r="AD99" i="9"/>
  <c r="AE99" i="9"/>
  <c r="AF99" i="9"/>
  <c r="H98" i="9"/>
  <c r="I98" i="9"/>
  <c r="J98" i="9"/>
  <c r="Z96" i="9"/>
  <c r="AA96" i="9"/>
  <c r="AB96" i="9"/>
  <c r="N96" i="9"/>
  <c r="O96" i="9"/>
  <c r="P96" i="9"/>
  <c r="H96" i="9"/>
  <c r="I96" i="9"/>
  <c r="J96" i="9"/>
  <c r="Z98" i="9"/>
  <c r="AA98" i="9"/>
  <c r="AB98" i="9"/>
  <c r="N98" i="9"/>
  <c r="O98" i="9"/>
  <c r="P98" i="9"/>
  <c r="I76" i="9"/>
  <c r="J76" i="9"/>
  <c r="H76" i="9"/>
  <c r="I75" i="9"/>
  <c r="J75" i="9"/>
  <c r="H75" i="9"/>
  <c r="CA75" i="9"/>
  <c r="CB75" i="9"/>
  <c r="CK76" i="9"/>
  <c r="CL76" i="9"/>
  <c r="CJ76" i="9"/>
  <c r="CK75" i="9"/>
  <c r="CL75" i="9"/>
  <c r="CJ75" i="9"/>
  <c r="CH76" i="9"/>
  <c r="CI76" i="9"/>
  <c r="CG76" i="9"/>
  <c r="CE76" i="9"/>
  <c r="CF76" i="9"/>
  <c r="CD76" i="9"/>
  <c r="X76" i="9"/>
  <c r="Y76" i="9"/>
  <c r="W76" i="9"/>
  <c r="V76" i="9"/>
  <c r="U76" i="9"/>
  <c r="T76" i="9"/>
  <c r="X75" i="9"/>
  <c r="Y75" i="9"/>
  <c r="W75" i="9"/>
  <c r="U75" i="9"/>
  <c r="V75" i="9"/>
  <c r="T75" i="9"/>
  <c r="N76" i="9"/>
  <c r="CH75" i="9"/>
  <c r="CI75" i="9"/>
  <c r="CG75" i="9"/>
  <c r="CE75" i="9"/>
  <c r="CF75" i="9"/>
  <c r="CD75" i="9"/>
  <c r="CC75" i="9"/>
  <c r="O75" i="9"/>
  <c r="P75" i="9"/>
  <c r="N75" i="9"/>
  <c r="I5" i="9"/>
  <c r="J5" i="9"/>
  <c r="H5" i="9"/>
  <c r="CR38" i="9"/>
  <c r="CR40" i="9" s="1"/>
  <c r="CS38" i="9"/>
  <c r="CS40" i="9" s="1"/>
  <c r="CQ38" i="9"/>
  <c r="CQ40" i="9" s="1"/>
  <c r="CO38" i="9"/>
  <c r="CO40" i="9" s="1"/>
  <c r="CP38" i="9"/>
  <c r="CP40" i="9" s="1"/>
  <c r="CN38" i="9"/>
  <c r="CN40" i="9" s="1"/>
  <c r="CH37" i="9"/>
  <c r="CI37" i="9"/>
  <c r="CG37" i="9"/>
  <c r="CE37" i="9"/>
  <c r="CF37" i="9"/>
  <c r="CD37" i="9"/>
  <c r="CB37" i="9"/>
  <c r="CC37" i="9"/>
  <c r="CA37" i="9"/>
  <c r="O37" i="9"/>
  <c r="P37" i="9"/>
  <c r="N37" i="9"/>
  <c r="I37" i="9"/>
  <c r="J37" i="9"/>
  <c r="H37" i="9"/>
  <c r="O36" i="9"/>
  <c r="P36" i="9"/>
  <c r="N36" i="9"/>
  <c r="I35" i="9"/>
  <c r="J35" i="9"/>
  <c r="H35" i="9"/>
  <c r="CE34" i="9"/>
  <c r="CF34" i="9"/>
  <c r="CD34" i="9"/>
  <c r="X34" i="9"/>
  <c r="Y34" i="9"/>
  <c r="W34" i="9"/>
  <c r="U34" i="9"/>
  <c r="V34" i="9"/>
  <c r="T34" i="9"/>
  <c r="R34" i="9"/>
  <c r="S34" i="9"/>
  <c r="Q34" i="9"/>
  <c r="I34" i="9"/>
  <c r="J34" i="9"/>
  <c r="H34" i="9"/>
  <c r="L33" i="9"/>
  <c r="M33" i="9"/>
  <c r="K33" i="9"/>
  <c r="L32" i="9"/>
  <c r="M32" i="9"/>
  <c r="K32" i="9"/>
  <c r="L31" i="9"/>
  <c r="M31" i="9"/>
  <c r="K31" i="9"/>
  <c r="I30" i="9"/>
  <c r="J30" i="9"/>
  <c r="H30" i="9"/>
  <c r="O30" i="9"/>
  <c r="P30" i="9"/>
  <c r="N30" i="9"/>
  <c r="U30" i="9"/>
  <c r="V30" i="9"/>
  <c r="T30" i="9"/>
  <c r="X30" i="9"/>
  <c r="Y30" i="9"/>
  <c r="W30" i="9"/>
  <c r="AA30" i="9"/>
  <c r="AB30" i="9"/>
  <c r="Z30" i="9"/>
  <c r="CE30" i="9"/>
  <c r="CF30" i="9"/>
  <c r="CD30" i="9"/>
  <c r="CH30" i="9"/>
  <c r="CI30" i="9"/>
  <c r="CG30" i="9"/>
  <c r="CK30" i="9"/>
  <c r="CL30" i="9"/>
  <c r="CJ30" i="9"/>
  <c r="U29" i="9"/>
  <c r="V29" i="9"/>
  <c r="T29" i="9"/>
  <c r="X29" i="9"/>
  <c r="Y29" i="9"/>
  <c r="W29" i="9"/>
  <c r="W40" i="9" s="1"/>
  <c r="P24" i="9"/>
  <c r="M24" i="9"/>
  <c r="J24" i="9"/>
  <c r="CH29" i="9"/>
  <c r="CI29" i="9"/>
  <c r="CG29" i="9"/>
  <c r="CB34" i="9"/>
  <c r="CC34" i="9"/>
  <c r="CA34" i="9"/>
  <c r="CB33" i="9"/>
  <c r="CC33" i="9"/>
  <c r="CA33" i="9"/>
  <c r="CB32" i="9"/>
  <c r="CC32" i="9"/>
  <c r="CA32" i="9"/>
  <c r="CB31" i="9"/>
  <c r="CC31" i="9"/>
  <c r="CA31" i="9"/>
  <c r="CB30" i="9"/>
  <c r="CC30" i="9"/>
  <c r="CA30" i="9"/>
  <c r="CE29" i="9"/>
  <c r="CF29" i="9"/>
  <c r="CD29" i="9"/>
  <c r="CB29" i="9"/>
  <c r="CC29" i="9"/>
  <c r="CA29" i="9"/>
  <c r="AA29" i="9"/>
  <c r="AB29" i="9"/>
  <c r="Z29" i="9"/>
  <c r="N29" i="9"/>
  <c r="O29" i="9"/>
  <c r="P29" i="9"/>
  <c r="I29" i="9"/>
  <c r="J29" i="9"/>
  <c r="H29" i="9"/>
  <c r="I13" i="9"/>
  <c r="J13" i="9"/>
  <c r="H13" i="9"/>
  <c r="O11" i="9"/>
  <c r="P11" i="9"/>
  <c r="N11" i="9"/>
  <c r="I10" i="9"/>
  <c r="J10" i="9"/>
  <c r="H10" i="9"/>
  <c r="U15" i="9"/>
  <c r="U17" i="9" s="1"/>
  <c r="R15" i="9"/>
  <c r="R17" i="9" s="1"/>
  <c r="R23" i="9" s="1"/>
  <c r="R24" i="9" s="1"/>
  <c r="L9" i="9"/>
  <c r="M9" i="9"/>
  <c r="K9" i="9"/>
  <c r="L8" i="9"/>
  <c r="M8" i="9"/>
  <c r="K8" i="9"/>
  <c r="O6" i="9"/>
  <c r="P6" i="9"/>
  <c r="N6" i="9"/>
  <c r="I6" i="9"/>
  <c r="J6" i="9"/>
  <c r="H6" i="9"/>
  <c r="AA5" i="9"/>
  <c r="AA15" i="9" s="1"/>
  <c r="AA17" i="9" s="1"/>
  <c r="AB5" i="9"/>
  <c r="AB15" i="9" s="1"/>
  <c r="AB17" i="9" s="1"/>
  <c r="Z5" i="9"/>
  <c r="Z15" i="9" s="1"/>
  <c r="Z17" i="9" s="1"/>
  <c r="E4418" i="9"/>
  <c r="F4419" i="9" s="1"/>
  <c r="D4418" i="9"/>
  <c r="E4407" i="9"/>
  <c r="F4408" i="9" s="1"/>
  <c r="D4407" i="9"/>
  <c r="F4397" i="9"/>
  <c r="D4396" i="9"/>
  <c r="E4397" i="9" s="1"/>
  <c r="F4374" i="9"/>
  <c r="E4374" i="9"/>
  <c r="D4374" i="9"/>
  <c r="F4362" i="9"/>
  <c r="E4362" i="9"/>
  <c r="D4362" i="9"/>
  <c r="F4347" i="9"/>
  <c r="E4347" i="9"/>
  <c r="D4347" i="9"/>
  <c r="F4338" i="9"/>
  <c r="E4338" i="9"/>
  <c r="D4338" i="9"/>
  <c r="F4326" i="9"/>
  <c r="E4326" i="9"/>
  <c r="D4326" i="9"/>
  <c r="F4312" i="9"/>
  <c r="E4312" i="9"/>
  <c r="D4312" i="9"/>
  <c r="F4299" i="9"/>
  <c r="E4299" i="9"/>
  <c r="D4299" i="9"/>
  <c r="F4284" i="9"/>
  <c r="E4284" i="9"/>
  <c r="D4284" i="9"/>
  <c r="F4264" i="9"/>
  <c r="E4264" i="9"/>
  <c r="D4264" i="9"/>
  <c r="D4223" i="9"/>
  <c r="E4223" i="9"/>
  <c r="F4223" i="9"/>
  <c r="F4187" i="9"/>
  <c r="E4187" i="9"/>
  <c r="D4187" i="9"/>
  <c r="F4174" i="9"/>
  <c r="E4174" i="9"/>
  <c r="D4174" i="9"/>
  <c r="E991" i="9"/>
  <c r="F991" i="9"/>
  <c r="D991" i="9"/>
  <c r="F4161" i="9"/>
  <c r="E4161" i="9"/>
  <c r="D4161" i="9"/>
  <c r="F4149" i="9"/>
  <c r="E4149" i="9"/>
  <c r="D4149" i="9"/>
  <c r="F4134" i="9"/>
  <c r="E4134" i="9"/>
  <c r="D4134" i="9"/>
  <c r="F4103" i="9"/>
  <c r="E4103" i="9"/>
  <c r="D4103" i="9"/>
  <c r="F4076" i="9"/>
  <c r="E4076" i="9"/>
  <c r="D4076" i="9"/>
  <c r="D1025" i="9"/>
  <c r="E1025" i="9"/>
  <c r="F1025" i="9"/>
  <c r="O1046" i="9"/>
  <c r="P1046" i="9"/>
  <c r="F4061" i="9"/>
  <c r="E4061" i="9"/>
  <c r="D4061" i="9"/>
  <c r="J3900" i="9"/>
  <c r="I3900" i="9"/>
  <c r="I3896" i="9"/>
  <c r="J3896" i="9"/>
  <c r="I3897" i="9"/>
  <c r="J3897" i="9"/>
  <c r="J3899" i="9"/>
  <c r="L3899" i="9"/>
  <c r="M3899" i="9"/>
  <c r="I3901" i="9"/>
  <c r="J3901" i="9"/>
  <c r="P3901" i="9" s="1"/>
  <c r="O3901" i="9"/>
  <c r="I3902" i="9"/>
  <c r="J3902" i="9"/>
  <c r="L3903" i="9"/>
  <c r="M3903" i="9"/>
  <c r="L3904" i="9"/>
  <c r="M3904" i="9"/>
  <c r="I3905" i="9"/>
  <c r="J3905" i="9"/>
  <c r="I3906" i="9"/>
  <c r="J3906" i="9"/>
  <c r="I3907" i="9"/>
  <c r="J3907" i="9"/>
  <c r="I3908" i="9"/>
  <c r="J3908" i="9"/>
  <c r="I3909" i="9"/>
  <c r="J3909" i="9"/>
  <c r="I3910" i="9"/>
  <c r="J3910" i="9"/>
  <c r="I3911" i="9"/>
  <c r="J3911" i="9"/>
  <c r="I3912" i="9"/>
  <c r="J3912" i="9"/>
  <c r="M3866" i="9"/>
  <c r="L3866" i="9"/>
  <c r="O3870" i="9"/>
  <c r="J3876" i="9"/>
  <c r="J3877" i="9"/>
  <c r="J3878" i="9"/>
  <c r="J3879" i="9"/>
  <c r="J3880" i="9"/>
  <c r="J3881" i="9"/>
  <c r="J3882" i="9"/>
  <c r="J3883" i="9"/>
  <c r="I3883" i="9"/>
  <c r="I3882" i="9"/>
  <c r="I3881" i="9"/>
  <c r="I3880" i="9"/>
  <c r="I3879" i="9"/>
  <c r="I3878" i="9"/>
  <c r="I3877" i="9"/>
  <c r="I3876" i="9"/>
  <c r="F4030" i="9"/>
  <c r="E4030" i="9"/>
  <c r="D4030" i="9"/>
  <c r="F4021" i="9"/>
  <c r="E4021" i="9"/>
  <c r="D4021" i="9"/>
  <c r="F4009" i="9"/>
  <c r="E4009" i="9"/>
  <c r="D4009" i="9"/>
  <c r="F3997" i="9"/>
  <c r="E3997" i="9"/>
  <c r="D3997" i="9"/>
  <c r="J3875" i="9"/>
  <c r="I3875" i="9"/>
  <c r="J3874" i="9"/>
  <c r="I3874" i="9"/>
  <c r="M3873" i="9"/>
  <c r="L3873" i="9"/>
  <c r="M3872" i="9"/>
  <c r="L3872" i="9"/>
  <c r="J3871" i="9"/>
  <c r="I3871" i="9"/>
  <c r="J3870" i="9"/>
  <c r="P3870" i="9" s="1"/>
  <c r="I3870" i="9"/>
  <c r="M3869" i="9"/>
  <c r="L3869" i="9"/>
  <c r="J3866" i="9"/>
  <c r="J3864" i="9"/>
  <c r="I3864" i="9"/>
  <c r="J3861" i="9"/>
  <c r="I3861" i="9"/>
  <c r="M3851" i="9"/>
  <c r="L3851" i="9"/>
  <c r="M3850" i="9"/>
  <c r="L3850" i="9"/>
  <c r="J3849" i="9"/>
  <c r="I3849" i="9"/>
  <c r="J3848" i="9"/>
  <c r="I3848" i="9"/>
  <c r="M3847" i="9"/>
  <c r="L3847" i="9"/>
  <c r="J3846" i="9"/>
  <c r="I3846" i="9"/>
  <c r="J3844" i="9"/>
  <c r="I3844" i="9"/>
  <c r="J3843" i="9"/>
  <c r="I3843" i="9"/>
  <c r="F3986" i="9"/>
  <c r="E3986" i="9"/>
  <c r="D3986" i="9"/>
  <c r="F3973" i="9"/>
  <c r="E3973" i="9"/>
  <c r="D3973" i="9"/>
  <c r="M3833" i="9"/>
  <c r="L3833" i="9"/>
  <c r="L3829" i="9"/>
  <c r="M3829" i="9"/>
  <c r="M3832" i="9"/>
  <c r="L3832" i="9"/>
  <c r="J3831" i="9"/>
  <c r="I3831" i="9"/>
  <c r="J3830" i="9"/>
  <c r="I3830" i="9"/>
  <c r="J3828" i="9"/>
  <c r="I3828" i="9"/>
  <c r="J3826" i="9"/>
  <c r="I3826" i="9"/>
  <c r="J3825" i="9"/>
  <c r="I3825" i="9"/>
  <c r="J3836" i="9"/>
  <c r="I3836" i="9"/>
  <c r="M3812" i="9"/>
  <c r="L3812" i="9"/>
  <c r="M3817" i="9"/>
  <c r="L3817" i="9"/>
  <c r="J3816" i="9"/>
  <c r="I3816" i="9"/>
  <c r="J3815" i="9"/>
  <c r="I3815" i="9"/>
  <c r="J3814" i="9"/>
  <c r="I3814" i="9"/>
  <c r="J3813" i="9"/>
  <c r="I3813" i="9"/>
  <c r="J3811" i="9"/>
  <c r="I3811" i="9"/>
  <c r="J3810" i="9"/>
  <c r="I3810" i="9"/>
  <c r="M3801" i="9"/>
  <c r="L3801" i="9"/>
  <c r="J3799" i="9"/>
  <c r="I3799" i="9"/>
  <c r="J3798" i="9"/>
  <c r="I3798" i="9"/>
  <c r="J3797" i="9"/>
  <c r="I3797" i="9"/>
  <c r="J3796" i="9"/>
  <c r="I3796" i="9"/>
  <c r="J3795" i="9"/>
  <c r="I3795" i="9"/>
  <c r="J3794" i="9"/>
  <c r="I3794" i="9"/>
  <c r="J3800" i="9"/>
  <c r="I3800" i="9"/>
  <c r="I3781" i="9"/>
  <c r="I3780" i="9"/>
  <c r="J3783" i="9"/>
  <c r="I3783" i="9"/>
  <c r="J3782" i="9"/>
  <c r="I3782" i="9"/>
  <c r="J3781" i="9"/>
  <c r="J3780" i="9"/>
  <c r="J3769" i="9"/>
  <c r="J3768" i="9"/>
  <c r="J3767" i="9"/>
  <c r="I3769" i="9"/>
  <c r="I3768" i="9"/>
  <c r="I3767" i="9"/>
  <c r="J3766" i="9"/>
  <c r="I3766" i="9"/>
  <c r="J3765" i="9"/>
  <c r="I3765" i="9"/>
  <c r="J3764" i="9"/>
  <c r="I3764" i="9"/>
  <c r="J3763" i="9"/>
  <c r="I3763" i="9"/>
  <c r="J3762" i="9"/>
  <c r="I3762" i="9"/>
  <c r="J3761" i="9"/>
  <c r="I3761" i="9"/>
  <c r="R513" i="9"/>
  <c r="Q513" i="9"/>
  <c r="P513" i="9"/>
  <c r="O513" i="9"/>
  <c r="R510" i="9"/>
  <c r="Q510" i="9"/>
  <c r="P510" i="9"/>
  <c r="O510" i="9"/>
  <c r="R509" i="9"/>
  <c r="Q509" i="9"/>
  <c r="P509" i="9"/>
  <c r="O509" i="9"/>
  <c r="R508" i="9"/>
  <c r="Q508" i="9"/>
  <c r="P508" i="9"/>
  <c r="O508" i="9"/>
  <c r="R507" i="9"/>
  <c r="Q507" i="9"/>
  <c r="P507" i="9"/>
  <c r="O507" i="9"/>
  <c r="F3946" i="9"/>
  <c r="F3945" i="9"/>
  <c r="E3946" i="9"/>
  <c r="E3945" i="9"/>
  <c r="F3931" i="9"/>
  <c r="E3931" i="9"/>
  <c r="D3931" i="9"/>
  <c r="F3913" i="9"/>
  <c r="J3913" i="9" s="1"/>
  <c r="E3913" i="9"/>
  <c r="D3913" i="9"/>
  <c r="F3884" i="9"/>
  <c r="E3884" i="9"/>
  <c r="D3884" i="9"/>
  <c r="D3957" i="9"/>
  <c r="D3958" i="9"/>
  <c r="D3959" i="9"/>
  <c r="D3960" i="9"/>
  <c r="D3961" i="9"/>
  <c r="D3945" i="9"/>
  <c r="D3946" i="9"/>
  <c r="M3675" i="9"/>
  <c r="L3675" i="9"/>
  <c r="J3675" i="9"/>
  <c r="I3675" i="9"/>
  <c r="M3674" i="9"/>
  <c r="L3674" i="9"/>
  <c r="J3674" i="9"/>
  <c r="I3674" i="9"/>
  <c r="M3673" i="9"/>
  <c r="L3673" i="9"/>
  <c r="J3673" i="9"/>
  <c r="I3673" i="9"/>
  <c r="M3672" i="9"/>
  <c r="L3672" i="9"/>
  <c r="J3672" i="9"/>
  <c r="P5" i="9"/>
  <c r="O5" i="9"/>
  <c r="E3565" i="9"/>
  <c r="F3565" i="9"/>
  <c r="D3565" i="9"/>
  <c r="P3704" i="9"/>
  <c r="O3704" i="9"/>
  <c r="M3704" i="9"/>
  <c r="L3704" i="9"/>
  <c r="J3704" i="9"/>
  <c r="I3704" i="9"/>
  <c r="O3703" i="9"/>
  <c r="M3703" i="9"/>
  <c r="L3703" i="9"/>
  <c r="P3703" i="9" s="1"/>
  <c r="I3702" i="9"/>
  <c r="J3702" i="9"/>
  <c r="L3702" i="9"/>
  <c r="M3702" i="9"/>
  <c r="O3702" i="9"/>
  <c r="J3705" i="9"/>
  <c r="L3705" i="9"/>
  <c r="M3705" i="9"/>
  <c r="O3705" i="9"/>
  <c r="I3706" i="9"/>
  <c r="J3706" i="9"/>
  <c r="I3707" i="9"/>
  <c r="L3707" i="9"/>
  <c r="M3707" i="9"/>
  <c r="O3707" i="9"/>
  <c r="L3708" i="9"/>
  <c r="M3708" i="9"/>
  <c r="J3709" i="9"/>
  <c r="I3710" i="9"/>
  <c r="L3710" i="9"/>
  <c r="M3710" i="9"/>
  <c r="J3711" i="9"/>
  <c r="L3713" i="9"/>
  <c r="M3713" i="9"/>
  <c r="O3713" i="9"/>
  <c r="I3701" i="9"/>
  <c r="J3701" i="9"/>
  <c r="L3701" i="9"/>
  <c r="M3701" i="9"/>
  <c r="O3701" i="9"/>
  <c r="P3706" i="9"/>
  <c r="M3699" i="9"/>
  <c r="M3698" i="9"/>
  <c r="L3699" i="9"/>
  <c r="L3698" i="9"/>
  <c r="J3700" i="9"/>
  <c r="J3699" i="9"/>
  <c r="I3700" i="9"/>
  <c r="I3699" i="9"/>
  <c r="J3698" i="9"/>
  <c r="E3698" i="9"/>
  <c r="I3698" i="9"/>
  <c r="E3852" i="9"/>
  <c r="I3852" i="9" s="1"/>
  <c r="F3852" i="9"/>
  <c r="J3852" i="9" s="1"/>
  <c r="D3852" i="9"/>
  <c r="P3700" i="9"/>
  <c r="D3716" i="9"/>
  <c r="E3716" i="9"/>
  <c r="F3716" i="9"/>
  <c r="E3834" i="9"/>
  <c r="I3834" i="9" s="1"/>
  <c r="F3834" i="9"/>
  <c r="J3834" i="9" s="1"/>
  <c r="D3834" i="9"/>
  <c r="E3818" i="9"/>
  <c r="F3818" i="9"/>
  <c r="J3818" i="9" s="1"/>
  <c r="D3818" i="9"/>
  <c r="E3802" i="9"/>
  <c r="F3802" i="9"/>
  <c r="J3802" i="9" s="1"/>
  <c r="D3802" i="9"/>
  <c r="E3784" i="9"/>
  <c r="I3784" i="9" s="1"/>
  <c r="F3784" i="9"/>
  <c r="J3784" i="9" s="1"/>
  <c r="D3784" i="9"/>
  <c r="E3770" i="9"/>
  <c r="F3770" i="9"/>
  <c r="D3770" i="9"/>
  <c r="F3482" i="9"/>
  <c r="E3482" i="9"/>
  <c r="D3482" i="9"/>
  <c r="F3451" i="9"/>
  <c r="E3451" i="9"/>
  <c r="D3451" i="9"/>
  <c r="M3732" i="9"/>
  <c r="L3732" i="9"/>
  <c r="M3724" i="9"/>
  <c r="L3724" i="9"/>
  <c r="I3725" i="9"/>
  <c r="J3725" i="9"/>
  <c r="I3726" i="9"/>
  <c r="J3726" i="9"/>
  <c r="I3727" i="9"/>
  <c r="J3727" i="9"/>
  <c r="I3728" i="9"/>
  <c r="J3728" i="9"/>
  <c r="L3729" i="9"/>
  <c r="M3729" i="9"/>
  <c r="O3729" i="9"/>
  <c r="P3729" i="9"/>
  <c r="L3730" i="9"/>
  <c r="M3730" i="9"/>
  <c r="I3731" i="9"/>
  <c r="J3731" i="9"/>
  <c r="I3739" i="9"/>
  <c r="J3739" i="9"/>
  <c r="I3743" i="9"/>
  <c r="J3743" i="9"/>
  <c r="L3744" i="9"/>
  <c r="M3744" i="9"/>
  <c r="O3744" i="9"/>
  <c r="P3744" i="9"/>
  <c r="I3745" i="9"/>
  <c r="J3745" i="9"/>
  <c r="I3746" i="9"/>
  <c r="J3746" i="9"/>
  <c r="I3747" i="9"/>
  <c r="J3747" i="9"/>
  <c r="M3749" i="9"/>
  <c r="L3749" i="9"/>
  <c r="I3749" i="9"/>
  <c r="J3749" i="9"/>
  <c r="I3752" i="9"/>
  <c r="J3752" i="9"/>
  <c r="L3753" i="9"/>
  <c r="M3753" i="9"/>
  <c r="O3753" i="9"/>
  <c r="P3753" i="9"/>
  <c r="M3059" i="9"/>
  <c r="M3058" i="9"/>
  <c r="M3057" i="9"/>
  <c r="L3059" i="9"/>
  <c r="L3058" i="9"/>
  <c r="L3057" i="9"/>
  <c r="J3059" i="9"/>
  <c r="J3058" i="9"/>
  <c r="J3057" i="9"/>
  <c r="I3057" i="9"/>
  <c r="I3058" i="9"/>
  <c r="I3059" i="9"/>
  <c r="F3061" i="9"/>
  <c r="F3750" i="9"/>
  <c r="J3750" i="9" s="1"/>
  <c r="E3750" i="9"/>
  <c r="D3750" i="9"/>
  <c r="F3733" i="9"/>
  <c r="J3733" i="9" s="1"/>
  <c r="E3733" i="9"/>
  <c r="D3733" i="9"/>
  <c r="F1317" i="9"/>
  <c r="E1317" i="9"/>
  <c r="D1317" i="9"/>
  <c r="F1248" i="9"/>
  <c r="E1248" i="9"/>
  <c r="D1248" i="9"/>
  <c r="E1239" i="9"/>
  <c r="E1098" i="9"/>
  <c r="F1098" i="9"/>
  <c r="D1098" i="9"/>
  <c r="F3692" i="9"/>
  <c r="E3692" i="9"/>
  <c r="D3577" i="9"/>
  <c r="E3577" i="9"/>
  <c r="F3577" i="9"/>
  <c r="D3588" i="9"/>
  <c r="E3588" i="9"/>
  <c r="F3588" i="9"/>
  <c r="D3599" i="9"/>
  <c r="E3599" i="9"/>
  <c r="F3599" i="9"/>
  <c r="D3610" i="9"/>
  <c r="E3610" i="9"/>
  <c r="F3610" i="9"/>
  <c r="D3621" i="9"/>
  <c r="E3621" i="9"/>
  <c r="F3621" i="9"/>
  <c r="D3633" i="9"/>
  <c r="E3633" i="9"/>
  <c r="F3633" i="9"/>
  <c r="D3663" i="9"/>
  <c r="E3663" i="9"/>
  <c r="F3663" i="9"/>
  <c r="D3555" i="9"/>
  <c r="E3555" i="9"/>
  <c r="F3555" i="9"/>
  <c r="D3545" i="9"/>
  <c r="E3545" i="9"/>
  <c r="F3545" i="9"/>
  <c r="D3534" i="9"/>
  <c r="E3534" i="9"/>
  <c r="F3534" i="9"/>
  <c r="D3520" i="9"/>
  <c r="E3520" i="9"/>
  <c r="F3520" i="9"/>
  <c r="D3510" i="9"/>
  <c r="E3510" i="9"/>
  <c r="F3510" i="9"/>
  <c r="E2827" i="9"/>
  <c r="F2827" i="9"/>
  <c r="D2827" i="9"/>
  <c r="F514" i="9"/>
  <c r="E514" i="9"/>
  <c r="D514" i="9"/>
  <c r="E2848" i="9"/>
  <c r="F2848" i="9"/>
  <c r="D2848" i="9"/>
  <c r="F1066" i="9"/>
  <c r="E1066" i="9"/>
  <c r="D1066" i="9"/>
  <c r="F2648" i="9"/>
  <c r="E2648" i="9"/>
  <c r="E2615" i="9"/>
  <c r="F2615" i="9"/>
  <c r="D2615" i="9"/>
  <c r="D939" i="9"/>
  <c r="E3244" i="9"/>
  <c r="F3244" i="9"/>
  <c r="D3244" i="9"/>
  <c r="E3229" i="9"/>
  <c r="F3229" i="9"/>
  <c r="D3229" i="9"/>
  <c r="F3198" i="9"/>
  <c r="E3198" i="9"/>
  <c r="D3198" i="9"/>
  <c r="BM1156" i="9"/>
  <c r="BL1156" i="9"/>
  <c r="BA1155" i="9"/>
  <c r="AZ1155" i="9"/>
  <c r="BA1154" i="9"/>
  <c r="AZ1154" i="9"/>
  <c r="BA1153" i="9"/>
  <c r="AZ1153" i="9"/>
  <c r="BA1152" i="9"/>
  <c r="AZ1152" i="9"/>
  <c r="BM1151" i="9"/>
  <c r="BL1151" i="9"/>
  <c r="BA1151" i="9"/>
  <c r="AZ1151" i="9"/>
  <c r="BA1143" i="9"/>
  <c r="BM1143" i="9" s="1"/>
  <c r="AZ1143" i="9"/>
  <c r="BL1143" i="9" s="1"/>
  <c r="BM1142" i="9"/>
  <c r="BL1142" i="9"/>
  <c r="BA1141" i="9"/>
  <c r="AZ1141" i="9"/>
  <c r="BM1140" i="9"/>
  <c r="BL1140" i="9"/>
  <c r="BA1139" i="9"/>
  <c r="AZ1139" i="9"/>
  <c r="AZ1138" i="9"/>
  <c r="BM1138" i="9"/>
  <c r="BL1138" i="9"/>
  <c r="BA1138" i="9"/>
  <c r="BM1137" i="9"/>
  <c r="BL1137" i="9"/>
  <c r="BA1137" i="9"/>
  <c r="AZ1137" i="9"/>
  <c r="BM1128" i="9"/>
  <c r="BL1128" i="9"/>
  <c r="BM1127" i="9"/>
  <c r="BL1127" i="9"/>
  <c r="BM1130" i="9"/>
  <c r="BL1130" i="9"/>
  <c r="BA1129" i="9"/>
  <c r="AZ1129" i="9"/>
  <c r="BA1128" i="9"/>
  <c r="AZ1128" i="9"/>
  <c r="BA1127" i="9"/>
  <c r="AZ1127" i="9"/>
  <c r="F1119" i="9"/>
  <c r="E1119" i="9"/>
  <c r="D1119" i="9"/>
  <c r="P1084" i="9"/>
  <c r="O1084" i="9"/>
  <c r="J1084" i="9"/>
  <c r="I1084" i="9"/>
  <c r="P1083" i="9"/>
  <c r="O1083" i="9"/>
  <c r="J1083" i="9"/>
  <c r="I1083" i="9"/>
  <c r="P1082" i="9"/>
  <c r="O1082" i="9"/>
  <c r="J1082" i="9"/>
  <c r="I1082" i="9"/>
  <c r="P1050" i="9"/>
  <c r="O1050" i="9"/>
  <c r="P1049" i="9"/>
  <c r="O1049" i="9"/>
  <c r="P1048" i="9"/>
  <c r="O1048" i="9"/>
  <c r="P1047" i="9"/>
  <c r="O1047" i="9"/>
  <c r="P1024" i="9"/>
  <c r="O1024" i="9"/>
  <c r="P1023" i="9"/>
  <c r="O1023" i="9"/>
  <c r="P1021" i="9"/>
  <c r="O1021" i="9"/>
  <c r="J784" i="9"/>
  <c r="I784" i="9"/>
  <c r="F788" i="9"/>
  <c r="E788" i="9"/>
  <c r="L764" i="9"/>
  <c r="S763" i="9"/>
  <c r="R763" i="9"/>
  <c r="J764" i="9"/>
  <c r="I764" i="9"/>
  <c r="J761" i="9"/>
  <c r="I761" i="9"/>
  <c r="J758" i="9"/>
  <c r="I758" i="9"/>
  <c r="S742" i="9"/>
  <c r="R742" i="9"/>
  <c r="J741" i="9"/>
  <c r="I741" i="9"/>
  <c r="J740" i="9"/>
  <c r="I740" i="9"/>
  <c r="F939" i="9"/>
  <c r="E939" i="9"/>
  <c r="F882" i="9"/>
  <c r="E882" i="9"/>
  <c r="D882" i="9"/>
  <c r="F844" i="9"/>
  <c r="E844" i="9"/>
  <c r="D844" i="9"/>
  <c r="D824" i="9"/>
  <c r="F3043" i="9"/>
  <c r="F3025" i="9"/>
  <c r="F3007" i="9"/>
  <c r="F2988" i="9"/>
  <c r="F2968" i="9"/>
  <c r="F2949" i="9"/>
  <c r="J2949" i="9" s="1"/>
  <c r="F2931" i="9"/>
  <c r="F2911" i="9"/>
  <c r="F2891" i="9"/>
  <c r="F2871" i="9"/>
  <c r="F2804" i="9"/>
  <c r="F2763" i="9"/>
  <c r="F2718" i="9"/>
  <c r="F2381" i="9"/>
  <c r="F2159" i="9"/>
  <c r="F2146" i="9"/>
  <c r="F2131" i="9"/>
  <c r="F2120" i="9"/>
  <c r="F2101" i="9"/>
  <c r="F2091" i="9"/>
  <c r="E1552" i="9"/>
  <c r="E1542" i="9"/>
  <c r="F1431" i="9"/>
  <c r="F1414" i="9"/>
  <c r="F1381" i="9"/>
  <c r="F1239" i="9"/>
  <c r="D1239" i="9"/>
  <c r="F1229" i="9"/>
  <c r="E1229" i="9"/>
  <c r="E1212" i="9"/>
  <c r="E1172" i="9"/>
  <c r="F1085" i="9"/>
  <c r="F1051" i="9"/>
  <c r="F1009" i="9"/>
  <c r="E1009" i="9"/>
  <c r="D1009" i="9"/>
  <c r="F960" i="9"/>
  <c r="E960" i="9"/>
  <c r="F765" i="9"/>
  <c r="S382" i="9"/>
  <c r="R382" i="9"/>
  <c r="AI381" i="9"/>
  <c r="AH381" i="9"/>
  <c r="BG381" i="9"/>
  <c r="BF381" i="9"/>
  <c r="BG380" i="9"/>
  <c r="BF380" i="9"/>
  <c r="AI380" i="9"/>
  <c r="AH380" i="9"/>
  <c r="AI378" i="9"/>
  <c r="AH378" i="9"/>
  <c r="BG378" i="9"/>
  <c r="BF378" i="9"/>
  <c r="AI377" i="9"/>
  <c r="AH377" i="9"/>
  <c r="BG377" i="9"/>
  <c r="BF377" i="9"/>
  <c r="BG376" i="9"/>
  <c r="BF376" i="9"/>
  <c r="AI376" i="9"/>
  <c r="AH376" i="9"/>
  <c r="F3208" i="9"/>
  <c r="E3208" i="9"/>
  <c r="D3208" i="9"/>
  <c r="F3189" i="9"/>
  <c r="E3189" i="9"/>
  <c r="D3189" i="9"/>
  <c r="F3176" i="9"/>
  <c r="E3176" i="9"/>
  <c r="D3176" i="9"/>
  <c r="F3162" i="9"/>
  <c r="E3162" i="9"/>
  <c r="D3162" i="9"/>
  <c r="F3150" i="9"/>
  <c r="E3150" i="9"/>
  <c r="D3150" i="9"/>
  <c r="F3143" i="9"/>
  <c r="E3143" i="9"/>
  <c r="D3143" i="9"/>
  <c r="F3135" i="9"/>
  <c r="E3135" i="9"/>
  <c r="D3135" i="9"/>
  <c r="F3127" i="9"/>
  <c r="E3127" i="9"/>
  <c r="D3127" i="9"/>
  <c r="F3117" i="9"/>
  <c r="E3117" i="9"/>
  <c r="D3117" i="9"/>
  <c r="F3107" i="9"/>
  <c r="E3107" i="9"/>
  <c r="D3107" i="9"/>
  <c r="F3100" i="9"/>
  <c r="E3100" i="9"/>
  <c r="D3100" i="9"/>
  <c r="F3092" i="9"/>
  <c r="E3092" i="9"/>
  <c r="D3092" i="9"/>
  <c r="F3084" i="9"/>
  <c r="E3084" i="9"/>
  <c r="D3084" i="9"/>
  <c r="P659" i="9"/>
  <c r="O659" i="9"/>
  <c r="P662" i="9"/>
  <c r="O662" i="9"/>
  <c r="P661" i="9"/>
  <c r="O661" i="9"/>
  <c r="J658" i="9"/>
  <c r="I658" i="9"/>
  <c r="E663" i="9"/>
  <c r="F663" i="9"/>
  <c r="F681" i="9"/>
  <c r="F700" i="9"/>
  <c r="V489" i="9"/>
  <c r="U489" i="9"/>
  <c r="S489" i="9"/>
  <c r="R489" i="9"/>
  <c r="P489" i="9"/>
  <c r="O489" i="9"/>
  <c r="P488" i="9"/>
  <c r="O488" i="9"/>
  <c r="V484" i="9"/>
  <c r="U484" i="9"/>
  <c r="S484" i="9"/>
  <c r="R484" i="9"/>
  <c r="P484" i="9"/>
  <c r="O484" i="9"/>
  <c r="J2447" i="9"/>
  <c r="I2447" i="9"/>
  <c r="M2446" i="9"/>
  <c r="L2446" i="9"/>
  <c r="J2445" i="9"/>
  <c r="I2445" i="9"/>
  <c r="M2444" i="9"/>
  <c r="L2444" i="9"/>
  <c r="J2443" i="9"/>
  <c r="I2443" i="9"/>
  <c r="P2442" i="9"/>
  <c r="O2442" i="9"/>
  <c r="M2442" i="9"/>
  <c r="L2442" i="9"/>
  <c r="J2441" i="9"/>
  <c r="I2441" i="9"/>
  <c r="P2440" i="9"/>
  <c r="O2440" i="9"/>
  <c r="M2440" i="9"/>
  <c r="L2440" i="9"/>
  <c r="J2439" i="9"/>
  <c r="I2439" i="9"/>
  <c r="J2438" i="9"/>
  <c r="I2438" i="9"/>
  <c r="J2437" i="9"/>
  <c r="I2437" i="9"/>
  <c r="J2436" i="9"/>
  <c r="I2436" i="9"/>
  <c r="P2435" i="9"/>
  <c r="O2435" i="9"/>
  <c r="M2435" i="9"/>
  <c r="L2435" i="9"/>
  <c r="P2434" i="9"/>
  <c r="O2434" i="9"/>
  <c r="M2434" i="9"/>
  <c r="L2434" i="9"/>
  <c r="M2433" i="9"/>
  <c r="L2433" i="9"/>
  <c r="P2432" i="9"/>
  <c r="O2432" i="9"/>
  <c r="M2431" i="9"/>
  <c r="L2431" i="9"/>
  <c r="J2430" i="9"/>
  <c r="I2430" i="9"/>
  <c r="J2429" i="9"/>
  <c r="I2429" i="9"/>
  <c r="J2428" i="9"/>
  <c r="I2428" i="9"/>
  <c r="J2427" i="9"/>
  <c r="I2427" i="9"/>
  <c r="J2426" i="9"/>
  <c r="I2426" i="9"/>
  <c r="P2473" i="9"/>
  <c r="O2473" i="9"/>
  <c r="M2473" i="9"/>
  <c r="L2473" i="9"/>
  <c r="J2472" i="9"/>
  <c r="I2472" i="9"/>
  <c r="M2471" i="9"/>
  <c r="L2471" i="9"/>
  <c r="P2470" i="9"/>
  <c r="P2474" i="9" s="1"/>
  <c r="O2470" i="9"/>
  <c r="O2474" i="9" s="1"/>
  <c r="M2469" i="9"/>
  <c r="L2469" i="9"/>
  <c r="J2468" i="9"/>
  <c r="I2468" i="9"/>
  <c r="J2467" i="9"/>
  <c r="I2467" i="9"/>
  <c r="J2466" i="9"/>
  <c r="I2466" i="9"/>
  <c r="P2494" i="9"/>
  <c r="O2494" i="9"/>
  <c r="M2494" i="9"/>
  <c r="L2494" i="9"/>
  <c r="J2493" i="9"/>
  <c r="I2493" i="9"/>
  <c r="M2492" i="9"/>
  <c r="L2492" i="9"/>
  <c r="M2491" i="9"/>
  <c r="L2491" i="9"/>
  <c r="J2521" i="9"/>
  <c r="I2521" i="9"/>
  <c r="P2520" i="9"/>
  <c r="O2520" i="9"/>
  <c r="M2520" i="9"/>
  <c r="V359" i="9"/>
  <c r="L2520" i="9"/>
  <c r="U359" i="9"/>
  <c r="S359" i="9"/>
  <c r="J2519" i="9"/>
  <c r="R359" i="9"/>
  <c r="I2519" i="9"/>
  <c r="J2518" i="9"/>
  <c r="I2518" i="9"/>
  <c r="AF358" i="9"/>
  <c r="J2517" i="9"/>
  <c r="AE358" i="9"/>
  <c r="I2517" i="9"/>
  <c r="BG358" i="9"/>
  <c r="P2516" i="9"/>
  <c r="O2516" i="9"/>
  <c r="BF358" i="9"/>
  <c r="BG357" i="9"/>
  <c r="M2515" i="9"/>
  <c r="L2515" i="9"/>
  <c r="BF357" i="9"/>
  <c r="J2514" i="9"/>
  <c r="I2514" i="9"/>
  <c r="J2513" i="9"/>
  <c r="I2513" i="9"/>
  <c r="M2512" i="9"/>
  <c r="L2512" i="9"/>
  <c r="AF356" i="9"/>
  <c r="AE356" i="9"/>
  <c r="AF355" i="9"/>
  <c r="P2511" i="9"/>
  <c r="AE355" i="9"/>
  <c r="O2511" i="9"/>
  <c r="M2511" i="9"/>
  <c r="L2511" i="9"/>
  <c r="BG354" i="9"/>
  <c r="BF354" i="9"/>
  <c r="AF354" i="9"/>
  <c r="AE354" i="9"/>
  <c r="P354" i="9"/>
  <c r="O354" i="9"/>
  <c r="J354" i="9"/>
  <c r="I354" i="9"/>
  <c r="BG353" i="9"/>
  <c r="BF353" i="9"/>
  <c r="AF353" i="9"/>
  <c r="AE353" i="9"/>
  <c r="P353" i="9"/>
  <c r="O353" i="9"/>
  <c r="J353" i="9"/>
  <c r="I353" i="9"/>
  <c r="P2548" i="9"/>
  <c r="O2548" i="9"/>
  <c r="M2548" i="9"/>
  <c r="L2548" i="9"/>
  <c r="I2547" i="9"/>
  <c r="J2547" i="9"/>
  <c r="P2546" i="9"/>
  <c r="O2546" i="9"/>
  <c r="M2546" i="9"/>
  <c r="L2546" i="9"/>
  <c r="J2545" i="9"/>
  <c r="I2545" i="9"/>
  <c r="M2544" i="9"/>
  <c r="L2544" i="9"/>
  <c r="M2543" i="9"/>
  <c r="L2543" i="9"/>
  <c r="M2542" i="9"/>
  <c r="L2542" i="9"/>
  <c r="V336" i="9"/>
  <c r="J2541" i="9"/>
  <c r="U336" i="9"/>
  <c r="I2541" i="9"/>
  <c r="J2540" i="9"/>
  <c r="I2540" i="9"/>
  <c r="M2539" i="9"/>
  <c r="AF335" i="9"/>
  <c r="L2539" i="9"/>
  <c r="AE335" i="9"/>
  <c r="P2538" i="9"/>
  <c r="BG335" i="9"/>
  <c r="O2538" i="9"/>
  <c r="BF335" i="9"/>
  <c r="M2538" i="9"/>
  <c r="L2538" i="9"/>
  <c r="BG334" i="9"/>
  <c r="BF334" i="9"/>
  <c r="AF333" i="9"/>
  <c r="AE333" i="9"/>
  <c r="BG332" i="9"/>
  <c r="BF332" i="9"/>
  <c r="AF332" i="9"/>
  <c r="AE332" i="9"/>
  <c r="BG331" i="9"/>
  <c r="BF331" i="9"/>
  <c r="AF331" i="9"/>
  <c r="AE331" i="9"/>
  <c r="P2569" i="9"/>
  <c r="O2569" i="9"/>
  <c r="M2569" i="9"/>
  <c r="L2569" i="9"/>
  <c r="P2568" i="9"/>
  <c r="O2568" i="9"/>
  <c r="M2568" i="9"/>
  <c r="L2568" i="9"/>
  <c r="J2567" i="9"/>
  <c r="J2570" i="9" s="1"/>
  <c r="I2567" i="9"/>
  <c r="I2570" i="9" s="1"/>
  <c r="M2566" i="9"/>
  <c r="L2566" i="9"/>
  <c r="P2595" i="9"/>
  <c r="O2595" i="9"/>
  <c r="M2595" i="9"/>
  <c r="L2595" i="9"/>
  <c r="P2594" i="9"/>
  <c r="O2594" i="9"/>
  <c r="M2594" i="9"/>
  <c r="L2594" i="9"/>
  <c r="J2593" i="9"/>
  <c r="I2593" i="9"/>
  <c r="P2592" i="9"/>
  <c r="O2592" i="9"/>
  <c r="M2592" i="9"/>
  <c r="L2592" i="9"/>
  <c r="P2591" i="9"/>
  <c r="O2591" i="9"/>
  <c r="M2591" i="9"/>
  <c r="L2591" i="9"/>
  <c r="J2590" i="9"/>
  <c r="I2590" i="9"/>
  <c r="J2589" i="9"/>
  <c r="I2589" i="9"/>
  <c r="J2588" i="9"/>
  <c r="I2588" i="9"/>
  <c r="P2587" i="9"/>
  <c r="O2587" i="9"/>
  <c r="M2587" i="9"/>
  <c r="L2587" i="9"/>
  <c r="P2586" i="9"/>
  <c r="O2586" i="9"/>
  <c r="M2586" i="9"/>
  <c r="L2586" i="9"/>
  <c r="BG281" i="9"/>
  <c r="BF281" i="9"/>
  <c r="V264" i="9"/>
  <c r="U264" i="9"/>
  <c r="S264" i="9"/>
  <c r="R264" i="9"/>
  <c r="BG263" i="9"/>
  <c r="BF263" i="9"/>
  <c r="BG259" i="9"/>
  <c r="BG264" i="9" s="1"/>
  <c r="BF259" i="9"/>
  <c r="BF264" i="9" s="1"/>
  <c r="L2648" i="9"/>
  <c r="M2648" i="9"/>
  <c r="R2648" i="9"/>
  <c r="S2648" i="9"/>
  <c r="X2648" i="9"/>
  <c r="Y2648" i="9"/>
  <c r="AF2648" i="9"/>
  <c r="AH2648" i="9"/>
  <c r="AI2648" i="9"/>
  <c r="AK2648" i="9"/>
  <c r="AR2647" i="9"/>
  <c r="AR2648" i="9" s="1"/>
  <c r="AQ2647" i="9"/>
  <c r="AQ2648" i="9" s="1"/>
  <c r="AO2646" i="9"/>
  <c r="AO2648" i="9" s="1"/>
  <c r="AN2646" i="9"/>
  <c r="AN2648" i="9" s="1"/>
  <c r="Q2645" i="9"/>
  <c r="V2644" i="9"/>
  <c r="U2644" i="9"/>
  <c r="Q2643" i="9"/>
  <c r="J2642" i="9"/>
  <c r="I2642" i="9"/>
  <c r="Q2642" i="9"/>
  <c r="Q2641" i="9"/>
  <c r="Q2640" i="9"/>
  <c r="AE2638" i="9"/>
  <c r="AC2638" i="9"/>
  <c r="AE2637" i="9"/>
  <c r="AC2637" i="9"/>
  <c r="AE2636" i="9"/>
  <c r="AC2636" i="9"/>
  <c r="AE2635" i="9"/>
  <c r="AC2635" i="9"/>
  <c r="P2648" i="9"/>
  <c r="O2648" i="9"/>
  <c r="J2632" i="9"/>
  <c r="I2632" i="9"/>
  <c r="M2668" i="9"/>
  <c r="L2668" i="9"/>
  <c r="S2669" i="9"/>
  <c r="M2666" i="9"/>
  <c r="L2666" i="9"/>
  <c r="L2665" i="9"/>
  <c r="M2665" i="9"/>
  <c r="E2669" i="9"/>
  <c r="F2669" i="9"/>
  <c r="D2669" i="9"/>
  <c r="M2716" i="9"/>
  <c r="L2716" i="9"/>
  <c r="J2716" i="9"/>
  <c r="I2716" i="9"/>
  <c r="J2715" i="9"/>
  <c r="I2715" i="9"/>
  <c r="P2714" i="9"/>
  <c r="O2714" i="9"/>
  <c r="J2713" i="9"/>
  <c r="I2713" i="9"/>
  <c r="J2712" i="9"/>
  <c r="I2712" i="9"/>
  <c r="Q2711" i="9"/>
  <c r="P2711" i="9"/>
  <c r="O2711" i="9"/>
  <c r="J2710" i="9"/>
  <c r="I2710" i="9"/>
  <c r="P2709" i="9"/>
  <c r="O2709" i="9"/>
  <c r="J2708" i="9"/>
  <c r="I2708" i="9"/>
  <c r="P2707" i="9"/>
  <c r="O2707" i="9"/>
  <c r="M2707" i="9"/>
  <c r="L2707" i="9"/>
  <c r="J2706" i="9"/>
  <c r="I2706" i="9"/>
  <c r="Q2705" i="9"/>
  <c r="P2705" i="9"/>
  <c r="O2705" i="9"/>
  <c r="J2704" i="9"/>
  <c r="I2704" i="9"/>
  <c r="J2703" i="9"/>
  <c r="I2703" i="9"/>
  <c r="Q2702" i="9"/>
  <c r="P2702" i="9"/>
  <c r="O2702" i="9"/>
  <c r="M2701" i="9"/>
  <c r="L2701" i="9"/>
  <c r="J2701" i="9"/>
  <c r="I2701" i="9"/>
  <c r="P2700" i="9"/>
  <c r="O2700" i="9"/>
  <c r="J2699" i="9"/>
  <c r="I2699" i="9"/>
  <c r="J2698" i="9"/>
  <c r="I2698" i="9"/>
  <c r="Q2697" i="9"/>
  <c r="P2697" i="9"/>
  <c r="O2697" i="9"/>
  <c r="J2696" i="9"/>
  <c r="I2696" i="9"/>
  <c r="Q2695" i="9"/>
  <c r="P2695" i="9"/>
  <c r="O2695" i="9"/>
  <c r="J2694" i="9"/>
  <c r="I2694" i="9"/>
  <c r="Q2693" i="9"/>
  <c r="P2693" i="9"/>
  <c r="O2693" i="9"/>
  <c r="J2692" i="9"/>
  <c r="I2692" i="9"/>
  <c r="J2691" i="9"/>
  <c r="I2691" i="9"/>
  <c r="J2690" i="9"/>
  <c r="I2690" i="9"/>
  <c r="J2689" i="9"/>
  <c r="I2689" i="9"/>
  <c r="M2761" i="9"/>
  <c r="L2761" i="9"/>
  <c r="J2761" i="9"/>
  <c r="I2761" i="9"/>
  <c r="J2760" i="9"/>
  <c r="I2760" i="9"/>
  <c r="P2759" i="9"/>
  <c r="O2759" i="9"/>
  <c r="J2758" i="9"/>
  <c r="I2758" i="9"/>
  <c r="J2757" i="9"/>
  <c r="I2757" i="9"/>
  <c r="P2756" i="9"/>
  <c r="O2756" i="9"/>
  <c r="J2755" i="9"/>
  <c r="I2755" i="9"/>
  <c r="Q2754" i="9"/>
  <c r="P2754" i="9"/>
  <c r="O2754" i="9"/>
  <c r="J2753" i="9"/>
  <c r="I2753" i="9"/>
  <c r="J2752" i="9"/>
  <c r="I2752" i="9"/>
  <c r="P2751" i="9"/>
  <c r="O2751" i="9"/>
  <c r="M2751" i="9"/>
  <c r="L2751" i="9"/>
  <c r="J2750" i="9"/>
  <c r="I2750" i="9"/>
  <c r="Q2749" i="9"/>
  <c r="P2749" i="9"/>
  <c r="O2749" i="9"/>
  <c r="J2748" i="9"/>
  <c r="I2748" i="9"/>
  <c r="Q2747" i="9"/>
  <c r="P2747" i="9"/>
  <c r="O2747" i="9"/>
  <c r="J2746" i="9"/>
  <c r="I2746" i="9"/>
  <c r="P2745" i="9"/>
  <c r="O2745" i="9"/>
  <c r="M2745" i="9"/>
  <c r="L2745" i="9"/>
  <c r="J2744" i="9"/>
  <c r="I2744" i="9"/>
  <c r="P2743" i="9"/>
  <c r="O2743" i="9"/>
  <c r="M2743" i="9"/>
  <c r="L2743" i="9"/>
  <c r="J2742" i="9"/>
  <c r="I2742" i="9"/>
  <c r="Q2741" i="9"/>
  <c r="P2741" i="9"/>
  <c r="O2741" i="9"/>
  <c r="M2741" i="9"/>
  <c r="L2741" i="9"/>
  <c r="J2739" i="9"/>
  <c r="I2739" i="9"/>
  <c r="M2740" i="9"/>
  <c r="L2740" i="9"/>
  <c r="J2740" i="9"/>
  <c r="I2740" i="9"/>
  <c r="Q2738" i="9"/>
  <c r="P2738" i="9"/>
  <c r="O2738" i="9"/>
  <c r="J2737" i="9"/>
  <c r="I2737" i="9"/>
  <c r="M2802" i="9"/>
  <c r="L2802" i="9"/>
  <c r="J2802" i="9"/>
  <c r="I2802" i="9"/>
  <c r="Q2801" i="9"/>
  <c r="P2801" i="9"/>
  <c r="O2801" i="9"/>
  <c r="Q2800" i="9"/>
  <c r="P2800" i="9"/>
  <c r="O2800" i="9"/>
  <c r="P2799" i="9"/>
  <c r="Q2799" i="9" s="1"/>
  <c r="O2799" i="9"/>
  <c r="M2798" i="9"/>
  <c r="L2798" i="9"/>
  <c r="J2797" i="9"/>
  <c r="I2797" i="9"/>
  <c r="P2796" i="9"/>
  <c r="O2796" i="9"/>
  <c r="J2795" i="9"/>
  <c r="I2795" i="9"/>
  <c r="J2794" i="9"/>
  <c r="I2794" i="9"/>
  <c r="Q2793" i="9"/>
  <c r="P2793" i="9"/>
  <c r="O2793" i="9"/>
  <c r="J2792" i="9"/>
  <c r="I2792" i="9"/>
  <c r="Q2791" i="9"/>
  <c r="P2791" i="9"/>
  <c r="O2791" i="9"/>
  <c r="J2790" i="9"/>
  <c r="I2790" i="9"/>
  <c r="Q2789" i="9"/>
  <c r="P2789" i="9"/>
  <c r="O2789" i="9"/>
  <c r="J2788" i="9"/>
  <c r="I2788" i="9"/>
  <c r="Q2787" i="9"/>
  <c r="P2787" i="9"/>
  <c r="O2787" i="9"/>
  <c r="J2786" i="9"/>
  <c r="I2786" i="9"/>
  <c r="P2785" i="9"/>
  <c r="O2785" i="9"/>
  <c r="J2784" i="9"/>
  <c r="I2784" i="9"/>
  <c r="M2783" i="9"/>
  <c r="L2783" i="9"/>
  <c r="P107" i="9"/>
  <c r="O107" i="9"/>
  <c r="X2826" i="9"/>
  <c r="X2827" i="9" s="1"/>
  <c r="V2826" i="9"/>
  <c r="V2827" i="9" s="1"/>
  <c r="U2826" i="9"/>
  <c r="U2827" i="9" s="1"/>
  <c r="S2826" i="9"/>
  <c r="S2827" i="9" s="1"/>
  <c r="J2825" i="9"/>
  <c r="I2825" i="9"/>
  <c r="P2824" i="9"/>
  <c r="O2824" i="9"/>
  <c r="M2824" i="9"/>
  <c r="L2824" i="9"/>
  <c r="P2822" i="9"/>
  <c r="O2822" i="9"/>
  <c r="M2822" i="9"/>
  <c r="L2822" i="9"/>
  <c r="P2820" i="9"/>
  <c r="J2820" i="9"/>
  <c r="M2820" i="9"/>
  <c r="O2820" i="9"/>
  <c r="I2820" i="9"/>
  <c r="L2820" i="9"/>
  <c r="L2823" i="9"/>
  <c r="M2823" i="9"/>
  <c r="O2823" i="9"/>
  <c r="P2823" i="9"/>
  <c r="X2847" i="9"/>
  <c r="X2848" i="9" s="1"/>
  <c r="V2847" i="9"/>
  <c r="V2848" i="9" s="1"/>
  <c r="U2847" i="9"/>
  <c r="U2848" i="9" s="1"/>
  <c r="S2847" i="9"/>
  <c r="S2848" i="9" s="1"/>
  <c r="L2845" i="9"/>
  <c r="L2844" i="9"/>
  <c r="L2843" i="9"/>
  <c r="M2842" i="9"/>
  <c r="L2842" i="9"/>
  <c r="O2842" i="9"/>
  <c r="P2842" i="9"/>
  <c r="M2843" i="9"/>
  <c r="O2843" i="9"/>
  <c r="P2843" i="9"/>
  <c r="M2844" i="9"/>
  <c r="O2844" i="9"/>
  <c r="P2844" i="9"/>
  <c r="M2845" i="9"/>
  <c r="O2845" i="9"/>
  <c r="P2845" i="9"/>
  <c r="I2846" i="9"/>
  <c r="I2848" i="9" s="1"/>
  <c r="J2846" i="9"/>
  <c r="J2848" i="9" s="1"/>
  <c r="P2867" i="9"/>
  <c r="P2866" i="9"/>
  <c r="P2865" i="9"/>
  <c r="P2864" i="9"/>
  <c r="Q12" i="9"/>
  <c r="P12" i="9"/>
  <c r="O12" i="9"/>
  <c r="M2867" i="9"/>
  <c r="M2866" i="9"/>
  <c r="M2865" i="9"/>
  <c r="M2864" i="9"/>
  <c r="J2868" i="9"/>
  <c r="J2870" i="9" s="1"/>
  <c r="O2866" i="9"/>
  <c r="O2867" i="9"/>
  <c r="O2865" i="9"/>
  <c r="O2864" i="9"/>
  <c r="X2869" i="9"/>
  <c r="X2870" i="9" s="1"/>
  <c r="V2869" i="9"/>
  <c r="V2870" i="9" s="1"/>
  <c r="U2869" i="9"/>
  <c r="U2870" i="9" s="1"/>
  <c r="S2869" i="9"/>
  <c r="S2870" i="9" s="1"/>
  <c r="I2868" i="9"/>
  <c r="I2870" i="9" s="1"/>
  <c r="L2867" i="9"/>
  <c r="L2866" i="9"/>
  <c r="L2865" i="9"/>
  <c r="L2864" i="9"/>
  <c r="I2886" i="9"/>
  <c r="J2886" i="9"/>
  <c r="I2887" i="9"/>
  <c r="J2887" i="9"/>
  <c r="I2888" i="9"/>
  <c r="J2888" i="9"/>
  <c r="L2889" i="9"/>
  <c r="L2890" i="9" s="1"/>
  <c r="M2889" i="9"/>
  <c r="M2890" i="9" s="1"/>
  <c r="P76" i="9"/>
  <c r="O76" i="9"/>
  <c r="M2909" i="9"/>
  <c r="M2910" i="9" s="1"/>
  <c r="L2909" i="9"/>
  <c r="L2910" i="9" s="1"/>
  <c r="I2906" i="9"/>
  <c r="J2906" i="9"/>
  <c r="I2907" i="9"/>
  <c r="J2907" i="9"/>
  <c r="I2908" i="9"/>
  <c r="J2908" i="9"/>
  <c r="M2929" i="9"/>
  <c r="M2930" i="9" s="1"/>
  <c r="L2929" i="9"/>
  <c r="L2930" i="9" s="1"/>
  <c r="I2925" i="9"/>
  <c r="J2925" i="9"/>
  <c r="I2926" i="9"/>
  <c r="J2926" i="9"/>
  <c r="I2927" i="9"/>
  <c r="J2927" i="9"/>
  <c r="I2928" i="9"/>
  <c r="J2928" i="9"/>
  <c r="I2945" i="9"/>
  <c r="J2945" i="9"/>
  <c r="I2946" i="9"/>
  <c r="J2946" i="9"/>
  <c r="I2947" i="9"/>
  <c r="J2947" i="9"/>
  <c r="I2948" i="9"/>
  <c r="J2948" i="9"/>
  <c r="I2949" i="9"/>
  <c r="I2963" i="9"/>
  <c r="J2963" i="9"/>
  <c r="I2964" i="9"/>
  <c r="J2964" i="9"/>
  <c r="I2965" i="9"/>
  <c r="J2965" i="9"/>
  <c r="I2966" i="9"/>
  <c r="J2966" i="9"/>
  <c r="I2967" i="9"/>
  <c r="J2967" i="9"/>
  <c r="I2986" i="9"/>
  <c r="J2986" i="9"/>
  <c r="I2987" i="9"/>
  <c r="J2987" i="9"/>
  <c r="I2983" i="9"/>
  <c r="J2983" i="9"/>
  <c r="I2984" i="9"/>
  <c r="J2984" i="9"/>
  <c r="I2985" i="9"/>
  <c r="J2985" i="9"/>
  <c r="J3005" i="9"/>
  <c r="I3005" i="9"/>
  <c r="J3004" i="9"/>
  <c r="I3004" i="9"/>
  <c r="J3003" i="9"/>
  <c r="I3003" i="9"/>
  <c r="J3023" i="9"/>
  <c r="I3023" i="9"/>
  <c r="J3022" i="9"/>
  <c r="I3022" i="9"/>
  <c r="J3021" i="9"/>
  <c r="I3021" i="9"/>
  <c r="J3041" i="9"/>
  <c r="J3040" i="9"/>
  <c r="J3039" i="9"/>
  <c r="I3041" i="9"/>
  <c r="I3040" i="9"/>
  <c r="I3039" i="9"/>
  <c r="F2596" i="9"/>
  <c r="E2596" i="9"/>
  <c r="D2596" i="9"/>
  <c r="F2570" i="9"/>
  <c r="E2570" i="9"/>
  <c r="D2570" i="9"/>
  <c r="F2549" i="9"/>
  <c r="E2549" i="9"/>
  <c r="D2549" i="9"/>
  <c r="F2522" i="9"/>
  <c r="E2522" i="9"/>
  <c r="D2522" i="9"/>
  <c r="F2495" i="9"/>
  <c r="E2495" i="9"/>
  <c r="D2495" i="9"/>
  <c r="F2474" i="9"/>
  <c r="E2474" i="9"/>
  <c r="D2474" i="9"/>
  <c r="F2448" i="9"/>
  <c r="E2448" i="9"/>
  <c r="D2448" i="9"/>
  <c r="F2407" i="9"/>
  <c r="E2407" i="9"/>
  <c r="D2407" i="9"/>
  <c r="E2381" i="9"/>
  <c r="D2381" i="9"/>
  <c r="F2348" i="9"/>
  <c r="E2348" i="9"/>
  <c r="D2348" i="9"/>
  <c r="F2316" i="9"/>
  <c r="E2316" i="9"/>
  <c r="D2316" i="9"/>
  <c r="F2284" i="9"/>
  <c r="E2284" i="9"/>
  <c r="D2284" i="9"/>
  <c r="F2249" i="9"/>
  <c r="E2249" i="9"/>
  <c r="D2249" i="9"/>
  <c r="F2221" i="9"/>
  <c r="E2221" i="9"/>
  <c r="D2221" i="9"/>
  <c r="F2187" i="9"/>
  <c r="E2187" i="9"/>
  <c r="D2187" i="9"/>
  <c r="F2058" i="9"/>
  <c r="E2058" i="9"/>
  <c r="D2058" i="9"/>
  <c r="F2039" i="9"/>
  <c r="E2039" i="9"/>
  <c r="D2039" i="9"/>
  <c r="F2025" i="9"/>
  <c r="E2025" i="9"/>
  <c r="D2025" i="9"/>
  <c r="F2012" i="9"/>
  <c r="E2012" i="9"/>
  <c r="D2012" i="9"/>
  <c r="F2000" i="9"/>
  <c r="E2000" i="9"/>
  <c r="D2000" i="9"/>
  <c r="F1989" i="9"/>
  <c r="E1989" i="9"/>
  <c r="D1989" i="9"/>
  <c r="F1974" i="9"/>
  <c r="E1974" i="9"/>
  <c r="D1974" i="9"/>
  <c r="F1963" i="9"/>
  <c r="E1963" i="9"/>
  <c r="D1963" i="9"/>
  <c r="F1955" i="9"/>
  <c r="E1955" i="9"/>
  <c r="D1955" i="9"/>
  <c r="F1938" i="9"/>
  <c r="E1938" i="9"/>
  <c r="D1938" i="9"/>
  <c r="F1920" i="9"/>
  <c r="E1920" i="9"/>
  <c r="D1920" i="9"/>
  <c r="F1910" i="9"/>
  <c r="E1910" i="9"/>
  <c r="D1910" i="9"/>
  <c r="F1900" i="9"/>
  <c r="E1900" i="9"/>
  <c r="D1900" i="9"/>
  <c r="F1873" i="9"/>
  <c r="E1873" i="9"/>
  <c r="D1873" i="9"/>
  <c r="F1861" i="9"/>
  <c r="E1861" i="9"/>
  <c r="D1861" i="9"/>
  <c r="F1841" i="9"/>
  <c r="E1841" i="9"/>
  <c r="D1841" i="9"/>
  <c r="F1820" i="9"/>
  <c r="E1820" i="9"/>
  <c r="D1820" i="9"/>
  <c r="F1806" i="9"/>
  <c r="E1806" i="9"/>
  <c r="D1806" i="9"/>
  <c r="E1789" i="9"/>
  <c r="D1789" i="9"/>
  <c r="F1769" i="9"/>
  <c r="E1769" i="9"/>
  <c r="D1769" i="9"/>
  <c r="F1743" i="9"/>
  <c r="E1743" i="9"/>
  <c r="D1743" i="9"/>
  <c r="F1730" i="9"/>
  <c r="E1730" i="9"/>
  <c r="D1730" i="9"/>
  <c r="E1716" i="9"/>
  <c r="F1717" i="9" s="1"/>
  <c r="D1716" i="9"/>
  <c r="E1707" i="9"/>
  <c r="F1708" i="9" s="1"/>
  <c r="D1707" i="9"/>
  <c r="F1701" i="9"/>
  <c r="E1701" i="9"/>
  <c r="D1701" i="9"/>
  <c r="F1679" i="9"/>
  <c r="E1679" i="9"/>
  <c r="D1679" i="9"/>
  <c r="F1640" i="9"/>
  <c r="E1640" i="9"/>
  <c r="D1640" i="9"/>
  <c r="F1616" i="9"/>
  <c r="E1616" i="9"/>
  <c r="D1616" i="9"/>
  <c r="F1584" i="9"/>
  <c r="E1584" i="9"/>
  <c r="D1584" i="9"/>
  <c r="F1552" i="9"/>
  <c r="D1552" i="9"/>
  <c r="F1542" i="9"/>
  <c r="D1542" i="9"/>
  <c r="F1528" i="9"/>
  <c r="E1528" i="9"/>
  <c r="D1528" i="9"/>
  <c r="F1517" i="9"/>
  <c r="E1517" i="9"/>
  <c r="D1517" i="9"/>
  <c r="F1498" i="9"/>
  <c r="E1498" i="9"/>
  <c r="F1482" i="9"/>
  <c r="E1482" i="9"/>
  <c r="D1482" i="9"/>
  <c r="F1473" i="9"/>
  <c r="F1449" i="9"/>
  <c r="E1449" i="9"/>
  <c r="D1449" i="9"/>
  <c r="E1431" i="9"/>
  <c r="D1431" i="9"/>
  <c r="E1414" i="9"/>
  <c r="D1414" i="9"/>
  <c r="F1397" i="9"/>
  <c r="E1397" i="9"/>
  <c r="D1397" i="9"/>
  <c r="E1381" i="9"/>
  <c r="D1381" i="9"/>
  <c r="F1364" i="9"/>
  <c r="E1364" i="9"/>
  <c r="D1364" i="9"/>
  <c r="F1349" i="9"/>
  <c r="E1349" i="9"/>
  <c r="D1349" i="9"/>
  <c r="F1309" i="9"/>
  <c r="E1309" i="9"/>
  <c r="D1309" i="9"/>
  <c r="F1260" i="9"/>
  <c r="E1260" i="9"/>
  <c r="D1260" i="9"/>
  <c r="D1229" i="9"/>
  <c r="F1212" i="9"/>
  <c r="D1212" i="9"/>
  <c r="F1172" i="9"/>
  <c r="D1172" i="9"/>
  <c r="F1158" i="9"/>
  <c r="E1158" i="9"/>
  <c r="D1158" i="9"/>
  <c r="F1144" i="9"/>
  <c r="E1144" i="9"/>
  <c r="D1144" i="9"/>
  <c r="F1131" i="9"/>
  <c r="E1131" i="9"/>
  <c r="D1131" i="9"/>
  <c r="E1085" i="9"/>
  <c r="D1085" i="9"/>
  <c r="E1051" i="9"/>
  <c r="D1051" i="9"/>
  <c r="D960" i="9"/>
  <c r="F910" i="9"/>
  <c r="E910" i="9"/>
  <c r="D910" i="9"/>
  <c r="F824" i="9"/>
  <c r="E824" i="9"/>
  <c r="D788" i="9"/>
  <c r="E765" i="9"/>
  <c r="D765" i="9"/>
  <c r="F743" i="9"/>
  <c r="E743" i="9"/>
  <c r="D743" i="9"/>
  <c r="E700" i="9"/>
  <c r="D700" i="9"/>
  <c r="E681" i="9"/>
  <c r="D681" i="9"/>
  <c r="D663" i="9"/>
  <c r="F639" i="9"/>
  <c r="E639" i="9"/>
  <c r="D639" i="9"/>
  <c r="F534" i="9"/>
  <c r="E534" i="9"/>
  <c r="D534" i="9"/>
  <c r="F490" i="9"/>
  <c r="E490" i="9"/>
  <c r="D490" i="9"/>
  <c r="F468" i="9"/>
  <c r="E468" i="9"/>
  <c r="D468" i="9"/>
  <c r="F451" i="9"/>
  <c r="E451" i="9"/>
  <c r="D451" i="9"/>
  <c r="F408" i="9"/>
  <c r="E408" i="9"/>
  <c r="D408" i="9"/>
  <c r="F336" i="9"/>
  <c r="E336" i="9"/>
  <c r="D336" i="9"/>
  <c r="F315" i="9"/>
  <c r="E315" i="9"/>
  <c r="D315" i="9"/>
  <c r="F298" i="9"/>
  <c r="E298" i="9"/>
  <c r="D298" i="9"/>
  <c r="F241" i="9"/>
  <c r="E241" i="9"/>
  <c r="D241" i="9"/>
  <c r="F219" i="9"/>
  <c r="E219" i="9"/>
  <c r="D219" i="9"/>
  <c r="F180" i="9"/>
  <c r="E180" i="9"/>
  <c r="D180" i="9"/>
  <c r="F157" i="9"/>
  <c r="E157" i="9"/>
  <c r="D157" i="9"/>
  <c r="F134" i="9"/>
  <c r="E134" i="9"/>
  <c r="D134" i="9"/>
  <c r="F111" i="9"/>
  <c r="E111" i="9"/>
  <c r="D111" i="9"/>
  <c r="F78" i="9"/>
  <c r="F58" i="9"/>
  <c r="F59" i="9" s="1"/>
  <c r="F40" i="9"/>
  <c r="E40" i="9"/>
  <c r="D40" i="9"/>
  <c r="F15" i="9"/>
  <c r="E15" i="9"/>
  <c r="D15" i="9"/>
  <c r="H361" i="1"/>
  <c r="G361" i="1"/>
  <c r="H353" i="1"/>
  <c r="G353" i="1"/>
  <c r="H347" i="1"/>
  <c r="G347" i="1"/>
  <c r="G341" i="1"/>
  <c r="H335" i="1"/>
  <c r="G335" i="1"/>
  <c r="H330" i="1"/>
  <c r="G330" i="1"/>
  <c r="H325" i="1"/>
  <c r="G325" i="1"/>
  <c r="H319" i="1"/>
  <c r="G319" i="1"/>
  <c r="H313" i="1"/>
  <c r="G313" i="1"/>
  <c r="H306" i="1"/>
  <c r="G306" i="1"/>
  <c r="H300" i="1"/>
  <c r="H299" i="1"/>
  <c r="G299" i="1"/>
  <c r="H286" i="1"/>
  <c r="P285" i="1"/>
  <c r="O285" i="1"/>
  <c r="H285" i="1"/>
  <c r="G285" i="1"/>
  <c r="H268" i="1"/>
  <c r="G268" i="1"/>
  <c r="P247" i="1"/>
  <c r="H247" i="1"/>
  <c r="P246" i="1"/>
  <c r="O246" i="1"/>
  <c r="H246" i="1"/>
  <c r="G246" i="1"/>
  <c r="P228" i="1"/>
  <c r="H228" i="1"/>
  <c r="P227" i="1"/>
  <c r="O227" i="1"/>
  <c r="H227" i="1"/>
  <c r="G227" i="1"/>
  <c r="G208" i="1"/>
  <c r="H199" i="1"/>
  <c r="O198" i="1"/>
  <c r="H198" i="1"/>
  <c r="G198" i="1"/>
  <c r="H190" i="1"/>
  <c r="G190" i="1"/>
  <c r="H183" i="1"/>
  <c r="P182" i="1"/>
  <c r="O182" i="1"/>
  <c r="H182" i="1"/>
  <c r="G182" i="1"/>
  <c r="P176" i="1"/>
  <c r="O176" i="1"/>
  <c r="H176" i="1"/>
  <c r="G176" i="1"/>
  <c r="O157" i="1"/>
  <c r="G157" i="1"/>
  <c r="P145" i="1"/>
  <c r="O145" i="1"/>
  <c r="H145" i="1"/>
  <c r="G145" i="1"/>
  <c r="P132" i="1"/>
  <c r="O132" i="1"/>
  <c r="G132" i="1"/>
  <c r="AA126" i="1"/>
  <c r="X126" i="1"/>
  <c r="S126" i="1"/>
  <c r="AA125" i="1"/>
  <c r="Z125" i="1"/>
  <c r="X125" i="1"/>
  <c r="W125" i="1"/>
  <c r="S125" i="1"/>
  <c r="R125" i="1"/>
  <c r="P120" i="1"/>
  <c r="O120" i="1"/>
  <c r="H120" i="1"/>
  <c r="G120" i="1"/>
  <c r="AA103" i="1"/>
  <c r="X103" i="1"/>
  <c r="S103" i="1"/>
  <c r="P103" i="1"/>
  <c r="K103" i="1"/>
  <c r="H103" i="1"/>
  <c r="AA102" i="1"/>
  <c r="Z102" i="1"/>
  <c r="X102" i="1"/>
  <c r="W102" i="1"/>
  <c r="S102" i="1"/>
  <c r="R102" i="1"/>
  <c r="P102" i="1"/>
  <c r="O102" i="1"/>
  <c r="K102" i="1"/>
  <c r="J102" i="1"/>
  <c r="H102" i="1"/>
  <c r="G102" i="1"/>
  <c r="AA96" i="1"/>
  <c r="Z96" i="1"/>
  <c r="X96" i="1"/>
  <c r="W96" i="1"/>
  <c r="S96" i="1"/>
  <c r="R96" i="1"/>
  <c r="P96" i="1"/>
  <c r="O96" i="1"/>
  <c r="K96" i="1"/>
  <c r="J96" i="1"/>
  <c r="H96" i="1"/>
  <c r="G96" i="1"/>
  <c r="AA87" i="1"/>
  <c r="Z87" i="1"/>
  <c r="X87" i="1"/>
  <c r="W87" i="1"/>
  <c r="S87" i="1"/>
  <c r="R87" i="1"/>
  <c r="P87" i="1"/>
  <c r="O87" i="1"/>
  <c r="K87" i="1"/>
  <c r="J87" i="1"/>
  <c r="H87" i="1"/>
  <c r="G87" i="1"/>
  <c r="AA80" i="1"/>
  <c r="X80" i="1"/>
  <c r="S80" i="1"/>
  <c r="P80" i="1"/>
  <c r="K80" i="1"/>
  <c r="H80" i="1"/>
  <c r="AA79" i="1"/>
  <c r="Z79" i="1"/>
  <c r="X79" i="1"/>
  <c r="W79" i="1"/>
  <c r="S79" i="1"/>
  <c r="R79" i="1"/>
  <c r="P79" i="1"/>
  <c r="O79" i="1"/>
  <c r="K79" i="1"/>
  <c r="J79" i="1"/>
  <c r="H79" i="1"/>
  <c r="G79" i="1"/>
  <c r="AA68" i="1"/>
  <c r="X68" i="1"/>
  <c r="S68" i="1"/>
  <c r="P68" i="1"/>
  <c r="K68" i="1"/>
  <c r="H68" i="1"/>
  <c r="AA67" i="1"/>
  <c r="Z67" i="1"/>
  <c r="X67" i="1"/>
  <c r="W67" i="1"/>
  <c r="S67" i="1"/>
  <c r="R67" i="1"/>
  <c r="P67" i="1"/>
  <c r="O67" i="1"/>
  <c r="K67" i="1"/>
  <c r="J67" i="1"/>
  <c r="H67" i="1"/>
  <c r="G67" i="1"/>
  <c r="H51" i="1"/>
  <c r="H50" i="1"/>
  <c r="G50" i="1"/>
  <c r="H24" i="1"/>
  <c r="H23" i="1"/>
  <c r="G23" i="1"/>
  <c r="AA22" i="1"/>
  <c r="X22" i="1"/>
  <c r="S22" i="1"/>
  <c r="P22" i="1"/>
  <c r="AA19" i="1"/>
  <c r="Z19" i="1"/>
  <c r="X19" i="1"/>
  <c r="W19" i="1"/>
  <c r="S19" i="1"/>
  <c r="R19" i="1"/>
  <c r="P19" i="1"/>
  <c r="O19" i="1"/>
  <c r="F5722" i="9" l="1"/>
  <c r="E5722" i="9"/>
  <c r="F5741" i="9"/>
  <c r="E5741" i="9"/>
  <c r="F5764" i="9"/>
  <c r="E5764" i="9"/>
  <c r="F5781" i="9"/>
  <c r="E5781" i="9"/>
  <c r="F1042" i="9"/>
  <c r="E1042" i="9"/>
  <c r="E1499" i="9"/>
  <c r="Q157" i="9"/>
  <c r="BE157" i="9"/>
  <c r="U157" i="9"/>
  <c r="F1382" i="9"/>
  <c r="F2849" i="9"/>
  <c r="V157" i="9"/>
  <c r="Q78" i="9"/>
  <c r="Y78" i="9"/>
  <c r="H40" i="9"/>
  <c r="F1842" i="9"/>
  <c r="F1956" i="9"/>
  <c r="F2059" i="9"/>
  <c r="F2496" i="9"/>
  <c r="E2571" i="9"/>
  <c r="F1529" i="9"/>
  <c r="F1680" i="9"/>
  <c r="F1807" i="9"/>
  <c r="E1862" i="9"/>
  <c r="F1921" i="9"/>
  <c r="F2026" i="9"/>
  <c r="F2349" i="9"/>
  <c r="F940" i="9"/>
  <c r="AE157" i="9"/>
  <c r="BG157" i="9"/>
  <c r="H336" i="9"/>
  <c r="F1086" i="9"/>
  <c r="F883" i="9"/>
  <c r="E4327" i="9"/>
  <c r="F4150" i="9"/>
  <c r="Y40" i="9"/>
  <c r="F1759" i="9"/>
  <c r="F2449" i="9"/>
  <c r="E1553" i="9"/>
  <c r="E4224" i="9"/>
  <c r="E3578" i="9"/>
  <c r="F1432" i="9"/>
  <c r="H15" i="9"/>
  <c r="H17" i="9" s="1"/>
  <c r="E3717" i="9"/>
  <c r="E1585" i="9"/>
  <c r="E4175" i="9"/>
  <c r="X78" i="9"/>
  <c r="S157" i="9"/>
  <c r="E3511" i="9"/>
  <c r="E3611" i="9"/>
  <c r="F3717" i="9"/>
  <c r="S40" i="9"/>
  <c r="CF111" i="9"/>
  <c r="U219" i="9"/>
  <c r="F4207" i="9"/>
  <c r="E1382" i="9"/>
  <c r="F1474" i="9"/>
  <c r="F1617" i="9"/>
  <c r="F1731" i="9"/>
  <c r="F1901" i="9"/>
  <c r="F2001" i="9"/>
  <c r="F2285" i="9"/>
  <c r="F2597" i="9"/>
  <c r="P2522" i="9"/>
  <c r="F3085" i="9"/>
  <c r="E3108" i="9"/>
  <c r="F3151" i="9"/>
  <c r="F961" i="9"/>
  <c r="E845" i="9"/>
  <c r="F3600" i="9"/>
  <c r="E3819" i="9"/>
  <c r="I3819" i="9" s="1"/>
  <c r="E3566" i="9"/>
  <c r="CE111" i="9"/>
  <c r="T219" i="9"/>
  <c r="E1230" i="9"/>
  <c r="F3932" i="9"/>
  <c r="F3998" i="9"/>
  <c r="F992" i="9"/>
  <c r="F4327" i="9"/>
  <c r="E4363" i="9"/>
  <c r="I2827" i="9"/>
  <c r="F1249" i="9"/>
  <c r="E1318" i="9"/>
  <c r="J3060" i="9"/>
  <c r="E3483" i="9"/>
  <c r="E4150" i="9"/>
  <c r="E4300" i="9"/>
  <c r="F4363" i="9"/>
  <c r="L2615" i="9"/>
  <c r="E3101" i="9"/>
  <c r="F3144" i="9"/>
  <c r="F1318" i="9"/>
  <c r="E3751" i="9"/>
  <c r="I3751" i="9" s="1"/>
  <c r="E1052" i="9"/>
  <c r="F1132" i="9"/>
  <c r="E1474" i="9"/>
  <c r="F1862" i="9"/>
  <c r="F2188" i="9"/>
  <c r="E2285" i="9"/>
  <c r="E2597" i="9"/>
  <c r="E3914" i="9"/>
  <c r="I3914" i="9" s="1"/>
  <c r="F3947" i="9"/>
  <c r="E3634" i="9"/>
  <c r="F3693" i="9"/>
  <c r="E3452" i="9"/>
  <c r="F4022" i="9"/>
  <c r="BE219" i="9"/>
  <c r="E1240" i="9"/>
  <c r="F16" i="9"/>
  <c r="F1240" i="9"/>
  <c r="E3556" i="9"/>
  <c r="O2570" i="9"/>
  <c r="BF336" i="9"/>
  <c r="M2474" i="9"/>
  <c r="E3230" i="9"/>
  <c r="CI40" i="9"/>
  <c r="E2523" i="9"/>
  <c r="F4010" i="9"/>
  <c r="E4104" i="9"/>
  <c r="E789" i="9"/>
  <c r="I2648" i="9"/>
  <c r="V2648" i="9"/>
  <c r="O2615" i="9"/>
  <c r="L2570" i="9"/>
  <c r="J2474" i="9"/>
  <c r="L40" i="9"/>
  <c r="CH78" i="9"/>
  <c r="L180" i="9"/>
  <c r="I315" i="9"/>
  <c r="F135" i="9"/>
  <c r="F4313" i="9"/>
  <c r="E4348" i="9"/>
  <c r="AF157" i="9"/>
  <c r="T157" i="9"/>
  <c r="BF219" i="9"/>
  <c r="E3093" i="9"/>
  <c r="F3136" i="9"/>
  <c r="F3521" i="9"/>
  <c r="AA40" i="9"/>
  <c r="F79" i="9"/>
  <c r="F682" i="9"/>
  <c r="J2890" i="9"/>
  <c r="I2890" i="9"/>
  <c r="O2596" i="9"/>
  <c r="P2448" i="9"/>
  <c r="E1067" i="9"/>
  <c r="O2870" i="9"/>
  <c r="F3108" i="9"/>
  <c r="E3136" i="9"/>
  <c r="F3190" i="9"/>
  <c r="F1230" i="9"/>
  <c r="F845" i="9"/>
  <c r="E1120" i="9"/>
  <c r="F2616" i="9"/>
  <c r="E2828" i="9"/>
  <c r="F4162" i="9"/>
  <c r="E4188" i="9"/>
  <c r="F4265" i="9"/>
  <c r="E4313" i="9"/>
  <c r="F4375" i="9"/>
  <c r="CI78" i="9"/>
  <c r="H111" i="9"/>
  <c r="BX241" i="9"/>
  <c r="J315" i="9"/>
  <c r="Q315" i="9"/>
  <c r="F701" i="9"/>
  <c r="F1159" i="9"/>
  <c r="F1261" i="9"/>
  <c r="E1365" i="9"/>
  <c r="E1415" i="9"/>
  <c r="F1462" i="9"/>
  <c r="E883" i="9"/>
  <c r="F789" i="9"/>
  <c r="F3199" i="9"/>
  <c r="E2849" i="9"/>
  <c r="F2828" i="9"/>
  <c r="E3600" i="9"/>
  <c r="F3452" i="9"/>
  <c r="E3785" i="9"/>
  <c r="I3785" i="9" s="1"/>
  <c r="E3853" i="9"/>
  <c r="I3853" i="9" s="1"/>
  <c r="E3932" i="9"/>
  <c r="E3998" i="9"/>
  <c r="E1026" i="9"/>
  <c r="E992" i="9"/>
  <c r="E4285" i="9"/>
  <c r="AB40" i="9"/>
  <c r="BG111" i="9"/>
  <c r="Z134" i="9"/>
  <c r="CB134" i="9"/>
  <c r="BG134" i="9"/>
  <c r="BE180" i="9"/>
  <c r="K219" i="9"/>
  <c r="F1964" i="9"/>
  <c r="M2669" i="9"/>
  <c r="Q2648" i="9"/>
  <c r="M2522" i="9"/>
  <c r="E3622" i="9"/>
  <c r="V15" i="9"/>
  <c r="V17" i="9" s="1"/>
  <c r="M2717" i="9"/>
  <c r="F299" i="9"/>
  <c r="U2648" i="9"/>
  <c r="M2615" i="9"/>
  <c r="P2570" i="9"/>
  <c r="E3803" i="9"/>
  <c r="I3803" i="9" s="1"/>
  <c r="J15" i="9"/>
  <c r="J17" i="9" s="1"/>
  <c r="BY180" i="9"/>
  <c r="J2827" i="9"/>
  <c r="J2522" i="9"/>
  <c r="J3770" i="9"/>
  <c r="W78" i="9"/>
  <c r="F265" i="9"/>
  <c r="U2669" i="9"/>
  <c r="E3245" i="9"/>
  <c r="E3521" i="9"/>
  <c r="CH40" i="9"/>
  <c r="BX157" i="9"/>
  <c r="E3546" i="9"/>
  <c r="F3634" i="9"/>
  <c r="F1026" i="9"/>
  <c r="CC134" i="9"/>
  <c r="AD157" i="9"/>
  <c r="BF180" i="9"/>
  <c r="R157" i="9"/>
  <c r="L219" i="9"/>
  <c r="BG219" i="9"/>
  <c r="V315" i="9"/>
  <c r="E4207" i="9"/>
  <c r="E598" i="9"/>
  <c r="F3556" i="9"/>
  <c r="E1249" i="9"/>
  <c r="F3734" i="9"/>
  <c r="P3734" i="9" s="1"/>
  <c r="P3748" i="9" s="1"/>
  <c r="F4348" i="9"/>
  <c r="M40" i="9"/>
  <c r="R40" i="9"/>
  <c r="Q40" i="9"/>
  <c r="CU40" i="9"/>
  <c r="S219" i="9"/>
  <c r="H315" i="9"/>
  <c r="U315" i="9"/>
  <c r="BW336" i="9"/>
  <c r="I3006" i="9"/>
  <c r="L2717" i="9"/>
  <c r="CD111" i="9"/>
  <c r="W180" i="9"/>
  <c r="J2615" i="9"/>
  <c r="M2596" i="9"/>
  <c r="L2474" i="9"/>
  <c r="O2448" i="9"/>
  <c r="F3589" i="9"/>
  <c r="I3712" i="9"/>
  <c r="I3770" i="9"/>
  <c r="M78" i="9"/>
  <c r="BE111" i="9"/>
  <c r="BE134" i="9"/>
  <c r="BF157" i="9"/>
  <c r="AF241" i="9"/>
  <c r="J336" i="9"/>
  <c r="N336" i="9"/>
  <c r="F491" i="9"/>
  <c r="E1543" i="9"/>
  <c r="P2870" i="9"/>
  <c r="O2803" i="9"/>
  <c r="Q2762" i="9"/>
  <c r="J2717" i="9"/>
  <c r="F4224" i="9"/>
  <c r="X40" i="9"/>
  <c r="CF78" i="9"/>
  <c r="CJ78" i="9"/>
  <c r="I336" i="9"/>
  <c r="P336" i="9"/>
  <c r="F1213" i="9"/>
  <c r="F2382" i="9"/>
  <c r="I2522" i="9"/>
  <c r="I2474" i="9"/>
  <c r="E515" i="9"/>
  <c r="F3535" i="9"/>
  <c r="F3664" i="9"/>
  <c r="F3622" i="9"/>
  <c r="F4175" i="9"/>
  <c r="I15" i="9"/>
  <c r="I17" i="9" s="1"/>
  <c r="T15" i="9"/>
  <c r="T17" i="9" s="1"/>
  <c r="AD15" i="9"/>
  <c r="AD17" i="9" s="1"/>
  <c r="CB40" i="9"/>
  <c r="AF111" i="9"/>
  <c r="M315" i="9"/>
  <c r="E41" i="9"/>
  <c r="F1975" i="9"/>
  <c r="F2222" i="9"/>
  <c r="E2317" i="9"/>
  <c r="M2870" i="9"/>
  <c r="E3085" i="9"/>
  <c r="F3128" i="9"/>
  <c r="E3151" i="9"/>
  <c r="E3664" i="9"/>
  <c r="E4022" i="9"/>
  <c r="F4104" i="9"/>
  <c r="E4162" i="9"/>
  <c r="AF134" i="9"/>
  <c r="L315" i="9"/>
  <c r="F242" i="9"/>
  <c r="F469" i="9"/>
  <c r="F766" i="9"/>
  <c r="E1261" i="9"/>
  <c r="F1518" i="9"/>
  <c r="F1641" i="9"/>
  <c r="F1744" i="9"/>
  <c r="F1911" i="9"/>
  <c r="F2013" i="9"/>
  <c r="F2317" i="9"/>
  <c r="F2408" i="9"/>
  <c r="J2803" i="9"/>
  <c r="P2762" i="9"/>
  <c r="I2717" i="9"/>
  <c r="AF336" i="9"/>
  <c r="F360" i="9"/>
  <c r="L2522" i="9"/>
  <c r="F3118" i="9"/>
  <c r="E3144" i="9"/>
  <c r="F3209" i="9"/>
  <c r="E3535" i="9"/>
  <c r="E3589" i="9"/>
  <c r="F1099" i="9"/>
  <c r="F3885" i="9"/>
  <c r="E3947" i="9"/>
  <c r="E4010" i="9"/>
  <c r="F4062" i="9"/>
  <c r="F4135" i="9"/>
  <c r="E4265" i="9"/>
  <c r="F4339" i="9"/>
  <c r="E4375" i="9"/>
  <c r="CC40" i="9"/>
  <c r="AE78" i="9"/>
  <c r="AA134" i="9"/>
  <c r="AD134" i="9"/>
  <c r="BE315" i="9"/>
  <c r="E16" i="9"/>
  <c r="F202" i="9"/>
  <c r="F409" i="9"/>
  <c r="F640" i="9"/>
  <c r="F825" i="9"/>
  <c r="E1132" i="9"/>
  <c r="F1365" i="9"/>
  <c r="F1415" i="9"/>
  <c r="F1499" i="9"/>
  <c r="F1585" i="9"/>
  <c r="F1990" i="9"/>
  <c r="F2250" i="9"/>
  <c r="E2349" i="9"/>
  <c r="F2571" i="9"/>
  <c r="J3042" i="9"/>
  <c r="L2870" i="9"/>
  <c r="P2803" i="9"/>
  <c r="O2717" i="9"/>
  <c r="V2669" i="9"/>
  <c r="P2596" i="9"/>
  <c r="BG336" i="9"/>
  <c r="O2522" i="9"/>
  <c r="F3101" i="9"/>
  <c r="E3128" i="9"/>
  <c r="F3177" i="9"/>
  <c r="F1120" i="9"/>
  <c r="E3199" i="9"/>
  <c r="E3734" i="9"/>
  <c r="L3734" i="9" s="1"/>
  <c r="L3748" i="9" s="1"/>
  <c r="M3060" i="9"/>
  <c r="I3818" i="9"/>
  <c r="N15" i="9"/>
  <c r="N17" i="9" s="1"/>
  <c r="BE15" i="9"/>
  <c r="BE17" i="9" s="1"/>
  <c r="CD40" i="9"/>
  <c r="AD40" i="9"/>
  <c r="CW40" i="9"/>
  <c r="CC78" i="9"/>
  <c r="T78" i="9"/>
  <c r="K78" i="9"/>
  <c r="BF111" i="9"/>
  <c r="CA134" i="9"/>
  <c r="BF134" i="9"/>
  <c r="AD241" i="9"/>
  <c r="R219" i="9"/>
  <c r="T315" i="9"/>
  <c r="BY336" i="9"/>
  <c r="E3835" i="9"/>
  <c r="I3835" i="9" s="1"/>
  <c r="BG15" i="9"/>
  <c r="BG17" i="9" s="1"/>
  <c r="N40" i="9"/>
  <c r="CF40" i="9"/>
  <c r="AF40" i="9"/>
  <c r="CV40" i="9"/>
  <c r="CD78" i="9"/>
  <c r="V78" i="9"/>
  <c r="BW180" i="9"/>
  <c r="Q219" i="9"/>
  <c r="BG241" i="9"/>
  <c r="AF315" i="9"/>
  <c r="BX336" i="9"/>
  <c r="F158" i="9"/>
  <c r="F316" i="9"/>
  <c r="F1052" i="9"/>
  <c r="J3006" i="9"/>
  <c r="L2762" i="9"/>
  <c r="Q2717" i="9"/>
  <c r="R2669" i="9"/>
  <c r="J2648" i="9"/>
  <c r="AC2648" i="9"/>
  <c r="P2615" i="9"/>
  <c r="J2596" i="9"/>
  <c r="M2570" i="9"/>
  <c r="I2448" i="9"/>
  <c r="F3546" i="9"/>
  <c r="F3578" i="9"/>
  <c r="J3748" i="9"/>
  <c r="F4285" i="9"/>
  <c r="BF15" i="9"/>
  <c r="BF17" i="9" s="1"/>
  <c r="Z40" i="9"/>
  <c r="CE40" i="9"/>
  <c r="AE40" i="9"/>
  <c r="U78" i="9"/>
  <c r="L78" i="9"/>
  <c r="H78" i="9"/>
  <c r="AF180" i="9"/>
  <c r="BW157" i="9"/>
  <c r="AE241" i="9"/>
  <c r="AF219" i="9"/>
  <c r="BF241" i="9"/>
  <c r="AE315" i="9"/>
  <c r="L2669" i="9"/>
  <c r="I2596" i="9"/>
  <c r="F220" i="9"/>
  <c r="F452" i="9"/>
  <c r="E682" i="9"/>
  <c r="F744" i="9"/>
  <c r="E1086" i="9"/>
  <c r="E1145" i="9"/>
  <c r="I3024" i="9"/>
  <c r="L2803" i="9"/>
  <c r="I2762" i="9"/>
  <c r="M2762" i="9"/>
  <c r="AE2648" i="9"/>
  <c r="L2596" i="9"/>
  <c r="J2448" i="9"/>
  <c r="F3511" i="9"/>
  <c r="F3611" i="9"/>
  <c r="E4408" i="9"/>
  <c r="K15" i="9"/>
  <c r="K17" i="9" s="1"/>
  <c r="T40" i="9"/>
  <c r="BE40" i="9"/>
  <c r="CE78" i="9"/>
  <c r="CL78" i="9"/>
  <c r="CB78" i="9"/>
  <c r="J78" i="9"/>
  <c r="J111" i="9"/>
  <c r="AE180" i="9"/>
  <c r="BY157" i="9"/>
  <c r="BX180" i="9"/>
  <c r="AE219" i="9"/>
  <c r="BW241" i="9"/>
  <c r="O336" i="9"/>
  <c r="AD336" i="9"/>
  <c r="S315" i="9"/>
  <c r="AD315" i="9"/>
  <c r="P2717" i="9"/>
  <c r="F41" i="9"/>
  <c r="F112" i="9"/>
  <c r="F535" i="9"/>
  <c r="F1145" i="9"/>
  <c r="E1398" i="9"/>
  <c r="F1450" i="9"/>
  <c r="E1483" i="9"/>
  <c r="F1702" i="9"/>
  <c r="F1770" i="9"/>
  <c r="F1821" i="9"/>
  <c r="F1939" i="9"/>
  <c r="F2040" i="9"/>
  <c r="F2475" i="9"/>
  <c r="E2550" i="9"/>
  <c r="J3024" i="9"/>
  <c r="J2762" i="9"/>
  <c r="E2670" i="9"/>
  <c r="L2448" i="9"/>
  <c r="M15" i="9"/>
  <c r="M17" i="9" s="1"/>
  <c r="AF15" i="9"/>
  <c r="AF17" i="9" s="1"/>
  <c r="V40" i="9"/>
  <c r="BG40" i="9"/>
  <c r="CG78" i="9"/>
  <c r="CK78" i="9"/>
  <c r="CA78" i="9"/>
  <c r="I78" i="9"/>
  <c r="S78" i="9"/>
  <c r="AD78" i="9"/>
  <c r="I111" i="9"/>
  <c r="AE111" i="9"/>
  <c r="AD180" i="9"/>
  <c r="K180" i="9"/>
  <c r="AD219" i="9"/>
  <c r="BY241" i="9"/>
  <c r="R315" i="9"/>
  <c r="BG315" i="9"/>
  <c r="F181" i="9"/>
  <c r="F337" i="9"/>
  <c r="E701" i="9"/>
  <c r="F911" i="9"/>
  <c r="F1350" i="9"/>
  <c r="F1398" i="9"/>
  <c r="F1483" i="9"/>
  <c r="E1641" i="9"/>
  <c r="F2550" i="9"/>
  <c r="I3042" i="9"/>
  <c r="I2803" i="9"/>
  <c r="Q2803" i="9"/>
  <c r="O2762" i="9"/>
  <c r="I2615" i="9"/>
  <c r="AE336" i="9"/>
  <c r="M2448" i="9"/>
  <c r="F3093" i="9"/>
  <c r="E3118" i="9"/>
  <c r="E3209" i="9"/>
  <c r="F1010" i="9"/>
  <c r="F1067" i="9"/>
  <c r="F515" i="9"/>
  <c r="E1099" i="9"/>
  <c r="L3060" i="9"/>
  <c r="E3771" i="9"/>
  <c r="I3771" i="9" s="1"/>
  <c r="E3885" i="9"/>
  <c r="F4031" i="9"/>
  <c r="E4062" i="9"/>
  <c r="E4135" i="9"/>
  <c r="F4188" i="9"/>
  <c r="F4300" i="9"/>
  <c r="E4339" i="9"/>
  <c r="E4419" i="9"/>
  <c r="L15" i="9"/>
  <c r="L17" i="9" s="1"/>
  <c r="AE15" i="9"/>
  <c r="AE17" i="9" s="1"/>
  <c r="CA40" i="9"/>
  <c r="U40" i="9"/>
  <c r="BF40" i="9"/>
  <c r="N78" i="9"/>
  <c r="R78" i="9"/>
  <c r="AF78" i="9"/>
  <c r="AD111" i="9"/>
  <c r="AB134" i="9"/>
  <c r="AE134" i="9"/>
  <c r="BG180" i="9"/>
  <c r="M219" i="9"/>
  <c r="V219" i="9"/>
  <c r="BE241" i="9"/>
  <c r="BF315" i="9"/>
  <c r="K315" i="9"/>
  <c r="F598" i="9"/>
  <c r="F610" i="9" s="1"/>
  <c r="BE336" i="9"/>
  <c r="P128" i="9"/>
  <c r="P134" i="9" s="1"/>
  <c r="J134" i="9"/>
  <c r="O128" i="9"/>
  <c r="O134" i="9" s="1"/>
  <c r="I134" i="9"/>
  <c r="N128" i="9"/>
  <c r="N134" i="9" s="1"/>
  <c r="H134" i="9"/>
  <c r="P111" i="9"/>
  <c r="O111" i="9"/>
  <c r="N111" i="9"/>
  <c r="AB111" i="9"/>
  <c r="AA111" i="9"/>
  <c r="Z111" i="9"/>
  <c r="CC111" i="9"/>
  <c r="CB111" i="9"/>
  <c r="CA111" i="9"/>
  <c r="S180" i="9"/>
  <c r="R180" i="9"/>
  <c r="T180" i="9"/>
  <c r="V180" i="9"/>
  <c r="U180" i="9"/>
  <c r="M180" i="9"/>
  <c r="P78" i="9"/>
  <c r="O78" i="9"/>
  <c r="BE78" i="9"/>
  <c r="BG78" i="9"/>
  <c r="BF78" i="9"/>
  <c r="CJ29" i="9"/>
  <c r="CJ40" i="9" s="1"/>
  <c r="CG40" i="9"/>
  <c r="J40" i="9"/>
  <c r="I40" i="9"/>
  <c r="P40" i="9"/>
  <c r="O40" i="9"/>
  <c r="CL29" i="9"/>
  <c r="CL40" i="9" s="1"/>
  <c r="CK29" i="9"/>
  <c r="CK40" i="9" s="1"/>
  <c r="O15" i="9"/>
  <c r="O17" i="9" s="1"/>
  <c r="P15" i="9"/>
  <c r="P17" i="9" s="1"/>
  <c r="F3914" i="9"/>
  <c r="J3914" i="9" s="1"/>
  <c r="I3913" i="9"/>
  <c r="F3974" i="9"/>
  <c r="E3974" i="9"/>
  <c r="F3987" i="9"/>
  <c r="E3987" i="9"/>
  <c r="F3803" i="9"/>
  <c r="J3803" i="9" s="1"/>
  <c r="I3802" i="9"/>
  <c r="D3947" i="9"/>
  <c r="F3566" i="9"/>
  <c r="F3853" i="9"/>
  <c r="J3853" i="9" s="1"/>
  <c r="F3835" i="9"/>
  <c r="J3835" i="9" s="1"/>
  <c r="F3819" i="9"/>
  <c r="J3819" i="9" s="1"/>
  <c r="F3785" i="9"/>
  <c r="J3785" i="9" s="1"/>
  <c r="F3771" i="9"/>
  <c r="F3483" i="9"/>
  <c r="F3751" i="9"/>
  <c r="J3751" i="9" s="1"/>
  <c r="I3750" i="9"/>
  <c r="I3733" i="9"/>
  <c r="I3748" i="9" s="1"/>
  <c r="I3060" i="9"/>
  <c r="F2649" i="9"/>
  <c r="E2649" i="9"/>
  <c r="F3230" i="9"/>
  <c r="F3245" i="9"/>
  <c r="F2523" i="9"/>
  <c r="F2670" i="9"/>
  <c r="E3163" i="9"/>
  <c r="F3163" i="9"/>
  <c r="F664" i="9"/>
  <c r="F1543" i="9"/>
  <c r="F1553" i="9"/>
  <c r="F1173" i="9"/>
  <c r="E1010" i="9"/>
  <c r="E409" i="9"/>
  <c r="E491" i="9"/>
  <c r="E664" i="9"/>
  <c r="E744" i="9"/>
  <c r="E766" i="9"/>
  <c r="E961" i="9"/>
  <c r="E3177" i="9"/>
  <c r="E3190" i="9"/>
  <c r="E360" i="9"/>
  <c r="M2803" i="9"/>
  <c r="L2827" i="9"/>
  <c r="O2827" i="9"/>
  <c r="M2827" i="9"/>
  <c r="P2827" i="9"/>
  <c r="P2848" i="9"/>
  <c r="O2848" i="9"/>
  <c r="M2848" i="9"/>
  <c r="L2848" i="9"/>
  <c r="J2910" i="9"/>
  <c r="I2910" i="9"/>
  <c r="J2930" i="9"/>
  <c r="I2930" i="9"/>
  <c r="E79" i="9"/>
  <c r="E112" i="9"/>
  <c r="E135" i="9"/>
  <c r="E158" i="9"/>
  <c r="E181" i="9"/>
  <c r="E202" i="9"/>
  <c r="E220" i="9"/>
  <c r="E242" i="9"/>
  <c r="E265" i="9"/>
  <c r="E299" i="9"/>
  <c r="E316" i="9"/>
  <c r="E337" i="9"/>
  <c r="E452" i="9"/>
  <c r="E469" i="9"/>
  <c r="E535" i="9"/>
  <c r="E610" i="9"/>
  <c r="E640" i="9"/>
  <c r="E825" i="9"/>
  <c r="E911" i="9"/>
  <c r="E940" i="9"/>
  <c r="E1159" i="9"/>
  <c r="E1173" i="9"/>
  <c r="E1213" i="9"/>
  <c r="F1310" i="9"/>
  <c r="E1310" i="9"/>
  <c r="E1350" i="9"/>
  <c r="E1432" i="9"/>
  <c r="E1450" i="9"/>
  <c r="E1462" i="9"/>
  <c r="E1518" i="9"/>
  <c r="E1529" i="9"/>
  <c r="E1617" i="9"/>
  <c r="E1680" i="9"/>
  <c r="E1702" i="9"/>
  <c r="E1708" i="9"/>
  <c r="E1717" i="9"/>
  <c r="E1731" i="9"/>
  <c r="E1744" i="9"/>
  <c r="E1759" i="9"/>
  <c r="E1770" i="9"/>
  <c r="E1790" i="9"/>
  <c r="F1789" i="9" s="1"/>
  <c r="F1790" i="9" s="1"/>
  <c r="E1807" i="9"/>
  <c r="E1821" i="9"/>
  <c r="E1842" i="9"/>
  <c r="F1874" i="9"/>
  <c r="E1874" i="9"/>
  <c r="E1901" i="9"/>
  <c r="E1911" i="9"/>
  <c r="E1921" i="9"/>
  <c r="E1939" i="9"/>
  <c r="E1956" i="9"/>
  <c r="E1964" i="9"/>
  <c r="E1975" i="9"/>
  <c r="E1990" i="9"/>
  <c r="E2001" i="9"/>
  <c r="E2013" i="9"/>
  <c r="E2026" i="9"/>
  <c r="E2040" i="9"/>
  <c r="E2059" i="9"/>
  <c r="E2188" i="9"/>
  <c r="E2222" i="9"/>
  <c r="E2250" i="9"/>
  <c r="E2382" i="9"/>
  <c r="E2408" i="9"/>
  <c r="E2449" i="9"/>
  <c r="E2475" i="9"/>
  <c r="E2496" i="9"/>
  <c r="M3734" i="9" l="1"/>
  <c r="M3748" i="9" s="1"/>
  <c r="F3948" i="9"/>
  <c r="I23" i="9"/>
  <c r="I24" i="9" s="1"/>
  <c r="J23" i="9"/>
  <c r="M23" i="9"/>
  <c r="O3734" i="9"/>
  <c r="O3748" i="9" s="1"/>
  <c r="L23" i="9"/>
  <c r="L24" i="9" s="1"/>
  <c r="P23" i="9"/>
  <c r="O23" i="9"/>
  <c r="O24" i="9" s="1"/>
  <c r="E3948" i="9"/>
  <c r="D3956" i="9"/>
  <c r="S23" i="9"/>
  <c r="S17" i="9"/>
  <c r="S15" i="9"/>
</calcChain>
</file>

<file path=xl/sharedStrings.xml><?xml version="1.0" encoding="utf-8"?>
<sst xmlns="http://schemas.openxmlformats.org/spreadsheetml/2006/main" count="9178" uniqueCount="3633">
  <si>
    <t>Opening Low KYC Account -Digipay Account (Individual)</t>
  </si>
  <si>
    <t>POS Hiring</t>
  </si>
  <si>
    <t>Onboarding of Agents</t>
  </si>
  <si>
    <t>Onboarding of Billers</t>
  </si>
  <si>
    <t xml:space="preserve">Account Maintainance-CASA Conversion </t>
  </si>
  <si>
    <t>Sweeping Arrangement-Setup</t>
  </si>
  <si>
    <t>Sweeping Arrangement-Removal</t>
  </si>
  <si>
    <t>Garnish Order -ZIMRA</t>
  </si>
  <si>
    <t xml:space="preserve">Debit Card Unblocking (Branch) </t>
  </si>
  <si>
    <t>Card Replacement-Local</t>
  </si>
  <si>
    <t>Card Replacement-Visa</t>
  </si>
  <si>
    <t>Visa Card Issuance (Non Personalised)</t>
  </si>
  <si>
    <t>Visa Card Issuance (Personalised)</t>
  </si>
  <si>
    <t>Cash Management (CCD)-Collection Of Cash From Branches</t>
  </si>
  <si>
    <t xml:space="preserve">Cash Management (CCD)-Sending Of Cash To Branches </t>
  </si>
  <si>
    <t xml:space="preserve">Cash Management (CCD)-Receiving Cash From RBZ/Other Banks </t>
  </si>
  <si>
    <t xml:space="preserve">Cash Management (CCD)-Cash Importation </t>
  </si>
  <si>
    <t xml:space="preserve">Cash deposits </t>
  </si>
  <si>
    <t xml:space="preserve">Cash withdrawal branch </t>
  </si>
  <si>
    <t>Cash withdrawal digital-Cash Services</t>
  </si>
  <si>
    <t xml:space="preserve">RTGS Corporate </t>
  </si>
  <si>
    <t>ZINARA Licensing</t>
  </si>
  <si>
    <t>ZINARA Face Value Document Management</t>
  </si>
  <si>
    <t>ZINARA Float Management</t>
  </si>
  <si>
    <t xml:space="preserve">Loan Origination Consumer </t>
  </si>
  <si>
    <t>Balance Enquiry</t>
  </si>
  <si>
    <t xml:space="preserve">Statement Request </t>
  </si>
  <si>
    <t>Foreign Offshore Guarantees</t>
  </si>
  <si>
    <t>Export Forms - General Exports</t>
  </si>
  <si>
    <t>Exchange Control Applications</t>
  </si>
  <si>
    <t>Imports Acquitals</t>
  </si>
  <si>
    <t>Offshore Loans (Global Facility)</t>
  </si>
  <si>
    <t xml:space="preserve">Debt Recovery </t>
  </si>
  <si>
    <t>Settlements  - VISA</t>
  </si>
  <si>
    <t>Settlements  - ZimSwitch</t>
  </si>
  <si>
    <t>ZimSwitch Query Resolution Outbound</t>
  </si>
  <si>
    <t>ZimSwitch Query Resolution Inbound</t>
  </si>
  <si>
    <t>PreFunding Of Powertel</t>
  </si>
  <si>
    <t>PreFunding Of Billers (Econet, TelOne, PayNow, NetOne)</t>
  </si>
  <si>
    <t>Loan Disbursement Consumer</t>
  </si>
  <si>
    <t>Loan Disbursement Microfinance Business</t>
  </si>
  <si>
    <t>Loan Disbursement Microfinance Consumer</t>
  </si>
  <si>
    <t>Handling Of Prudential And Discretionary Lending Limits- Credit Department</t>
  </si>
  <si>
    <t xml:space="preserve">Write Offs And Other Papers  -Credit Department </t>
  </si>
  <si>
    <t xml:space="preserve">Security Cancelations/Release  -Credit Department </t>
  </si>
  <si>
    <t xml:space="preserve">Appraisal And Assessment Of Consumer And MicroFinance Loans -Credit Department </t>
  </si>
  <si>
    <t>Bank Overdraft Limit</t>
  </si>
  <si>
    <t>Bank Guarantee</t>
  </si>
  <si>
    <t>Registration of Stop-Order Deductions Consumer Loans (SSB)</t>
  </si>
  <si>
    <t>Treasury Operations - Interbank Borrowing /Other Corporates</t>
  </si>
  <si>
    <t>Treasury Operations - Interbank Placements</t>
  </si>
  <si>
    <t>Treasury Operations - Fixed Deposits From Existing Clients</t>
  </si>
  <si>
    <t>Treasury Operations - Foreign Exchange Deals Involving Other Bank</t>
  </si>
  <si>
    <t>Treasury Operations - Foreign Exchange Deals Inter Account</t>
  </si>
  <si>
    <t>Treasury Operations - Receive Or Buy Securities (e.g TBs)</t>
  </si>
  <si>
    <t xml:space="preserve">Treasury Operations - Outgoing RTGS Payments From Branches And Digital Channels </t>
  </si>
  <si>
    <t xml:space="preserve">Treasury Operations - Outgoing RTGS Payments Direct From Treasury </t>
  </si>
  <si>
    <t>Treasury Operations - Reconciliation RTGS Settlement Account</t>
  </si>
  <si>
    <t>Treasury Operations - Reconciliation Of Treasury Suspense Accounts</t>
  </si>
  <si>
    <t>Treasury Operations - Processing Of Exceptions (Nostro And Statutory Reserve Accounts)</t>
  </si>
  <si>
    <t>Treasury Operations - Outgoing Recalls</t>
  </si>
  <si>
    <t>Treasury Operations - Incoming Recalls</t>
  </si>
  <si>
    <t>Treasury Operations - Customer ID Creation Non AFC  Customers</t>
  </si>
  <si>
    <t>Treasury Operations -Account Opening With Other Banks For Investments</t>
  </si>
  <si>
    <t>Treasury Front-Office - Cash Deals</t>
  </si>
  <si>
    <t>Treasury Front-Office - Currency Switch</t>
  </si>
  <si>
    <t>Treasury Front-Office - Exchange Rates</t>
  </si>
  <si>
    <t>Treasury Front-Office - Interbank Borrowing /Placement Other Banks</t>
  </si>
  <si>
    <t>Treasury Front-Office - Foreign Exchange Deals</t>
  </si>
  <si>
    <t>Treasury Front-Office - Buy Securities From Secondary Market -From Counterparties</t>
  </si>
  <si>
    <t xml:space="preserve">Treasury Front-Office - Sell Securities To Secondary Market </t>
  </si>
  <si>
    <t>Treasury Front-Office - Buy Securities (e.g TBs) Primary Market</t>
  </si>
  <si>
    <t>Structured Finance - Transaction Monitoring and Administration</t>
  </si>
  <si>
    <t>Structured Finance - Funding And Treasury Coordination</t>
  </si>
  <si>
    <t>Structured Finance - Deal Structuring And Execution</t>
  </si>
  <si>
    <t>Structured Finance - Due Diligence And Credit Assessment</t>
  </si>
  <si>
    <t>Structured Finance - Knowledge Management And Capacity Building</t>
  </si>
  <si>
    <t>Structured Finance - Innovation And Product Development</t>
  </si>
  <si>
    <t>Structured Finance - Client Relationship Management And Advisory</t>
  </si>
  <si>
    <t>Structured Finance - Transaction Origination And Client Engagement</t>
  </si>
  <si>
    <t>Debit Orders -NovaPay Queries</t>
  </si>
  <si>
    <t>Investment Of Self Insurance Funds</t>
  </si>
  <si>
    <t xml:space="preserve">Loan Protection - Self Insurance </t>
  </si>
  <si>
    <t>Reconciliation - Analysis Of Deposit And Loans</t>
  </si>
  <si>
    <t xml:space="preserve">Reconciliation - Analysis of Accrued Expenses </t>
  </si>
  <si>
    <t>Reconciliation - Rental Debtors (USD)</t>
  </si>
  <si>
    <t>Reconciliation - Analysis Of Prepayments (USD And ZWG)</t>
  </si>
  <si>
    <t>Finance - Preparation Of Financial Statements -Lead Schedule</t>
  </si>
  <si>
    <t>Finance - Asset Revaluation</t>
  </si>
  <si>
    <t xml:space="preserve">Finance - Depreciation Calculation And Posting </t>
  </si>
  <si>
    <t>Finance-Salaries Batch Processing</t>
  </si>
  <si>
    <t>ATM Operations - Branch</t>
  </si>
  <si>
    <t>CIB - Customer Relationship Management</t>
  </si>
  <si>
    <t>Preparation Of Financial Statements</t>
  </si>
  <si>
    <t>DIGITAL PRODUCT DEVELOPMENT</t>
  </si>
  <si>
    <t>Cost And Management Accounting - Competitor Analysis</t>
  </si>
  <si>
    <t xml:space="preserve">Management Accounts </t>
  </si>
  <si>
    <t>Preparation Of Branch Accounts</t>
  </si>
  <si>
    <t>Flash Accounts</t>
  </si>
  <si>
    <t>Processing Of Payments To Suppliers Or Vendors - Internal And RTGS</t>
  </si>
  <si>
    <t>Processing Of Payments To Suppliers Or Vendors - International</t>
  </si>
  <si>
    <t>Payment Processing - SNT</t>
  </si>
  <si>
    <t>Prefunding Of Billers And Airtime Accounts</t>
  </si>
  <si>
    <t>Statutory Payments - HR ( Staff   Pension, Medical Aid, Nssa, )</t>
  </si>
  <si>
    <t xml:space="preserve">Expense Analysis </t>
  </si>
  <si>
    <t>Processing of Request To Increase Card Limit</t>
  </si>
  <si>
    <t>Disaster Recovery Tests</t>
  </si>
  <si>
    <t>Appraisal Of Credit Proposals</t>
  </si>
  <si>
    <t>Customer Experience Management Process Flow</t>
  </si>
  <si>
    <t>Branch Incident Report Analysis Process</t>
  </si>
  <si>
    <t>Tracking Audit Reviewed Issues Process</t>
  </si>
  <si>
    <t>Manual And Policy  Review Process</t>
  </si>
  <si>
    <t xml:space="preserve">Reconciliation Of Sundry Debtors </t>
  </si>
  <si>
    <t>AI And Enterprise Data  Process Flow</t>
  </si>
  <si>
    <t>ICT  New Hardware And Configuration Support</t>
  </si>
  <si>
    <t>ICT Hardware Repairs And Configuration Support</t>
  </si>
  <si>
    <t>Branch Cash Account Monitoring</t>
  </si>
  <si>
    <t>Monitoring Branch Vault - Monthly</t>
  </si>
  <si>
    <t xml:space="preserve">Ordering Of Cards </t>
  </si>
  <si>
    <t>Visa Query Handling</t>
  </si>
  <si>
    <t>New User Access Management (PEX SmartVista and Agent Portal)</t>
  </si>
  <si>
    <t>User Certification Management (PEX SmartVista and Agent Portal)</t>
  </si>
  <si>
    <t>User Profile Deactivation (PEX SmartVista and Agent Portal)</t>
  </si>
  <si>
    <t xml:space="preserve">Visa Risk Manager (VRM) Rule Implementation And Review </t>
  </si>
  <si>
    <t xml:space="preserve">Business Case </t>
  </si>
  <si>
    <t xml:space="preserve">Process </t>
  </si>
  <si>
    <t xml:space="preserve">Description </t>
  </si>
  <si>
    <t xml:space="preserve">Efficiency  </t>
  </si>
  <si>
    <t xml:space="preserve">Original Manual Process </t>
  </si>
  <si>
    <t>Materials Cost Reduction USD</t>
  </si>
  <si>
    <t xml:space="preserve">Revenue Increase </t>
  </si>
  <si>
    <t xml:space="preserve">Bank Accounts Increase </t>
  </si>
  <si>
    <t>Optimised and Full digital &amp; reengineered</t>
  </si>
  <si>
    <t xml:space="preserve">Optimised and Semi-digital </t>
  </si>
  <si>
    <t xml:space="preserve">Teller - Small branch </t>
  </si>
  <si>
    <t>Account opening (Ind)</t>
  </si>
  <si>
    <t xml:space="preserve">Individual onboarding </t>
  </si>
  <si>
    <t xml:space="preserve">2Hrs </t>
  </si>
  <si>
    <t xml:space="preserve">30min </t>
  </si>
  <si>
    <t>Receive KYC CDocuments &amp; Application Form</t>
  </si>
  <si>
    <t xml:space="preserve">Check KYC Documents &amp; Application Form </t>
  </si>
  <si>
    <t>Perform credit (FCB)</t>
  </si>
  <si>
    <t xml:space="preserve">Perform world check </t>
  </si>
  <si>
    <t xml:space="preserve">AML Check </t>
  </si>
  <si>
    <t xml:space="preserve">Print and Manager approves </t>
  </si>
  <si>
    <t>Create request and  Upload KYC Documents</t>
  </si>
  <si>
    <t>Manager Approval on Flexdoc</t>
  </si>
  <si>
    <t xml:space="preserve">Capture customer  </t>
  </si>
  <si>
    <t xml:space="preserve">Create PA file And Send File To Banking Operations </t>
  </si>
  <si>
    <t>Upload KYC Documents</t>
  </si>
  <si>
    <t>Banking Operations Clerk Reviews Request (Quality Checks )</t>
  </si>
  <si>
    <t xml:space="preserve">Open account - banking Operations </t>
  </si>
  <si>
    <t>Banking Operations Clerk Creates Customer</t>
  </si>
  <si>
    <t xml:space="preserve">Maker Checker - Banking operations </t>
  </si>
  <si>
    <t xml:space="preserve">Banking Operations Supervisor Approves The Customer Record </t>
  </si>
  <si>
    <t>create PA file</t>
  </si>
  <si>
    <t xml:space="preserve">Clerk Opens account - banking Operations </t>
  </si>
  <si>
    <t xml:space="preserve">Call Customer </t>
  </si>
  <si>
    <t xml:space="preserve">Banking Operations Supervisor Approves The Account  Record </t>
  </si>
  <si>
    <t xml:space="preserve">Create PIN </t>
  </si>
  <si>
    <t xml:space="preserve">Issue Card and mobile banking registration </t>
  </si>
  <si>
    <t xml:space="preserve">Issue Card </t>
  </si>
  <si>
    <t xml:space="preserve">Fill Form For Internet Banking </t>
  </si>
  <si>
    <t>Link To Internet Banking</t>
  </si>
  <si>
    <t xml:space="preserve">Link To Omin-Channel </t>
  </si>
  <si>
    <t>Account Opening (Cooperate)</t>
  </si>
  <si>
    <t xml:space="preserve">Corporate </t>
  </si>
  <si>
    <t xml:space="preserve">Perform credit (FCB) for company and directors </t>
  </si>
  <si>
    <t>Perform world check for company and directors</t>
  </si>
  <si>
    <t>AML Check for company and directors</t>
  </si>
  <si>
    <t xml:space="preserve">Create request and  Upload KYC Documents </t>
  </si>
  <si>
    <t xml:space="preserve">Banking Operations Clerk Reviews Request </t>
  </si>
  <si>
    <t>Banking Operations Clerk Creates Customer For The Directors</t>
  </si>
  <si>
    <t xml:space="preserve">Banking Operations Clerk Creates Customer For The Company And Links The Directors To The Company </t>
  </si>
  <si>
    <t xml:space="preserve">Banking Operations Review Robot Input </t>
  </si>
  <si>
    <t xml:space="preserve">Branch Contacts The Customer </t>
  </si>
  <si>
    <t xml:space="preserve">Fill Form For Card Issuance </t>
  </si>
  <si>
    <t>Issue Card and banking registration (Where Applicable e.g SMEs )</t>
  </si>
  <si>
    <t>Create PIN (Where Applicable)</t>
  </si>
  <si>
    <t xml:space="preserve">Link To Internet Banking </t>
  </si>
  <si>
    <t xml:space="preserve">KYC Update </t>
  </si>
  <si>
    <t xml:space="preserve">KYC update / upon expiry </t>
  </si>
  <si>
    <t>Receive KYC Documents &amp; Update Form</t>
  </si>
  <si>
    <t xml:space="preserve">Check KYC Documents &amp; Update  Form </t>
  </si>
  <si>
    <t xml:space="preserve">Capture customer changes   </t>
  </si>
  <si>
    <t>Update/insert into  PA file</t>
  </si>
  <si>
    <t xml:space="preserve">Teller - Cash withdrawal - Branch </t>
  </si>
  <si>
    <t>Cash Withdrawal</t>
  </si>
  <si>
    <t>Receive  withdrawal slip and ID</t>
  </si>
  <si>
    <t xml:space="preserve">Check Completeness  </t>
  </si>
  <si>
    <t xml:space="preserve">Capture account number </t>
  </si>
  <si>
    <t xml:space="preserve">Verify signature and ID vs card in CBS </t>
  </si>
  <si>
    <t xml:space="preserve">Captures amount , denominations </t>
  </si>
  <si>
    <t xml:space="preserve">Write denominations at back of withdrawal slip </t>
  </si>
  <si>
    <t xml:space="preserve">Count Give money to client </t>
  </si>
  <si>
    <t xml:space="preserve">Stamp and File the slip </t>
  </si>
  <si>
    <t xml:space="preserve">Teller - Cash withdrawal - Card/POS  </t>
  </si>
  <si>
    <t xml:space="preserve">Receive  Card </t>
  </si>
  <si>
    <t xml:space="preserve">Swipe Card </t>
  </si>
  <si>
    <t xml:space="preserve"> File the slip </t>
  </si>
  <si>
    <t xml:space="preserve">Teller - Cash withdrawal - Digital </t>
  </si>
  <si>
    <t xml:space="preserve">Cash withdrawal digital </t>
  </si>
  <si>
    <t xml:space="preserve">Capture ref number </t>
  </si>
  <si>
    <t xml:space="preserve">Verify  ID </t>
  </si>
  <si>
    <t xml:space="preserve">Teller - Cash Deposits </t>
  </si>
  <si>
    <t xml:space="preserve">Receive  deposit slip and Cash </t>
  </si>
  <si>
    <t xml:space="preserve">Check Completeness  of deposit slip </t>
  </si>
  <si>
    <t xml:space="preserve">Count Cash  and Verify Cash and denominations </t>
  </si>
  <si>
    <t xml:space="preserve">Captures Acc # amount , denominations into CBS </t>
  </si>
  <si>
    <t>Stamp deposit slip and copy and File</t>
  </si>
  <si>
    <t xml:space="preserve">Teller - Cash Deposits - Card  </t>
  </si>
  <si>
    <t xml:space="preserve">Receive  Cash </t>
  </si>
  <si>
    <t xml:space="preserve">Captures Rf # amount , denominations into CBS </t>
  </si>
  <si>
    <t xml:space="preserve">Teller - RTGS Individual </t>
  </si>
  <si>
    <t>RTGS  (Ind)</t>
  </si>
  <si>
    <t xml:space="preserve">rtgs individual </t>
  </si>
  <si>
    <t xml:space="preserve">Receive Application Form And Positivily Identify Customer </t>
  </si>
  <si>
    <t xml:space="preserve">Verify Signature And ID </t>
  </si>
  <si>
    <t xml:space="preserve">Check Availability of Funds  </t>
  </si>
  <si>
    <t xml:space="preserve">Stamp the Application Form </t>
  </si>
  <si>
    <t xml:space="preserve">Give Customer Stamped Copy  </t>
  </si>
  <si>
    <t xml:space="preserve">Capture the Transaction  </t>
  </si>
  <si>
    <t xml:space="preserve">Submit For Authorization </t>
  </si>
  <si>
    <t xml:space="preserve">Authorize Transaction </t>
  </si>
  <si>
    <t xml:space="preserve">File The Application </t>
  </si>
  <si>
    <t xml:space="preserve">Teller - RTGS Corporate  </t>
  </si>
  <si>
    <t xml:space="preserve">Receive Application Form And Positivily Identify Customer / Check indemnity </t>
  </si>
  <si>
    <t>Verify Signature</t>
  </si>
  <si>
    <t>Individual Internal Transfer</t>
  </si>
  <si>
    <t xml:space="preserve">Receive Form And Positivily Identify Customer  </t>
  </si>
  <si>
    <t xml:space="preserve">Stamp the Form </t>
  </si>
  <si>
    <t xml:space="preserve">File The Form </t>
  </si>
  <si>
    <t xml:space="preserve">Internal Transfer Corporate </t>
  </si>
  <si>
    <t xml:space="preserve">Verify Signature Mandates </t>
  </si>
  <si>
    <r>
      <rPr>
        <sz val="12"/>
        <color rgb="FF242424"/>
        <rFont val="Times New Roman"/>
        <charset val="134"/>
      </rPr>
      <t xml:space="preserve"> </t>
    </r>
    <r>
      <rPr>
        <sz val="12"/>
        <color rgb="FF242424"/>
        <rFont val="Calibri"/>
        <charset val="134"/>
        <scheme val="minor"/>
      </rPr>
      <t>Instant I</t>
    </r>
    <r>
      <rPr>
        <sz val="11"/>
        <color rgb="FF242424"/>
        <rFont val="Calibri"/>
        <charset val="134"/>
        <scheme val="minor"/>
      </rPr>
      <t>ssuance (Local Debit C</t>
    </r>
    <r>
      <rPr>
        <sz val="11"/>
        <color rgb="FF242424"/>
        <rFont val="Calibri"/>
        <charset val="134"/>
      </rPr>
      <t>ard)</t>
    </r>
  </si>
  <si>
    <t xml:space="preserve">Receive Completed Debit Card Application Form And Positivily Identify Customer </t>
  </si>
  <si>
    <t xml:space="preserve">Verify Customer Signature </t>
  </si>
  <si>
    <t xml:space="preserve">Check Availability Of Card Issuance Fees  </t>
  </si>
  <si>
    <t xml:space="preserve">Pick Card And Proceed To Enter Card And Account Number In The Card Linking Portal  </t>
  </si>
  <si>
    <t xml:space="preserve">Submit For Validation </t>
  </si>
  <si>
    <t xml:space="preserve">OTP Sending To The Customer Mobile Number Linked To Their Account </t>
  </si>
  <si>
    <t xml:space="preserve">Customer Enters The OTP Using A Number Pad For Validation </t>
  </si>
  <si>
    <t xml:space="preserve">Automatic Linking Of The Customer To The Card </t>
  </si>
  <si>
    <t>System Automatically Charges</t>
  </si>
  <si>
    <t xml:space="preserve">Verify Correct Linking Of Card  In Card Management System </t>
  </si>
  <si>
    <t xml:space="preserve">Record Customer Details In The Card Collection Register </t>
  </si>
  <si>
    <t xml:space="preserve">Customer Acknowledges Receipts Of Card </t>
  </si>
  <si>
    <t>Customer Is Referred To The Teller To Set Pin on Branch POS</t>
  </si>
  <si>
    <t xml:space="preserve">Teller Selects Pin Reissue On POS Menu </t>
  </si>
  <si>
    <t xml:space="preserve">Customer Enters A Four Digit Pin Of Their Choice </t>
  </si>
  <si>
    <t xml:space="preserve">Customer Confirms Pin </t>
  </si>
  <si>
    <t xml:space="preserve">Debit Card Blocking (Branch /Contact Centre  </t>
  </si>
  <si>
    <t>Receive Request (Written/Call )</t>
  </si>
  <si>
    <t xml:space="preserve">Record Customer Details And Include Time Request Received In Stolen Record Register And Immediately Block The Card And Account In The Switch  </t>
  </si>
  <si>
    <t>Verify If There Are No Stolen Funds</t>
  </si>
  <si>
    <t xml:space="preserve">Recording And Report Of Suspicious Transactions For Investigation </t>
  </si>
  <si>
    <t xml:space="preserve">Debit Card Unblocking (Branch ) </t>
  </si>
  <si>
    <t xml:space="preserve">Receiving Form To Unblock </t>
  </si>
  <si>
    <t xml:space="preserve">Validate Customer  Authenticity </t>
  </si>
  <si>
    <t xml:space="preserve">Unblock Card And Account In Card Management System And Record In The Register </t>
  </si>
  <si>
    <t xml:space="preserve">Upload Form </t>
  </si>
  <si>
    <t xml:space="preserve">Receive Completed Visa Card Application Form And Positivily Identify Customer </t>
  </si>
  <si>
    <t>Capture Customer Details In Agent Portal (MAKER)</t>
  </si>
  <si>
    <t>Approve Application (Checker)</t>
  </si>
  <si>
    <t xml:space="preserve">Issue Non Personalised Cards </t>
  </si>
  <si>
    <t>Send To Private Banking For Printing Name (There is One Printer At PVT Banking)</t>
  </si>
  <si>
    <t xml:space="preserve">Issue Personalised Cards </t>
  </si>
  <si>
    <t>Loan Origination Consumer (30 day )</t>
  </si>
  <si>
    <t xml:space="preserve">Receive Loan Application  Form And Supporting Documents </t>
  </si>
  <si>
    <t>Check Completeness Of The Document</t>
  </si>
  <si>
    <t>Review Supporting Documents</t>
  </si>
  <si>
    <t xml:space="preserve">Conduct FCB , World Check And  CRB </t>
  </si>
  <si>
    <t xml:space="preserve">CSO Or Enquires Officer  Reviews And Recommends To The Branch Manager For Approval </t>
  </si>
  <si>
    <t xml:space="preserve">Branch Manager Approves The Loan Application </t>
  </si>
  <si>
    <t xml:space="preserve">Upload Application Form In FlexDoc Management System </t>
  </si>
  <si>
    <t xml:space="preserve">Branch Manager Approves The Loan Application Form In FlexDoc Management System </t>
  </si>
  <si>
    <t xml:space="preserve">Manager Approves The Loan Application Form In FlexDoc Management System </t>
  </si>
  <si>
    <t xml:space="preserve">Area Manager  ApproveS The Loan Application Form In FlexDoc Management System </t>
  </si>
  <si>
    <t xml:space="preserve">Credit Analyst Does The Scoring </t>
  </si>
  <si>
    <t xml:space="preserve">Credit Senior Manager Approves The Loan </t>
  </si>
  <si>
    <t>Credit administration manager</t>
  </si>
  <si>
    <t xml:space="preserve"> Loan (Under  Operations)-Subject To Liquidity Availability </t>
  </si>
  <si>
    <t xml:space="preserve">Capture Loan In The Loan Management System </t>
  </si>
  <si>
    <t>Authorize Loan In The Loan Management System (Supervisor )</t>
  </si>
  <si>
    <t xml:space="preserve"> </t>
  </si>
  <si>
    <t xml:space="preserve">Loan Origination Consumer Longterm </t>
  </si>
  <si>
    <t>Prepare offer letter, upload and send to branch for signature</t>
  </si>
  <si>
    <t>Upload signed offer letter and send back to credit admin manager</t>
  </si>
  <si>
    <t xml:space="preserve">Loan Origination Micro finance </t>
  </si>
  <si>
    <t xml:space="preserve">Loan Origination Business Loan </t>
  </si>
  <si>
    <t>Branch receives application from customer</t>
  </si>
  <si>
    <t>Site visits by RO</t>
  </si>
  <si>
    <t xml:space="preserve">RO writes proposal and appraisal and submit recommendation to portfolio manager   </t>
  </si>
  <si>
    <t xml:space="preserve">portfolio manager recommend to business banking manager </t>
  </si>
  <si>
    <t>business banking manager sends to head of retail</t>
  </si>
  <si>
    <t xml:space="preserve">Head of retail approves and sends to Executive director </t>
  </si>
  <si>
    <t xml:space="preserve">Executive director approves sends to business banking manager </t>
  </si>
  <si>
    <t>Business banking manager sends to Credit department(senior credit manager) to approve</t>
  </si>
  <si>
    <t>Credit committee/board (Depending on limit) Approves and sends to Credit admin BO</t>
  </si>
  <si>
    <t xml:space="preserve">Approval submited to branch (Decision) </t>
  </si>
  <si>
    <t xml:space="preserve">Branch attend to colleteral issues and send to credit dpt to check security perfection </t>
  </si>
  <si>
    <t xml:space="preserve">Credit dpt sends to Credit admin to prepare facility letters </t>
  </si>
  <si>
    <t>Credit admin sends facility letter to branch for signature</t>
  </si>
  <si>
    <t xml:space="preserve">Branch sends back to credit admin for disbursement after confirming liquidity </t>
  </si>
  <si>
    <t xml:space="preserve">Loan Origination Cooperate Loan </t>
  </si>
  <si>
    <t>Branch/ Corporate receives application from customer</t>
  </si>
  <si>
    <t xml:space="preserve">Site visits by CRM </t>
  </si>
  <si>
    <t xml:space="preserve">CRM writes proposal(Including Scoring ) and appraisal and submit recommendation to SCRM  </t>
  </si>
  <si>
    <t>SCRM  Reviews and Recommends to Head CIB (Corporate And Instituational Banking )</t>
  </si>
  <si>
    <t xml:space="preserve">Head CIB Reviews And Sends To Credit Department </t>
  </si>
  <si>
    <t>Credit Department Validates And Submits To Credit Committee Then  Approves/Decline or Recommends To The  Board  Loans And Advances Committee</t>
  </si>
  <si>
    <t>BLAC Approves /Declines Or Defers</t>
  </si>
  <si>
    <t>Decision Sheet Submitted To CIB For Onward Submission To Credit Admin</t>
  </si>
  <si>
    <t xml:space="preserve">Credit Admin Drafts The Agreements And Forwards To CIB </t>
  </si>
  <si>
    <t xml:space="preserve">CIB Gets The Agreement signed By The Customer Then Attach Security Documents     </t>
  </si>
  <si>
    <t xml:space="preserve">CIB Verify The Agreement And Security Documents And Submit To Security Department </t>
  </si>
  <si>
    <t xml:space="preserve">Security Department Processes The Registration Of The Security </t>
  </si>
  <si>
    <t xml:space="preserve">Security Documents Send Back To CIB </t>
  </si>
  <si>
    <t xml:space="preserve">CIB Prepares The Disbursement Certificate And Submits To Treasury </t>
  </si>
  <si>
    <t xml:space="preserve">IF Approved Documents are Submitted To Credit Adminstration For  Disbursement </t>
  </si>
  <si>
    <t xml:space="preserve">Account Maintainance-Account Type  </t>
  </si>
  <si>
    <t>.</t>
  </si>
  <si>
    <t xml:space="preserve">Receive Customer Instruction Or Complaint </t>
  </si>
  <si>
    <t xml:space="preserve">Validate Customer Request </t>
  </si>
  <si>
    <t>Close Account (Change From Current To Savings Account )</t>
  </si>
  <si>
    <t xml:space="preserve">Advise Customer On New Account </t>
  </si>
  <si>
    <t xml:space="preserve">Account Maintainance-Customer Type  </t>
  </si>
  <si>
    <t>Validate Customer Request(e.g Move From Ordinary Individiual To Pensioner )</t>
  </si>
  <si>
    <t xml:space="preserve">Ammend Customer Record </t>
  </si>
  <si>
    <t xml:space="preserve">Authorization </t>
  </si>
  <si>
    <t xml:space="preserve">Account Maintainance-MarkHold On Account   </t>
  </si>
  <si>
    <t>Receive Instruction(E.g From ZIMRA Or Bank)</t>
  </si>
  <si>
    <t xml:space="preserve">Validate The Instruction </t>
  </si>
  <si>
    <t xml:space="preserve">MarkHold </t>
  </si>
  <si>
    <t xml:space="preserve">Account Maintainance-UnMarkHold On Account   </t>
  </si>
  <si>
    <t xml:space="preserve">UnMarkHold </t>
  </si>
  <si>
    <t xml:space="preserve">Account Maintainance-Freeze Account   </t>
  </si>
  <si>
    <t>Receive Instruction(From Branch Or Department)</t>
  </si>
  <si>
    <t>Freeze</t>
  </si>
  <si>
    <t xml:space="preserve">Account Maintainance-UnFreeze Account   </t>
  </si>
  <si>
    <t>UnFreeze</t>
  </si>
  <si>
    <t xml:space="preserve">Account Maintainance-MarkHover On Account   </t>
  </si>
  <si>
    <t>MarkHover</t>
  </si>
  <si>
    <t>UnMarkHover</t>
  </si>
  <si>
    <t>Receive Instruction(From Branch)</t>
  </si>
  <si>
    <t xml:space="preserve">Change From Corporate To Individual Account </t>
  </si>
  <si>
    <t xml:space="preserve">Set Sweeping Arrangements </t>
  </si>
  <si>
    <t xml:space="preserve">Check Sweeping Arrangement Details And Take The Arrangement Number </t>
  </si>
  <si>
    <t xml:space="preserve">Remove Sweeping Arrangements </t>
  </si>
  <si>
    <t>BANKING OPERATIONS</t>
  </si>
  <si>
    <t>Teller</t>
  </si>
  <si>
    <t>CSO</t>
  </si>
  <si>
    <t>Branch Manager</t>
  </si>
  <si>
    <t>Manual</t>
  </si>
  <si>
    <t>Semi-Digital</t>
  </si>
  <si>
    <t>Full-Digital</t>
  </si>
  <si>
    <t>ACCOUNT OPENING- INDIVIDUAL</t>
  </si>
  <si>
    <t>Issue Card  (Enquires Officer)</t>
  </si>
  <si>
    <t>Create PIN (Teller)</t>
  </si>
  <si>
    <t>Total process time (Minutes)</t>
  </si>
  <si>
    <t>Total HR Resources (Branch B)</t>
  </si>
  <si>
    <t>Total Processes Executed (Accounts Opened)</t>
  </si>
  <si>
    <t>Total Time Saved (Minutes)</t>
  </si>
  <si>
    <t>Total FE Saved</t>
  </si>
  <si>
    <t>ACCOUNT OPENING- CORPORATE</t>
  </si>
  <si>
    <t>NA</t>
  </si>
  <si>
    <t>Process Time</t>
  </si>
  <si>
    <t>Enter National ID (Customer)</t>
  </si>
  <si>
    <t>Enter Date Of Birth (Customer)</t>
  </si>
  <si>
    <t>System Validates National ID And Date Of Birth With Registar General (Customer)</t>
  </si>
  <si>
    <t>System Prompts Customer To Confirms The Details And Account Is Opened (Automated Bank Service)</t>
  </si>
  <si>
    <t>KYC UPDATE - e.g Signatory Changes</t>
  </si>
  <si>
    <t>20 Minutes</t>
  </si>
  <si>
    <t xml:space="preserve">Account Maintainance- Change Account Type  </t>
  </si>
  <si>
    <t>Process Time (Minutes)</t>
  </si>
  <si>
    <t xml:space="preserve">10 Minutes </t>
  </si>
  <si>
    <t xml:space="preserve">Account Maintainance-Mark Overdraft On Account </t>
  </si>
  <si>
    <t xml:space="preserve">Account Maintainance-Unmark Overdraft On Account </t>
  </si>
  <si>
    <t>Branch Reviews Previous Day's Removed Sweeping  Accounts(Branch Manager, CSO)</t>
  </si>
  <si>
    <t>Process Time (Up To Testing Functionality By Merchant Service Department )</t>
  </si>
  <si>
    <t xml:space="preserve">POS Asset Movement </t>
  </si>
  <si>
    <t>Receive POS Machine From Supplier (Admin)</t>
  </si>
  <si>
    <t>Require  More Time To Anaylse</t>
  </si>
  <si>
    <r>
      <t xml:space="preserve">Process Time </t>
    </r>
    <r>
      <rPr>
        <sz val="11"/>
        <color theme="1"/>
        <rFont val="Calibri"/>
        <charset val="134"/>
        <scheme val="minor"/>
      </rPr>
      <t>(Up To Testing Functionality By Merchant Service Department )</t>
    </r>
  </si>
  <si>
    <t>Processing Time Per Merchant (Variable)</t>
  </si>
  <si>
    <t>1 Day</t>
  </si>
  <si>
    <t>Processing Time</t>
  </si>
  <si>
    <t xml:space="preserve">Safe Custody </t>
  </si>
  <si>
    <t xml:space="preserve">Training </t>
  </si>
  <si>
    <t xml:space="preserve">Process Time </t>
  </si>
  <si>
    <t xml:space="preserve">1 Month </t>
  </si>
  <si>
    <t xml:space="preserve">15 Days </t>
  </si>
  <si>
    <t xml:space="preserve">Processing Time </t>
  </si>
  <si>
    <t>15 Days</t>
  </si>
  <si>
    <t>1 Week</t>
  </si>
  <si>
    <t xml:space="preserve"> 2 weeks</t>
  </si>
  <si>
    <t xml:space="preserve">Biller Engagement </t>
  </si>
  <si>
    <t>Signing Of NDA</t>
  </si>
  <si>
    <t xml:space="preserve">Opening Of Operating Account And Suspense Account </t>
  </si>
  <si>
    <t>Signing Of Contract /MOU</t>
  </si>
  <si>
    <t xml:space="preserve">Complete Business Requirement Document(BRD)Signed By Executives </t>
  </si>
  <si>
    <t xml:space="preserve">Setup  Of Technical Team </t>
  </si>
  <si>
    <t xml:space="preserve">Sharing Of API Documentation </t>
  </si>
  <si>
    <t>Development /Intergration Of Billers</t>
  </si>
  <si>
    <t xml:space="preserve">Conduct System Intergration Testing </t>
  </si>
  <si>
    <t>Conduct UAT</t>
  </si>
  <si>
    <t>Executive Sign Off</t>
  </si>
  <si>
    <t xml:space="preserve">Migration To Production </t>
  </si>
  <si>
    <t xml:space="preserve">Pilot Test </t>
  </si>
  <si>
    <t xml:space="preserve"> Launch </t>
  </si>
  <si>
    <t xml:space="preserve">6 Months </t>
  </si>
  <si>
    <t>TIME</t>
  </si>
  <si>
    <t xml:space="preserve">Time </t>
  </si>
  <si>
    <t>CCD Staff Checks If The Seal And The Lock Were Not Tampered With</t>
  </si>
  <si>
    <t xml:space="preserve">CCD Staff Takes The Loaded Trunk To Vault And Verifies Cash </t>
  </si>
  <si>
    <t>Total process time (Daily Activity )</t>
  </si>
  <si>
    <t>24 Hours</t>
  </si>
  <si>
    <t>Total process time (Up To Dispatch)</t>
  </si>
  <si>
    <t>1 Hour</t>
  </si>
  <si>
    <t xml:space="preserve">Total process time </t>
  </si>
  <si>
    <t xml:space="preserve">3 Hours </t>
  </si>
  <si>
    <t>3Mins</t>
  </si>
  <si>
    <t>Total Process Time</t>
  </si>
  <si>
    <t>Analyse And Process Rejections (Salaries Clerk And Salaries Team Leader)</t>
  </si>
  <si>
    <t>Total Process Time In Minutes</t>
  </si>
  <si>
    <t>Log Onto Zeepay Gateway (Salaries Cleck)</t>
  </si>
  <si>
    <t>Check For Rejects (Salaries Cleck)</t>
  </si>
  <si>
    <t>Clear Manual Resolve (Rejects) If Available (Salaries Clerk)</t>
  </si>
  <si>
    <t>30 Minutes</t>
  </si>
  <si>
    <t>If Funds Have Not Been Moved From The Wash Account (Suspense Account), Capture Transaction In IDC (Salaries Clerk)</t>
  </si>
  <si>
    <t>Processing Time In minutes</t>
  </si>
  <si>
    <t>Validate If Instruction And Excel Schedule Are Tallying (Salaries Clerk)</t>
  </si>
  <si>
    <t>Download The Excel Schedule And Save It In The Respective Folder (Salaries Clerk)</t>
  </si>
  <si>
    <t>Format The Excel File To Match The Acceptable Standard (Salaries Clerk)</t>
  </si>
  <si>
    <t>Upload The File In Salaries Portal (Salaries Clerk)</t>
  </si>
  <si>
    <t>Authorise The File In Salaries Portal (Salaries Team Leader)</t>
  </si>
  <si>
    <t>Download System Response Report And Share With Customer (Salaries Clerk)</t>
  </si>
  <si>
    <t>Comment: Customers Should Be Migrated To NovaPay</t>
  </si>
  <si>
    <t xml:space="preserve">Payment Goes Through Sanctions Screening </t>
  </si>
  <si>
    <t xml:space="preserve">Compliance Reviews Proposal </t>
  </si>
  <si>
    <t xml:space="preserve">If The Proposal Is False Positive Payment Is Released </t>
  </si>
  <si>
    <t xml:space="preserve">If Its A Positive Hit Compliance Will Review </t>
  </si>
  <si>
    <t>If Its A Positive Hit Payment Will Be Blocked And Cancelled</t>
  </si>
  <si>
    <t>6Hrs</t>
  </si>
  <si>
    <t xml:space="preserve">Request For Disposal Instructions  If There Are No Standing Instructions </t>
  </si>
  <si>
    <t xml:space="preserve">IB Officer Captures Payment And Advises Treasury On Any Regulatory Liquidation   </t>
  </si>
  <si>
    <t xml:space="preserve">Treasury Front Office Provides Exchange Rates For Liquidation </t>
  </si>
  <si>
    <t xml:space="preserve">IB Manager Or  Authorizes Payments In CBS </t>
  </si>
  <si>
    <t>IB Officer Advises The Branch Or CIB</t>
  </si>
  <si>
    <t>Send The Return To ZINARA For Approval (MTA Officer)</t>
  </si>
  <si>
    <t>Receive Approval From ZINARA Showing The Quantity Of FVDs Allocated To The Bank</t>
  </si>
  <si>
    <t>Request For An Invoice From ZINARA Finance Office (MTA Officer)</t>
  </si>
  <si>
    <t>Receive FVDs Invoice From ZINARA And Submit To Finance For Payment Processing (MTA Officer)</t>
  </si>
  <si>
    <t>Collect FVDs From ZINARA (MTA Officer)</t>
  </si>
  <si>
    <t>Distribute FVDs To Branches (MTA Officer)</t>
  </si>
  <si>
    <t>5Days</t>
  </si>
  <si>
    <t>Determine The Amount Required To Maintain The Float (MTA Officer)</t>
  </si>
  <si>
    <t>Capture Commission Received From Icecash In CBS (MTA Officer)</t>
  </si>
  <si>
    <t xml:space="preserve">3 Days </t>
  </si>
  <si>
    <t>72 Hours</t>
  </si>
  <si>
    <t>Site Visit By Branch Manager /Area Micro Finance Officer(AMFO)</t>
  </si>
  <si>
    <t xml:space="preserve">96Hrs </t>
  </si>
  <si>
    <t xml:space="preserve">Loan Origination Corporate Loan </t>
  </si>
  <si>
    <t xml:space="preserve">Loan Origination Microfinance Personal Loan AFC Client </t>
  </si>
  <si>
    <t xml:space="preserve">15 Minutes </t>
  </si>
  <si>
    <t>Total process time (Up To USD10 000)</t>
  </si>
  <si>
    <t>Total process time (Up To USD20 000)</t>
  </si>
  <si>
    <t>Total process time (Up To USD50 000)</t>
  </si>
  <si>
    <t>2 Days</t>
  </si>
  <si>
    <t>Total process time (Up To USD500 000)</t>
  </si>
  <si>
    <t>Total process time (Above USD500 000)</t>
  </si>
  <si>
    <t>2 Weeks</t>
  </si>
  <si>
    <t>Check for Correctness , Completeness of  Supporting Documents, Loan Status , Decline When Request Does Not Meet Required Standard (Credit Analyst )</t>
  </si>
  <si>
    <t>Send Decision Sheet To Branch And Legal Department</t>
  </si>
  <si>
    <t>Total process time - Credit Committee</t>
  </si>
  <si>
    <t>Total process time - Board Loans And Advance Committee</t>
  </si>
  <si>
    <t>2 Week</t>
  </si>
  <si>
    <t>Send The Request To Credit Committe (Senior Credit Manager)</t>
  </si>
  <si>
    <t>On Approval By Credit Committee, Send Decision To The Respective Units For Implementation  (Credit Analyst)</t>
  </si>
  <si>
    <t>Credit Committee Recommends To BLAC For Approval</t>
  </si>
  <si>
    <t xml:space="preserve"> BLAC Approves /Declines /Defers</t>
  </si>
  <si>
    <t>Total process time  Credit Committee</t>
  </si>
  <si>
    <t xml:space="preserve">1 Week </t>
  </si>
  <si>
    <t>Total process time BLAC</t>
  </si>
  <si>
    <t xml:space="preserve">2 Weeks </t>
  </si>
  <si>
    <t xml:space="preserve">2minutes </t>
  </si>
  <si>
    <t xml:space="preserve">TIME </t>
  </si>
  <si>
    <t xml:space="preserve">3minutes </t>
  </si>
  <si>
    <t>Forward Application To IB If Approved Collateral Is Available; If Not, Forward To Credit Or Return To Client</t>
  </si>
  <si>
    <t xml:space="preserve"> If Secured By Collateral Proceed To Issuance (IB Officer)</t>
  </si>
  <si>
    <t>IB Officer Captures SWIFT Message</t>
  </si>
  <si>
    <t>First Level Authorisation In SWIFT By Treasury BackOffice Manager/ Supervisor</t>
  </si>
  <si>
    <t>Second Level Authorisation In SWIFT By IB Manager/ Supervisor</t>
  </si>
  <si>
    <t>Prepares Cover Letter (IB Officer)</t>
  </si>
  <si>
    <t xml:space="preserve">Cover Letter Counter Signed By IB Manager And Head Treasury </t>
  </si>
  <si>
    <t>Claims Received Via SWIFT (IB Officer)</t>
  </si>
  <si>
    <t>IB Manager And Head Treasury Verifies Authenticity And Compliance Of The Claims</t>
  </si>
  <si>
    <t>If Valid - Debit Client Or Collateral And Pay Beneficiary (IB Officer)</t>
  </si>
  <si>
    <t>Entries Authorized By IB Manager / Supervisor</t>
  </si>
  <si>
    <t>Mark File (Expired Or Released ) By IB Officer</t>
  </si>
  <si>
    <t>Archive Separately From Active Guarantees (IB Officer)</t>
  </si>
  <si>
    <t>Time</t>
  </si>
  <si>
    <t xml:space="preserve">Letters Of Credit </t>
  </si>
  <si>
    <t xml:space="preserve">IB Supervisor Receives Documents For Examination </t>
  </si>
  <si>
    <t>IB Manager Verifies The Documents And Submits For Approval To The Head Of Treasury</t>
  </si>
  <si>
    <t>If The Documents Are Compliant, Process Payment In CBS And SWIFT (IB Officer)</t>
  </si>
  <si>
    <t>IB Manager/ Supervisor Authorises The Captured Transaction In SWIFT And CBS</t>
  </si>
  <si>
    <t>If The Discrepancy Is Found, Client Is Notified For A Waiver Or Correction (IB Supervisor)</t>
  </si>
  <si>
    <t>IB Manager Verifies The Discrepancies And Submits For Approval To The Head Of Treasury</t>
  </si>
  <si>
    <t>Maintain And Track Letter Of Credit (IB Officer)</t>
  </si>
  <si>
    <t>IB Officer Marks The File as Fully Utilised</t>
  </si>
  <si>
    <t>Negotiate For An Offshore Loan (Group CEO/MD /Head Treasury And IB)</t>
  </si>
  <si>
    <t>Legal Review (NDA, Indicative Term Sheet) By Legal Department</t>
  </si>
  <si>
    <t>Seek Board Approval (Head Of Legal And Head Treasury And IB)</t>
  </si>
  <si>
    <t>Submit Conditions Precedent To Lender (IB Manager)</t>
  </si>
  <si>
    <t>Review Draft Agreements from Lender (IB Manager, Head of Legal, Head Treasury And IB, And Business</t>
  </si>
  <si>
    <t>Signing of Final Agreement By The MD And One Of The Executive Directors (Facilitated By Head Treasury And IB, Head Legal)</t>
  </si>
  <si>
    <t>Prepare Application Letter For RBZ / ELECRC Registration (IB Supervisor)</t>
  </si>
  <si>
    <t>Approve Application Letter (IB Manager and Head Treasury and IB)</t>
  </si>
  <si>
    <t>IB Officer Submits Application Letter And Supporting Documents To RBZ Through Document Management System (DMS)</t>
  </si>
  <si>
    <t>IB Manager/ Approves Submission in DMS</t>
  </si>
  <si>
    <t xml:space="preserve"> IB Supervisor Diaries a 7  Day follow Up If There is No Response</t>
  </si>
  <si>
    <t>Receives Funds From Offshore Lender and Process Entries In CBS (IB Officer)</t>
  </si>
  <si>
    <t>IB Supervisor/Manager Authorises Entry in CBS</t>
  </si>
  <si>
    <t xml:space="preserve">IB Supervisor Notifies Business/CIB For On Lending To Clients </t>
  </si>
  <si>
    <t>IB Supervisor Notifies Treasury To Capture Liability Entries</t>
  </si>
  <si>
    <t>IB Manage Monitors Loan Repayments ( Non Payments is Escalated to The Clients Relationship Manager)</t>
  </si>
  <si>
    <t>IB Supervisor Ensures Regulatory Reporting To RBZ</t>
  </si>
  <si>
    <t>Once Loan is Repayed It is Marked As Closed</t>
  </si>
  <si>
    <t>Time (Execution)</t>
  </si>
  <si>
    <t>6mths- 1yr</t>
  </si>
  <si>
    <t>Download Reports From Core Banking Systems (Debt Recovery Manager )</t>
  </si>
  <si>
    <t>Identify Defaulters - Overdue Loans OR Excesses (DR Officers And DR Manager )</t>
  </si>
  <si>
    <t>Engage Defaulters Via The Branch Through Telephone And Email (DR Officers And DR Manager )</t>
  </si>
  <si>
    <t>Receive Proposal Or Payment Plan From Defaulters (DR Manager)</t>
  </si>
  <si>
    <t>Assess Source Of Funds Against Total Debt</t>
  </si>
  <si>
    <t>Visit To Verify Business Operations Of The Customer (Where Necessary )By Branches Or DR Department</t>
  </si>
  <si>
    <t>Accept /Rejects Payment Plan(DR Manager)</t>
  </si>
  <si>
    <t>Monitor Repayments Until The Debt Is Fully Paid (DR Officers And DR Manager )</t>
  </si>
  <si>
    <t xml:space="preserve">If Customer Is Not Reachable Or Cooperating Request Branch To Visit The Customer </t>
  </si>
  <si>
    <t>If Customer Is Still Not  Cooperating Branch Sends The First Reminder Letter Under Instruction From DR (Branches Can Also Send Through Own Intiatives ) 7 Days To Pay</t>
  </si>
  <si>
    <t xml:space="preserve">If Customer Fails To Respond Within 7 Days  Of Issuing The First Letter Branch Sends The Second Reminder Letter </t>
  </si>
  <si>
    <t xml:space="preserve">If Customer Fails To Respond To The Second Reminder Letter The Debt Is Formally Handed Over To DR Department  </t>
  </si>
  <si>
    <t>Engage Customer/ Guarantor / Employer/Next Of Kin</t>
  </si>
  <si>
    <t xml:space="preserve">Issue Final Letter Of Demand(14 Days To Pay)By DR Manager </t>
  </si>
  <si>
    <t>If The Debt Is Not Secured Handover To Legal Department (By DR Manager )</t>
  </si>
  <si>
    <t>If The Debt Is Secured Issue A Call Up Letter (By DR Manager)</t>
  </si>
  <si>
    <t>Issue Instruction To Auctioneer To Attach The Asset Secured Against The Debt (By DR Manager )</t>
  </si>
  <si>
    <t>Issue Instruction To Auctioneer For Removal / Collection Of The Attached Asset (By DR Manager )</t>
  </si>
  <si>
    <t>Seek Authority From Credit Committee To Dispose Asset Through Auction</t>
  </si>
  <si>
    <t>Issue Instruction To Auctioneer For Execution Of Attached Asset (By DR Manager)</t>
  </si>
  <si>
    <t>Issue Instruction To Auctioneer For Valuation Of Asset (By DR Manager)</t>
  </si>
  <si>
    <t>Issue Instruction To Auctioneer For Auctioning Of Asset (By DR Manager)</t>
  </si>
  <si>
    <t>Receive Post Auction Report From The Auctioneer (By DR Manager)</t>
  </si>
  <si>
    <t>Seek Authority From Credit Committee To Accept Offered Bid Price(By DR Manager)</t>
  </si>
  <si>
    <t>Give Instruction To Auctioneer To Proceed  With Final Sale(By DR Manager)</t>
  </si>
  <si>
    <t>Attend To ZIMRA Interviews For Capital Gains Assessement  (By DR Manager)</t>
  </si>
  <si>
    <t>Give Instruction To Auctioneer To Transfer Funds To The Bank Suspense Account (By DR Manager)</t>
  </si>
  <si>
    <t>Prepare Entries For Transferring Funds From Suspense Account Into Customer Account (By DR Officer)</t>
  </si>
  <si>
    <t>Approve Entries For Funds Transfer (By DR Manager)</t>
  </si>
  <si>
    <t>Capture Funds Transfer In CBS (By Banking Operations Clerk)</t>
  </si>
  <si>
    <t>Authorize Funds Transfer And CBS (By Bank Operations Manager)</t>
  </si>
  <si>
    <t>If The Funds From Sale Of Asset Is Not Adequate To Cover The Debt Look For Other Assets Available (By DR Manager)</t>
  </si>
  <si>
    <t>If No Assets Are Available  Move To The Guarantor (By DR Manager)</t>
  </si>
  <si>
    <t>If No Assets Are Available From The Guarantor Seek Authority For Civil Imprisonment (By DR Manager)</t>
  </si>
  <si>
    <r>
      <rPr>
        <b/>
        <sz val="11"/>
        <color theme="1"/>
        <rFont val="Calibri"/>
        <charset val="134"/>
        <scheme val="minor"/>
      </rPr>
      <t>TIME</t>
    </r>
    <r>
      <rPr>
        <sz val="11"/>
        <color theme="1"/>
        <rFont val="Calibri"/>
        <charset val="134"/>
        <scheme val="minor"/>
      </rPr>
      <t xml:space="preserve"> (Extreme case up to disposal of asset)</t>
    </r>
  </si>
  <si>
    <t>12 months</t>
  </si>
  <si>
    <t xml:space="preserve">Identify Running High Value Loans From Loan Origination Group Emails (Corporate Banking, Business Banking - above USD40000 or ZWG equivalence, Specific Products) </t>
  </si>
  <si>
    <t>Check Compliance With Deposit Covenants and Compliance with Security Perfection</t>
  </si>
  <si>
    <t>Remind Lending Units of Next Installment Date (30 days before)</t>
  </si>
  <si>
    <t>Remind Lending Units of Maturity Date (90 days before)</t>
  </si>
  <si>
    <t>Embark on Continuous Monitoring</t>
  </si>
  <si>
    <t>Monitor All Past Due Staff Loans</t>
  </si>
  <si>
    <t>Report Issues Observed From Monitoring to Head of Risk and HR for Staff Loans</t>
  </si>
  <si>
    <t>Report Issues Observed from Monitoring to Head of Risk for Non-staff Loans</t>
  </si>
  <si>
    <t>Check Interest Rate for the Approved Facility in CBS</t>
  </si>
  <si>
    <t>If There is a Difference Between Approved Interest Rate and the Interest Rate in CBS, Seek Clarification for Corrective Action From Lending Units</t>
  </si>
  <si>
    <t>Perform Adhoc Reviews For not Performing to Expectations</t>
  </si>
  <si>
    <t>Monitor Collection of Management Fees on Review Date</t>
  </si>
  <si>
    <t>8 Hours</t>
  </si>
  <si>
    <t>Download QDMS Report (Queries), SFTP Report, Zeepay Report (eBanking Clerk) By 08:30</t>
  </si>
  <si>
    <t>Sum Up Net Figures From The 3 Reports To Determine Settlement Figure (eBanking Clerk)</t>
  </si>
  <si>
    <t>Send The Net Settlement Figure To Treasury FrontOffice Through Email (eBanking Clerk)</t>
  </si>
  <si>
    <t>Receive Query From Customer Through Branch/Contact Centre</t>
  </si>
  <si>
    <t>Log Query On ISupport</t>
  </si>
  <si>
    <t>Receive Queries On ISupport From Branches/Contact Centre (EBanking Clerk)</t>
  </si>
  <si>
    <t>Analyse Query To Ascertain Action Required (EBanking Clerk)</t>
  </si>
  <si>
    <t>Log Query On Query And Dispute Management System (QDMS) And On Email Through Zimswitch To Other Banks  (EBanking Clerk)</t>
  </si>
  <si>
    <t xml:space="preserve">Receive Reimbursement From Other Banks Through Zimswitch Within 72 Hours </t>
  </si>
  <si>
    <t>Capture Reimbursement Amount From Suspense Account To Customer Account In CBS (E Banking Clerk)</t>
  </si>
  <si>
    <t>Approve Reimbursement Amount From Suspense Account To Customer Account In CBS (E Banking Manager )</t>
  </si>
  <si>
    <t>Receive Query Through QDMS From Other Banks</t>
  </si>
  <si>
    <t>Accept Or Dispute Query In QDMS (EBanking Clerk)</t>
  </si>
  <si>
    <t>Capture Transaction In CBS-DR Merchant A/C, CR Settlement Suspense Account (EBanking Clerk)</t>
  </si>
  <si>
    <t>Approve Transaction In CBS (EBanking Manager)</t>
  </si>
  <si>
    <t>Update Query Status In QDMS (EBanking Clerk)</t>
  </si>
  <si>
    <t>Determine The Amount Required To Maintain The Float (eBanking Clerk)</t>
  </si>
  <si>
    <t>Request For Fiscal Invoice From Admin (eBanking Clerk)</t>
  </si>
  <si>
    <t>Capture Commission Received From Powertel In CBS (eBanking Clerk)</t>
  </si>
  <si>
    <t>Authorise The Captured Commission (eBanking Manager)</t>
  </si>
  <si>
    <t>4 Hours</t>
  </si>
  <si>
    <t>Request Invoices From Billers (eBanking Clerk)</t>
  </si>
  <si>
    <r>
      <rPr>
        <b/>
        <sz val="11"/>
        <color theme="1"/>
        <rFont val="Calibri"/>
        <charset val="134"/>
        <scheme val="minor"/>
      </rPr>
      <t>Loan Monitoring CIB</t>
    </r>
    <r>
      <rPr>
        <sz val="11"/>
        <color theme="1"/>
        <rFont val="Calibri"/>
        <charset val="134"/>
        <scheme val="minor"/>
      </rPr>
      <t xml:space="preserve"> </t>
    </r>
  </si>
  <si>
    <t xml:space="preserve">Verification Of Amount Disbursed And Fees Collected (Insurance And Interest)-Credit Analyst/ CRM </t>
  </si>
  <si>
    <t>Verify Loan Schedule And Repayment Frequency(Credit Analyst/ CRM )</t>
  </si>
  <si>
    <t>Monitor The Use Of Funds -To Be In Line With Purpose (Credit Analyst/ CRM )</t>
  </si>
  <si>
    <t xml:space="preserve">Carry Out Post Disbursement Site Visit To Assess Utilisation Of Loan </t>
  </si>
  <si>
    <t xml:space="preserve">Analysis Of Quaterly Management Accounts </t>
  </si>
  <si>
    <t>Continously Monitor External Environment For any Potential Risks That Can Affect the Customer</t>
  </si>
  <si>
    <t>Submission of Loan Monitoring Reports Including Adhoc Reports</t>
  </si>
  <si>
    <t>Monitor Clients Preparedness to Meet Installment</t>
  </si>
  <si>
    <t>Trigger Customer Engagement where Risk of Non Payment is High</t>
  </si>
  <si>
    <t>If Loan is Overdue, Engage the Customer (CRM/CA) And Report To Line Management  And Debt Recoveries</t>
  </si>
  <si>
    <t xml:space="preserve">On All Performing Loans Process Renewal Request At Least 3 Months Before Expiry </t>
  </si>
  <si>
    <t xml:space="preserve">Loan Monitoring Retail  Consumer Loan </t>
  </si>
  <si>
    <t>Verify Loan Schedule And Repayment Frequency(Branch Manager /CSO/Enquiries Officer )</t>
  </si>
  <si>
    <t>If Loan is Overdue, Engage the Customer (Branch Manager /CSO / Enquiries Officer) And Report To Line Management  And Debt Recoveries (Depending On Amount)</t>
  </si>
  <si>
    <t xml:space="preserve">Prepare Handover Report To Debt Recoveries </t>
  </si>
  <si>
    <t>Receive The Decision Sheet From CIB/Credit Department (Credit Admin Manager/Supervisor)</t>
  </si>
  <si>
    <t xml:space="preserve">Prepare Draft Agreement And Covenants Documents e.g Limited Guarantees, Cessions Of Insurances e.t.c (Credit Admin Clerk) </t>
  </si>
  <si>
    <t>Verify Draft Agreement Against Decision Sheet And Covenants Documents (Credit Admin Manager/Supervisor)</t>
  </si>
  <si>
    <t>Receive Signed Disbursement Certificate, Signed Facility Agreement And The Liquidity Approval (Credit Admin Manager)</t>
  </si>
  <si>
    <t>Verify The Documents Against The Decision Sheet (Credit Admin Manager/Supervisor)</t>
  </si>
  <si>
    <t xml:space="preserve">Create Limit In Collateral Loan Management System (CLMS) For Secured Loans (Credit Admin Clerk) </t>
  </si>
  <si>
    <t>Authorise Limit Setup in CLMS (Supervisor/Credit Admin Manager)</t>
  </si>
  <si>
    <t xml:space="preserve">Book A Loan In Loan Management System (LMS) e.g Loan Amount, Tenure, Interest, Repayment Schedule e.t.c (Credit Admin Clerk) </t>
  </si>
  <si>
    <t>Authorise The Loan Booking in LMS (Supervisor/Credit Admin Manager)</t>
  </si>
  <si>
    <t xml:space="preserve">Capture The Required Amount As Per The Disbursement Certificate (Credit Admin Clerk) </t>
  </si>
  <si>
    <t>Send Disbursement Confirmation To CIB (Credit Admin Clerk)</t>
  </si>
  <si>
    <t>Receive The Decision Sheet From Credit Department (Credit Admin Manager/Supervisor)</t>
  </si>
  <si>
    <t>Send Disbursement Confirmation To Branch/Business Banking Unit  (Credit Admin Clerk)</t>
  </si>
  <si>
    <t>Receive Disbursement Certificate, Decision Sheet And The Liquidity Approval From Legal Department/Credit Department (Credit Admin Manager/Supervisor)</t>
  </si>
  <si>
    <t>Send Disbursement Confirmation To Branch (Credit Admin Clerk)</t>
  </si>
  <si>
    <t>Total Process Time (Minutes)</t>
  </si>
  <si>
    <t>Prepare Facility Agreement (Credit Admin Clerk)</t>
  </si>
  <si>
    <t>Verify Facility Agreement (Supervisor/Credit Admin Manager)</t>
  </si>
  <si>
    <t>Upoad The Facility Agreement On FlexiDoc (Supervisor/Credit Admin Manager)</t>
  </si>
  <si>
    <t>Receive The Signed Facility Agreement On FlexiDoc(Supervisor/Credit Admin Manager)</t>
  </si>
  <si>
    <t>Check and Verify The Signed Facility Agreement (Credit Admin Manager)</t>
  </si>
  <si>
    <t>Capture The Loan Record On Off Balance Sheet Management System (OBMFS) (Credit Admin Clerk)</t>
  </si>
  <si>
    <t>Authorise The Loan On OBMFS (Supervisor)</t>
  </si>
  <si>
    <t>Verify The Loan Disbursement Process (Credit Admin Manager)</t>
  </si>
  <si>
    <t xml:space="preserve">Total Process Time </t>
  </si>
  <si>
    <t>1 hour</t>
  </si>
  <si>
    <t>Receive Instruction From The Branch/Department (Condition Adjustments,Loan Pay Off, Advance Payments,Principal Reductions,Loan Closure )</t>
  </si>
  <si>
    <t>Analyse the request for completeness  And Compliance(Credit Admin Clerk)</t>
  </si>
  <si>
    <t>Adjust Accordingly in LMS (Credit Admin Clerk)</t>
  </si>
  <si>
    <t>Verify  And Authorise Adjustment in LMS (Supervisor/Credit Admin Manager)</t>
  </si>
  <si>
    <t>Salary Batch Uploading On AFC Digital Loan Platform</t>
  </si>
  <si>
    <t xml:space="preserve">Capture The Approved Overdraft Limit (Credit Admin Clerk) </t>
  </si>
  <si>
    <t xml:space="preserve">Forward Agreement To Branch/Business Banking Unit(BBU)/CIB (Credit Admin Clerk) </t>
  </si>
  <si>
    <t>Receive Signed Disbursement Certificate, Signed Facility Agreement (Credit Admin Manager)</t>
  </si>
  <si>
    <t>Send The Guarantee Letter To CIB/BBU (Supervisor/Credit Admin Manager)</t>
  </si>
  <si>
    <t xml:space="preserve">Create Limit In Collateral Loan Management System (CLMS) For Secured Bank Guarantees (Credit Admin Clerk) </t>
  </si>
  <si>
    <t>Capture The Bank Guarantee In CBS (Credit Admin Clerk)</t>
  </si>
  <si>
    <t>Authorise The Bank Guarantee in CBS (Supervisor/Credit Admin Manager)</t>
  </si>
  <si>
    <t>Forward The Failed Transactions To The Branch (Supervisor/Credit Admin Manager)</t>
  </si>
  <si>
    <t>Upload Daily/Monthly  Return To RBZ   (CRB Clerk)</t>
  </si>
  <si>
    <t>Calculate Premium  (Bancassurance Clerk)</t>
  </si>
  <si>
    <t>Confirm Premium Collected In The Premium Suspense Account (Bancassurance Clerk)</t>
  </si>
  <si>
    <t>Submit The Proposal Forms Together With The Proof Of Payment To The Insurer (Bancassurance Clerk)</t>
  </si>
  <si>
    <t>Submit The Policy Document To The Branch (Bancassurance Clerk)</t>
  </si>
  <si>
    <t>Total Process Time (Days)</t>
  </si>
  <si>
    <t>Check the Balance In The Premium Suspense Account Weekly  (Bancassurance Clerk)</t>
  </si>
  <si>
    <t>Prepare A Premium Remittance Schedule  (Bancassurance Clerk)</t>
  </si>
  <si>
    <t>Verify And Authorise Funds Transfer In CBS ( E Banking Manager)</t>
  </si>
  <si>
    <t>Send Proof Of Payment To The Insurer  (Bancassurance Clerk)</t>
  </si>
  <si>
    <t>Total Process Time Hours</t>
  </si>
  <si>
    <t>2 Hours</t>
  </si>
  <si>
    <t>Receive Previous Day's Ice Cash Transactions Through Email (Bancassurance Clerk)</t>
  </si>
  <si>
    <t>Match The Two Reports With The Premium Collected In The Suspense Account (Bancassurance Clerk)</t>
  </si>
  <si>
    <t>Prepare A Consolidated Return Of The Premium Indicating The Commission Recievable(Bancassurance Clerk)</t>
  </si>
  <si>
    <t>Submit The Return To The Insurer And Ebanking Manager (Bancassurance Clerk)</t>
  </si>
  <si>
    <t xml:space="preserve"> Confirm Receipt Of The Commission From Insurer In CBS (Bancassurance Clerk)</t>
  </si>
  <si>
    <t>7Days</t>
  </si>
  <si>
    <t>Check The Documents To Ascertain Completeness And Compliance  (Bancassurance Clerk)</t>
  </si>
  <si>
    <t>Record The Claim Details In The Claims Register  (Bancassurance Clerk)</t>
  </si>
  <si>
    <t>Submit The Claims Documents To The Insurer  (Bancassurance Clerk)</t>
  </si>
  <si>
    <t>Monitor Settlement Of Claim  (Bancassurance Clerk)</t>
  </si>
  <si>
    <t>Communicate Claim Settlement Details To The Claimant  (Bancassurance Clerk)</t>
  </si>
  <si>
    <t>3 Weeks</t>
  </si>
  <si>
    <t>Receive Loan Protection Request From The Branch  (Bancassurance Clerk)</t>
  </si>
  <si>
    <t>Prepare The Quotation  (Bancassurance Clerk)</t>
  </si>
  <si>
    <t>Confirm Premium Collection By Branch In CBS (Bancassurance Clerk)</t>
  </si>
  <si>
    <t>Prepare Loan Protection Confirmation Of Cover  (Bancassurance Clerk)</t>
  </si>
  <si>
    <t>Send The Confirmation To The Branch For Onward Submission To The Client  (Bancassurance Clerk)</t>
  </si>
  <si>
    <t>Download Loan Insurance Report From LMS  (Bancassurance Clerk)</t>
  </si>
  <si>
    <t>Prepare Self Insurance Perfomance Report To The E-Banking Manager  (Bancassurance Clerk)</t>
  </si>
  <si>
    <t>Communicate Settlement Details To The Claimant (Bancassurance Clerk)</t>
  </si>
  <si>
    <t>Register The Claim In The Calims Register (Bancassurance Clerk)</t>
  </si>
  <si>
    <t>Create A claims File For The Claimant (Bancassurance Clerk)</t>
  </si>
  <si>
    <t>Calculate The Claim Settlement Amount (Bancassurance Clerk)</t>
  </si>
  <si>
    <t>Prepare A Cash In Lieu To The Claimant (Bancassurance Clerk)</t>
  </si>
  <si>
    <t>Submit The Cash In Lieu To The Claimant (Bancassurance Clerk)</t>
  </si>
  <si>
    <t>Prepare And Send Settlement Schedule For Processing To Central Operations (Bancassurance Clerk)</t>
  </si>
  <si>
    <t>Send Proof Of Payment To The Claimant (Bancassurance Clerk)</t>
  </si>
  <si>
    <t>Prepare A Memorandum  To Handover The Rejected Claim To Debt Recoveries (Bancassurance Clerk)</t>
  </si>
  <si>
    <t>14 Days</t>
  </si>
  <si>
    <t>Check The Reserve Balances To Determine The Limit -30% Of The Premiums (Bancassurance Clerk)</t>
  </si>
  <si>
    <t>Prepare And Send  An Investment Report To The E Banking Manager (Bancassurance Clerk)</t>
  </si>
  <si>
    <t>Review And Forward To Head Of Banking Operations ( E Banking Manager)</t>
  </si>
  <si>
    <t>Submit Report To Executive Committee For Approval (Head Of Banking Operations)</t>
  </si>
  <si>
    <t>On Approval Notify Treasury Front Office (Bancassurance Clerk)</t>
  </si>
  <si>
    <r>
      <rPr>
        <b/>
        <sz val="11"/>
        <color theme="1"/>
        <rFont val="Calibri"/>
        <charset val="134"/>
        <scheme val="minor"/>
      </rPr>
      <t>Total Process Time (</t>
    </r>
    <r>
      <rPr>
        <sz val="11"/>
        <color theme="1"/>
        <rFont val="Calibri"/>
        <charset val="134"/>
        <scheme val="minor"/>
      </rPr>
      <t>New Process No Investment Yet)</t>
    </r>
  </si>
  <si>
    <t>Check Liquidity Position In RTGS System (Perago) (Junior Dealer/ Dealer/ Senior Dealer)</t>
  </si>
  <si>
    <t>If The Liquidity Position Is Not Adequate to Cover Queued Payments, Source Funds From The Market (Junior Dealer/ Dealer/ Senior Dealer)</t>
  </si>
  <si>
    <t>If The Liquidity Position Is In Excess, Look For Counterparties In The Market To Place The Funds(Junior Dealer/ Dealer/ Senior Dealer)</t>
  </si>
  <si>
    <t>Verify With Treasury Operations On The Availability Of Matching Securities eg Treasury Bills (Junior Dealer/ Dealer/ Senior Dealer)</t>
  </si>
  <si>
    <t>Conclude The Deal Terms With Counterparty Via Telephone / Refinitiv System(Junior Dealer/ Dealer/ Senior Dealer)</t>
  </si>
  <si>
    <t>Send Deal Confirmation Through Email To Counterparties As Per Conversation (Junior Dealer/ Dealer/ Senior Dealer)</t>
  </si>
  <si>
    <t>Receive Deal Confirmation From The CounterParty through Email (Junior Dealer/ Dealer/ Senior Dealer)</t>
  </si>
  <si>
    <t>Send The Deal To Treasury Operations Through Email For Them To Contact The Counterparty BackOffice And To Release The Security (Junior Dealer/ Dealer/ Senior Dealer)</t>
  </si>
  <si>
    <t>Check And Confirm The Receipt of Funds In RTGS System (Junior Dealer/ Dealer/ Senior Dealer)</t>
  </si>
  <si>
    <t>Capture The Deal In CBS Treasury Module (Junior Dealer)</t>
  </si>
  <si>
    <t>Verify And Authorise The Deal In CBS Treasury Module (Dealer/ Senior Dealer)</t>
  </si>
  <si>
    <t>Capture Deal Terms In The Liquidity Report (Dealer/ Senior Dealer)</t>
  </si>
  <si>
    <t> </t>
  </si>
  <si>
    <t>Treasury Front-Office - Fixed Deposits From Corporate Clients</t>
  </si>
  <si>
    <t>Source Deposits From Clients Through Emails Or Phone Calls(Junior Dealer/ Dealer/ Senior Dealer)</t>
  </si>
  <si>
    <t>Receive Investment Instruction From CIB / Retail Banking (Junior Dealer/ Dealer/ Senior Dealer)</t>
  </si>
  <si>
    <t>Capture The Deal In The CBS Treasury Module (Junior Dealer)</t>
  </si>
  <si>
    <t>Retrieve Current Mid Rate From Refinitiv Eikon System/ Internet/ TV/ RBZ By 08:30 (Junior Dealer, Dealer, Senior Dealer)</t>
  </si>
  <si>
    <t>Capture Rates In Staging File For The Automatic Calculation Of Various Rates Requirement eg Visa Rates, Start Of Day Rates(Junior Dealer)</t>
  </si>
  <si>
    <t>Retrieve Visa Rates From The Staging File And Share With EBanking Through Email (Junior Dealer)</t>
  </si>
  <si>
    <t>Upload Start Of Day Rates In The CBS Treasury Module By 10:00 (Junior Dealer)</t>
  </si>
  <si>
    <t>Verify And Authorise Start Of Day Rates In The CBS Treasury Module (Dealer / Senior Dealer)</t>
  </si>
  <si>
    <t>Circulate Exchange Rates For The Day To Internal Stakeholders Through Email By 10:00 (Dealer/ Senior Dealer)</t>
  </si>
  <si>
    <t>Circulate Willing Buyer Willing Seller Rates Through Email To International Banking By 10:00 (Junior Dealer)</t>
  </si>
  <si>
    <t>Retrieve Current Mid Rate From Refinitiv Eikon System / Internet/ TV/ RBZ At 15:30 (Junior Dealer, Dealer, Senior Dealer)</t>
  </si>
  <si>
    <t>Capture Rates In End Of Day File for Revaluation (Dealer)</t>
  </si>
  <si>
    <t>Save The Rates In Repository (Junior Dealer, Dealer, Senior Dealer)</t>
  </si>
  <si>
    <t>Receive Instruction To Switch Currencies From The Branch/ Department (Junior Dealer/ Dealer/ Senior Dealer)</t>
  </si>
  <si>
    <t>Verify Client's Details On The Instruction Sent (Junior Dealer)</t>
  </si>
  <si>
    <t>Capture The Deal In CBS (Junior Dealer)</t>
  </si>
  <si>
    <t>If The Request Is For A Sale Of A Currency, Manually Calculate The Amount To Be Sold Based on The Circulated Rates (Junior Dealer, Dealer, Senior Dealer)</t>
  </si>
  <si>
    <t>Generate Deal Reference (Junior Dealer)</t>
  </si>
  <si>
    <t>Send The Deal Reference To The Branch (Junior Dealer)</t>
  </si>
  <si>
    <t xml:space="preserve">5 Minutes </t>
  </si>
  <si>
    <t>Receive Cash Report From CCD (Junior Dealer/ Dealer/ Senior Dealer)</t>
  </si>
  <si>
    <t>Analyse Cash Requirement Against Cash Threshold Requirements (Dealer/ Senior Dealer)</t>
  </si>
  <si>
    <t>If Cash Position Is Above The Threshold, Look For Takers In The Market Through Telephone(Dealer/ Senior Dealer)</t>
  </si>
  <si>
    <t>Sell The Cash At A Commission (Dealer/ Senior Dealer)</t>
  </si>
  <si>
    <t>Send Deal Confirmation Through Email To The Counterparty As Per Conversation (Dealer/ Senior Dealer)</t>
  </si>
  <si>
    <t>Advise Treasury Operations And CCD For Cash Repatriation (Dealer/ Senior Dealer)</t>
  </si>
  <si>
    <t>Record In The Physical Cash Transaction Register (Junior Dealer)</t>
  </si>
  <si>
    <t>Verify And Sign The Recorded Deal In The Physical Cash Transaction Register (Dealer/ Senior Dealer)</t>
  </si>
  <si>
    <t>Send The Deal Slip To Middle-Office And Treasury Operations (Dealer/ Senior Dealer)</t>
  </si>
  <si>
    <t>Receive Nostro  Position Report And Nostro Bank Statements From International Banking (Junior Dealer/Dealer/ Senior Dealer)</t>
  </si>
  <si>
    <t>Analyse Report To Determine The Nostro Liquidity Position (Dealer/ Senior Dealer)</t>
  </si>
  <si>
    <t>Search For Takers In The Market Based On The Nostro Position (Junior Dealer/Dealer/ Senior Dealer</t>
  </si>
  <si>
    <t>Receive Instruction From Client For Currency Switch  (Junior Dealer/Dealer/ Senior Dealer)</t>
  </si>
  <si>
    <t>Negotiate On Favourable Exchange Rate (Dealer/ Senior Dealer)</t>
  </si>
  <si>
    <t>Once Agreed , Capture Deal In The Treasury Module  (Junior Dealer)</t>
  </si>
  <si>
    <t>Verify And Authorise Deal In The System (Dealer/ Senior Dealer)</t>
  </si>
  <si>
    <t>Receive Instruction From Treasury Front Office (Supervisor RTGS Incoming And Money Markets)</t>
  </si>
  <si>
    <t>Record Time Received On The Deal Slip(Supervisor RTGS Incoming And Money Markets)</t>
  </si>
  <si>
    <t xml:space="preserve">Verify And Validate The Terms Of The Deal(Treasury Operations Officer) </t>
  </si>
  <si>
    <t>Identify Instruments E.g Treasury Bills To Use As Security  (Treasury Operations Manager/ Supervisor  RTGS Incoming And Money Markets)</t>
  </si>
  <si>
    <t>Capture Security In Central Securities Depository System (CSD) / RTGS System ( Treasury Operations Officer)</t>
  </si>
  <si>
    <t>Authorise The Security In CSD/ RTGS System (Treasury Operations Manager /Supervisor )</t>
  </si>
  <si>
    <t>Verify Settlement Of The Security In CSD /RTGS System(Treasury Operations Manager/ Supervisor)</t>
  </si>
  <si>
    <t>Confirm Settlement Of Funds From The Other Bank(Treasury Operations Officer)</t>
  </si>
  <si>
    <t>Capture And Authorize Deal In Treasury Module(Dealers)</t>
  </si>
  <si>
    <t>Capture Deal In Treasury Module (Treasury Operations Officer)</t>
  </si>
  <si>
    <t>Authorise Deal In Treasury Module(Treasury Operations Manager/ Supervisor)</t>
  </si>
  <si>
    <t>Generate /Print Deal Confirmation (Treasury Operations Officer)</t>
  </si>
  <si>
    <t>Sign The Printed Deal Confirmation (Treasury Operations Manager)</t>
  </si>
  <si>
    <t>Send The Deal Confirmation On Email To The Other Bank(Treasury Operations Officer)</t>
  </si>
  <si>
    <t>Capture Entries In CBS -DR RTGS Settlement Account And CR Treasury Transactions Account(Treasury Operations Officer)</t>
  </si>
  <si>
    <t>Verify And Authorise Entries (Treasury Operations Manager / Supervisor)</t>
  </si>
  <si>
    <t xml:space="preserve">2Hours </t>
  </si>
  <si>
    <t>Identify Instruments E.g Treasury Bills To Receive As Security  (Treasury Operations Manager/ Supervisor  RTGS Incoming And Money Markets)</t>
  </si>
  <si>
    <t>Receive Security In Central Securities Depository System (CSD) / RTGS System ( Treasury Operations Officer)</t>
  </si>
  <si>
    <t>Capture Transfer Of Funds To The Other Bank In The RTGS System(Treasury Operations Officer)</t>
  </si>
  <si>
    <t>Authorize Transfer Of Funds To The Other Bank In The RTGS System(Treasury Operations Manager/ Supervisor)</t>
  </si>
  <si>
    <t xml:space="preserve"> Capture And Authorize Deal In Treasury Module(Dealers)</t>
  </si>
  <si>
    <t>Send The Deal Confirmation On Email To The Client(Treasury Operations Officer)</t>
  </si>
  <si>
    <t>Capture Entries In CBS -DR  Client's Account And CR Treasury Transactions Account(Treasury Operations Officer)</t>
  </si>
  <si>
    <t>Total process time Minutes</t>
  </si>
  <si>
    <t xml:space="preserve">Verify And Validate The Terms Of The Deal (Treasury Operations Officer) </t>
  </si>
  <si>
    <t xml:space="preserve">Capture The Transfer Of Funds In The Swift System (Treasury Operations Officer)  </t>
  </si>
  <si>
    <t>Authorise The Transfer Of Funds In the Swift System (Supervisor)</t>
  </si>
  <si>
    <t>Authorise The Transfer Of Funds In the Swift System (Treasury Operations Manager)</t>
  </si>
  <si>
    <t xml:space="preserve">Send Proof Of Payment To The Other Bank Via Email (Treasury Operations Officer)  </t>
  </si>
  <si>
    <t>Receive The Proof Of Payment From The Other Bank  (Treasury Operations Officer)</t>
  </si>
  <si>
    <t>Confirm Settlement And Receipt Of The Funds (Treasury Operations Officer)</t>
  </si>
  <si>
    <t>If Funds Not Debited, Capture A Swift Message (MT199) To The Correspondant Bank (Treasury Operations Officer)</t>
  </si>
  <si>
    <t>Authorise Swift Message (Supervisor)</t>
  </si>
  <si>
    <t>Authorise Swift Message (Treasury Operations Manager)</t>
  </si>
  <si>
    <t>Follow Up With An Email To Confirm Receipt (Treasury Operations Officer)</t>
  </si>
  <si>
    <t>If Funds Not Credited, Follow Up With The Counterpart Bank On Email (Treasury Operations Officer)</t>
  </si>
  <si>
    <t>Verify Amounts Debited and Amounts Credited And Advise Dealers (Treasury Operations Officer)</t>
  </si>
  <si>
    <t>Receive A Manual Deal Slip From Dealers  (Treasury Operations Supervisor)</t>
  </si>
  <si>
    <t>Receive The Rate From The Dealers (Treasury Operations Officer)</t>
  </si>
  <si>
    <t>Capture Deal In CBS (Treasury Operations Officer)</t>
  </si>
  <si>
    <t>Authorise Deal In CBS (Treasury Operations Manager/ Supervisor)</t>
  </si>
  <si>
    <t>Confirm Debit And Credit Entries On the Respective Bank Statements(Treasury Operations Officer)</t>
  </si>
  <si>
    <t xml:space="preserve">Transfer The Funds For The Purchase Of The Securities In The RTGS System (Treasury Operations Officer) </t>
  </si>
  <si>
    <t xml:space="preserve">Authorise The Funds For The Purchase Of The Securities In The RTGS System (Treasury Operations Supervisor / Manager) </t>
  </si>
  <si>
    <t xml:space="preserve">Capture The Securities In The CSD System (Treasury Operations Officer) </t>
  </si>
  <si>
    <t xml:space="preserve">Authorise The Securities In The CSD System (Treasury Operations Supervisor / Manager) </t>
  </si>
  <si>
    <t xml:space="preserve">Capture The Securities In The CBS (Treasury Operations Officer) </t>
  </si>
  <si>
    <t xml:space="preserve">Authorise The Securities In The CBS (Treasury Operations Supervisor / Manager) </t>
  </si>
  <si>
    <t xml:space="preserve">Discount The Securities On Excel (Treasury Operations Manager) </t>
  </si>
  <si>
    <t xml:space="preserve">Share The Discounted Values With The Dealers (Treasury Operations Manager) </t>
  </si>
  <si>
    <t>Capture And Authorise The Discounted Values In The Treasury Module (Dealers)</t>
  </si>
  <si>
    <t xml:space="preserve">Capture The Discounted Values In The Treasury Module (Treasury Operations Officer) </t>
  </si>
  <si>
    <t xml:space="preserve">Authorise The Discounted Values In The Treasury Module (Treasury Operations Supervisor / Manager)  </t>
  </si>
  <si>
    <t>Receive Instructions To Open Payments From The Dealers (Treasury Operations Manager/Supervisor)</t>
  </si>
  <si>
    <t>Send Instruction To ICT To Release Payments On Axway(Treasury Operations Supervisor)</t>
  </si>
  <si>
    <t>Receive Confirmation From ICT For Release Of Payments On Axway (Treasury Operations Supervisor )</t>
  </si>
  <si>
    <t>Monitor The Outgoing RTGS Folder To Ensure That Payments Have Been Released  (Treasury Operations Supervisor )</t>
  </si>
  <si>
    <t>Monitor Queueing Of Payments  In The RTGS System Liquidity Optimising Mechanism (LOM )Account(Treasury Operations Officer)</t>
  </si>
  <si>
    <t>Capture Transfer  Of Funds Into The LOM Account From The Settlement Account (Treasury Operations Officer)</t>
  </si>
  <si>
    <t>Authorise Transfer  Of Funds Into The LOM Account From The Settlement Account (Treasury Operations  Manager/Supervisor)</t>
  </si>
  <si>
    <t>If Liquidity Is A Limiting Factor ,Identify The Transactions To Be Removed From The Queue(Treasury Operations  Manager/Supervisor)</t>
  </si>
  <si>
    <t>Capture The Transactions To Be Removed From The Queue In The RTGS System (Treasury Operations  Officer)</t>
  </si>
  <si>
    <t>Authorise The Transactions To Be Removed From The Queue In The RTGS System (Treasury Operations  Manager/Supervisor)</t>
  </si>
  <si>
    <t>Compile The List Of The Removed Payments And Send The Files To Trustlink On Email For WhiteListing (Treasury Operations Supervisor)</t>
  </si>
  <si>
    <t>Receive Confirmation From Trustlink Of Having Whitelisted The Files (Treasury Operations Supervisor)</t>
  </si>
  <si>
    <t>Send The Whitelisted Transactions To Digital Transformation For Regeneration Of Files (Treasury Operations Supervisor)</t>
  </si>
  <si>
    <t>Receive Regenerated Files From Digital Transformation Through Email (Treasury Operations Supervisor)</t>
  </si>
  <si>
    <t>Submit The Regenerated Files Into The RTGS Outgoing Folder (Treasury Operations Supervisor)</t>
  </si>
  <si>
    <t>Download RTGS References From The RTGS System (Treasury Operations  Officer)</t>
  </si>
  <si>
    <t>Send RTGS References To Branches (Treasury Operations  Officer)</t>
  </si>
  <si>
    <t>6 Hours</t>
  </si>
  <si>
    <t>Receive Instructions To Make Payments From The Dealers (Treasury Operations Manager/Supervisor)</t>
  </si>
  <si>
    <t>Capture The Transaction In The CBS(Treasury Operations Officer)</t>
  </si>
  <si>
    <t>Authorise The Transaction In The CBS(Treasury Operations Supervisor/ Manager)</t>
  </si>
  <si>
    <t>Capture Transaction In RTGS System (Treasury Operations Officer)</t>
  </si>
  <si>
    <t>Authorise Transaction In RTGS System (Treasury Operations Supervisor/ Manager)</t>
  </si>
  <si>
    <t>Download RTGS Statement For The Settlement Account From The CBS- Previous Day's Report (Treasury Operations Officer)</t>
  </si>
  <si>
    <t>Download RTGS Statement For The Settlement Account From RTGS System (Treasury Operations Officer)</t>
  </si>
  <si>
    <t>Add Outstanding Transactions From The Previous Reconciliation (Treasury Operations Officer)</t>
  </si>
  <si>
    <t>Reconcile The Transactions From The Two Statements And Identify Matching Transactions (Treasury Operations Officer)</t>
  </si>
  <si>
    <t>Identify Outstanding Outgoing Transactions (Treasury Operations Officer)</t>
  </si>
  <si>
    <t>Review The Reconciliation Of The RTGS Settlement Account (Treasury Operations Supervisor)</t>
  </si>
  <si>
    <t>Review The Reconciliation Of The RTGS Settlement Account (Treasury Operations Manager)</t>
  </si>
  <si>
    <t>Verify Whether Files Were Generated For Oustanding Outgoing Payments (Treasury Operations Supervisor)</t>
  </si>
  <si>
    <t>If Files Were Not Generated, Submit List Of Files To ICT For Generation (Treasury Operations Supervisor / Manager)</t>
  </si>
  <si>
    <t>Receive Confirmation From ICT Through Email For File Generation (Treasury Operations Supervisor/ Manager)</t>
  </si>
  <si>
    <t>Identify Outstanding Incoming Transactions (Treasury Operations Officer)</t>
  </si>
  <si>
    <t>Download Report For RTGS Incoming Transactions From Trustlink (Treasury Operations Officer)</t>
  </si>
  <si>
    <t>V-Lookup The Outstanding Incoming Transactions From The Trustlink Report (Treasury Operations Officer)</t>
  </si>
  <si>
    <t>Prepare A Batch For Reprocessing (Treasury Operations Officer)</t>
  </si>
  <si>
    <t>Review Of The Batch (Treasury Operations Supervisor And Manager)</t>
  </si>
  <si>
    <t>Upload The Batch On The Alliance Portal (Treasury Operations Officer)</t>
  </si>
  <si>
    <t>Authorise The Batch On The Alliance Portal (Treasury Operations Supervisor/ Manager)</t>
  </si>
  <si>
    <t>For Transactions With Invalid account Numbers, Prepare A Batch For Return To The Sending Bank (Treasury Operations Officer)</t>
  </si>
  <si>
    <t>Review The Return Batch (Treasury Operations Manager/ Supervisor)</t>
  </si>
  <si>
    <t>Download The Suspense Account Statement For The Previous Day From CBS (Treasury Operations Officer)</t>
  </si>
  <si>
    <t>Add Transactions From The Previous Day To The Outstanding Transactions On The Previous Reconciliation(Treasury Operations Officer)</t>
  </si>
  <si>
    <t>Identify Matching Transactions And Outstanding Transactions (Treasury Operations Officer)</t>
  </si>
  <si>
    <t>Review The Reconciliation Of The Suspense Account (Treasury Operations Supervisor)</t>
  </si>
  <si>
    <t>Review The Reconciliation Of The Suspense Account (Treasury Operations Manager)</t>
  </si>
  <si>
    <t>Investigate Oustanding Transactions (Treasury Operations Supervisor)</t>
  </si>
  <si>
    <t>Capture Outstanding Transactions In The CBS Or RTGS System (Treasury Operations Officer)</t>
  </si>
  <si>
    <t>Authorise Outstanding Transactions In The CBS Or RTGS System (Treasury Operations Manager/ Supervisor)</t>
  </si>
  <si>
    <t>Receive Reconciliation Summary From Reconciliations Department (Treasury Operations Supervisor)</t>
  </si>
  <si>
    <t>Investigate The Outstanding Transactions (Treasury Operations Supervisor)</t>
  </si>
  <si>
    <t>Capture Outstanding Transactions In The CBS Or RTGS System Or SWIFT System(Treasury Operations Officer)</t>
  </si>
  <si>
    <t>Authorise Outstanding Transactions In The CBS Or RTGS System Or SWIFT System(Treasury Operations Manager/ Supervisor)</t>
  </si>
  <si>
    <t>Receive The Instruction From The Branch (Treasury Operations Supervisor/ Manager)</t>
  </si>
  <si>
    <t>Allocation Of Recalls To The Officers (Treasury Operations Supervisor)</t>
  </si>
  <si>
    <t>Investigate The Status Of The Funds (Treasury Operations Officer)</t>
  </si>
  <si>
    <t>Prepare Recall Letters (Treasury Operations Officer)</t>
  </si>
  <si>
    <t>Verify The Recall Letters (Treasury Operations Supervisor)</t>
  </si>
  <si>
    <t>Authorise The Recall Letters (Treasury Operations Manager)</t>
  </si>
  <si>
    <t>Send The Recall Letters To The Relevant Banks (Treasury Operations Officer)</t>
  </si>
  <si>
    <t>Make Follow Up When Necessary (Treasury Operations Officer)</t>
  </si>
  <si>
    <t>Capture The Recalled Funds in CBS (Treasury Operations Officer)</t>
  </si>
  <si>
    <t>Authorise The Recalled Funds in CBS (Treasury Operations Manager/ Supervisor)</t>
  </si>
  <si>
    <t xml:space="preserve">Notify The Branch Of The Return Of The Recalled Funds And Close The Ticket On iSupport (Treasury Operations Officer) </t>
  </si>
  <si>
    <t>Receive The Instruction From Another Bank (Treasury Operations Supervisor/ Manager)</t>
  </si>
  <si>
    <t>If Client Error, Send Recall Letter To The Branch, But If Bank Error Check Availability Of Funds In Client's Account(Treasury Operations Officer)</t>
  </si>
  <si>
    <t>Receive Authority To Debit The Client From The Branch(Treasury Operations Supervisor)</t>
  </si>
  <si>
    <t>If Bank Error And Customer Is Not Funded, Receive Confirmation Of Post No Debit Restriction From The Branch(Treasury Operations Supervisor)</t>
  </si>
  <si>
    <t>Make Follow Up When Necessary With The Branch (Treasury Operations Officer)</t>
  </si>
  <si>
    <t>Capture The Recalled Funds in CBS - DR Customer CR Settlement Account (Treasury Operations Officer)</t>
  </si>
  <si>
    <t>Capture The Recalled Funds in RTGS System (Treasury Operations Officer)</t>
  </si>
  <si>
    <t>Authorise The Recalled Funds in RTGS System (Treasury Operations Manager/ Supervisor)</t>
  </si>
  <si>
    <t>Create Customer ID in The CBS For Non AFC Customers (Treasury Operations Officer)</t>
  </si>
  <si>
    <t>Authorise Customer ID In CBS  (Treasury Operations Manager/Supervisor)</t>
  </si>
  <si>
    <t>Advise The Dealers Of The Created Customer ID On Email  (Treasury Operations Manager/Supervisor)</t>
  </si>
  <si>
    <t>Request Account Opening Forms From The Other Bank (Treasury Operations Manager/Supervisor)</t>
  </si>
  <si>
    <t>Complete The Account Opening Forms ( Treasury Operations Officer)</t>
  </si>
  <si>
    <t>Facilitate Signing Of the Mandates By Authorised Signatories ( Treasury Operations Officer)</t>
  </si>
  <si>
    <t>Obtain KYC Documents For Authorised Signatories  ( Treasury Operations Officer)</t>
  </si>
  <si>
    <t>Submit The Completed Forms And The KYC Documents To The  Other Bank (Treasury Operations Manager/Supervisor)</t>
  </si>
  <si>
    <t>Receive The Account Number FromThe Other Bank (Treasury Operations Manager/Supervisor)</t>
  </si>
  <si>
    <t>Capture The Mirror Account In CBS (Treasury Operations Officer)</t>
  </si>
  <si>
    <t>Authorise the Opened Mirror Account In The CBS (Treasury Operations Manager/Supervisor)</t>
  </si>
  <si>
    <t>Advise The Dealers Of The New Account Numbers Using An Email (Treasury Operations Manager/Supervisor)</t>
  </si>
  <si>
    <t>POS Commission (Partial Automation)</t>
  </si>
  <si>
    <t>3 Days</t>
  </si>
  <si>
    <t>Identify POS Hiring Terminal Available For Issuing (Merchant Analyst)</t>
  </si>
  <si>
    <t>Configure Physical POS Machine  (Merchant Analyst)</t>
  </si>
  <si>
    <t>Test Functionality And Correct Linking Of Accounts  (Merchant Analyst)</t>
  </si>
  <si>
    <t>Dispatch Through Courier Services (Merchant Analyst)</t>
  </si>
  <si>
    <t>Approve The Memo (Branch Manager)</t>
  </si>
  <si>
    <t>Authorise Entries In CBS (Ebanking Manager)</t>
  </si>
  <si>
    <t>Petty Cash Management Branch - Emergency And Periodic</t>
  </si>
  <si>
    <t>The Payment Is Done And Receipts Are Attached (BackOffice Clerk)</t>
  </si>
  <si>
    <t>If General Export ,Capture Export Form Details In CEPECS (RBZ System) - (IB Officer)</t>
  </si>
  <si>
    <t>Send Export Forms To Client Through The Branch/CIB (IB Officer)</t>
  </si>
  <si>
    <t>If Special Export, Prepare An Application Letter For RBZ Approval (IB Officer)</t>
  </si>
  <si>
    <t>Approve Application Letter (IB Manager/Head Treasury)</t>
  </si>
  <si>
    <t>Submit Signed Application Letter To RBZ Through DMS (IB Officer)</t>
  </si>
  <si>
    <t>Approve Submitted Application Letter in DMS (IB Manager/Head Treasury)</t>
  </si>
  <si>
    <t>Upon Receipt Of Approval From RBZ, Capture Export Form In CEPECS (IB Officer)</t>
  </si>
  <si>
    <t>Send Export Form To Client Through CIB/Branch (IB Officer)</t>
  </si>
  <si>
    <t>Collect Fees And Commission In CBS(IB Officer)</t>
  </si>
  <si>
    <t>Authorise Fees And Commission Entries In CBS (IB Manager)</t>
  </si>
  <si>
    <t>Follow Up On Oustanding Export Forms 30,60 &amp; 90 Days (IB Officer/IB Supervisor)</t>
  </si>
  <si>
    <t xml:space="preserve">Handover Clients With Overdue (&gt;90 Days) Export Forms To RBZ (IB Supervisor And IB Manager/Head Treasury) </t>
  </si>
  <si>
    <t>On Receipt Of Export Proceeds, Under Advice From Customer Pre-acquit Export Forms In CEPECS (IB Officer)</t>
  </si>
  <si>
    <t>Prepare Acquital Letter To RBZ (IB Officer)</t>
  </si>
  <si>
    <t>Approve Acquital Letter To RBZ (IB Manager/ Head Treasury)</t>
  </si>
  <si>
    <t>Submit Acquital Letter To RBZ Through DMS (IB Officer)</t>
  </si>
  <si>
    <t>Approve Submitted Acquital Letter In DMS (Supervisor/IB Manager)</t>
  </si>
  <si>
    <t xml:space="preserve">If IB Officer Receives An Extension Application/Exceptional Acquital, Prepare A Letter To RBZ </t>
  </si>
  <si>
    <t>Upon Receipt Of Approval From RBZ, Check Extension In CEPECS/ Submit Acquital Application To RBZ (IB Officer)</t>
  </si>
  <si>
    <t>Collect Fees And Commission For Acquital Letter In CBS(IB Officer)</t>
  </si>
  <si>
    <t>Authorise Fees And Commission Entries For Acquital Letter In CBS (IB Manager)</t>
  </si>
  <si>
    <t>Upon Approval From RBZ, Notify Client Through CIB/Branch (IB Officer)</t>
  </si>
  <si>
    <t>If At Any Stage Application To RBZ Are Rejected/Deferred, Notify The Customer To Provide Additional Information As Required By RBZ (IB Officer/Supervisor)</t>
  </si>
  <si>
    <t>48 Hours</t>
  </si>
  <si>
    <t>Sign Advance Payment Letter (IB Manager/Head Treasury)</t>
  </si>
  <si>
    <t>Forward Signed Advance Payment Letter to Client Through Branch/CIB (IB Officer)</t>
  </si>
  <si>
    <t>Follow Up On Oustanding Import Acquitals 30,60 &amp; 90 Days (IB Officer/IB Supervisor)</t>
  </si>
  <si>
    <t xml:space="preserve">Handover Clients With Overdue (&gt;90 Days) Import Acquitals To RBZ (IB Supervisor And IB Manager/Head Treasury) </t>
  </si>
  <si>
    <t>Receive Customs Stamped Documents  From The Branch/CIB (IB Officer)</t>
  </si>
  <si>
    <t>Check and Verify The Documents (Supervisor/IB Manager)</t>
  </si>
  <si>
    <t>If General Acquital ,Acquit  In CEBAS (RBZ System) - (IB Officer)</t>
  </si>
  <si>
    <t>Check Acquital In CEBAS (IB Supervisor/IB Manager)</t>
  </si>
  <si>
    <t>If Exceptional Acquital, Prepare An Application Letter For RBZ Approval (IB Officer)</t>
  </si>
  <si>
    <t>Upon Receipt Of Approval From RBZ, Acquit In CEBAS (IB Officer)</t>
  </si>
  <si>
    <t xml:space="preserve">If IB Officer Receives An Extension Application, Prepare A Letter To RBZ </t>
  </si>
  <si>
    <t>Submit Extension Request In CEBAS (IB Officer)</t>
  </si>
  <si>
    <t>Upon Receipt Of Approval From RBZ, Check Extension In CEBAS And Notify Customer (IB Officer)</t>
  </si>
  <si>
    <t>Upon Approval From Bank/ RBZ, Notify Client Through CIB/Branch (IB Officer)</t>
  </si>
  <si>
    <t>If  Ordinary Application ,Capture Application in DMS (IB Officer)</t>
  </si>
  <si>
    <t>Authorise Application In DMS (IB Manager)</t>
  </si>
  <si>
    <t>If Semi-Complex, Prepare An Application Letter For RBZ Approval (IB Officer)</t>
  </si>
  <si>
    <t>If Complex, Prepare An Application Letter For RBZ Approval (IB Officer)</t>
  </si>
  <si>
    <t>Upon Approval From RBZ, Notify Client Through CIB/Branch /Other Departments(IB Officer)</t>
  </si>
  <si>
    <t>If Approval Has Conditions/Returns, IB Supervisor To Ensure Conditions/Returns Are Submitted</t>
  </si>
  <si>
    <t>IB Manager/Head Treasury To Check Submission Of Returns</t>
  </si>
  <si>
    <t>If Approval Requires Renewal, Receive Renewal Document From Client Through CIB /Branch (IB Officer)</t>
  </si>
  <si>
    <t>Approve Renewal Aspplication Letter (IB Manager/Head Treasury</t>
  </si>
  <si>
    <t>96 Hours</t>
  </si>
  <si>
    <t>Receive TB Tender Instruction From The RBZ (Junior Dealer/Dealer/ Senior Dealer)</t>
  </si>
  <si>
    <t>ALCO Approves Rate</t>
  </si>
  <si>
    <t>Offer Rate To The RBZ Through Email (Dealer/ Senior Dealer)</t>
  </si>
  <si>
    <t>Confirm The Rate And Payment Details (Dealer/ Senior Dealer)</t>
  </si>
  <si>
    <t>Transfer Funds To The Reserve Bank And Confirm Receipt Of An Instrument Through TB ID (Dealer/ Senior Dealer)</t>
  </si>
  <si>
    <t>Capture The Treasury Bill In CBS Treasury Module (Junior Dealer)</t>
  </si>
  <si>
    <t>Treasury Operations Authorises Treasury Bill In Treasury Module</t>
  </si>
  <si>
    <t>Source Any Sellers Of Treasury Bills In The Market And Agree On The Discount Rate (Dealer/ Senior Dealer)</t>
  </si>
  <si>
    <t>Confirm The Treasury Bills Through Treasury Operations (Dealer/ Senior Dealer)</t>
  </si>
  <si>
    <t>Receive The TBs On CSD System (Dealer/ Senior Dealer)</t>
  </si>
  <si>
    <t>Transfer Funds To The Counterparty/ TB Owners (Dealer/ Senior Dealer)</t>
  </si>
  <si>
    <t>Capture TB In The CBS Treasury Module (Junior Dealer)</t>
  </si>
  <si>
    <t>Treasury Operations Authorises In CBS Treasury Module</t>
  </si>
  <si>
    <t>Source Any Buyers Of Treasury Bills In The Market And Agree On The Discount Rate (Dealer/ Senior Dealer)</t>
  </si>
  <si>
    <t>Transfer The TBs On CSD System To The Counterparty (Dealer/ Senior Dealer)</t>
  </si>
  <si>
    <t>Receive Funds From The Counterparty (Dealer/ Senior Dealer)</t>
  </si>
  <si>
    <t>Capture Transfer Of TB In The CBS Treasury Module (Junior Dealer)</t>
  </si>
  <si>
    <t>Identify And Screen Opportunities Across Corporate, Institutional And Public Sector Clients (Structured Finance Manager)</t>
  </si>
  <si>
    <t>Conduct Preliminary Structuring Discussions To Assess Financing Needs (Structured Finance Manager)</t>
  </si>
  <si>
    <t>Develop Concept Notes And Indicative Term Sheets (Structured Finance Manager)</t>
  </si>
  <si>
    <t>Review And Approval Of Documentation (Head Of Treasury)</t>
  </si>
  <si>
    <t>Gather And Validate Client Financial And Operational Information (Structured Finance Manager)</t>
  </si>
  <si>
    <t>Perform Risk Analysis (Credit, Legal, Market, Regulatory, Operational) (Structured Finance Manager)</t>
  </si>
  <si>
    <t>Prepare And Submit Comprehensive Credit Applications For Approval (Structured Finance Manager)</t>
  </si>
  <si>
    <t>Review And Approval Of Credit Applications (Head Of Treasury)</t>
  </si>
  <si>
    <t>Design Bespoke Transaction Structures (Securitisations, Discounting, Project Finance, Bill/ Bonds Issuance, Structured Commodity Finance)(Structured Finance Manager)</t>
  </si>
  <si>
    <t>Negotiate Transaction Terms With Clients, Counterparties And Regulators (Structured Finance Manager)</t>
  </si>
  <si>
    <t>Draft, Review And Finalise Legal Documentation In Collaboration With Legal And Compliance Departments (Structured Finance Manager)</t>
  </si>
  <si>
    <t>Facilitate Execution, Closing, And Handover Drawdowns Where Applicable (Structured Finance Manager)</t>
  </si>
  <si>
    <t>Check And Approve Deals Structured (Head Of Treasury)</t>
  </si>
  <si>
    <t>Engage With Treasury To Align With Funding Sources (Onshore And Offshore) With Structured Deals (Structured Finance Manager)</t>
  </si>
  <si>
    <t>Match Transaction Funding Requirements With Bank Balance Sheet Capacity And Liquidity Strategy (Structured Finance Manager)</t>
  </si>
  <si>
    <t>Coordinate Treasury And Structured Finance Collaboration (Head Of Treasury)</t>
  </si>
  <si>
    <t>Track Client Obligations And Transaction Cashflows (Structured Finance Manager)</t>
  </si>
  <si>
    <t>Monitor Performance Covenants , Security Packages And Collateral Positions (Structured Finance Manager)</t>
  </si>
  <si>
    <t>Ensure Timely Collections From Obligors and Counterparties (Structured Finance Manager)</t>
  </si>
  <si>
    <t>Maintain Transaction Files and Records For Audit or Compliance (Structured Finance Manager)</t>
  </si>
  <si>
    <t>Structured Finance - Portifolio And Risk Management</t>
  </si>
  <si>
    <t>Conduct Periodic Reviews Of Structured Transcations (Structured Finance Manager)</t>
  </si>
  <si>
    <t>Stress Test Cashflow Projections Under Varying Marketing Conditions (Structured Finance Manager)</t>
  </si>
  <si>
    <t>Identify Early Warning Signs And Escalate Problems Exposures (Structured Finance Manager)</t>
  </si>
  <si>
    <t>Provide Input To Risk Committees On Structured Deals (Structured Finance Manager)</t>
  </si>
  <si>
    <t>Provide Market Update, Financial Structuring Advise , And Policy Guidance To Clients (Structured Finance Manager)</t>
  </si>
  <si>
    <t>Support Cross-Sell Opportunities Into CIB , Business Banking And Treasury (Structured Finance Manager)</t>
  </si>
  <si>
    <t>Research and Design New Structured Finance Products ( e.g. , Agricultural Discounting Schemes , Infrastructural Bonds , Prescribed Asset Instruments). (Structured Finance Manager)</t>
  </si>
  <si>
    <t>Benchmark Against Local , Regional and International Best Practices (Structured Finance Manager)</t>
  </si>
  <si>
    <t>Pilot New Products and Refine Based On Client Uptake and Feedback (Structured Finance Manager)</t>
  </si>
  <si>
    <t>Document Lessons Learnt and Transactions Case Studies (Structured Finance Manager)</t>
  </si>
  <si>
    <t>Conduct Internal Training For Relationship Managers and Risk Officers (Structured Finance Manager)</t>
  </si>
  <si>
    <t>Maintain Structured Finance Templates (Models , Termsheets , Legal Checklist) (Structured Finance Manager)</t>
  </si>
  <si>
    <t>6 Months</t>
  </si>
  <si>
    <t>Reconciliation -ZIMSWITCH Issuer And Payable (USD And ZWG)</t>
  </si>
  <si>
    <t>2 Hours Per Currency</t>
  </si>
  <si>
    <t>90Minutes</t>
  </si>
  <si>
    <t xml:space="preserve">2 Hours Per Currency </t>
  </si>
  <si>
    <t xml:space="preserve">90 Minutes Per Currency </t>
  </si>
  <si>
    <t>Reconciliation -Paynow Account   ( USD, ZWG)</t>
  </si>
  <si>
    <t xml:space="preserve">2 Hours  Per Currency </t>
  </si>
  <si>
    <t xml:space="preserve">Reconciliation - Telone ( USD, ZWG)	Manual	Semi-Digital	Full-Digital																																																																																																																																																																																																																																																																																																																																																																																																																																																																																																																																																																																																																																																																																																																																																																																																																																																																																																																																																																																																																																																																																																																																																																																																																																																																																																																																																																																																																																																																																																																																																																																																																																																																																																																																																																																																																																																																																																																																																																																																																																																																																																																																																																																																																																																																																																																																																																																																																																																																																																																																																																																																																																																																																																																																																																																																																																																																																																																																																																																																																																																																																																																																																																																																																																																																																																																																																																																																																																																																																																																																																																																																																																																																																																																																																																																																																																																																																																																																																																																																																																																																																																																																																																																																																																																																																																																																																																																																																																																																																																																																																																																																																																																																																																																																																																																																																																																																																																																																																																																																																																																																																																																																																																																																																																																																																																																																																																																																																																																																																																																																																																																																																																																																																																																																																																																																																																																																																																																																																																																																																																																																																																																																																																																																																																																																																																																																																																																																																																																																																																																																																																																																																																																																																																																																																																																																																																																																																																																																																																																																																																																																																																																																																																																																																																																																																																																																																																																																																																																																																																																																																																																																																																																																																																																																																																																																																																																																																																																																																																																																																																																																																																																																																																																																																																																																																																																																																																																																																																																																																																																																																																																																																																																																																																																																																																																																																																																																																																																																																																																																																																																																																																																																																																																																																																																																																																																																																																																																																																																																																																																																																																																																																																																																																																																																																																																																																																																																																																																																																																																																																																																																																																																																																																																																																																																																																																																																																																																																																																																																																																																																																																																																																																																																																																																																																																																																																																																																																																																																																																																																																																																																																																																																																																																																																																																																																																																																																																																																																																																																																																																																																																																																																																																																																																																																																																																																																																																																																																																																																																																																																																																																																																																																																																																																																																																																																																																																																																																																																																																																																																																																																																																																																																																																																																																																																																																																																																																																																																																																																																																																																																																																																																																																																																																																																																																																																																																																																																																																																																																																																																																																																																																																																																																																																																																																																																																																																																																																																																																																																																																																																																																																																																																																																																																																																																																																																																																																																																																																																																																																																																																																																																																																																																																																																																																																																																																																																																																																																																																																																																																																																																																																																																																																																																																																																																																																																																																																																																																																																																																																																																																																																																																																																																																																																																																																																																																																																																																																																																																																																																																																																																																																																																																																																																																																																																																																																																																																																																																																																																																																																																																																																																																																																																																																																																																																																																																																																																																																																																																																																																																																																																																												
Download Previous Current And Future CBS  Statements In The CBS (Reconciliation Officer)	2%	2%	0%																																																																																																																																																																																																																																																																																																																																																																																																																																																																																																																																																																																																																																																																																																																																																																																																																																																																																																																																																																																																																																																																																																																																																																																																																																																																																																																																																																																																																																																																																																																																																																																																																																																																																																																																																																																																																																																																																																																																																																																																																																																																																																																																																																																																																																																																																																																																																																																																																																																																																																																																																																																																																																																																																																																																																																																																																																																																																																																																																																																																																																																																																																																																																																																																																																																																																																																																																																																																																																																																																																																																																																																																																																																																																																																																																																																																																																																																																																																																																																																																																																																																																																																																																																																																																																																																																																																																																																																																																																																																																																																																																																																																																																																																																																																																																																																																																																																																																																																																																																																																																																																																																																																																																																																																																																																																																																																																																																																																																																																																																																																																																																																																																																																																																																																																																																																																																																																																																																																																																																																																																																																																																																																																																																																																																																																																																																																																																																																																																																																																																																																																																																																																																																																																																																																																																																																																																																																																																																																																																																																																																																																																																																																																																																																																																																																																																																																																																																																																																																																																																																																																																																																																																																																																																																																																																																																																																																																																																																																																																																																																																																																																																																																																																																																																																																																																																																																																																																																																																																																																																																																																																																																																																																																																																																																																																																																																																																																																																																																																																																																																																																																																																																																																																																																																																																																																																																																																																																																																																																																																																																																																																																																																																																																																																																																																																																																																																																																																																																																																																																																																																																																																																																																																																																																																																																																																																																																																																																																																																																																																																																																																																																																																																																																																																																																																																																																																																																																																																																																																																																																																																																																																																																																																																																																																																																																																																																																																																																																																																																																																																																																																																																																																																																																																																																																																																																																																																																																																																																																																																																																																																																																																																																																																																																																																																																																																																																																																																																																																																																																																																																																																																																																																																																																																																																																																																																																																																																																																																																																																																																																																																																																																																																																																																																																																																																																																																																																																																																																																																																																																																																																																																																																																																																																																																																																																																																																																																																																																																																																																																																																																																																																																																																																																																																																																																																																																																																																																																																																																																																																																																																																																																																																																																																																																																																																																																																																																																																																																																																																																																																																																																																																																																																																																																																																																																																																																																																																																																																																																																																																																																																																																																																																																																																																																																																																																																																																																																																																																																																																																																																																																																																																																																																																																																																																																																																																																																																																																																																																																																																																																																																																																																																																																																																																																																																																																																																																																																																																																																													</t>
  </si>
  <si>
    <t>Total Process Time In Minutes ( Per Account)</t>
  </si>
  <si>
    <t>15 Minutes</t>
  </si>
  <si>
    <t>40 Minutes</t>
  </si>
  <si>
    <t>Download GL Statement In CBS (Reconciliation Officer)</t>
  </si>
  <si>
    <t>Add An Additional Column Next To The Date Column  In Order to Insert Beneficiary Name On CBS Statementn(Reconciliation Officer)</t>
  </si>
  <si>
    <t>View  Batch Transaction Details, Copy  Beneficiary Personnel Details  And Paste Against The Batch Number For Every Branch On CBS Statement  (Reconciliation Officer)</t>
  </si>
  <si>
    <t>Convert values under the Debit Column to Negative Values On CBS Statement</t>
  </si>
  <si>
    <t>Remove Branch Details On CBS Statement</t>
  </si>
  <si>
    <t>Copy The  Edited CBS Report And Paste On SNT Reconciliation Template Under the Date And Month Being Reconciled (Each Month Has Its Own Work Sheet)</t>
  </si>
  <si>
    <t xml:space="preserve">Change Dates On The Reconciliaation Template , SNT advance Beneficiaries Report , Trial Balance Closing Date </t>
  </si>
  <si>
    <t xml:space="preserve">Copy Previous Day's Advances Pasting Them On Current Day's Advances </t>
  </si>
  <si>
    <t>Insert Rows On The Template Which Are Equivalent To The Nmber Of Advances On The CBS Statement ( Place Debit Values Under The Advances Column And Credit Balances Under Acquitals Column)</t>
  </si>
  <si>
    <t>Copy The Advances On The CBS Statement And Paste Them On The Template</t>
  </si>
  <si>
    <t>Copy  SNT Trial Balance Closing Balance Paste It On The Template Under Closing Balance</t>
  </si>
  <si>
    <t>Copy The Trial Balance Summary and Paste it on the Reconciliation Template</t>
  </si>
  <si>
    <t>Sort And  Match According To Beneficiary Names</t>
  </si>
  <si>
    <t>Knock Off And Delete Matching Arcquitals and Beneficiary Names</t>
  </si>
  <si>
    <t>Reimburse Shortfall By Capturing The Difference In CBS, Debit Excess Advances  From The Beneficiary Accounts If The Account Has A Credit Balance , If Not Process Only Advanced Or Utilised Funds</t>
  </si>
  <si>
    <t>Verify And Authorise Reimbursements, Shortfalls And Excesses in CBS (Reconciliation Supervisor)</t>
  </si>
  <si>
    <t>Request Out Standing Arcquitals from Beneficiaries Using Email (withiin 21 Days )</t>
  </si>
  <si>
    <t>Write A Memo To HR For Arcquitals More than 21 Days For Recovery On Pay Day</t>
  </si>
  <si>
    <t>21 Days</t>
  </si>
  <si>
    <t>SENIOR MANAGER</t>
  </si>
  <si>
    <t>CREDIT ANALYST</t>
  </si>
  <si>
    <t>Total process time using logs(Minutes)</t>
  </si>
  <si>
    <t>Frequency On Digital</t>
  </si>
  <si>
    <t>Frequency On Manual</t>
  </si>
  <si>
    <t xml:space="preserve">RETAIL BANKING </t>
  </si>
  <si>
    <t xml:space="preserve">Number of Processes Reviewed:  </t>
  </si>
  <si>
    <t>Branch</t>
  </si>
  <si>
    <t>Registry Department</t>
  </si>
  <si>
    <t>Compliance Department</t>
  </si>
  <si>
    <t>Merchant Services Department</t>
  </si>
  <si>
    <t xml:space="preserve">Re-engineered:  </t>
  </si>
  <si>
    <t xml:space="preserve">Maintained:  </t>
  </si>
  <si>
    <t>Enquiries Officer</t>
  </si>
  <si>
    <t>Back Office Clerk</t>
  </si>
  <si>
    <t>Area Manager</t>
  </si>
  <si>
    <t>Sales Consultant</t>
  </si>
  <si>
    <t>Accounts Opening Clerk</t>
  </si>
  <si>
    <t>Business Analyst</t>
  </si>
  <si>
    <t>Organisation and Methods Officer</t>
  </si>
  <si>
    <t>Bancassurance Clerk</t>
  </si>
  <si>
    <t>Credit Admin Clerk</t>
  </si>
  <si>
    <t>CRB Clerk</t>
  </si>
  <si>
    <t>Ebanking Clerk</t>
  </si>
  <si>
    <t>Salaries Clerk</t>
  </si>
  <si>
    <t>CCD Clerk</t>
  </si>
  <si>
    <t>Accounts Opening Supervisor</t>
  </si>
  <si>
    <t>CCD Team Leader</t>
  </si>
  <si>
    <t>Salaries Team Leader</t>
  </si>
  <si>
    <t>Central Operations Manager</t>
  </si>
  <si>
    <t>Ebanking Manager</t>
  </si>
  <si>
    <t>Credit Admin Manager</t>
  </si>
  <si>
    <t>Head of Banking Operations</t>
  </si>
  <si>
    <t>Credit Analyst</t>
  </si>
  <si>
    <t>Client Relationship Manager</t>
  </si>
  <si>
    <t>Senior Relationship Manager</t>
  </si>
  <si>
    <t>Head Of Corporate Banking</t>
  </si>
  <si>
    <t>Contact centre Clerk</t>
  </si>
  <si>
    <t>Contact Centre Supervisior</t>
  </si>
  <si>
    <t>Registry Clerk</t>
  </si>
  <si>
    <t>Registry  Supervisior</t>
  </si>
  <si>
    <t>Compliance officer</t>
  </si>
  <si>
    <t>Compliance Manager</t>
  </si>
  <si>
    <t>Head Of Compliance</t>
  </si>
  <si>
    <t>Merchant Services Analyst</t>
  </si>
  <si>
    <t>Merchant Services Manager</t>
  </si>
  <si>
    <t>ICT Operations Manager - Branch</t>
  </si>
  <si>
    <t>R</t>
  </si>
  <si>
    <t>Semi - Digital</t>
  </si>
  <si>
    <t>Full Digital</t>
  </si>
  <si>
    <t>Enter Customer Details  On Self Service Portal (Customer Alone/Assisted By Service Centre Consultant)</t>
  </si>
  <si>
    <t>Customer Uploads KYC Information On Mobile App Or Self Service Portal  (Service Centre Consultant)</t>
  </si>
  <si>
    <t>Capture Customer Photo and Customer Signature Using Signature Pad On Self Service Portal (Customer Alone/ Assisted By Service Centre Consultant)</t>
  </si>
  <si>
    <t>In the Event Of A Trace -System Sends An Alert, Service Centre Consultant Intervention Is Required</t>
  </si>
  <si>
    <t>Quality Check KYC Documents And Approve (Virtual Service Centre Consultant)</t>
  </si>
  <si>
    <t xml:space="preserve">Link To Digital Omni Channels </t>
  </si>
  <si>
    <t>Option To Onboard Customer To Receive Digipay Wallet Account And Cross Sell</t>
  </si>
  <si>
    <t>Total Process Time (estimate) MINUTES</t>
  </si>
  <si>
    <t>Enter Company And Director Details  And Select Services Required On Self Service Portal (Customer/Assisted By Service Centre Consultant )</t>
  </si>
  <si>
    <t>Upload  Company Documents, Directors' KYC Information On  Self Service Portal  (Customer Alone/ Assisted By Service Centre Consultant)</t>
  </si>
  <si>
    <t>Quality Check KYC,Information Submited (Virtual Service Centre Consultant 1)</t>
  </si>
  <si>
    <t>Quality Check KYC,Information Submited And Approve (Virtual Service Centre Consultant 2)</t>
  </si>
  <si>
    <t>System Generate A Presigned Standard Letter To Customer</t>
  </si>
  <si>
    <t>Issue Card  Where Applicable   (Service Centre Consultant)</t>
  </si>
  <si>
    <t>Set PIN (Where Applicable) (Service Centre Consultant)</t>
  </si>
  <si>
    <t>45 Minutes</t>
  </si>
  <si>
    <t>SMS Alert With Customer Account Is Sent To Customer  (Automated Bank Service</t>
  </si>
  <si>
    <t>1 minute</t>
  </si>
  <si>
    <t>All The Other Changes Except for Signature, Customer Submits Through Digital Platforms or Self Service Platform In Branch (Alone/Assisted By Service Centre Consultant)</t>
  </si>
  <si>
    <t>Check Request Submitted By Customer And Approve/Revert For Correction (Virtual Services Consultant)</t>
  </si>
  <si>
    <t>For Change Of Signature, Capture Using Signature Pad Through Self Service Portal In Branch  After Positive Identification (Assisted By Service Centre Consultant)</t>
  </si>
  <si>
    <t>Customer Request For Change Of Account Type Through Digital Platform Or Self Service Platform In Branch (Alone\Assisted By Service Centre Consultant)</t>
  </si>
  <si>
    <t>Changes Must Be Done In The System Without Closing The Account (Virtual Service Centre Consultant)</t>
  </si>
  <si>
    <t>Check And Approve Request (Virtual Service Centre Consultant)</t>
  </si>
  <si>
    <t>After Effecting The Change, SMS Notification Is Send To Customer</t>
  </si>
  <si>
    <t xml:space="preserve">Account Maintainance-Mark Hold On Account   </t>
  </si>
  <si>
    <t>Receive Instruction-E.g From ZIMRA Or Bank (Virtual Service Centre Consultant)</t>
  </si>
  <si>
    <t>MarkHold The Account In CBS With The Provided Hold Amount  (Virtual Service Centre Consultant)</t>
  </si>
  <si>
    <t>Verify and Approve Hold Set On The Account  (Virtual Service Centre Consultant)</t>
  </si>
  <si>
    <t xml:space="preserve">Account Maintainance-Unmark Hold On Account   </t>
  </si>
  <si>
    <t>Check For The Hold Reference Number In CBS(Virtual Service Centre Consultant)</t>
  </si>
  <si>
    <t>Unmark Hold The Account In CBS With The Provided Hold Amount  (Virtual Service Centre Consultant)</t>
  </si>
  <si>
    <t>Verify and Approve Hold Removal On The Account   (Virtual Service Centre Consultant)</t>
  </si>
  <si>
    <t>Notify Source Of Instruction On Task Completion (Virtual Service Centre Consultant)</t>
  </si>
  <si>
    <t>Receive Instruction-E.gZimra , Bank (Virtual Service Centre Consultant )</t>
  </si>
  <si>
    <t>Freeze The Account  In CBS  (Virtual Service Centre Consultant )</t>
  </si>
  <si>
    <t>Notify Source Of Instruction On Task Completion  (Virtual Service Centre Consultant )</t>
  </si>
  <si>
    <t>UnFreeze The Account In CBS  (Virtual Service Centre Consultant )</t>
  </si>
  <si>
    <t>Notify Source Of Instruction On Task Completion (Virtual Service Centre Consultant )</t>
  </si>
  <si>
    <t>Account Maintainance-Mark Hover On Account   (Include files from assurance department)</t>
  </si>
  <si>
    <t>Receive Instruction From Bank Departments (Virtual Service Centre Consultant )</t>
  </si>
  <si>
    <t>Mark Hover On The Account In CBS  (Virtual Service Centre Consultant )</t>
  </si>
  <si>
    <t>Verify and Approve Set Hover On The Account In CBS (Virtual Service Centre Consultant )</t>
  </si>
  <si>
    <t xml:space="preserve">Account Maintainance-UnMark Hover On Account </t>
  </si>
  <si>
    <t>Receive Instruction- Bank departments (Virtual Service Centre Consultant)</t>
  </si>
  <si>
    <t>Check For The Hover Reference Number In CBS (Virtual Service Centre Consultant)</t>
  </si>
  <si>
    <t>UnMark Hover On The Account  In CBS  (Virtual Service Centre Consultant)</t>
  </si>
  <si>
    <t>Verify and Approve Set Hover On The Account  (Virtual Service Centre Consultant)</t>
  </si>
  <si>
    <t xml:space="preserve">At Transaction Level An Override Message Must Be displayed </t>
  </si>
  <si>
    <t>Verify And Authorize The Overide Message (Virtual Service Centre Consultant)</t>
  </si>
  <si>
    <t>Head Of Banking Operations</t>
  </si>
  <si>
    <t>No longer Required</t>
  </si>
  <si>
    <t>Head Office Account Closure (Banking Operations )</t>
  </si>
  <si>
    <t>Cleanup Excercise</t>
  </si>
  <si>
    <t>Receive Instruction From Client ,Branch Or Department (Virtual Service Centre Consultant)</t>
  </si>
  <si>
    <t>Check  For Completeness and Compliance Of Request  (Virtual Service Centre Consultant)</t>
  </si>
  <si>
    <t>Set Sweeping Arrangements  In CBS( Virtual Service Centre Consultant)</t>
  </si>
  <si>
    <t>Verify And Authorise Sweeping Arrangements (Virtual Service Centre Supervisor)</t>
  </si>
  <si>
    <t>Receive Instruction From Client , Branch Or Department (Virtual Service Centre Consultant)</t>
  </si>
  <si>
    <t>Check For The Sweeping Arrangement  Reference Number In CBS (Virtual Service Centre Consultant)</t>
  </si>
  <si>
    <t>Remove Sweeping Arrangements In CBS (Virtual Service Centre Consultant)</t>
  </si>
  <si>
    <t>Verify And Authorise Sweeping Arrangements Removal (Virtual Service Centre Supervisor)</t>
  </si>
  <si>
    <t>Receive Instruction From Compliance Department  Or Directly From Zimra (Virtual Service Centre Supervisor)</t>
  </si>
  <si>
    <t>Check  For Completeness and Compliance Of Request (Virtual Service Centre Supervisor)</t>
  </si>
  <si>
    <t>When Account Is Funded, Capture Transfer In CBS To Execute Order (Virtual Service Centre Consultant)</t>
  </si>
  <si>
    <t>Verify and Approve The Captured Transaction In CBS (Virtual Service Centre Supervisor)</t>
  </si>
  <si>
    <t>When Account Is Not Funded, Freeze The Account (Allow Credits And No Debits) And Manage Credits Until The Order Can Be Executed (Virtual Service Centre Consultant And Virtual Service Centre Supervisor)</t>
  </si>
  <si>
    <t>Advise Compliance Department, Zimra  And Branch Manager Of Outcome(Virtual Service Centre Consultant/Virtual Service Centre Supervisor)</t>
  </si>
  <si>
    <t>Remove Freeze After Full Payment (Virtual Service Centre Consultant And Virtual Service Centre Supervisor)</t>
  </si>
  <si>
    <t>Total process time (Minutes) Dependent on Client Deposit Behaviour</t>
  </si>
  <si>
    <t>10 Mins</t>
  </si>
  <si>
    <t xml:space="preserve">POS Management -Onboarding  </t>
  </si>
  <si>
    <t>Customer Submits Information  And Accepts Terms And Conditions (Self Service Portal)</t>
  </si>
  <si>
    <t>Physical Verification Of Premise (Branch Manager,Sales Consultant)</t>
  </si>
  <si>
    <t>Approval  By Branch Manager After Physical Verification</t>
  </si>
  <si>
    <t>Configure Physical POS Machine  (Service Centre Consultant)</t>
  </si>
  <si>
    <t>Test Functionality And Correct Linking Of Accounts  (Service Centre Consultant)</t>
  </si>
  <si>
    <t>POS Deployment</t>
  </si>
  <si>
    <t>Dispatch Through Courier Services(Merchant Services Analyst)</t>
  </si>
  <si>
    <t xml:space="preserve">Branch Perform Comfort Test(Service Centre Consultant) </t>
  </si>
  <si>
    <t>Activate POS Machine In POS Management System  (Merchant Services Analyst/Service Centre Consultant/Sales Consultant/Branch Manager)</t>
  </si>
  <si>
    <t>Visit Merchant If New Or Deploy (Merchant Services Analyst/Service Centre Consultant/Sales Consultant/Branch Manager)</t>
  </si>
  <si>
    <t>Complete Merchant Installation Record (Merchant Services Analyst/Service Centre Consultant/Sales Consultant/Branch Manager)</t>
  </si>
  <si>
    <r>
      <rPr>
        <b/>
        <sz val="11"/>
        <color rgb="FF000000"/>
        <rFont val="Calibri"/>
        <scheme val="minor"/>
      </rPr>
      <t xml:space="preserve">POS Monitoring ( Daily, Weekly, Quaterly) - </t>
    </r>
    <r>
      <rPr>
        <b/>
        <sz val="11"/>
        <color rgb="FFFF0000"/>
        <rFont val="Calibri"/>
        <scheme val="minor"/>
      </rPr>
      <t>Acquire Or Implement Monitoring Tool</t>
    </r>
  </si>
  <si>
    <t>Implement Monitoring Tool</t>
  </si>
  <si>
    <r>
      <rPr>
        <b/>
        <sz val="11"/>
        <color rgb="FF000000"/>
        <rFont val="Calibri"/>
        <scheme val="minor"/>
      </rPr>
      <t>Inactive POS Monitoring</t>
    </r>
    <r>
      <rPr>
        <b/>
        <sz val="11"/>
        <color rgb="FFFF0000"/>
        <rFont val="Calibri"/>
        <scheme val="minor"/>
      </rPr>
      <t xml:space="preserve"> (Acquire Or Implement Monitoring Tool)</t>
    </r>
  </si>
  <si>
    <t>Receive And  Inspect The Sealed Parcel For Lodgement ( Service Centre Consultant)</t>
  </si>
  <si>
    <t>Capture Customer And Envelop Details In The System (Service Centre Consultant)</t>
  </si>
  <si>
    <t xml:space="preserve">Customer Signs Using Electronic Signature Pad </t>
  </si>
  <si>
    <t>System Produces An Electronic Serialised Receipt For The Customer</t>
  </si>
  <si>
    <t>System Collect Safe Custody Service Fee From Customer Account Or Capture Safe Custody Fee For Non AFC Clients (Service Centre Consultant)</t>
  </si>
  <si>
    <t>The Vault Custodians Deposits The Safe Custody Item In The Vault (Branch Manager , CSO, Service Centre Consultant)</t>
  </si>
  <si>
    <t>Safe Custody  -Upliftment</t>
  </si>
  <si>
    <t>Receive  Notice Of Upliftment From Customer  (Service Centre Consultant)</t>
  </si>
  <si>
    <t>Positively Identify Customer, Verify  And Check The Request For Completeness And Compliance</t>
  </si>
  <si>
    <t>Collect The Safe Custody Item From Vault (Service Centre Consultant/ CSO/Branch Manager)</t>
  </si>
  <si>
    <t>Capture  The Upliftment Of Custody In The System (Service Centre Consultant/ CSO/Branch Manager)</t>
  </si>
  <si>
    <t>Hand over The Custody Item (Service Centre Consultant/ CSO/Branch Manager)</t>
  </si>
  <si>
    <t>Customer Signs For Receipt On Electronic Signature Pad.</t>
  </si>
  <si>
    <t>System To Recover Charges</t>
  </si>
  <si>
    <t>Facilitate Account Opening For The Agent</t>
  </si>
  <si>
    <t>Customer Submits Information  (Self Service Portal)</t>
  </si>
  <si>
    <t>Electronic Signing Of Contract By Agent</t>
  </si>
  <si>
    <t>Recommend For Signing (Agency Banking Manager)</t>
  </si>
  <si>
    <t>To Be Signed By Delegated Authority</t>
  </si>
  <si>
    <t>Creation Of Agent Administrator Profile On Agent Banking Portal / App (Agency Banking Officer)</t>
  </si>
  <si>
    <t>Configure POS Machine</t>
  </si>
  <si>
    <t>Processing Of Agent Commission (Distribution Agent)</t>
  </si>
  <si>
    <t>Open / Use  Seperate Account Dedicated For  Agency Banking Only In CBS</t>
  </si>
  <si>
    <t>Commission Is Calculated In Realtime Or Periodical Per Customer Requirement</t>
  </si>
  <si>
    <t>Periodic Commision Is Paid As A Bulk Amount After Validation  Not Later Than Two (2) Days After End Of Specified Period.</t>
  </si>
  <si>
    <t xml:space="preserve">Online Commission Payments To Be Validated At Least Once Every Month </t>
  </si>
  <si>
    <t>Processing Of Agent Commission -Mobile Sales Agents (Foot Soldiers)</t>
  </si>
  <si>
    <t>All  Agent Business To Be Processed Through The Agent Portal /In Branch Self Service Platform</t>
  </si>
  <si>
    <t xml:space="preserve">Commission To Be Paid By The 2nd Day Of The Month After Validation </t>
  </si>
  <si>
    <t>Opening Of Accounts By Sales Agents (Foot Soldiers)</t>
  </si>
  <si>
    <t>Sales Agents Assist  Customer To  Submit  Details And KYC Documents Through Digital Platform Or Self Service Platform In Branch</t>
  </si>
  <si>
    <t>Sales Agent To Capture Their Agent Number (Should Be Mandatory)</t>
  </si>
  <si>
    <t>Issue Card  (Service Centre Consultant)</t>
  </si>
  <si>
    <t>Create PIN (Service Centre Consultant)</t>
  </si>
  <si>
    <t>M</t>
  </si>
  <si>
    <t>MTA Funding/ Reimbursement By MTA Partners (Sales And Distribution)</t>
  </si>
  <si>
    <t>MTA Partner Monitors The Running Balance</t>
  </si>
  <si>
    <t>MTA Partner Funds The Bank Suspense Account When The Balance Runs Low Through Treasury Front Office</t>
  </si>
  <si>
    <t>Monitor The Suspense Account Daily Balance And Statement (MTA Officer)</t>
  </si>
  <si>
    <t>Confirmation Of Receipt Of Funds  With The MTA Partners (MTA Officer, Strategic Partnership ,Sales , Distribution And Agency Banking  Manager)</t>
  </si>
  <si>
    <t>System To Send SMS And Email Notification When The Account Reach Minimum Order Level And  When Funded.</t>
  </si>
  <si>
    <t xml:space="preserve"> 48 Hours</t>
  </si>
  <si>
    <t>MTA Administration And Branch Support</t>
  </si>
  <si>
    <t>Creation Of Access Rights For Branches (Systems Administration)</t>
  </si>
  <si>
    <t>Training Of Users (MTA Officer/ Strategic Partnership ,Sales , Distribution And Agency Banking  Manager)</t>
  </si>
  <si>
    <t>Offer Support Services To Branches (MTA Officer/ Strategic Partnership ,Sales , Distribution And Agency Banking  Manager)</t>
  </si>
  <si>
    <t>Communication With MTA Partners On Query Resolutions And System Updates (MTA Officer/ Strategic Partnership ,Sales , Distribution And Agency Banking  Manager)</t>
  </si>
  <si>
    <t>Facilitate Running Promotions And Co-Marketing (MTA Officer/ Strategic Partnership ,Sales , Distribution And Agency Banking  Manager)</t>
  </si>
  <si>
    <t>Commission Computation And Posting By The System</t>
  </si>
  <si>
    <t>Preparation And Submission Of MTA Reports (MTA Officer/ Strategic Partnership ,Sales , Distribution And Agency Banking  Manager)</t>
  </si>
  <si>
    <t>Process Time (Depends On Activity)</t>
  </si>
  <si>
    <r>
      <rPr>
        <b/>
        <sz val="12"/>
        <color rgb="FF000000"/>
        <rFont val="Times New Roman"/>
        <family val="1"/>
      </rPr>
      <t xml:space="preserve"> </t>
    </r>
    <r>
      <rPr>
        <b/>
        <sz val="12"/>
        <color rgb="FF000000"/>
        <rFont val="Calibri"/>
        <family val="2"/>
        <scheme val="minor"/>
      </rPr>
      <t>Instant I</t>
    </r>
    <r>
      <rPr>
        <b/>
        <sz val="11"/>
        <color rgb="FF000000"/>
        <rFont val="Calibri"/>
        <family val="2"/>
        <scheme val="minor"/>
      </rPr>
      <t>ssuance (Local Debit C</t>
    </r>
    <r>
      <rPr>
        <b/>
        <sz val="11"/>
        <color rgb="FF000000"/>
        <rFont val="Calibri"/>
        <family val="2"/>
      </rPr>
      <t>ard)</t>
    </r>
  </si>
  <si>
    <t>Issue Card To Customer After Positive Identification (Service Centre Consultant)</t>
  </si>
  <si>
    <t>Enter Card And Account Number Details In The Self Service Portal And Submit For Validation ( An OTP is Sent To The Customer  ) (Service Centre Consultant)</t>
  </si>
  <si>
    <t>Customer Enters The OTP Using A Number Pad For Validation  ( Charge Is Atomatically Deducted And Account Linked)</t>
  </si>
  <si>
    <t>Customers Signs On The Signature Pad  To Acknowledge Receipt Of Card</t>
  </si>
  <si>
    <t>Customer Sets PIN And Confirm On POS /ATM (Customer/Service Centre Consultant)</t>
  </si>
  <si>
    <t>10 Minutes</t>
  </si>
  <si>
    <t>Debit Card Blocking (Branch /Contact Centre  (One stage/step process)</t>
  </si>
  <si>
    <t>Customer Blocks Card On Digital Platforms Under Card Maintanance</t>
  </si>
  <si>
    <t>5 minutes</t>
  </si>
  <si>
    <t>Customer Unblocks Card On Digital Platforms Under Card Maintanance</t>
  </si>
  <si>
    <t>Client Requests For Card Replacement On Digital Platforms Or Self Service Platform In Branch (Customer Alone or Assisted By Service Centre Consultant)</t>
  </si>
  <si>
    <t>Capture Card Request In Agent Portal (Enquiries Officer)</t>
  </si>
  <si>
    <t>VISA Card Issuance (Non Personalised)</t>
  </si>
  <si>
    <t>Request For VISA Card Through Self Service Platform In Branch (Customer/Assisted By Service Centre Consultant) Or Digital Platforms  (Customer) / It Can Be Virtual Centre Initiated (Virtual Service Centre)</t>
  </si>
  <si>
    <t>For PEP's Seek Approval From Relevant Authority (Virtual Service Centre/Service Centre Consultant)</t>
  </si>
  <si>
    <t>Approve Application (Virtual Service  Centre/ Service Centre Consultant)</t>
  </si>
  <si>
    <t>On Collection, Positivily Identify Customer (Service Centre Consultant)</t>
  </si>
  <si>
    <t>If Customer Requested For Personalised Card, Kick Start The Personalised Process</t>
  </si>
  <si>
    <t>Issue Card And Customer Signs On The Signature Pad (Service Centre Consultant)</t>
  </si>
  <si>
    <t>10mins</t>
  </si>
  <si>
    <t xml:space="preserve">Make Arrangements To Print Card From Closest Location With Printer Or Head Office </t>
  </si>
  <si>
    <t>Once Card Is Returned Advise Customer To Collect Card (Service Centre Consultant)</t>
  </si>
  <si>
    <t>Central Cash Department</t>
  </si>
  <si>
    <t>CCD Cash Clerk</t>
  </si>
  <si>
    <t>Cash Custodian</t>
  </si>
  <si>
    <t>Retrieve Cash Holding Report For All Currencies From The System (CCD Manager/CCD Team Leader)/Head Of Operations/Head Of Treasury/Head Of Retail)</t>
  </si>
  <si>
    <t xml:space="preserve"> Analyse The Report Using Approved Branch Cash Holding Limits To Identify Cash Requirements (CCD Manager/CCD Team Leader)</t>
  </si>
  <si>
    <t>Cash Management System To Send Alerts When There Is Excess Cash To Branch And CCD</t>
  </si>
  <si>
    <t>Branch Initiates Cash Repatriation In Cash Management System</t>
  </si>
  <si>
    <t>CCD Approves Repatriation Request</t>
  </si>
  <si>
    <t>CCD Request CIT To Facilitate Repatriation Of Cash From Branch</t>
  </si>
  <si>
    <t>On Arrival Of CIT Crew, CCD Staff Identifies Them Using Daily Voucher In Their Possession And Stamps It  (CCD Manager/CCD Team Leader /CCD Cash Clerks)</t>
  </si>
  <si>
    <t>Details Of CIT Crew\Vehicle And Seal Number Of Seal To Be Used In Cash Repatriation Captured In Cash Management</t>
  </si>
  <si>
    <t>Scan ID and Daily Voucher And Upload To Cash Management System</t>
  </si>
  <si>
    <t>Branch Verify Cash To Be Repatriated, Put Cash In CIT Trunk With Relevant Seal And Handover Trunk To CIT Service</t>
  </si>
  <si>
    <t xml:space="preserve">CIT Crew Signs The Colllection Note ,CIT Register And Departs </t>
  </si>
  <si>
    <t>Branch Confirm Repatriation/Handover To CIT In Cash Management System</t>
  </si>
  <si>
    <t xml:space="preserve">Cash Management System Automatically Moves Cash From Branch Vault To Cash In Transit </t>
  </si>
  <si>
    <t>CCD Staff Signs The CIT Delivery Book And Releases The CIT Crew</t>
  </si>
  <si>
    <t>If Cash Balance And Phyical Cash Are Equal CCD Approves Repatriation In Cash Management System</t>
  </si>
  <si>
    <t>Cash Management System Automatically Moves Cash From CIT Balance To CCD Vault</t>
  </si>
  <si>
    <t>Electronic Register Updated</t>
  </si>
  <si>
    <t>Receive Cash Request From Branches Through Cash Management System  (Central Operation Manager / CCD Team Leader)</t>
  </si>
  <si>
    <t>System To Consolidate All Branch Requirements</t>
  </si>
  <si>
    <t>Based On Availability Of Cash, CCD To Confirm Or Decline  Requirements (CCD To Provide Reasons/ Comment)</t>
  </si>
  <si>
    <t>CCD To Initiate Repatriation Logistics</t>
  </si>
  <si>
    <t>Send Email To Security Department For CIT Services  (CCD Team Leader)</t>
  </si>
  <si>
    <t xml:space="preserve"> Submit Cash Requirements From Treasury Through The Cash Management  System</t>
  </si>
  <si>
    <t>Receive Notice From Treasury  On  The Amount To Be Collected (CCD Team Leader /Central Operations Manager)</t>
  </si>
  <si>
    <t>Receive deal slip or papers. CCD prepares documentation for approval by senior management</t>
  </si>
  <si>
    <t xml:space="preserve"> Confirm Collection Time From The Other Bank (CCD Team Leader /Central Operations Manager)</t>
  </si>
  <si>
    <t>Notify CIT Company For Collection</t>
  </si>
  <si>
    <t>Liase With Security Company For Collection</t>
  </si>
  <si>
    <t>On Arrival Of CIT Crew,  Identifiy Them Using Daily Voucher In Their Possession And Stamps It (CCD Cash Clerks)</t>
  </si>
  <si>
    <t xml:space="preserve"> Photocopy Daily Voucher And ID For Filing (CCD Cash Clerks)</t>
  </si>
  <si>
    <t>Receive Collection Letter From Treasury Operations (CCD Team Leader /Central Operations Manager) - Deal confirmation</t>
  </si>
  <si>
    <t>Prepare Collection Letters (CCD Cash Clerks) - This is prepared before the arrival of CIT crew. Preparation of internal cash collection approval</t>
  </si>
  <si>
    <t xml:space="preserve"> Release The Empty Cash Trunk  (CCD Cash Clerks)</t>
  </si>
  <si>
    <t xml:space="preserve"> Sign The CIT Delivery Book And CIT Crew Departs From CCD To RBZ / Other Banks  (CCD Cash Clerks)</t>
  </si>
  <si>
    <t>Collection of Cash From RBZ/ Other Bank For Cash Collection (CCD Cash Clerks)</t>
  </si>
  <si>
    <t>Collection Of Letters To Cash Custodians Of RBZ / Other Banks For Verification ( CCD Cash Clerks)</t>
  </si>
  <si>
    <t xml:space="preserve"> Confirmation of  The Cash Presented By Cash Custodians Of RBZ / Other Banks (Bundle Checks) ( CCD Cash Clerks)</t>
  </si>
  <si>
    <t>Seal The Cash Inside The Trunk And Hands Over The Trunk To The CIT Crew  ( CCD Cash Clerks)</t>
  </si>
  <si>
    <t>On Arrival Of  Crew With Trunk , Check If The Seal And The Lock Were Not Tampered With ( CCD Cash Clerks)</t>
  </si>
  <si>
    <t>Collect The Loaded Trunk To Vault And Verifies Cash  ( CCD Cash Clerks)</t>
  </si>
  <si>
    <t xml:space="preserve"> Cash Custodians Passes CIT Cash Entries In CBS ( CCD Cash Clerks)</t>
  </si>
  <si>
    <t xml:space="preserve"> Cash Custodians Updates The Physical Vault Register  ( CCD Cash Clerks  CCD Team Leader)</t>
  </si>
  <si>
    <t>What triggures the request (Treasury through cash report or CCD generates the request)</t>
  </si>
  <si>
    <t>Receives Notification From Treasury On The Amount Being Imported And Request For A Breakdown Through Email  C</t>
  </si>
  <si>
    <t xml:space="preserve"> Prepare The Cash  Breakdown As  Required  And Responds To Treasury On Email  (Central Operation Manager/ CCD  Team Leader)</t>
  </si>
  <si>
    <t>On Confirmation  of Delivery Date, CCD Prepares A Bidvest Order Form And Sends it for Approval ( CCD  Team Leader)</t>
  </si>
  <si>
    <t>Receive The Delivery Of Loaded bags  From The Security Crew  (CCD Cash Clerks)</t>
  </si>
  <si>
    <t>Check If The Seal And The Bag Were Not Tampered With  (CCD Cash Clerks)</t>
  </si>
  <si>
    <t xml:space="preserve"> Sign The CIT Delivery Book  (CCD Cash Clerks)</t>
  </si>
  <si>
    <t xml:space="preserve"> Take The Loaded Bags To Vault And Verifies Cash   (CCD Cash Clerks)</t>
  </si>
  <si>
    <t xml:space="preserve"> Pass CIT Cash Entries In CBS And Updates The Physical Vault Book  (CCD Cash Clerks)</t>
  </si>
  <si>
    <t>Approves Cash Entry In CBS  (CCD Cash Clerks)</t>
  </si>
  <si>
    <t xml:space="preserve"> Update The Electronic Vault Register (CCD Cash Clerks)</t>
  </si>
  <si>
    <t xml:space="preserve"> Notify Treasury Of The Delivery (CCD Team Leader / Central Operations Manager)</t>
  </si>
  <si>
    <t>After distibution of cash to branches CCD team leader submit cash breakdown to International Banking with Zimra documents (CCD Team Leader)</t>
  </si>
  <si>
    <t>Cash Management (CCD)-Cash Exportation-Repatriation Of Soiled Notes) - What happens to the difference</t>
  </si>
  <si>
    <t>Receive A Request For A Breakdown Of Soiled Notes From Treasury Through Email  (CCD Team Leader/ Central Operations Manager)</t>
  </si>
  <si>
    <t xml:space="preserve"> Prepare The Breakdown And Responds To Treasury On Email (CCD Team Leader / Central Operations Manager)</t>
  </si>
  <si>
    <t xml:space="preserve"> Confirm Collection Date, Request For Two Officers From Audit And Risk To WitnessThe Repatriation Process (CCD Team Leader / Central Operations Manager)</t>
  </si>
  <si>
    <t xml:space="preserve"> Verify And Pack The Cash Into Bags And seals Them </t>
  </si>
  <si>
    <t>Signs Cash Repatriation Form And Stamp it  Together With  Audit And Risk Personnel (CCD Cash Clerks/ Audit And Risk Personnel)</t>
  </si>
  <si>
    <t>CCD team leader submit the cash repatriation form to International Banking applying for CD1 (CCD  Team Leader)</t>
  </si>
  <si>
    <t>Receive Notice From International Banking To Collect Original CD1 Form From Them (CCD Team Leader )</t>
  </si>
  <si>
    <t>Submit Signed And Stamped Cash Repatriation And CD1 Forms To Export And Import Agent Through e-mail (CCD  Team Leader)</t>
  </si>
  <si>
    <t>Submit Hard Copies Of CD1 And Cash Repatriation Forms To Export And Import Agent Before Collection Date  (CCD Team Leader)</t>
  </si>
  <si>
    <t>On Arrival Of CIT Crew, Identifiy Them Using Daily Voucher In Their Possession And Stamps It (CCD Cash Clerks)</t>
  </si>
  <si>
    <t xml:space="preserve"> Photocopy Daily Voucher And ID For Filing  (CCD Cash Clerks)</t>
  </si>
  <si>
    <t>Photocopy the cash repatriation documents and hands over to the CIT collecting the bags for clearing purposes (CCD Cash Clerks)</t>
  </si>
  <si>
    <t xml:space="preserve"> Hand Over The Loaded And Sealed Cash Bags  (CCD Cash Clerks)</t>
  </si>
  <si>
    <t>Capture Entry in CBS (CCD Cash Clerks)</t>
  </si>
  <si>
    <t>Verify And Approve Captured Entries (CCD  Team Leader)</t>
  </si>
  <si>
    <t xml:space="preserve"> Updates The Electronic Vault Register (CCD Cash Clerks)</t>
  </si>
  <si>
    <t>Cash Deposit</t>
  </si>
  <si>
    <t>Receive Card/Account Number/Cash Deposit  Voucher Code And  Cash From Customer (Service Centre Consultant)</t>
  </si>
  <si>
    <t>Process Card Transaction On POS /Count Cash  and Verify Total  (Service Centre Consultant)</t>
  </si>
  <si>
    <t>Capture Cash Deposit Voucher Code, Account Number, Amount , Denominations In CBS (Service Centre Consultant)</t>
  </si>
  <si>
    <t>Print Receipt Where Applicable (Service Centre Consultant)</t>
  </si>
  <si>
    <t>Stamp Receipt Where Applicable (Service Centre Consultant)</t>
  </si>
  <si>
    <t xml:space="preserve">Total process time depending on deposit size - minimum </t>
  </si>
  <si>
    <t>3 minutes</t>
  </si>
  <si>
    <t xml:space="preserve">Cash Management (CCD)-Deposit Cash To RBZ/Other Banks </t>
  </si>
  <si>
    <t>Advise Treasury Of Cash Excess  (Central Operation Manager/ CCD  Team Leader)</t>
  </si>
  <si>
    <t>Receive Notice From Treasury On The Amount To Be Deposited (Central Operation Manager/ CCD  Team Leader)</t>
  </si>
  <si>
    <t xml:space="preserve"> Confirm Collection Time From The Other Bank (Central Operation Manager/ CCD  Team Leader)</t>
  </si>
  <si>
    <t xml:space="preserve"> Prepare The Cash using the breakdown provided by Treasury, Seal it Inside The Trunk And Record The Seal Details In The Seals Register (CCD Cash Clerks)</t>
  </si>
  <si>
    <t xml:space="preserve"> Receive deposit Letters From Treasury Operations  (Central Operation Manager/ CCD  Team Leader)</t>
  </si>
  <si>
    <t xml:space="preserve"> Prepare Deposit Letters  (CCD Cash Clerks) - Specify the letters</t>
  </si>
  <si>
    <t xml:space="preserve"> Release The Loaded Cash Trunk  (CCD Cash Clerks)</t>
  </si>
  <si>
    <t xml:space="preserve"> Go To RBZ/ Other Bank For Cash Deposit (CCD Cash Clerks)</t>
  </si>
  <si>
    <t>Completes Deposit Slip to be stamped by the receiving bank/RBZ(CCD Cash Clerks)</t>
  </si>
  <si>
    <t>RBZ / Other Banks For Verifies the cash being deposited by the CCD staff before accepting the deposit (CCD Cash Clerks)</t>
  </si>
  <si>
    <t>CCD Staff  Locks The Empty Trunk And Hands Over The Trunk To The CIT Crew (CCD Cash Clerks)</t>
  </si>
  <si>
    <t>CCD Cash Custodians Passes CIT Cash Entries In CBS and CCD team leader authorise in CBS(CCD Cash Clerks/ CCD Team Leader)</t>
  </si>
  <si>
    <t>Advises Treasury Of The Deposit By Scanning Copy Of Deposit Slip(CCD Cash Clerks)</t>
  </si>
  <si>
    <r>
      <rPr>
        <b/>
        <sz val="11"/>
        <color rgb="FF000000"/>
        <rFont val="Calibri"/>
        <scheme val="minor"/>
      </rPr>
      <t xml:space="preserve">Cash deposits - Card (Using Sale Function) - </t>
    </r>
    <r>
      <rPr>
        <b/>
        <sz val="11"/>
        <color rgb="FFFF0000"/>
        <rFont val="Calibri"/>
        <scheme val="minor"/>
      </rPr>
      <t xml:space="preserve">Implement Deposit On POS </t>
    </r>
  </si>
  <si>
    <t>Cash Withdrawal  (Flexi Express) For Individuals</t>
  </si>
  <si>
    <t>Receive Card /Cash Service Voucher Code Number (Service Centre Consultant)</t>
  </si>
  <si>
    <t xml:space="preserve">If It Is A Card Process On POS Machine </t>
  </si>
  <si>
    <t>If It Is A Voucher Capture Code Number In CBS (Service Centre Consultant)</t>
  </si>
  <si>
    <t>Execute Transaction (Service Centre Consultant)</t>
  </si>
  <si>
    <t xml:space="preserve">Cash Withdrawal Schools,Corporates And Churches </t>
  </si>
  <si>
    <t xml:space="preserve">Customer Initiates A Request And  Scan Signed Withdrawal Slip On Self Service Platform In Branch/Digital Platform </t>
  </si>
  <si>
    <t>Receive Cash Service Voucher Code Number (Service Centre Consultant)</t>
  </si>
  <si>
    <t>Verify If Account Signatories Have Approved In Self Service Portal (Service Centre Consultant)</t>
  </si>
  <si>
    <t>Capture Code Number In CBS (Service Centre Consultant)</t>
  </si>
  <si>
    <t>Cash Withdrawal- Card (Teller Pos)</t>
  </si>
  <si>
    <t>Receive Card  (Service Centre Consultant)</t>
  </si>
  <si>
    <t>Insert Card On POS Machine,Enter Amount And Request Customer To Submit PIN Using Pin Pad (Service Centre Consultant)</t>
  </si>
  <si>
    <t>Execute Transaction (Service Centre Consultant) Transaction Between Teller POS Account And Teller Till Account</t>
  </si>
  <si>
    <t>Count/Give money to client   (Service Centre Consultant)</t>
  </si>
  <si>
    <t xml:space="preserve"> Stamp And File the slip   (Service Centre Consultant)</t>
  </si>
  <si>
    <t>Receive  Voucher Details  and ID From Customer(Service Centre Consultant)</t>
  </si>
  <si>
    <t>Capture Voucher Ref Number In CBS  (Service Centre Consultant)</t>
  </si>
  <si>
    <t>Count Cash And Give Cash To Client (Service Centre Consultant)</t>
  </si>
  <si>
    <t xml:space="preserve">Check ATM GL To Ascertain ATM Cash Balance </t>
  </si>
  <si>
    <t>If Cash Is Below Cash Reload Threshold Capture Cash Transfer To ATM In CBS</t>
  </si>
  <si>
    <t>Custodians Count And Verify Cash To Be Loaded And Take Cash To ATM</t>
  </si>
  <si>
    <t>Custodians Verify Cash In ATM Against ATM GL Balance</t>
  </si>
  <si>
    <t>Load All Cash Into ATM</t>
  </si>
  <si>
    <t>System To Maintain Audit Trail Of All Cash Transfer Along With Denominations</t>
  </si>
  <si>
    <t>Process Time Depends On  Transaction Size</t>
  </si>
  <si>
    <t xml:space="preserve">RTGS </t>
  </si>
  <si>
    <t>Customer Captures RTGS Transaction On Self Service Portal In Branch (Assisted By Service Centre Consultant) / Digital Platforms</t>
  </si>
  <si>
    <t>Customer Approves RTGS Transaction On Self Service Portal In Branch/Digital Platforms</t>
  </si>
  <si>
    <t>Systems Sends POP To Registered Eamil Addresses And Mobile Numbers / System Generates On Demand</t>
  </si>
  <si>
    <t>Internal Funds Transfer  Branch</t>
  </si>
  <si>
    <t>Customer Captures Internal Transaction On Self Service Portal In Branch (Assisted By Service Centre Consultant) / Digital Platforms</t>
  </si>
  <si>
    <t>Customer Approves Internal Transfer Transaction On Self Service Portal In Branch/Digital Platforms</t>
  </si>
  <si>
    <t>Send POP To Registered Eamil Addresses And Mobile Numbers</t>
  </si>
  <si>
    <t xml:space="preserve">Salary processing (Customer To Bank)-Outgoing </t>
  </si>
  <si>
    <t>Customer Submits And Authorise  Salary Batch On Zeepay Platform</t>
  </si>
  <si>
    <t>Batch Is Processed And Settled In Realtime On Zeepay Platform</t>
  </si>
  <si>
    <t>Rejects Are Corrected By The Customer On Zeepay Platform</t>
  </si>
  <si>
    <t>For Batches Received Through Email, System To Automatically Generate Input File And Uploads In System</t>
  </si>
  <si>
    <t>If Account Is Not Funded, System Automatically Advises Client And Levies Insuffient Funds Charge</t>
  </si>
  <si>
    <t>System Automatically Debits Account And Processes Commission</t>
  </si>
  <si>
    <t>Rejects To Credit Customers Account And Notification Of Rejects Is Sent To Customer</t>
  </si>
  <si>
    <t>System Sends Completion Notification To Client</t>
  </si>
  <si>
    <t>Salary processing -Incoming  Government Salaries,Zimsec,ZCDC,Schools And Councils</t>
  </si>
  <si>
    <t>Receive File And Password Through Email (Salaries Clerk,Salaries Team Leader)</t>
  </si>
  <si>
    <t xml:space="preserve">File Is Formatted By The System  And Uploaded For Bulk Processing In The System </t>
  </si>
  <si>
    <t>Approve And Execute The File In The System</t>
  </si>
  <si>
    <t xml:space="preserve">Salary processing -Exception Handling </t>
  </si>
  <si>
    <t xml:space="preserve">Approve In CBS All Manual Resolves </t>
  </si>
  <si>
    <t>Receive Query From Customer Through iSupport/Contact Centre (Salaries Clerk/Salaries Team Leader)</t>
  </si>
  <si>
    <t>Analyse Query To Ascertain Action Required (Salaries Clerk/Salaries Team Leader)</t>
  </si>
  <si>
    <t>If It Is A Reversal Query, Capture The Reversal In CBS (Salaries Clerk)</t>
  </si>
  <si>
    <t>Authorise The Transaction In CBS (Salaries Team Leader)</t>
  </si>
  <si>
    <t>Notify Customer Of The Resolution (Salaries Clerk/Salaries Team Leader)</t>
  </si>
  <si>
    <t>Debit Orders - Manual (Direct All Customers To Use Nova Pay)</t>
  </si>
  <si>
    <t>Receive Schedules Through Email (Salaries Clerk/Salaries Team Leader)</t>
  </si>
  <si>
    <t>Central Processing Of Corporate Payment (RTGS )</t>
  </si>
  <si>
    <t>Central Processing Of Corporate Payment (Internal Transfer)</t>
  </si>
  <si>
    <t xml:space="preserve">Telegraphic Transfer-Outgoing Payment </t>
  </si>
  <si>
    <t>Customer Captures Telegraphic Transfer On Self Service Portal In Branch (Assisted By Service Centre Consultant) / Digital Platforms</t>
  </si>
  <si>
    <t>Customer Uploads Supporting Documentation On Self Service Portal In Branch (Asssisted By Service Centre Consultant)/Digital Platforms</t>
  </si>
  <si>
    <t>Customer Approves Telegraphic  Transfer Transaction On Self Service Portal In Branch/Digital Platforms</t>
  </si>
  <si>
    <t>System Send Notification For Telegraphic Transfer Instruction To Registered Email Address And Mobile Number</t>
  </si>
  <si>
    <t>IBO Downloads  Documents And Record In The Register</t>
  </si>
  <si>
    <t>EXCON Checks All Documents For Exchange Control  Compliance</t>
  </si>
  <si>
    <t>Capture The Transaction (Accounting Entries, Swift Messages And Exchange Control Information) In CBS After Approval From Treasury (IBO)</t>
  </si>
  <si>
    <t>Checker Verify And Authorize Transaction In CBS (Supervisor Or IB Manager)</t>
  </si>
  <si>
    <t>Swift- CEBAS Updated In The Backend</t>
  </si>
  <si>
    <t>IB Supervisor Authorize Transaction In Swift (First Level Authorization)</t>
  </si>
  <si>
    <t xml:space="preserve">IB Manager  Authorize Transaction In Swift (Second Level Authorization) </t>
  </si>
  <si>
    <t>IB Manager Or IB Supervisor Reviews Sanctions Hits (Clients Flagged By Sanction Screening)</t>
  </si>
  <si>
    <t>False Positive Review Manual-By IB Manager Or IB Supervisor</t>
  </si>
  <si>
    <t>Prepare Exchange Control Payment Return (IBO)</t>
  </si>
  <si>
    <t>EXCON Checks The Return</t>
  </si>
  <si>
    <t>IB Manager And Head Of Treasury Approves The Return</t>
  </si>
  <si>
    <t xml:space="preserve">Telegraphic Transfer - Incoming Payment </t>
  </si>
  <si>
    <t xml:space="preserve">IBO Officer Download Or Retrieve Statement And Swift Messages </t>
  </si>
  <si>
    <t>Check For Credits On The Statement (IBO)</t>
  </si>
  <si>
    <t xml:space="preserve">Verify  And Validate Purpose Of Payment With Customer Through The Branch CIB </t>
  </si>
  <si>
    <t xml:space="preserve">IB Officer Captures Liquidation Entries In CBS As Well As Statutory  </t>
  </si>
  <si>
    <t>ZIMRA Payment -Funds Transfer (Duty, VAT, CGT ,etc)</t>
  </si>
  <si>
    <t>Customer Captures  ZIMRA Payment On Self Service Platform In Branch (Assisted By Service Centre Consultant)/Digital Platforms</t>
  </si>
  <si>
    <t>Customer Approves ZIMRA Payment On Self Service Portal In Branch/Digital Platforms</t>
  </si>
  <si>
    <t>System Sends POP To Registered Email Address And Mobile Number</t>
  </si>
  <si>
    <t>ZIMRA Payments  Cash Transaction-(Duty) - Mugari To Verify</t>
  </si>
  <si>
    <t>Receive Deposit Slip And Cash From Client (Service Centre Consultant)</t>
  </si>
  <si>
    <t>Verify and Check Completeness Of Form Details (Service Centre Consultant)</t>
  </si>
  <si>
    <t>Capture Transaction Details In CBS And TIN/ Assessment Ref  Is Validated (Service Centre Consultant)</t>
  </si>
  <si>
    <t xml:space="preserve">Verify And Authorise Transaction In CBS on Both  The ZIMRA Menu And Deposit Menu (CSO/ BM) </t>
  </si>
  <si>
    <t>Receive Vehicle Registration Book (Service Centre Consultant)</t>
  </si>
  <si>
    <t>Verify And Validate Vehicle Status In Icecash  (Service Centre Consultant)</t>
  </si>
  <si>
    <t>Receive Cash/Card  (Service Centre Consultant)</t>
  </si>
  <si>
    <t>Capture Radio License In Zinara (Service Centre Consultant)</t>
  </si>
  <si>
    <t>Capture Insurance In lcecash  (Service Centre Consultant)</t>
  </si>
  <si>
    <t>Capture ZINARA Licensing (Service Centre Consultant)</t>
  </si>
  <si>
    <t>Print Using FaceValue Document  (Service Centre Consultant)</t>
  </si>
  <si>
    <t>MTA Receipt -  Mama Money, Mukuru,  Western Union, MoneyGram</t>
  </si>
  <si>
    <t>Receive Reference Or Order Number From Customer And Enter In The System (Service Centre Consultant)</t>
  </si>
  <si>
    <t>Validate And Positively Identify Client (Service Centre Consultant)</t>
  </si>
  <si>
    <t>Enter Relevant Voucher Number In CBS  (Service Centre Consultant)</t>
  </si>
  <si>
    <t>Verify Information Pulled To MTA Form And Complete Missing Fields (Service Centre Consultant - Private Banking\RO - Private Banking)</t>
  </si>
  <si>
    <t>Validate And Submit Transaction. (Service Centre Consultant - Private Banking\RO - Private Banking)</t>
  </si>
  <si>
    <t>Integrate With Moneygram And RBZ</t>
  </si>
  <si>
    <t>Count, Verify And Give Cash To Customer  (Service Centre Consultant - Private Banking\RO - Private Banking)</t>
  </si>
  <si>
    <t>Total Processes Executed (Transactions)</t>
  </si>
  <si>
    <t>Total Processes Time/Month  (workimg days)</t>
  </si>
  <si>
    <t>Total Time Saved (hours)</t>
  </si>
  <si>
    <t>FE Saved per Month (Manual, Semi and Fully Digital)</t>
  </si>
  <si>
    <t>MTA Sending -  MoneyGramm</t>
  </si>
  <si>
    <t>Positively Identify Client (Teller\CSO - Private Banking\RO - Private Banking)</t>
  </si>
  <si>
    <t>Count, Verify Cash To Given By Customer  And Capture Transaction In Moneygram Portal (Service Centre Consultant - Private Banking\RO - Private Banking)</t>
  </si>
  <si>
    <t>Capture Transfer Transaction In CBS (Teller\CSO - Private Banking\RO - Private Banking)</t>
  </si>
  <si>
    <t>Authorization Of Transaction In CBS (Branch Manager, CSO, Enquiries)</t>
  </si>
  <si>
    <t>Retreive Consolidated Returns From AFC ZINARA Portal (MTA Officer)</t>
  </si>
  <si>
    <r>
      <rPr>
        <b/>
        <sz val="7"/>
        <color rgb="FF000000"/>
        <rFont val="Times New Roman"/>
      </rPr>
      <t xml:space="preserve">  </t>
    </r>
    <r>
      <rPr>
        <b/>
        <sz val="11"/>
        <color rgb="FF000000"/>
        <rFont val="Times New Roman"/>
      </rPr>
      <t>OTC Foreign Exchange Switch Transactions</t>
    </r>
  </si>
  <si>
    <t>Count the Cash Casting The Cash Breakdown(Service Centre Consultant)</t>
  </si>
  <si>
    <t>Request For Rate From The Dealers(Service Centre Consultant)</t>
  </si>
  <si>
    <t>Capture The transaction Using The Token Details Received From Dealers (Service Centre Consultant)</t>
  </si>
  <si>
    <t>Collecting\Sending Cash From Vault</t>
  </si>
  <si>
    <t>Request Cash In CBS (Service Centre Consultant)</t>
  </si>
  <si>
    <t>Verify Cash And Accept In The System (Service Centre Consultant And Supervisor)</t>
  </si>
  <si>
    <t>Customer Service Centre Consultant Captures Inter Teller Transaction In CBS (Service Centre Consultant)</t>
  </si>
  <si>
    <t>Receiving Service Centre Consultant Verifies Cash And Accepts In CBS (Service Centre Consultant)</t>
  </si>
  <si>
    <t>At End Of Day Balance Cash Remaining (Service Centre Consultant)</t>
  </si>
  <si>
    <t>Transfer All Cash To Vault In CBS (Service Centre Consultant)</t>
  </si>
  <si>
    <t>Vault Custodians To Accept Cash After Verifying (Service Centre Consultant And Supervisor)</t>
  </si>
  <si>
    <t>System To Keep Audit Trail Of All Cash Movements Between Service Centre Consultants Including Denominations</t>
  </si>
  <si>
    <t xml:space="preserve">System To Send SMS And Email Notification When The Account Reach Minimum Order Level And When Funded. </t>
  </si>
  <si>
    <t xml:space="preserve">System To Continuosly Send SMS And Email Notification At Prescribed Intervals Until Account Is Funded. </t>
  </si>
  <si>
    <t>Place A Request In D365 For Zinara ,Indicating The Amount, Suspense Account And Beneficiary Details (MTA Officer)</t>
  </si>
  <si>
    <t>On Approval By Finance ,Payment Is Processed To Pre-registered  Payment Details (Assistant Accountant,Head Of Finance)</t>
  </si>
  <si>
    <t>Submit The Proof Of Payment  To Icecash (MTA Officer)</t>
  </si>
  <si>
    <t>Authorise The Captured Commission (S &amp; D Manager)</t>
  </si>
  <si>
    <t>Civil Servants, Clients To View Qualifying Amount Through Digital Platform And Proceed To Apply Using The Platform</t>
  </si>
  <si>
    <t>For Non-Civil Servants Customers Submit Application , Upload Supporting Documents And Accept Terms And Conditions  (Include Interest Rate,Charges And Repayment) Through Self Service Platform (Customer/Assisted By Service Centre Consultant)/Digital Platform</t>
  </si>
  <si>
    <t>Customer Receives Tracking Number After Submission</t>
  </si>
  <si>
    <t>Check And Validate Supporting Documents (Virtual Service Centre Consultant)</t>
  </si>
  <si>
    <t>After Document  Verification System To Disburses The Loan</t>
  </si>
  <si>
    <t>System To Escalate (Head Of Operations)  If Loan Is Not Disbursed Within 3 Days,There After Daily Until Loan Is Disbursed</t>
  </si>
  <si>
    <t xml:space="preserve">Customer To check And Track Status Of Loan On Digital Platform </t>
  </si>
  <si>
    <t xml:space="preserve">Facility Letter To Be Updated Whenever There Are Changes In Terms And Conditions After Legal Department Vetting </t>
  </si>
  <si>
    <t xml:space="preserve">Loan Origination Consumer Long Term </t>
  </si>
  <si>
    <t>Submit Application , Upload Supporting Documents And Accept Terms And Conditions  (Include Interest Rate,Charges And Repayment) Through Self Service Platform (Customer/Assisted By Service Centre Consultant)/Digital Platform</t>
  </si>
  <si>
    <t>Check And Validate Supporting Documents (Credit Analyst)</t>
  </si>
  <si>
    <t>System Will Direct The Application To Credit Department For Electronic Approval (Credit Department/Credit Committee)</t>
  </si>
  <si>
    <t>Perform Appraisal And Submit Recommendations Up To The Appropriate Level (Credit Analyst,Senior Credit Manager,Head Of Credit,Managing Director,Credit Committee)</t>
  </si>
  <si>
    <t>After Document  Verification System To Disburses The Loan (Based On Limits)</t>
  </si>
  <si>
    <t xml:space="preserve">Loan Origination Micro Finance -Business Loan </t>
  </si>
  <si>
    <t>Prepare Appraisal And Submit Proposal Through  Microfinance System  (AMFO)</t>
  </si>
  <si>
    <t>After Senior Manager Microfinance Recommendation, Proposal Will Be Directed  To Credit Department For Electronic Approval (Credit Department/Credit Committee)</t>
  </si>
  <si>
    <t>Loan Origination Business Loan  - Business Banking (SMEs)</t>
  </si>
  <si>
    <t>Site Visit By Relationship Office/Portfolio Manager/Senior Manager Business Banking</t>
  </si>
  <si>
    <t>Prepare Appraisal And Submit Proposal Through The System  (Relationship Officer)</t>
  </si>
  <si>
    <t>After  Portfolio Manager And Senior Manager Business Banking Recommendation, Proposal Will Be Directed  To Credit Department For Electronic Approval (Credit Department/Credit Committee)</t>
  </si>
  <si>
    <t>Attend To All Collateral And Security Perferction Requirements (Credit Analyst)</t>
  </si>
  <si>
    <t>After Approval, Loan Application Is Routed To Credit Administration For Disbursement</t>
  </si>
  <si>
    <t>System Generates Facility Letter For Signing By Customer (Credit Analyst)</t>
  </si>
  <si>
    <t>Site Visit By  CIB Credit Analyst/CRM/SCRM/Head CIB</t>
  </si>
  <si>
    <t>Prepare Appraisal And Submit Proposal Through CLOS (CIB Credit Analyst/CRM/SCRM/Head CIB)</t>
  </si>
  <si>
    <t>After CRM/SCRM/Head CIB Recommendation, Proposal Will Be Directed  To Credit Committee/BLAC Depending On Limit For Electronic Approval  Through Credit Department</t>
  </si>
  <si>
    <t>Credit Committee To Have Option To Evaluate And Approve Electronically</t>
  </si>
  <si>
    <t>Attend To All Collateral And Security Perfection Requirements (Legal Manager)</t>
  </si>
  <si>
    <t xml:space="preserve">System Generates Facility Letter For Signing By Customer </t>
  </si>
  <si>
    <t>Loan Origination Microfinance Personal Non-Account Holder</t>
  </si>
  <si>
    <t xml:space="preserve">Digital Platforms Should Have An Option For Non Account Holders To Submit Their Application </t>
  </si>
  <si>
    <t>Customers Submit Application , Upload Supporting Documents And Accept Terms And Conditions  (Include Interest Rate,Charges And Repayment) Through Self Service Platform (Customer/Assisted By Service Centre Consultant)/Digital Platform</t>
  </si>
  <si>
    <t>After Opening Of Bank Account And  Registration Of  Stop Order With The Paymaster, Disburse The Loan Through Credit Administration Department</t>
  </si>
  <si>
    <t>Process for Short Term Consumer and Microfinance Loans Will Be Automated</t>
  </si>
  <si>
    <t xml:space="preserve">Appraisal And Assessment Of Business Banking And CIB  - Credit Department </t>
  </si>
  <si>
    <t>Covered Under Loan Origination For Corporates</t>
  </si>
  <si>
    <t>Receive Cancelation Request From Branch (Credit Analyst )</t>
  </si>
  <si>
    <t>Recommend For Approval To Head Of Credit (Senior Credit Manager)</t>
  </si>
  <si>
    <t>Recommend For Approval To Credit Committee (Head Of Credit )</t>
  </si>
  <si>
    <t>Credit Committee Approves / Declines Request (Credit Committee)</t>
  </si>
  <si>
    <t xml:space="preserve">Cases For Ratification (Monitoring)  -Credit Department </t>
  </si>
  <si>
    <t>This Is Not A Process , It Is Information Submitted To Committee For Noting</t>
  </si>
  <si>
    <t>Receive Request From Business Banking , Corporate Banking, Risk, Debt Recoveries Through Electronic Document Management System ( Senior Credit Manager)</t>
  </si>
  <si>
    <t>Verify and Check Correctness And Completeness Of Request ( Senior Credit Manager)</t>
  </si>
  <si>
    <t>Send The Request To Credit Committe Through Electronic Document Management System (Senior Credit Manager)</t>
  </si>
  <si>
    <t>Credit Committee Approves / Declines Request In The Document Management System</t>
  </si>
  <si>
    <t>Receive The Prudential and Discretionary Lending Limits Requests Fom Risk Department ( Senior Credit Manager)</t>
  </si>
  <si>
    <t>Verify And Check Correctness And Completeness of Request ( Senior Credit Manager)</t>
  </si>
  <si>
    <t>Send Decision Sheet To Risk Department</t>
  </si>
  <si>
    <t xml:space="preserve">All Balances To Be Displayed Through Digital Channels Under View Option </t>
  </si>
  <si>
    <t xml:space="preserve">Balance Enquiries Should Not Be Allowed In The Branch </t>
  </si>
  <si>
    <t>Individual Account Balance Enquiry Through Digital Platform To Attract Balance Enquiry Charge</t>
  </si>
  <si>
    <t>No SMS Should Be Send To Customers For Balance Enquiry</t>
  </si>
  <si>
    <t>Client To Generate Statement Through Digital Platforms</t>
  </si>
  <si>
    <t>Statement Requested Through Branch Should Have High Charges Compared To Digitally Requested Statement</t>
  </si>
  <si>
    <t>Customer Submits Application Through  Self Service Portal In Branch (Assisted By Service Centre Consultant)  Or Digital Platforms</t>
  </si>
  <si>
    <t>Branch Manager  Or Relationship Manager Verifies And Validates The Application  In The System And Ensures The Security Is Available</t>
  </si>
  <si>
    <t>IB Officer Records In Guarantee Register And Creates A Customer File In Flexidoc</t>
  </si>
  <si>
    <t>IB Officer Submits For Approval In Flexidoc</t>
  </si>
  <si>
    <t>Verification And Validation By IB Manager In Flexidoc</t>
  </si>
  <si>
    <t>Approval By Head Treasury And IB In Flexidoc</t>
  </si>
  <si>
    <t xml:space="preserve">IB Officer Captures Details In CBS And System Collects Fees </t>
  </si>
  <si>
    <t>First Level Authorisation In SWIFT By IB Supervisor</t>
  </si>
  <si>
    <t>Second Level Authorisation In SWIFT By IB Manager</t>
  </si>
  <si>
    <t>Dispatch Guarantee And Letter To Client Through Branch Or Relationship Manager  And File Copies (IB Officer)</t>
  </si>
  <si>
    <t>System To Send Alerts 30 Days Before Expiry To All Stakeholders Including Client</t>
  </si>
  <si>
    <t>Cancel / Release If No Claims Received (IB Officer)</t>
  </si>
  <si>
    <t xml:space="preserve">Remove From Contingent Liability Report </t>
  </si>
  <si>
    <t>IB Officer Records  Letter Of Credit And Creates A Customer File In Flexidoc</t>
  </si>
  <si>
    <t xml:space="preserve">IB Officer Captures Details In CBS And  System Collects Fees </t>
  </si>
  <si>
    <t>Dispatched To Client Through Branch And File Copies (IB Officer)</t>
  </si>
  <si>
    <t>Archive Separately From Active Letters Of Credit In Flexidoc (IB Officer)</t>
  </si>
  <si>
    <t>Loan Monitoring - Impliment Loan Monitoring Module</t>
  </si>
  <si>
    <t xml:space="preserve">Identify Running High Value Loans From Loan Origination Group Emails (Corporate Banking, Business Banking - above USD40,000 or ZWG equivalence, Specific Products) </t>
  </si>
  <si>
    <t>Perform Adhoc Reviews For Not Performing To Expectations</t>
  </si>
  <si>
    <t>Full Automation - System To Settle VISA Transactions Using Exchange Rate Provided By Treasury Front Office</t>
  </si>
  <si>
    <t>System To Process ZimSwich Settlement Journal Entries</t>
  </si>
  <si>
    <t>Place An Order In The System For Powertel ,Indicating The Amount, Suspense Account And Beneficiary Details (eBanking Clerk)</t>
  </si>
  <si>
    <t>Approve Order For Payment  In The System (Treasury Front Office)</t>
  </si>
  <si>
    <t>Process The RTGS Transfer And Provide Proof Of Payment(Treasury Back Office)</t>
  </si>
  <si>
    <t>Submit The Proof Of Payment  And Fiscal Invoice To Powertel (eBanking Clerk)</t>
  </si>
  <si>
    <t>Upload The Invoice In Document Management System For Approval By eBanking Manager And Head Of Operations (eBanking Clerk)</t>
  </si>
  <si>
    <t>After Approval Process The  Transfer In CBS And Notify The Biller  (eBanking Clerk)</t>
  </si>
  <si>
    <t>Implement IDC Loan Monitoring Module</t>
  </si>
  <si>
    <t xml:space="preserve">Implement Monitoring System To Track Covenants </t>
  </si>
  <si>
    <t>System To Perform Monthly Credit Scoring of All Loans For Risk Reporting</t>
  </si>
  <si>
    <t>System To Send Reminder Letters ( First, Second and Third Reminder)</t>
  </si>
  <si>
    <t xml:space="preserve">Verification Of Amount Disbursed And Fees Collected (Insurance And Interest)-Branch Manager CSO/Enquiries </t>
  </si>
  <si>
    <t>Loan Disbursement Of Secured Facility CIB</t>
  </si>
  <si>
    <t xml:space="preserve">Prepare Draft Agreement And Covenants Documents  In The System  (Credit Admin Clerk) </t>
  </si>
  <si>
    <t>Verify Draft Agreement Against Decision Sheet And Covenants Documents  (Credit Admin Manager/Supervisor)</t>
  </si>
  <si>
    <t xml:space="preserve">Forward Agreement Through Document Management System To CIB (Credit Admin Clerk) </t>
  </si>
  <si>
    <t>Authorise The Captured Amount (Supervisor/Credit Admin Manager)</t>
  </si>
  <si>
    <t>Loan Disbursement Business Banking</t>
  </si>
  <si>
    <t>Retrieve The Decision Sheet From CLOS (Credit Admin Manager/Supervisor)</t>
  </si>
  <si>
    <t xml:space="preserve">Prepare Draft Agreement  In  And Covenants Documents In CLOS  e.g Limited Guarantees, Cessions Of Insurances e.t.c (Credit Admin Clerk) </t>
  </si>
  <si>
    <t>Verify Draft Agreement Against Decision Sheet And Covenants Documents In CLOS (Credit Admin Manager/Supervisor)</t>
  </si>
  <si>
    <t xml:space="preserve">Branch To Pick The Draft Agreement From CLOS </t>
  </si>
  <si>
    <t>Retrieve  Signed Disbursement Certificate, Signed Facility Agreement And The Liquidity Approval  From CLOS(Credit Admin Manager)</t>
  </si>
  <si>
    <t>Off Balance Sheet Loan</t>
  </si>
  <si>
    <t>Receive Aplication Documents e.g National ID, Letter From Ministry of Lands e.t.c From Credit Department Through FlexiDoc (Supervisor/Credit Admin Manager)</t>
  </si>
  <si>
    <t xml:space="preserve">Loan Maintanance , Servicing And Query Handling </t>
  </si>
  <si>
    <t>Retrieve The File From Secure Folder (Credit Admin Supervisor)</t>
  </si>
  <si>
    <t xml:space="preserve">System Formats The File And Then Upload The File </t>
  </si>
  <si>
    <t xml:space="preserve">System To Send Confirmation Of The Uploaded File To Microfinance And Digital Systems Support </t>
  </si>
  <si>
    <t>Receive The Decision Sheet From Credit Department Through Flexidoc (Credit Admin Manager/Supervisor)</t>
  </si>
  <si>
    <t xml:space="preserve">System Generates Templates For Draft Agreement And Covenants Documents e.g Limited Guarantees, Cessions Of Insurance e.t.c </t>
  </si>
  <si>
    <t xml:space="preserve">Complete Templates According To Decision Sheet (Credit Admin Clerk) </t>
  </si>
  <si>
    <t xml:space="preserve">Forward Agreement To Branch/Business Banking Unit In Flexidoc (Credit Admin Clerk) </t>
  </si>
  <si>
    <t>Receive Signed Disbursement Certificate, Signed Facility Agreement And The Liquidity Approval  Through Flexidoc (Credit Admin Manager)</t>
  </si>
  <si>
    <t xml:space="preserve">Create Limit In Collateral Loan Management System (CLMS) For Secured Overdraft (Credit Admin Clerk) </t>
  </si>
  <si>
    <t>Disburse Overdraft Limit In LMS (Supervisor/Credit Admin Manager)</t>
  </si>
  <si>
    <t xml:space="preserve">Download Stop-Order From Flexidoc, Format And Upload On Ndasenda System Linked To SSB (Credit Admin Clerk) </t>
  </si>
  <si>
    <t>Credit Registry Bureau CRB (Uploading of Files)</t>
  </si>
  <si>
    <t>Retrieve Daily  And Monthly  Extract From Secure Folder (CRB Clerk)</t>
  </si>
  <si>
    <t>Check If All Loans Are Captured  On The  CRB Report (Credit Admin Manager)</t>
  </si>
  <si>
    <t>System To Sort And  Check For fully Paid Loans (Remove Fully Paid Loans)</t>
  </si>
  <si>
    <t>Update  The Monthly Return (CRB Clerk)</t>
  </si>
  <si>
    <t>Validate The Daily/Monthly Report (Credit Admin Manager)</t>
  </si>
  <si>
    <t>Bancassurance : Acquisition Of New Business And Policy Renewals</t>
  </si>
  <si>
    <t>Receive New Business / Policy Renewal  Requests From The Branch (Bancassurance Clerk)</t>
  </si>
  <si>
    <t>Calculate Premium Using Calculator  (Bancassurance Clerk)</t>
  </si>
  <si>
    <t>Prepare/ Request Quotation For The New Business / Renewal (Bancassurance Clerk)</t>
  </si>
  <si>
    <t>Submit the Quotation To The Branch Using Email (Bancassurance Clerk)</t>
  </si>
  <si>
    <t>Receive Completed Policy Proposal Forms From The Branch Through Email (Bancassurance Clerk)</t>
  </si>
  <si>
    <t>Receive Policy Document From The Insurer (Bancassurance Clerk)</t>
  </si>
  <si>
    <t>Bancassurance : Premium Remittances To The Insurer</t>
  </si>
  <si>
    <t>Capture The Funds Transfer  By Dr Suspense Account Crediting The Insurer's Account  (Bancassurance Clerk)</t>
  </si>
  <si>
    <t>Bancassurance Commission Calculation (Monthly, Weekly)</t>
  </si>
  <si>
    <t>Request For Sales Report From Branches (Bancassurance Clerk)</t>
  </si>
  <si>
    <t>Bancassurance: Claims Coordination</t>
  </si>
  <si>
    <t>Receive Claim Documents From The Claimant  (Bancassurance Clerk)</t>
  </si>
  <si>
    <t>Bancassurance : Processing Of  Self Insurance Claims</t>
  </si>
  <si>
    <t>Receive  And Acknowledge Claim documents From The Claimant  (Bancassurance Clerk)</t>
  </si>
  <si>
    <t>Receive The Signed Cash In Lieu Documents (Bancassurance Clerk)</t>
  </si>
  <si>
    <t>If The Claim Is Invalid,  Prepare And Send  A Repudiation Letter (Bancassurance Clerk) Who signs the letter</t>
  </si>
  <si>
    <t>Receive Response From Treasury Back Office For Investment Funds Deployment (Bancassurance Clerk)</t>
  </si>
  <si>
    <t>Bancassurance : Self Insurance Process (Engage Chiedza)</t>
  </si>
  <si>
    <t xml:space="preserve">FINANCE DEPARTMENT </t>
  </si>
  <si>
    <t>Treasury Back Office</t>
  </si>
  <si>
    <t>Treasury Operations Officer</t>
  </si>
  <si>
    <t>Supervisor</t>
  </si>
  <si>
    <t>Treasury Back Office Manager</t>
  </si>
  <si>
    <t>Check Settlement In The RTGS System (Treasury Operations Officer)</t>
  </si>
  <si>
    <t xml:space="preserve">Total Process Time (Hours) </t>
  </si>
  <si>
    <t>Total HR Resources</t>
  </si>
  <si>
    <t>Total Processes Executed</t>
  </si>
  <si>
    <t>Receive Instruction With Client Details From The Dealers (Treasury Operations Manager/Supervisor)</t>
  </si>
  <si>
    <t xml:space="preserve">Total Process Time (Minutes) </t>
  </si>
  <si>
    <t>Receive Instruction From The Dealers To Open The Account (Treasury Operations Manager/Supervisor)</t>
  </si>
  <si>
    <t>Full Automation Of POS Commissions</t>
  </si>
  <si>
    <t xml:space="preserve">Total Process Time (Days) </t>
  </si>
  <si>
    <t>Ebanking Department</t>
  </si>
  <si>
    <t>Customer To Request For POS Hiring Through Self Service Portal In Branch (Alone/Assisted By Service Centre Consultant) Or Digital Platform</t>
  </si>
  <si>
    <t>Customer Receives Tracking Number</t>
  </si>
  <si>
    <t>Merchant Services Analyst Approves Request In POS Management System  And System Collects Hiring Fee</t>
  </si>
  <si>
    <t>Branch Perform Comfort Test (Service Centre Consultant)</t>
  </si>
  <si>
    <t>Activate POS Machine In POS Management System (Service Centre Consultant)</t>
  </si>
  <si>
    <t>Issue POS Machine To The Customer (Service Centre Consultant)</t>
  </si>
  <si>
    <t>Branch Receives POS Machine From The Customer After Usage With The Settlement Slip (Service Centre Consultant)</t>
  </si>
  <si>
    <t>Prepare A Memo For Processing Of Accounting Entries (DR POS Suspense Account CR Customer Account, DR POS Suspense Account CR POS Commission GL)(Service Centre Consultant)</t>
  </si>
  <si>
    <t>Send Memo To Ebanking For Processing ((Service Centre Consultant)</t>
  </si>
  <si>
    <t>Capture Account Entries in CBS (Ebanking Clerk)</t>
  </si>
  <si>
    <t>Total Process Time (Days) Up To Issuance Of POS Machine</t>
  </si>
  <si>
    <t>Issue Petty Cash Card To Each Department And Branch</t>
  </si>
  <si>
    <t xml:space="preserve"> A Limit Is Allocated Per Branch By Finance (Based On Branch Size) eg 'A' Branch Is On USD200 Per Emergency Transaction And 150 For Periodic Transaction</t>
  </si>
  <si>
    <t>Request For Quotations Through eGP PRAZ Platform  (BackOffice Clerk)</t>
  </si>
  <si>
    <t>Electronic Request,Approval And Payment Processing</t>
  </si>
  <si>
    <t>Electronic  Voucher To Withdraw The Cash From Suspense Account - In Case Of Vendors Requiring Cash (BackOffice Clerk)</t>
  </si>
  <si>
    <t xml:space="preserve">TREASURY DEPARTMENT </t>
  </si>
  <si>
    <t>International Banking</t>
  </si>
  <si>
    <t>IB Officer</t>
  </si>
  <si>
    <t>IB Supervsior</t>
  </si>
  <si>
    <t>IB Manager</t>
  </si>
  <si>
    <t>Customer Uploads Relevant Documents And  Submits  Export Application  Form  Through  Self Service Portal In Branch (Assisted By Service Centre Consultant)  Or Digital Platforms</t>
  </si>
  <si>
    <t>Branch Manager  Or Relationship Manager Verifies And Validates The Application  In The System</t>
  </si>
  <si>
    <t>Retrieve Export Form From The System (IB Officer)</t>
  </si>
  <si>
    <t>Authorise Export Form Details In CEPECS (IB Manager/ IB Supervisor)</t>
  </si>
  <si>
    <t>Authorise Export Form In CEPECS (IB Manager/Head Treasury)</t>
  </si>
  <si>
    <t>Total Process Time (Hours) -  For General Application</t>
  </si>
  <si>
    <t>Total Process Time (Hours) - For Special Application</t>
  </si>
  <si>
    <t>Total Process Time (Hours) - For Extension  Application</t>
  </si>
  <si>
    <t>Prepare Advance Payment Letter To Client After Payment Has Been Processed (IB Officer)</t>
  </si>
  <si>
    <t>Total Process Time (Hours) - For Semi-Complex  Application</t>
  </si>
  <si>
    <t>Total Process Time (Hours) - For Complex  Application</t>
  </si>
  <si>
    <t>Customer Uploads Relevant Documents And  Submits  Exchange Control  Application  Through  Self Service Portal In Branch (Assisted By Service Centre Consultant)  Or Digital Platforms</t>
  </si>
  <si>
    <t>Retrieve Exchange Control Applications From System (IB Supervisor)</t>
  </si>
  <si>
    <t>Total Process Time (Hours) -  For Ordinary Application</t>
  </si>
  <si>
    <t>Front Office</t>
  </si>
  <si>
    <t>Junior Dealer</t>
  </si>
  <si>
    <t>Dealer</t>
  </si>
  <si>
    <t>Senior Dealer</t>
  </si>
  <si>
    <t>Total process time (Hours)</t>
  </si>
  <si>
    <t>Structured Finance</t>
  </si>
  <si>
    <t>Structured Finance Manager</t>
  </si>
  <si>
    <t>Head Of Treasury &amp; IB</t>
  </si>
  <si>
    <t>Total process time (Months)</t>
  </si>
  <si>
    <t>Total process time (Days)</t>
  </si>
  <si>
    <t>Serve As Prinmary Point Of Conduct For Strcutured Transactions (Structured Finance Manager)</t>
  </si>
  <si>
    <t>Monitoring And Analysing - Bank Clearing (Circulate By 0930 Hours )</t>
  </si>
  <si>
    <t>To Be Automated Such That A Report Is Generated Daily.  If There Is A Movement Between Two Days, It Will Be Investigated Immediately.</t>
  </si>
  <si>
    <t xml:space="preserve">Total Process Time In Minutes </t>
  </si>
  <si>
    <t xml:space="preserve"> In Country FX Suspense Accounts (FlexiExpress Local Remittance) -Reconciliation Department</t>
  </si>
  <si>
    <t>Full Automation (Match Transactions Using A Unique Identifier And Reconcile Account Balance)</t>
  </si>
  <si>
    <t>System To Rollback Transactions Not Collected After A Specified Period For Account Holders (i.e. 30 days)</t>
  </si>
  <si>
    <t>Sytem To Rollback Transactions Not Collected After A Specified Period (i.e. 30 days) To A Dedicated Suspense Account For Cash Remittances</t>
  </si>
  <si>
    <t>Total Process Time In Hours</t>
  </si>
  <si>
    <t>1 Hour 30 Min</t>
  </si>
  <si>
    <t xml:space="preserve"> Trial Balance Review And Circulation  (Circulate By 0900 Hours ) -Reconciliation Department</t>
  </si>
  <si>
    <t>System To Format Trial Balance And Present In Acceptable Format</t>
  </si>
  <si>
    <t>The Relavant Stakeholders To Access It Through Reports Portal</t>
  </si>
  <si>
    <t>This Process Is Replaced By D365 ,Which Will Spread The Prepayments</t>
  </si>
  <si>
    <t>Total Process Time In Hours (Per Currency)</t>
  </si>
  <si>
    <t xml:space="preserve"> Analysis Of Teller POS  Accounts -Reconciliation Department</t>
  </si>
  <si>
    <t>POS GLs To Be Reconciled At Branch Level</t>
  </si>
  <si>
    <t>If Outstanding Balance Is Not Cleared In 1 Day - Escalate To The Area Manager</t>
  </si>
  <si>
    <t>Finance To Investigate If Amount Remains Outstanding For More Than 3 Days</t>
  </si>
  <si>
    <t>Finance To See Exceptions And How They Are Being Resolved</t>
  </si>
  <si>
    <t xml:space="preserve">Total Process Time In Hours </t>
  </si>
  <si>
    <t>Analysis Of Cash In Transit ,Cash In Hand And ATM -Reconciliation Department</t>
  </si>
  <si>
    <t>Cash In Hand And ATM GLs To Be Reconciled At Branch Level</t>
  </si>
  <si>
    <t>If Outstanding Balance Is Not Cleared In 1 Day Escalate To The Area Manager</t>
  </si>
  <si>
    <t>Total Process Time In Hours (Per GL Account)</t>
  </si>
  <si>
    <t xml:space="preserve">Reconciliation - RTGS Suspense Account (USD And ZWG)  </t>
  </si>
  <si>
    <t>Reconcile Using Auto Reconciliation System Or Tool</t>
  </si>
  <si>
    <t>Investigate,Resolve, And Process  Exceptions Produced By  Reconciliation System Or Tool (Reconciliation Officer)</t>
  </si>
  <si>
    <t xml:space="preserve">Implement A System That Seperates Rental,Water And Electricity </t>
  </si>
  <si>
    <t>System To Automatically Update The GLs</t>
  </si>
  <si>
    <t>2 Hours 30 Min</t>
  </si>
  <si>
    <t>This Process Is Replaced By D365 ,Which Will Process The Accruals</t>
  </si>
  <si>
    <t>Reconciliation - Creation Of Internal Accounts - Suspense Account And GL</t>
  </si>
  <si>
    <t>Receive Account Opening  Request From Head Of Banking Operations  (Financial Accountant )</t>
  </si>
  <si>
    <t>Analyse And Validate Request, If Satisfied Seek Approval To Open The Account (Financial Accountant)</t>
  </si>
  <si>
    <t>Approval By Head Of Finance</t>
  </si>
  <si>
    <t>Create Account In The Respective Product Group In CBS  (Assistant Accountant)</t>
  </si>
  <si>
    <t>Verify And Authorise Account Record In CBS  (Financial  Accountant)</t>
  </si>
  <si>
    <t>Send Account Number Details To Banking Operations (Assistant Accountant)</t>
  </si>
  <si>
    <t xml:space="preserve"> 10 Min</t>
  </si>
  <si>
    <t>Receive Loan Listings From ICT  (Reconciliation Officer)</t>
  </si>
  <si>
    <t>Download Multi Currency Trial Balance  (Reconciliation Officer)</t>
  </si>
  <si>
    <t>Use Pivot Table To Summarise Deposit listings  (Reconciliation Officer)</t>
  </si>
  <si>
    <t>Separate The Trial Balance By Currency  (Reconciliation Officer)</t>
  </si>
  <si>
    <t>Using V look Up Pick The Trial Balance balance against The Listing  (Reconciliation Officer)</t>
  </si>
  <si>
    <t>Compare Variances Between The Listing And Trial Balance (Reconciliation Supervisor /Reconciliation Manager)</t>
  </si>
  <si>
    <t>Escalate Variances To ICT  (Reconciliation Officer)</t>
  </si>
  <si>
    <t xml:space="preserve"> 2Hrs</t>
  </si>
  <si>
    <t>Monitoring Batch Processing Rejects</t>
  </si>
  <si>
    <t>Download GL For Batch Processing  (Reconciliation Officer)</t>
  </si>
  <si>
    <t>Identify Branches With Balances  (Reconciliation Officer)</t>
  </si>
  <si>
    <t>Escalate The Identified Discripances To Branches For Regularisation  (Reconciliation Officer)</t>
  </si>
  <si>
    <t>Follow Up And Review To Ensure Regularisation  (Reconciliation Officer)</t>
  </si>
  <si>
    <t>30Mins</t>
  </si>
  <si>
    <t>Visa Payable Reconciliation</t>
  </si>
  <si>
    <t>Reconcile Transactions And Balance Using Auto Reconciliation System Or Tool</t>
  </si>
  <si>
    <t>Investigate,Resolve, And Process  Exceptions Produced By  Reconciliation System Or Tool(Reconciliation Officer)</t>
  </si>
  <si>
    <t>Query Resolution (Reconciliation)</t>
  </si>
  <si>
    <t>Receive Customer Query Through Social Media Platforms,Email, Telephone and iSupport (Virtual Service Centre)</t>
  </si>
  <si>
    <t>Investigate If the Query Is Valid By Verifying Customer Accounts And Vendor File  (Virtual Service Centre ) If Valid it will be resolved within 24 Hrs</t>
  </si>
  <si>
    <t>Resolve The Query By Capturing In CBS Or Advising The Client If The Query Is Invalid (Virtual Service Centre )</t>
  </si>
  <si>
    <t>Approve And Execute File In CBS (Virtual Service Centre Supervisor)</t>
  </si>
  <si>
    <t>Total Process Time In Minutes (Per Query)</t>
  </si>
  <si>
    <t>15 Min</t>
  </si>
  <si>
    <t>Monthly Balance Sheet Analysis (50 GLs) - Reconciliation</t>
  </si>
  <si>
    <t>Download The GL Report From CBS (Reconciliation Officer)</t>
  </si>
  <si>
    <t>Copy The Transactions for The Month And Paste to The Schedule  (Reconciliation Officer)</t>
  </si>
  <si>
    <t xml:space="preserve">Balance The Schedule With The System Balance And Balance On The Trial Balance  (Reconciliation Officer) </t>
  </si>
  <si>
    <t>Validate All Transactions On The schedule And Identify Mispost And Erroreous Transactions  (Reconciliation Officer)</t>
  </si>
  <si>
    <t>Engage Branches Involved Or ICT For Any Mispost, Errors Or Suspicious Transactions  (Reconciliation Officer)</t>
  </si>
  <si>
    <t>Prepare Journals For Adjustments If Any  (Reconciliation Officer)</t>
  </si>
  <si>
    <t>Submit The Analysis, Returns And Journal To Reconciliation Manager/ Supervisor For Review  (Reconciliation Officer)</t>
  </si>
  <si>
    <t>Review The Analysis, Returns And Journals Prepared By The Reconciliation Officer  (Reconciliation Supervisor /Reconciliation Manager)</t>
  </si>
  <si>
    <t>Capture Journals In The CBS (Reconciliation Officer)</t>
  </si>
  <si>
    <t>Approve And Authorise The Journals Captured ( Reconciliation Supervisor/  Reconciliation Manager)</t>
  </si>
  <si>
    <t>Attend To Comments Raised On Analysis Review  (Reconciliation Officer)</t>
  </si>
  <si>
    <t>Total Process Time In Minutes (Per GL)</t>
  </si>
  <si>
    <t>Petty Cash Analysis (Reconciliation)</t>
  </si>
  <si>
    <t>Download The GL Report From CBS And Ascertain Amount Funded to Each Petty Cash Account(Reconciliation Officer)</t>
  </si>
  <si>
    <t>Receive Receipts From Respective Departments (Reconciliation Officer)</t>
  </si>
  <si>
    <t>Inspect The receipts To Ascertain If It Is Entertainment Only And Query The Respective Branch If Not Aligned To Policy (Reconciliation Officer)</t>
  </si>
  <si>
    <t>Reconcile Amount Funded And The Receipts Submitted In Order To Validate Balance In The Petty Cash Account (Reconciliation Officer)</t>
  </si>
  <si>
    <t>Communicate With Finance Payments Section For Amounts That Need To Be Replenished (Reconciliation Officer)</t>
  </si>
  <si>
    <t>Raise Journals To Reallocate Corresponding Expenses to GLs  In The CBS (Reconciliation Officer)</t>
  </si>
  <si>
    <t>Submit The Analysis And Journals To Reconciliation Manager/ Supervisor For Review  And Authorisation (Reconciliation Officer)</t>
  </si>
  <si>
    <t>Develop Competitor Analysis Excel Template (Cost And Management Accountant)</t>
  </si>
  <si>
    <t>Gather Secondary Information e.g Published Accounts For Other Banks (Assistant Management Accountant)</t>
  </si>
  <si>
    <t>Populate Competitor  Analysis Excel Template (Assistant Management Accountant)</t>
  </si>
  <si>
    <t>Transfer  Relevant Information To The Competitor Analysis Powerpoint Slides (Assistant Management Accountant)</t>
  </si>
  <si>
    <t>Submit Excel Template and Powerpoint To Cost And Management Accountant For Review (Assistant Management Accountant)</t>
  </si>
  <si>
    <t>Verify and Validate Excel Template And Powerpoint (Cost And Management Accountant)</t>
  </si>
  <si>
    <t>Add Commentary and Insights to the Powerpoint Slides (Cost And  Management Accountant)</t>
  </si>
  <si>
    <t>Submit Excel Template and Powerpoint With Commentary To Head Of Finance (Cost And Management Accountant)</t>
  </si>
  <si>
    <t>Review And Share With Executive Management (Head Of Finance)</t>
  </si>
  <si>
    <t xml:space="preserve">Total Processes Executed </t>
  </si>
  <si>
    <t>Cost And Management Accounting - Budgeting  - C</t>
  </si>
  <si>
    <t>Finance To Provide Budget Guidance To All Departments And Units</t>
  </si>
  <si>
    <t>Branches And Units To Draft Unit Budgets Per Guidance From Finance</t>
  </si>
  <si>
    <t>Drafted Budgets To Be Approved By Unit Heads Before Submission To Finance For Review And Engagements And Resubmissions Where Applicable</t>
  </si>
  <si>
    <t>Finance To Incorporate Coming Year Strategies</t>
  </si>
  <si>
    <t>Finance To Consolidate The Budget And Obtain Approval From EC And The Board</t>
  </si>
  <si>
    <t>Finance To Distribute Approved Budgets To Individual Units And Branches</t>
  </si>
  <si>
    <t>Departments And Units To Incorporate The Budgets To Their KPIs</t>
  </si>
  <si>
    <t>Departments And Units To Perform Monthly Variance Analysis And Comment On Any Variations Positive Or Negative In Excess Of 10%</t>
  </si>
  <si>
    <t>Prepare Draft Letters And Excel Template For Information Request From Various Departments (Cost And Management Accountant)</t>
  </si>
  <si>
    <t>Submit To Head Of Finance For Review And Signing  (Cost And Management Accountant)</t>
  </si>
  <si>
    <t>Review And Sign Draft Letters (Cost And Management Accountant)</t>
  </si>
  <si>
    <t>Circulate  Signed Letter To All Departments (Cost And Management Accountant)</t>
  </si>
  <si>
    <t>Receive Opex And Capex Input On Excel Document From Various Departments (Cost And Management Accountant)</t>
  </si>
  <si>
    <t>Identify Gaps From The Input Received From Various Departments (Cost And Management Accountant)</t>
  </si>
  <si>
    <t>Seek Clarification,Justification And Further Information From Various Departments (Cost And Management Accountant)</t>
  </si>
  <si>
    <t>Consolidate All The Input From Various Departments Into The Draft Consolidated Budget In Excel Format (Cost And Management Accountant)</t>
  </si>
  <si>
    <t>Submit The Draft Consolidated Budget In Excel Format To Head Of Finance For Review (Cost And Management Accountant)</t>
  </si>
  <si>
    <t>Review And Forward The Draft Consolidated Budget In Excel Format To Finance Director (Head Of Finance)</t>
  </si>
  <si>
    <t>Review And Forward To Managing Director  The Draft Consolidated Budget In Excel Format (Finance Director)</t>
  </si>
  <si>
    <t>Receive Input From Strategy On Areas Affecting The Budget (Cost And Management Accountant)</t>
  </si>
  <si>
    <t>Adjust The Consolidated Budget In Excel Format To Reflect Input From Strategy (Cost And Management Accountant)</t>
  </si>
  <si>
    <t>Submit The  Revised Draft Consolidated Budget In Excel Format To Head Of Finance For Review (Cost And Management Accountant)</t>
  </si>
  <si>
    <t>Review And Forward The Revised Draft Consolidated Budget In Excel Format To Finance Director (Head Of Finance)</t>
  </si>
  <si>
    <t>Review And Forward To Managing Director  The Revised  Draft Consolidated Budget In Excel Format (Finance Director)</t>
  </si>
  <si>
    <t>After Review By Managing Director,Submit To Board Of Directors For Approval (Finance Director/Managing Director)</t>
  </si>
  <si>
    <t>Receive Feedback On Budget Approval From Head Of Finance (Cost And Management Accountant)</t>
  </si>
  <si>
    <t>Break The Budget To Apportion Revenues,Costs,Account Numbers,Deposits And Loans And Costs To Branches (Assistant Management Accountant)</t>
  </si>
  <si>
    <t>Review Branch Budgets And Divisional Performance Tracking (Cost And Management Account)</t>
  </si>
  <si>
    <t>Advise Various Departments Of The Approved Targets And Budgets (Cost And Management Accountant)</t>
  </si>
  <si>
    <t>Are Management Accounts Not Being Sent To Departments And Units Every Month For Review</t>
  </si>
  <si>
    <t>Prepare A Management Accounts Excel Template For The Month (Assistant Management Accountant)</t>
  </si>
  <si>
    <t>Review And Submit To Financial Accountant To Provide Updated Trial Balance (Cost And Management Accountant)</t>
  </si>
  <si>
    <t>Update Template With The Current Trial Balance ( Financial Accountant)</t>
  </si>
  <si>
    <t>Receive Management Accounts On Excel Template With Current Trial Balance (Cost And Management Accountant)</t>
  </si>
  <si>
    <t>Perform  Income And Expenses Analysis (Assistant Management Accountant)</t>
  </si>
  <si>
    <t>Review  Income And Expenses Analysis And Finalise Draft Management Accounts On Excel (Cost And Management Accountant)</t>
  </si>
  <si>
    <t>Foward Draft Management Accounts On Excel To Head Of Finance (Cost And Management Accountant)</t>
  </si>
  <si>
    <t>Review Draft Management Accounts  On Excel And Seek Approval From Finance Director (Head Of Finance)</t>
  </si>
  <si>
    <t>Approve Management Accounts On Excel And Seek Final Approval From Managing Director (Finance Director )</t>
  </si>
  <si>
    <t>Approve Management Accounts On Excel (Managing Director)</t>
  </si>
  <si>
    <t>Prepare Management Accounts Commentary And Submit To Head Of Finance (Cost And Management Accountant)</t>
  </si>
  <si>
    <t>Review Commentary And Seek Approval From Finance Director (Head Of Finance)</t>
  </si>
  <si>
    <t>Approve Commentary And Seek Final Approval From Managing Director (Finance Director )</t>
  </si>
  <si>
    <t>Approve Commentary (Managing Director)</t>
  </si>
  <si>
    <t>1. What about Departmental Accounts</t>
  </si>
  <si>
    <t>2. We Were Advise That IDC System Does Not Produce Branch Trial Balances - Clariry</t>
  </si>
  <si>
    <t>Download Branch Trial Balances And Paste On Branch Accounts Excel Template (Accounts Officer)</t>
  </si>
  <si>
    <t>Verify Branch Trial Balance Against Consolidated Trial Balance (Accounts Officer)</t>
  </si>
  <si>
    <t>Submit To Assistant Management Accountant (Accounts Officer)</t>
  </si>
  <si>
    <t>Update Branch Accounts Excel Template With Monthend Adjustment And All Necessary Reallocations (Assistant Management Accountant)</t>
  </si>
  <si>
    <t>Ensure Profit After Tax For All Branches Allign With Profit After Tax On Management Accounts (Assistant Management Accountant)</t>
  </si>
  <si>
    <t>Submit To Management Accountant For Review (Assistant Management Accountant)</t>
  </si>
  <si>
    <t>Review Branch Accounts (Cost And Management Accountant)</t>
  </si>
  <si>
    <t>Circulate To Areas Managers (Cost And Management Accountant)</t>
  </si>
  <si>
    <t>Download The Consolidated Trial Balance (Assistant Management Accountant)</t>
  </si>
  <si>
    <t>Calculate The Actual Revenues And Expenditures -Month To Date (Assistant Management Accountant)</t>
  </si>
  <si>
    <t>Extrapolate Actual Performance To Determine Forecast, Month Performance (Assistant Management Accountant)</t>
  </si>
  <si>
    <t>Review Flash Accounts And Engage Other Departments For Verification Of Incomes (Cost And Management Accountant)</t>
  </si>
  <si>
    <t>Submit To Head Of Finance For Final Review ( Cost And Management Accountant)</t>
  </si>
  <si>
    <t>Review And Circulate To ALCO Members (Head Of Finance)</t>
  </si>
  <si>
    <t>Receive Purchase Order From Procurement Department  Through The ERP System (D365)  (Accounts Officer)</t>
  </si>
  <si>
    <t>Receive Goods Received Note (GRN),Invoice, Tax Clearance,NSSA Certificate And PRAZ Category Registration Certificate From Store Department Through D365 (Accounts Officer)</t>
  </si>
  <si>
    <t>Capture Details Of Invoice  And Initiate The Payment In D365 (Accounts Officer)</t>
  </si>
  <si>
    <t>Assistant Accountant/Financial Accountant/Head Of Finance/Managing Director Approves The Payment Depending On Limits In D365</t>
  </si>
  <si>
    <t>Payment Is Processed in D365 (Accounts Officer)</t>
  </si>
  <si>
    <t>Total process time</t>
  </si>
  <si>
    <t>Receive Invoice, Memo And Contract From Relevant Departments (Accounts Officer)</t>
  </si>
  <si>
    <t>Receive Invoice And Contract From Procurement Department  Through The ERP System (D365)  (Accounts Officer)</t>
  </si>
  <si>
    <t>Capture Withholding Tax On Fees And VAT On Imported Service In D365 (Accounts Officer)</t>
  </si>
  <si>
    <t>Capture Details Of  Invoice  And Initiate The Payment In D365 (Accounts Officer)</t>
  </si>
  <si>
    <t>Payment Is  Received By International Banking Through D365 And Processed  (IB Officer/IB Supervisor/IB Manager)</t>
  </si>
  <si>
    <t>Receive SNT Form Relevant  Department  Through The ERP System (D365)  (Accounts Officer)</t>
  </si>
  <si>
    <t>Capture Details Of SNT  And Initiate The Payment In D365 (Accounts Officer)</t>
  </si>
  <si>
    <t>Assistant Accountant/Financial Accountant/Head Of Finance Approves The Payment  In D365</t>
  </si>
  <si>
    <t>Receive Billers Invoice From eBanking Department  Through The ERP System (D365)  (Accounts Officer)</t>
  </si>
  <si>
    <t>Assistant Accountant/Financial Accountant/Head Of Finance Approves The Payment In D365</t>
  </si>
  <si>
    <t>Receive Schedule From Human Resources Department  Through The ERP System (D365)  (Accounts Officer)</t>
  </si>
  <si>
    <t>Capture Details Of  Schedule  And Initiate The Payment In D365 (Accounts Officer)</t>
  </si>
  <si>
    <t xml:space="preserve">Statutory Payments Returns - Zimra &amp; Nssa </t>
  </si>
  <si>
    <t>Prepare Schedules Acccording To The Tax Head - IMT ,Payee, VAT, QPD, Witholding Taxes (Assistant Accountant / Assistant Officer)</t>
  </si>
  <si>
    <t>Fill In The Respective ZIMRA Payment Form (Assistant Accountant)</t>
  </si>
  <si>
    <t>Prepare Journal Entries Tax Head(Assistant Accountant)</t>
  </si>
  <si>
    <t>Capture Journal Entries In EScreens ( AssistantOfficer)</t>
  </si>
  <si>
    <t>Verify And Authorise Entries In  EScreens (Assistant Accountant)</t>
  </si>
  <si>
    <t>Prepare The Respective Tax Returns on Word Document Template(Assistant Accountant)</t>
  </si>
  <si>
    <t>Verify And Approve The Return (Financial Accountant)</t>
  </si>
  <si>
    <t>Review And Approve The Return (Head Of Finance/Finance Director)</t>
  </si>
  <si>
    <t>Upload The Returns In TARMS (Assistant Accountant)</t>
  </si>
  <si>
    <t>File the Returns (AssistantOfficer)</t>
  </si>
  <si>
    <t>Process Time (Dependant on The Tax Head- QPD Has The Highest 15Days)</t>
  </si>
  <si>
    <t>Download Year End Trial Balance In CBS ( Accounts Officer)</t>
  </si>
  <si>
    <t>Request from Different Departments On Acrruals ( Accounts Officer)</t>
  </si>
  <si>
    <t>Prepare Adjusting Journals ( Accounts Officer)</t>
  </si>
  <si>
    <t>Prepare Income Statement (Assistant Accountant)</t>
  </si>
  <si>
    <t>Prepare Balance Sheet (Assistant Accountant)</t>
  </si>
  <si>
    <t>Prepare Cashflow Statement (Assistant Accountant)</t>
  </si>
  <si>
    <t>Prepare The Related Financial Statement Notes (Assistant Accountant)</t>
  </si>
  <si>
    <t xml:space="preserve"> Compute Deffered And Current Tax (Assistant Accountant)</t>
  </si>
  <si>
    <t>Compute Final Tax  (Assistant Accountant)</t>
  </si>
  <si>
    <t>Compute IFRS16 Schedules (Assistant Accountant)</t>
  </si>
  <si>
    <t>Compute IFRS 9 Basel 2 Impairment (Assistant Accountant)</t>
  </si>
  <si>
    <t>Prepare Annual Report (Assistant Accountant)</t>
  </si>
  <si>
    <t xml:space="preserve">Attend to External Auditors And Requests </t>
  </si>
  <si>
    <t>Assist In Preparation Of Publishing Statement (Assistant Accountant)</t>
  </si>
  <si>
    <t>Prepare Transfer Pricing Return  And Related Computations(Assistant Accountant)</t>
  </si>
  <si>
    <t>Preparation Of Board Reports and Comentary (Financial Accountant</t>
  </si>
  <si>
    <t>Prepare Property Plant And Equipment Note  (Assistant Accountant)</t>
  </si>
  <si>
    <t>Review Of Financial Statements (Financial Accountant)</t>
  </si>
  <si>
    <t>Attended To issues Raised  By Financial Accountant(Assistant Accountant)</t>
  </si>
  <si>
    <t>Review Of Financial Statements (Head Of Finance)</t>
  </si>
  <si>
    <t>Attended To issues Raised  By Head Of Finance (Financial Accountant)</t>
  </si>
  <si>
    <t>Review and Submit the publication To The Finance Director Head Of Finance)</t>
  </si>
  <si>
    <t>Submit Publication To Audit Committee and Board (Finance Director)</t>
  </si>
  <si>
    <t xml:space="preserve">Approve Publication Of Company Results (Board /Audit Committe </t>
  </si>
  <si>
    <t>Process Time (Process is Done Twice A year)</t>
  </si>
  <si>
    <t>4Months</t>
  </si>
  <si>
    <t>Download Expense Report From AFC Report Portal  (Accounts Officer)</t>
  </si>
  <si>
    <t>Sort the Report According to Expense Category (Accounts Officer)</t>
  </si>
  <si>
    <t>Confirm With The TB totals For Each Expense To Ensure Whether There Is a Balance (Accounts Officer)</t>
  </si>
  <si>
    <t>Check For Mispost (Accounts Officer)</t>
  </si>
  <si>
    <t>Create Journal Entries  For Approval To Correct Mispost (Accounts Officer)</t>
  </si>
  <si>
    <t>Verify And Approve The Journal Entries (Assistant Financial Accountant )</t>
  </si>
  <si>
    <t>Capture The Journal Entries In CBS (Accounts Officer)</t>
  </si>
  <si>
    <t>Verify And Approve Captured Data In CBS (Assistant Financial Accountant )</t>
  </si>
  <si>
    <t>Compare With The Previous Month Balance To Check The Degree Of Variance  (Accounts Officer)</t>
  </si>
  <si>
    <t>Report On Significant Variances And Give  Reason Of Variance  (Accounts Officer)</t>
  </si>
  <si>
    <t>Submit Report To The Financial Accountant (Accounts Officer)</t>
  </si>
  <si>
    <t>Review and Use Out Comes For Decision Making (Assistant Financial Accountant)</t>
  </si>
  <si>
    <t>Full Automation - Reconciliation Of Transactions And Account Balances</t>
  </si>
  <si>
    <t>Investigation And Clearing Of Exceptions And Differences (Reconciliations Officer)</t>
  </si>
  <si>
    <t>Prepare A Summary Of Accounts Reconciliation (Reconciliations Officer)</t>
  </si>
  <si>
    <t>Reconciliation -Ecocash Bank To Wallet USD &amp; ZWG  - C</t>
  </si>
  <si>
    <t>Reconciliation -ZETDC Account  ( ZWG ,USD) - C</t>
  </si>
  <si>
    <t>Reconciliation -ZIMSWITCH Acquirer And Recievable (USD And ZWG) -C</t>
  </si>
  <si>
    <t>Reconciliation -Airtime Account  Econet ( ZWG ,USD) -C</t>
  </si>
  <si>
    <t xml:space="preserve">Reconciliation -Airtime Account  Netone ( USD) </t>
  </si>
  <si>
    <t xml:space="preserve">Reconciliation -Digipay Account   ( USD, ZWG) </t>
  </si>
  <si>
    <t xml:space="preserve">Reconciliation -Ecocash Merchant Services ( USD, ZWG) </t>
  </si>
  <si>
    <t xml:space="preserve">Reconciliation - Telone, Cimas And Other Billers ( USD, ZWG) </t>
  </si>
  <si>
    <t>Reconciliation - Salaries Suspense Account - 70 Accounts ( USD, ZWG) -C</t>
  </si>
  <si>
    <t xml:space="preserve">Reconciliation - Nostro  27 Accounts Of Different Currencies Are Involved </t>
  </si>
  <si>
    <t xml:space="preserve">Reconciliation - S N T   ( USD, ZWG) </t>
  </si>
  <si>
    <t>Request , Receive And Record  Arcquitals From Beneficiaries In Register  For Expensing</t>
  </si>
  <si>
    <t>Photocopy And Send Motor Vehicle Claims Within The Same Acquital Form To Payment Section For Reimbursement</t>
  </si>
  <si>
    <t>Merchant Servicesst</t>
  </si>
  <si>
    <t>Receive Business Requirement Document (BRD) / Change Request Through The Projects Office (Mostly Through Email) (Digital Development Manager)</t>
  </si>
  <si>
    <t>Analyse The BRD (Digital Developers, Support Specialists And Other relevant Stakeholders)</t>
  </si>
  <si>
    <t>Prioritise The Project (Digital Development Manager)</t>
  </si>
  <si>
    <t>Hold Alignment Stakeholder Meeting (Digital Developers, Digital Development Manager)</t>
  </si>
  <si>
    <t>Create A Roadmap For The Project Where Timelines Are Defined (Digital Developers, Digital Development Manager)</t>
  </si>
  <si>
    <t>Design And Prototyping To Determine System Architecture (Digital Developers, Digital Development Manager)</t>
  </si>
  <si>
    <t>Development And Technical Testing (Digital Developers)</t>
  </si>
  <si>
    <t>Perform System Integration Testing (SIT) (Digital Developers And Manager)</t>
  </si>
  <si>
    <t>Communicate With Project Office For Completion Of SIT And Readiness Of UAT (Digital Development Manager)</t>
  </si>
  <si>
    <t>Projects Office Communicates With The Head Of Banking Operations To Schedule The UAT</t>
  </si>
  <si>
    <t>Business Analysts Schedule The UAT Meeting Through Email</t>
  </si>
  <si>
    <t>Perform User Acceptance Tests (UAT) (Digital Developers)</t>
  </si>
  <si>
    <t>If UAT Fails, Revert To Step 7</t>
  </si>
  <si>
    <t>If Pass, The Attendees Sign Off</t>
  </si>
  <si>
    <t>For Large Projects, Solution Is Reviewed By Compliance, Risk And Audit</t>
  </si>
  <si>
    <t>Banking Operations Facilitate Executive Sign Off</t>
  </si>
  <si>
    <t>Create A Change Request For Migration To Production (Digital Developer)</t>
  </si>
  <si>
    <t>Systems Admin In ICT Migrates The Solution To Production (Digital Developer)</t>
  </si>
  <si>
    <t>If Migration Has An Issue, Investigate The Cause (Digital Developer, Digital Development Manager, Systems Admin)</t>
  </si>
  <si>
    <t>Project Handover To Digital Systems Support/ Systems Amin/  Systems Suport/ End Users (Digital Developer)</t>
  </si>
  <si>
    <t>Process Time Depends On The Size Of The Project</t>
  </si>
  <si>
    <t xml:space="preserve">CIB DEPARTMENT </t>
  </si>
  <si>
    <t>CUSTOMER RELATIONSHIP MANAGER</t>
  </si>
  <si>
    <t>Setting of Self Annual Global  Sales Targets For Loans , Deposits And Revenue(Senior Manager/Customer Relationship Manager)</t>
  </si>
  <si>
    <t>Setting Up Strategies Of Achieving The Budgeted Targets Within The Banks Risk Frame work(Senior Manager /Customer Relationship Manager )</t>
  </si>
  <si>
    <t xml:space="preserve">Conduct Market Research In Order To Guide Customers And The Bank (Senior Manager /Customer Relationship Manager </t>
  </si>
  <si>
    <t>Analyse And Attract New Business In Your Allocated  Industry  ( Senior Manager /Customer Relationship Manager)</t>
  </si>
  <si>
    <t>Evaluate Customer Needs And Funding Requirements ( Senior Manager /Customer Relationship Manager)</t>
  </si>
  <si>
    <t>Recomend Relevant Products For Customers ( Senior Manager /Customer Relationship Manager)</t>
  </si>
  <si>
    <t>Collection Of Accounts Opening Requirements ( Senior Manager /Customer Relationship Manager/ Credit Analyst)</t>
  </si>
  <si>
    <t>Manage Customer Relation Activities - Collection, And Attending To Customer Requests - RTGs, Loans, Deposits, Telegraphic Transfers( Senior Manager /Customer Relationship Manager)</t>
  </si>
  <si>
    <t>Preparation Of schedules And other Customer Requests For Processing ( Credit Analyst)</t>
  </si>
  <si>
    <t>Submission Of Schedules And Other Customer Requests To Banking Operations Credit Analyst)</t>
  </si>
  <si>
    <t>Conduct Regular Customer Visits To Prospect For Business - Existing And Prospective Customers  ( Senior Manager /Customer Relationship Manager)</t>
  </si>
  <si>
    <t>Negotiate Profitable Pricing For Customer Products  ( Senior Manager /Customer Relationship Manager)</t>
  </si>
  <si>
    <t>Review  And Negotiate Processes And Procedures Used In Service Delivery For Particular Customers( Senior Manager /Customer Relationship Manager)</t>
  </si>
  <si>
    <t>Originate And Review Contracts That Are Signed Between The Bank And The Customer</t>
  </si>
  <si>
    <t>Prepare And Present Special Requests For Corporate Clients Processes, Procedures, Products And Pricing To Approving Committes ( Senior Manager /Customer Relationship Manager)</t>
  </si>
  <si>
    <t>Organise Business Events For Corporate Customers - Golf Tornaments, Workshops, Trainings etc To Promote The Banks Visibility And Products In The Market ( Senior Manager /Customer Relationship Manager)</t>
  </si>
  <si>
    <t>Offer Customer Advisory Services On Their Investments And Projects (Senior Manager /Customer Relationship Manager)</t>
  </si>
  <si>
    <t>Represent The Bank At Relevant Business Or Government Occassions</t>
  </si>
  <si>
    <t>FINANCE OFFICER</t>
  </si>
  <si>
    <t>ASSISTANT FINANCIAL ACCOUNTANT</t>
  </si>
  <si>
    <t>FINANCE ACCOUNTANT</t>
  </si>
  <si>
    <t>Are Staff Salaries Accessible To Finance?</t>
  </si>
  <si>
    <t>Receive A Journal From HR (Which Has All The Subsidiaries) Through Email (Assistant Financial Accountant)</t>
  </si>
  <si>
    <t>Sort And Filter The Journal To Remain With AFC Commercial Bank Data Only ( Finance Officer)</t>
  </si>
  <si>
    <t>Sort The Results According To GL And Branch ( Finance Officer)</t>
  </si>
  <si>
    <t>Compare The Batch Summation And The Journal Summation Totals ( Finance Officer)</t>
  </si>
  <si>
    <t>If There Is A Deviation, Investigate The Cause ( Finance Officer)</t>
  </si>
  <si>
    <t>Print The Batch And Submit For Authorisation ( Finance Officer)</t>
  </si>
  <si>
    <t>Approve And Sign The Printed Batch  (Assistant Financial Accountant)</t>
  </si>
  <si>
    <t>If The Totals Match Upload The Batch In The CBS ( Finance Officer)</t>
  </si>
  <si>
    <t>Verify And Authorise The Uploaded Batch In CBS  (Assistant Financial Accountant)</t>
  </si>
  <si>
    <t>Finance-Prepare Cost Recovery Journals And Management Fees Journals -C</t>
  </si>
  <si>
    <t>Process To Be Done In D365</t>
  </si>
  <si>
    <t>Receive Invoice From AFC Holdings ( Finance Officer)</t>
  </si>
  <si>
    <t>Check If There Are Any Related Part Transactions Which Have Not Yet Settled ( Finance Officer)</t>
  </si>
  <si>
    <t>If There Are Any Part Transactions Which Have Not Yet Settled , Prepare Journals to Settle The Funds ( Finance Officer)</t>
  </si>
  <si>
    <t>Print Journal And Submit For Approval ( Finance Officer)</t>
  </si>
  <si>
    <t>Approve And Sign The Printed Journal  ( Finance Officer)</t>
  </si>
  <si>
    <t>Capture The Journals In The CBS ( Finance Officer)</t>
  </si>
  <si>
    <t>Authorise The Journals In The CBS(Assistant Financial Accountant)</t>
  </si>
  <si>
    <t>Finance Officer</t>
  </si>
  <si>
    <t>Finance - Additions Of Assets -C</t>
  </si>
  <si>
    <t>Download Reports From CBS  ( Finance Officer)</t>
  </si>
  <si>
    <t>Analysis Of All Asset Accounts  ( Finance Officer)</t>
  </si>
  <si>
    <t>Check All Entries In The Accounts And Create Journals For Any Corrections  ( Finance Officer)</t>
  </si>
  <si>
    <t>Pick Documents From The Payments Section To Verify Asset Items ( Finance Officer)</t>
  </si>
  <si>
    <t>Verify To Ensure The Asset Items On The Documents Are Matching ie Order, Invoice And goods Received Note (GRN)  ( Finance Officer)</t>
  </si>
  <si>
    <t>Capture Manually On Excel Assets Relating To Each Category  ( Finance Officer)</t>
  </si>
  <si>
    <t>Post The Asset Items Captured On Excel To The Assets System Template  ( Finance Officer)</t>
  </si>
  <si>
    <t>Post The Template To The Asset System  ( Finance Officer)</t>
  </si>
  <si>
    <t>Verify Completeness Of The Posted Additions  ( Finance Officer)</t>
  </si>
  <si>
    <t>FINANCE DEPARTMENT</t>
  </si>
  <si>
    <t>Finance - Attach Value To An Asset -C</t>
  </si>
  <si>
    <t>Capture Manually The Cost On Excel Assets Relating To Each Asset Item  ( Finance Officer)</t>
  </si>
  <si>
    <t>Post The Amount Captured On Excel To The Assets System Template  ( Finance Officer)</t>
  </si>
  <si>
    <t>Assistant Financial Accountant</t>
  </si>
  <si>
    <t>Finance - Disposal Of An Asset -C</t>
  </si>
  <si>
    <t>Receive Disposal Report From Admin  ( Finance Officer)</t>
  </si>
  <si>
    <t>Prepare Schedules On Excel To Post To FAMs System  ( Finance Officer)</t>
  </si>
  <si>
    <t>Prepare The Asset Items Captured On Excel To The Assets System Template  ( Finance Officer)</t>
  </si>
  <si>
    <t>Post The Prepared Template To The Asset System  ( Finance Officer)</t>
  </si>
  <si>
    <t>Download The Disposal Report From The Asset System  ( Finance Officer)</t>
  </si>
  <si>
    <t>Prepare Disposal Journals  ( Finance Officer)</t>
  </si>
  <si>
    <t>Capture Disposal Journals In The CBS  ( Finance Officer)</t>
  </si>
  <si>
    <t>Log Onto FAMs System  ( Finance Officer)</t>
  </si>
  <si>
    <t>Process Depreciation In FAMs System  ( Finance Officer)</t>
  </si>
  <si>
    <t>Post Depreciation In FAMs System ( Assistant Accountant)</t>
  </si>
  <si>
    <t>Verify If All Assets Have Been Depreciated  ( Finance Officer)</t>
  </si>
  <si>
    <t>Download Depreciation Report  In FAMs System ( Finance Officer)</t>
  </si>
  <si>
    <t>Create Depreciation Journals  ( Finance Officer)</t>
  </si>
  <si>
    <t>Capture Depreciation Journal In CBS  ( Finance Officer)</t>
  </si>
  <si>
    <t>Authorise Depreciation Journal In CBS  (Assistant Financial Accountant)</t>
  </si>
  <si>
    <t>6 Days</t>
  </si>
  <si>
    <t>Finance  Department</t>
  </si>
  <si>
    <t>Receive Revaluation Report From The Valuer  ( Finance Officer)</t>
  </si>
  <si>
    <t>Create Revaluation Schedules On Excel  ( Finance Officer)</t>
  </si>
  <si>
    <t>Authorise The Posted Template In FAMs System (Assistant Financial Accountant)</t>
  </si>
  <si>
    <t>Download The Revaluation Report From The Asset System  ( Finance Officer)</t>
  </si>
  <si>
    <t>Prepare Revaluation Journals  ( Finance Officer)</t>
  </si>
  <si>
    <t>Capture Revaluation Journals In The CBS  ( Finance Officer)</t>
  </si>
  <si>
    <t>Authorise Revaluation Journal In CBS  (Assistant Financial Accountant)</t>
  </si>
  <si>
    <t>Download Additions Report From CBS And FAMs (Finance Officer)</t>
  </si>
  <si>
    <t>Download Revaluation Report From CBS And FAMs (Finance Officer)</t>
  </si>
  <si>
    <t>Download Disposal Report From CBS And FAMs (Finance Officer)</t>
  </si>
  <si>
    <t>Download Depreciation Report From CBS And FAMs (Finance Officer)</t>
  </si>
  <si>
    <t>Compile All Reports Into Excel  (Finance Officer)</t>
  </si>
  <si>
    <t>Perform Reconciliations And The Lead Schedule  (Finance Officer)</t>
  </si>
  <si>
    <t>Prepare Correctional Journals  (Finance Officer)</t>
  </si>
  <si>
    <t>Capture Correctional Journals In CBS And FAMs (Finance Officer)</t>
  </si>
  <si>
    <t>Authorise Correctional Journals In CBS And FAMs (Assistant Financial Accountant)</t>
  </si>
  <si>
    <t>vi</t>
  </si>
  <si>
    <t>BUSINESS ANALYST</t>
  </si>
  <si>
    <t>BRANCH SUPPORT MANAGER</t>
  </si>
  <si>
    <t xml:space="preserve">HEAD OF BANKING OPERATIONS </t>
  </si>
  <si>
    <t>Implementation of Reviewed Pricing</t>
  </si>
  <si>
    <t>Receive  Approved Business Conditions From Product Development Commitee Through Head Of Operations (Business Analyst)</t>
  </si>
  <si>
    <t>Raise A Workflow Change  Request  To ICT\Digital For Implementation(Business Analyst)</t>
  </si>
  <si>
    <t>ICT Or Digital Configure Changes In The Test Environment</t>
  </si>
  <si>
    <t>Prepare A Test Script And Set Up Or Organise  A UAT To Test Configured Prices (Business Analyst)</t>
  </si>
  <si>
    <t>Prepare Sign Off Documents For Participants And Their Heads (Business Analyst)</t>
  </si>
  <si>
    <t>Submit Sign Off Document To ICT\Digital (Business Analyst)</t>
  </si>
  <si>
    <t>Receive Notification From ICT On  Migration To Production (Business Analyst)</t>
  </si>
  <si>
    <t>Confirm Correctness Of The Implemented Prices And  Monitor Live Changes (Business Analyst)</t>
  </si>
  <si>
    <t>Prepare A Circular To Branches And Archive The Circular On Software Shelf (Business Analyst)</t>
  </si>
  <si>
    <t>Update Pricing Handbook (Business Analyst)</t>
  </si>
  <si>
    <t>Process Time Depends On  Activity , Technical Effort</t>
  </si>
  <si>
    <t>1 WEEK</t>
  </si>
  <si>
    <t>UATs For New Products</t>
  </si>
  <si>
    <t>Receive An Approved  Business Case From Product Owner (Business Analyst)</t>
  </si>
  <si>
    <t>Analyse The Requirement , Arrange And Participate In Raising The Business Requirement Document (Business Analyst)</t>
  </si>
  <si>
    <t>Get BRD Sign Offs (Business Analyst)</t>
  </si>
  <si>
    <t>Send The Signed Brd To ICT / Digital For Implementation(Business Analyst)</t>
  </si>
  <si>
    <t>Receive Invitation To SIT (Business Analyst)</t>
  </si>
  <si>
    <t>Attend SIT , And SignOff(Business Analyst)</t>
  </si>
  <si>
    <t>Prepare  A Test Script (Business Analyst)</t>
  </si>
  <si>
    <t>Organise And Invite Participants To The UAT (Business Analyst)</t>
  </si>
  <si>
    <t>Record Attendees For UAT (Business Analyst)</t>
  </si>
  <si>
    <t>Record Exceptions And Oversee Test Script Completion (Business Analyst)</t>
  </si>
  <si>
    <t>Circulate Signoff Documents(Business Analyst)</t>
  </si>
  <si>
    <t>Submit Sign Off Document To ICT (Business Analyst)</t>
  </si>
  <si>
    <t>Prepare A circular To Branches With Full Information On The New Development (Business Analyst)</t>
  </si>
  <si>
    <t>Archive The Circular On Software shelf (Business Analyst)</t>
  </si>
  <si>
    <t>Receive Notification From ICT On Live Implementation Modalities (Business Analyst)</t>
  </si>
  <si>
    <t>Monitor Live Changes (Business Analyst)</t>
  </si>
  <si>
    <t>1 WEEK Minimum</t>
  </si>
  <si>
    <t>Receive Request From Branch (Business Analyst)</t>
  </si>
  <si>
    <t>Check For Completeness And Compliance Of Request (Business Analyst)</t>
  </si>
  <si>
    <t>Analyse Account Activity To Determine Validity Of Request (Business Analyst)</t>
  </si>
  <si>
    <t>Recommend And Send to Head Of Banking Operations For Approval (Business Analyst)</t>
  </si>
  <si>
    <t>On Receipt of Approval From Head Write To Digital For Implementation</t>
  </si>
  <si>
    <t>When Limit Is Set, Inform Branch (Business Analyst)</t>
  </si>
  <si>
    <t>File the Request (Business Analyst)</t>
  </si>
  <si>
    <t>10Mins</t>
  </si>
  <si>
    <t>Receive Notice And Scope  To Conduct Recovery Tests (Business Analyst)</t>
  </si>
  <si>
    <t>Organise And Invite Participants To The UAT and Ask For Their Respective Department Test script (Business Analyst)</t>
  </si>
  <si>
    <t>Carry out Tests , Record Exceptions And Oversee Test Script Completion (Business Analyst)</t>
  </si>
  <si>
    <t>Write A DR Report (Business Analyst)</t>
  </si>
  <si>
    <t>Submit Report to Branch Support Manager (Business Analyst)</t>
  </si>
  <si>
    <t>Process Time Dependent On scope</t>
  </si>
  <si>
    <t>4Days</t>
  </si>
  <si>
    <t>Monitoring Business Conditions Adherance</t>
  </si>
  <si>
    <t>Select Data Sets By Product, Transaction Type(Business Analyst)</t>
  </si>
  <si>
    <t>Check Charges Passed Against Sample (Business Analyst)</t>
  </si>
  <si>
    <t>Inform Branch Support Manager Of Any Variance</t>
  </si>
  <si>
    <t>Communicate To ICT /digital For CorrectionOf Charge Variances(Business Analyst)</t>
  </si>
  <si>
    <t>Review Corrections (Business Analyst)</t>
  </si>
  <si>
    <t>Remind The Sponsor On The Need To Review A Policy Manual According To Manual Review Dates  (O&amp;M)</t>
  </si>
  <si>
    <t>Receive An Updated Version of The Manual From The Sponsor    (O&amp;M)</t>
  </si>
  <si>
    <t>Review The Manual And Standardise It In line With Manuals Best Practice  (O&amp;M)</t>
  </si>
  <si>
    <t>Send The Updated Version To The Manuals Reviews Commmitee   (O&amp;M)</t>
  </si>
  <si>
    <t>Receive Recommendations Or Additions From The Manual Revies Committee   (O&amp;M)</t>
  </si>
  <si>
    <t>Send The Updated Version To The Risk Committee/ EC For Approval    (Chair Person)</t>
  </si>
  <si>
    <t>Send The Manual To The Board For Approval (EC / Risk Secretary)</t>
  </si>
  <si>
    <t>Receive And Circulate the Manual To The Committee And Sponsor   (O&amp;M)</t>
  </si>
  <si>
    <t>Process Time  - ( Dependent On Sponsors Request)</t>
  </si>
  <si>
    <t>2Years</t>
  </si>
  <si>
    <t xml:space="preserve"> Design of Process Flow </t>
  </si>
  <si>
    <t>Receive Request From Sponsor  To Do A Diagramatic Process Flow    (O&amp;M)</t>
  </si>
  <si>
    <t>Request For Steps In the Process Flow    (O&amp;M)</t>
  </si>
  <si>
    <t>Design The Process Flow Using Visio Software    (O&amp;M)</t>
  </si>
  <si>
    <t>Send The Draft Process Flow To The Sponsor For Approval    (O&amp;M)</t>
  </si>
  <si>
    <t>Adjust Draft ProcessFlow In Line With Sponsor Input    (O&amp;M)</t>
  </si>
  <si>
    <t>Send The Final Process Flow To The Sponsor    (O&amp;M)</t>
  </si>
  <si>
    <t>Receive Audit Report From Head Of Retail (Branch Operations And Controls Manager/ Branch Support Manager)</t>
  </si>
  <si>
    <t>Read , AnalyseThe Report ( Branch Operations And Controls Manager)</t>
  </si>
  <si>
    <t>Request For A Meeting With The Relevant Branch To Get Implementation Timelines ( Branch Operations And Controls Manager)</t>
  </si>
  <si>
    <t>Track Implementation Until The Issues Are Closed ( Branch Operations And Controls Manager)</t>
  </si>
  <si>
    <t>Report To Audit and Head Of Retail On Implementation Progress Weekly ( Branch Operations And Controls Manager)</t>
  </si>
  <si>
    <t>Process Time ( Depends On Nature of Query )</t>
  </si>
  <si>
    <t>Operational Controls Management  Process</t>
  </si>
  <si>
    <t>Identify Branch Processes That Need Improvement ( Branch Operations And Controls Manager/ Branch Support Manager)</t>
  </si>
  <si>
    <t>Send The Proposal For Head Of Retail's  Approval  Branch Operations And Controls Manager/ Branch Support Manager)</t>
  </si>
  <si>
    <t>For A System Change Request Create A business Requirement Document And Send It To The Business Analyst ( Branch Operations And Controls Manager/ Branch Support Manager)</t>
  </si>
  <si>
    <t>If Its An Internal Process Review , Send A Memo To The Branches For Their Adoption ( Branch Operations And Controls Manager/ Branch Support Manager)</t>
  </si>
  <si>
    <t>For A System Change Request Attend and Request Branch Personnel To Conduct Tests (Branch Operations And Controls Manager/ Branch Support Manager)</t>
  </si>
  <si>
    <t>Process Time ( Depends On Nature of Issue)</t>
  </si>
  <si>
    <t>1month</t>
  </si>
  <si>
    <t>Receive Branch Incident From Head Of Retail (Branch Operations And Controls Manager/ Branch Support Manager)</t>
  </si>
  <si>
    <t/>
  </si>
  <si>
    <t>Come Up With A Recommendation To Close The Identified Gap (Branch Operations And Controls Manager/ Branch Support Manager)</t>
  </si>
  <si>
    <t>Train The Branch Were there Is Information Gap (Branch Operations And Controls Manager/ Branch Support Manager)</t>
  </si>
  <si>
    <t>Monitor Implementation (Branch Operations And Controls Manager/ Branch Support Manager)</t>
  </si>
  <si>
    <t>2Months</t>
  </si>
  <si>
    <t>Receive Customer Feedback from Branches And Customer Complaints Register  ( Branch Operations And Controls Manager/ Branch Support Manager)</t>
  </si>
  <si>
    <t>Come Up With A  Proposal - This Could Be A New Product Or EnhancementOf The Existing Product ( Branch Operations And Controls Manager/ Branch Support Manager)</t>
  </si>
  <si>
    <t>Send The Proposal For Head Of Retail's  Approval  (Branch Operations And Controls Manager/ Branch Support Manager)</t>
  </si>
  <si>
    <t>Receive the Approval And Forward It To the Relevant Implementor (Branch Operations And Controls Manager/ Branch Support Manager)</t>
  </si>
  <si>
    <t>3Months</t>
  </si>
  <si>
    <t>Receive Clients Application Pack and Record In the Loan Register( CIB Credit Analyst)</t>
  </si>
  <si>
    <t>Check And Very Pack For Correctness And Compliance  ( CIB Credit Analyst)</t>
  </si>
  <si>
    <t>Analyse The Project Proposal To Ascertain Viability  ( CIB Credit Analyst)</t>
  </si>
  <si>
    <t>Perfom Back Ground Checks ( CRB, FCB , World Check , AML  ( CIB Credit Analyst)</t>
  </si>
  <si>
    <t>Prepare A Risk Rating Credit Score Sheet  ( CIB Credit Analyst)</t>
  </si>
  <si>
    <t>Schedule And Perform a Site Visit  ( CIB Credit Analyst)</t>
  </si>
  <si>
    <t>Do A Credit Appraisal And Submit To Relation Manager in Line with Bank Credit Policy And Statutory Regultions  ( CIB Credit Analyst)</t>
  </si>
  <si>
    <t>Receive And Review the Relationship Managers Recommendation  ( CIB Credit Analyst)</t>
  </si>
  <si>
    <t xml:space="preserve"> Submit The Revised Appraisal To Relationship Manager   ( CIB Credit Analyst)</t>
  </si>
  <si>
    <t>Receive And Review Agreement Forms From Credit Administration   ( CIB Credit Analyst)</t>
  </si>
  <si>
    <t>Print And Contact The Customer To sign The Agreements  ( CIB Credit Analyst)</t>
  </si>
  <si>
    <t>Receive And Verify  Original Security Documents  ( CIB Credit Analyst)</t>
  </si>
  <si>
    <t>Do Security Perferction - Prepare  security Documents For Registration Of Note Of Hand , Registration Of Bond, Insurance Of Property  ( CIB Credit Analyst)</t>
  </si>
  <si>
    <t>Receive And File Confirmation Of Security Registration  ( CIB Credit Analyst)</t>
  </si>
  <si>
    <t>Prepare A Disbursement Request And Submit To Relation ShipManager  ( CIB Credit Analyst)</t>
  </si>
  <si>
    <t>Receive Approval To Disburse Loan Facility And Forward It To Credit Administration For Execution  ( CIB Credit Analyst)</t>
  </si>
  <si>
    <t>Review Captured Loan Details  And Advise Relationship Manager ( CIB Credit Analyst)</t>
  </si>
  <si>
    <t>Monitor disbursed Loan Ensuring That All Agreed Conditions Are Being Observed eg Covenants, Repayments and Periodic submissions  ( CIB Credit Analyst)</t>
  </si>
  <si>
    <t>Create, Maintain And Update Customer Credit File  ( CIB Credit Analyst)</t>
  </si>
  <si>
    <t>Review Existing  Facilities And  Prepare Excess Reports And Submit  To The Relatioship Manager  ( CIB Credit Analyst)</t>
  </si>
  <si>
    <t>Follow Up Overdue Repayments and Prepare Hand Over Reports To Legal And Debt Recoveries Where Client Defaults  ( CIB Credit Analyst)</t>
  </si>
  <si>
    <t>When Loan Is Fully Paid Receive Instruction From The Relationship Manager And Prepare Security Release Request And Send To Credit  ( CIB Credit Analyst)</t>
  </si>
  <si>
    <t>Receive Approval To Release Security  ( CIB Credit Analyst)</t>
  </si>
  <si>
    <t>Prepare Security Cancellation Documents And Submit Them To Legal Department  ( CIB Credit Analyst)</t>
  </si>
  <si>
    <t>Receive Security Document From Legal Department And Prepare A Security Release Letter And Update the Loan Register  ( CIB Credit Analyst)</t>
  </si>
  <si>
    <t xml:space="preserve">Process Time Up To Disbursement </t>
  </si>
  <si>
    <t>14Days</t>
  </si>
  <si>
    <t>Receive Request From The Respective Department (Reconciliation Manager)</t>
  </si>
  <si>
    <t>Verify and Check For  Correctness And Compliance (Reconciliation Manager)</t>
  </si>
  <si>
    <t>Prepare Journal Entries ( Reconciliation Officer)</t>
  </si>
  <si>
    <t>Capture The Transaction in CBS (Reconciliation Officer)</t>
  </si>
  <si>
    <t>Verify And Authorise The Transaction  ( Reconciliation Officer)</t>
  </si>
  <si>
    <t>Monitor Account And Ensure That The Balance Is Cleared in line with The Request ( Reconciliation Clerk)</t>
  </si>
  <si>
    <t>1HR</t>
  </si>
  <si>
    <t>Receive From Business And Analyse The Bank's  Strategy Document (AI And Enterprise Data Manager/ AI And Enterprise Data Specialists)</t>
  </si>
  <si>
    <t>Research And Recommend Emerging AI And Data Technologies To Improve Business Processes (AI And Enterprise Data Manager/ AI And Enterprise Data Specialists)</t>
  </si>
  <si>
    <t>Define and maintain the bank’s enterprise data and AI architecture blueprint. (AI And Enterprise Data Manager/ AI And Enterprise Data Specialists)</t>
  </si>
  <si>
    <t>Support Proof Of Concept And Intergration Of New Tools  (AI And Enterprise Data Manager/ AI And Enterprise Data Specialists)</t>
  </si>
  <si>
    <t>Align data architecture with business strategy, regulatory requirements, and digital transformation goals (AI And Enterprise Data Manager/ AI And Enterprise Data Specialists)</t>
  </si>
  <si>
    <t xml:space="preserve"> Standardize data models, integration patterns, and architecture principles across the enterprise.(AI And Enterprise Data Manager/ AI And Enterprise Data Specialists)</t>
  </si>
  <si>
    <t>Ensure Smooth Interoperability Between Platforms , APIs And Applications (AI And Enterprise Data Manager/ AI And Enterprise Data Specialists)</t>
  </si>
  <si>
    <t>Perform System Intergration Test (SIT) (AI And Enterprise Data Manager/ AI And Enterprise Data Specialists)</t>
  </si>
  <si>
    <t>Perform Use Acceptance Test (UAT) (AI And Enterprise Data Manager/ AI And Enterprise Data Specialists)</t>
  </si>
  <si>
    <t>Train Business Units On Provided Solutions (AI And Enterprise Data Manager/ AI And Enterprise Data Specialists)</t>
  </si>
  <si>
    <t>Deliver Solutions To Business Units (AI And Enterprise Data Manager/ AI And Enterprise Data Specialists)</t>
  </si>
  <si>
    <t>Monitor The Delivered Solution ( System Admin)</t>
  </si>
  <si>
    <t>Evaluate and recommend improvements to existing data systems and processes to optimize performance and scalability.(AI And Enterprise Data Manager/ AI And Enterprise Data Specialists)</t>
  </si>
  <si>
    <t>Document Data Proces, Work Flows And  Architectural Changes</t>
  </si>
  <si>
    <t>Monitor emerging industry trends and best practices to ensure the bank’s architecture remains cutting-edge.(AI And Enterprise Data Manager/ AI And Enterprise Data Specialists)</t>
  </si>
  <si>
    <t>Support AI Adoption By Stakeholders (AI And Enterprise Data Manager/ AI And Enterprise Data Specialists)</t>
  </si>
  <si>
    <t>Participate In Cross Functional Projects Delivering Data And AI Solutions (AI And Enterprise Data Manager/ AI And Enterprise Data Specialists)</t>
  </si>
  <si>
    <t>Apply Security Privacy And Compliance Requirements To All Data And AI Initiatives (AI And Enterprise Data Manager/ AI And Enterprise Data Specialists)</t>
  </si>
  <si>
    <t>Communicate Technical Insights And Findings In A Clear non Techinical Manner To Stakeholders (AI And Enterprise Data Manager/ AI And Enterprise Data Specialists)</t>
  </si>
  <si>
    <t>Process Time (Depends On Size And Complexity )</t>
  </si>
  <si>
    <t>iSupport  Helpdesk</t>
  </si>
  <si>
    <t>System To Provide Technicians, Helpdesk Administrator And Techicians Supervisor Dashboard Of Ticket Statistics</t>
  </si>
  <si>
    <t>ISupport System To Allow Technicians To Indicate When They Are Away From Office To Avoid Assignment Of Queries During Those Times</t>
  </si>
  <si>
    <t>System To Allow Comment Embedding When A Ticket Is Updated.</t>
  </si>
  <si>
    <t xml:space="preserve">ISupport System To Automatically Do And Generate Age Analysis Reports </t>
  </si>
  <si>
    <t>User Logs Query On ISupport And System Automatically Generates Ticket And Assigns Technician</t>
  </si>
  <si>
    <t>System Sends Notification To Helpdesk Administrator And Technician When A User Logs A Query</t>
  </si>
  <si>
    <t>Technician Diagonises The Query, Resolves It And Updates Ticket Status In ISupport To Resolved</t>
  </si>
  <si>
    <t>ISupport System To Send Notification To Query Logger Of Status Update</t>
  </si>
  <si>
    <t>If Query Logger Is Satisfied, The Query Logger Closes The Ticket</t>
  </si>
  <si>
    <t>If Query Logger Is Not Satisfied, Query Logger Updates Ticket Status To Unresolved And System To Send Notification To Technician Of Status Update</t>
  </si>
  <si>
    <t>Where Query Resolution Requires External Party, Technician Closes And Updates Query On ISupport To External Workstream Tickets (Technician)</t>
  </si>
  <si>
    <t>Technician To Comment On Ticket In ISupport And Notification To Be Automatically Sent To Query Logger (Technician)</t>
  </si>
  <si>
    <t>Technician Generates Internal Requisition Through D365 (Technician)</t>
  </si>
  <si>
    <t xml:space="preserve">Internal Requisition Approved On D365 And Forwarded To Procurement (ICT Infrastructure Manager) </t>
  </si>
  <si>
    <t>Selected External Technician Reviews And Resolves Query</t>
  </si>
  <si>
    <t>ICT To Inspect Resolution Of Query To Assess If Solution Is Satisfactory (Helpdesk Administrator, Hardware Technician)</t>
  </si>
  <si>
    <t>Updates And Approves Job Completion And Payment For Service Through Finance On D365 (Helpdesk Administrator And Supervisor)</t>
  </si>
  <si>
    <t>Updates Ticket In ISupport (Helpdesk Administrator)</t>
  </si>
  <si>
    <t>Query Logger To Follow Up  Or Update On Ticket In ISupport And System To Send Notifications To Helpdesk Administrator And Technician</t>
  </si>
  <si>
    <t xml:space="preserve">System To Escalate Queries Not Completed Within A Predetermined Period (1 day) And Automatically Send Notifications To Technician, Technician Supervisor And Helpdesk Administrator </t>
  </si>
  <si>
    <t>Where Necessary Technician Assigned To A Ticket Can Be Re-Assigned (Technician Superviser, Helpdesk Administrator)</t>
  </si>
  <si>
    <t>Process Time - Dependant On Nature Of Query</t>
  </si>
  <si>
    <t xml:space="preserve">Receive Query From Internal Users On Isupport. Which Automatically allocates Technicians In Line With Chosen Query Category </t>
  </si>
  <si>
    <t>A Ticket Is Automatically Created And The System Automatically allocates Technicians In Line With Chosen Query Category</t>
  </si>
  <si>
    <t>Receive  The Hardware Item And Record In The ICT Asset Register(Help Desk Administrator)</t>
  </si>
  <si>
    <t xml:space="preserve"> Diagonise The Problem (Help Desk Administrator)</t>
  </si>
  <si>
    <t>Provide first line Support Where Applicable(Help Desk Administrator)</t>
  </si>
  <si>
    <t xml:space="preserve"> Refer To Line Manager Where Support Is Out Sourced (Help Desk Administrator)</t>
  </si>
  <si>
    <t>Dispatch The Hardware To the Internal Or Out Sourced Technician ( ICT Infrastructure And Support Manager)</t>
  </si>
  <si>
    <t>Update the ICT Asset Register (Help Desk Administrator)</t>
  </si>
  <si>
    <t>Receive IR From Procurement (Help Desk Administrator)</t>
  </si>
  <si>
    <t>Check, Match  Machine Specs With IR (Help Desk Administrator)</t>
  </si>
  <si>
    <t>Send the Hardware Items To Stores For Recording And Allocation (Help Desk Administrator)</t>
  </si>
  <si>
    <t>Receive The Hardware For Configuration (Help Desk Administrator)</t>
  </si>
  <si>
    <t>Contact User And Get Their Particular Details Required for Configuration (Help Desk Administrator)</t>
  </si>
  <si>
    <t>Set Up And Configure The User Requirements (Help Desk Administrator)</t>
  </si>
  <si>
    <t>Contact Stores For The Collection Of The Hardware For Dispatch (Help Desk Administrator)</t>
  </si>
  <si>
    <t>Agent Deposit (Agency Banking Portal And POS Machine)</t>
  </si>
  <si>
    <t>Capture Deposit On POS Machine For Both On Us And Of Us Transactions</t>
  </si>
  <si>
    <r>
      <rPr>
        <sz val="7"/>
        <color rgb="FF000000"/>
        <rFont val="Times New Roman"/>
      </rPr>
      <t xml:space="preserve"> </t>
    </r>
    <r>
      <rPr>
        <sz val="11"/>
        <color rgb="FF000000"/>
        <rFont val="Aptos"/>
      </rPr>
      <t>The Agent Logs In AFC Agency Banking Portal And On POS ( AFC  Agent)</t>
    </r>
  </si>
  <si>
    <t>Select  Cash-In Icon ( AFC  Agent)</t>
  </si>
  <si>
    <t>Enter Voucher Number That Would Have Been Generated By The Customer Using AFC Mobile Banking ( AFC  Agent)</t>
  </si>
  <si>
    <t>Search For The Voucher Details ( AFC  Agent)</t>
  </si>
  <si>
    <t>Verify And Compare The Voucher Details And The Ones  Displayed On The Screen ( AFC  Agent)</t>
  </si>
  <si>
    <t xml:space="preserve"> Select The Account To Be Used For The Transaction  , Click Process And  “ Your Request was processed “ SMS Will Be Displayed ( AFC  Agent)</t>
  </si>
  <si>
    <t>5Mins</t>
  </si>
  <si>
    <t xml:space="preserve">Agent Withdrawal </t>
  </si>
  <si>
    <r>
      <rPr>
        <sz val="7"/>
        <color theme="1"/>
        <rFont val="Times New Roman"/>
        <family val="1"/>
      </rPr>
      <t xml:space="preserve"> </t>
    </r>
    <r>
      <rPr>
        <sz val="11"/>
        <color theme="1"/>
        <rFont val="Aptos"/>
        <family val="2"/>
      </rPr>
      <t>The Agent Logs In AFC Agency Banking Portal ( AFC  Agent)</t>
    </r>
  </si>
  <si>
    <t>Select  Cash Out Icon ( AFC  Agent)</t>
  </si>
  <si>
    <t>Verify And Compare The Voucher Details And The Ones  Displayed On The Screen, And The ID Details Of the Client ( AFC  Agent)</t>
  </si>
  <si>
    <t>Process To Be Done At Branch</t>
  </si>
  <si>
    <t>Download Trial Balance ( Reconciliation Officer)</t>
  </si>
  <si>
    <t>Check The GL line Balance For Each Teller By Branch By Currency  Against The GL  In TB Daily ( Reconciliation Officer)</t>
  </si>
  <si>
    <t>Where There Is  A Difference At Day End Get In Touch With The Branch ( Reconciliation Officer)</t>
  </si>
  <si>
    <t>If The Difference Is Suspicious Refer To Reconciliation Manager ( Reconciliation Officer)</t>
  </si>
  <si>
    <t>Investigate and Verify  The Facts ( Reconciliation Manager)</t>
  </si>
  <si>
    <t>Where The Branch Had An system Issue Request For  Issuport Ticket  Or An Incident Report ( Reconciliation Manager)</t>
  </si>
  <si>
    <t>Where There Was An Incident Report , Assess The Report And Make A Recommendation  (Reconciliation Manager)</t>
  </si>
  <si>
    <t>Escalate To Head Of Finance , Risk , Audit And Investigations( Reconciliation Manager)</t>
  </si>
  <si>
    <t>Monitor The Teller Shortage And Overage On The TB For Any Movement On A Daily Basis (Reconciliation Officer)</t>
  </si>
  <si>
    <t>For Any Movement Engage The Branch To Provide  An Incident Report (Reconciliation Manager)</t>
  </si>
  <si>
    <t>Continue Monitoring The GL Until The Balance Is Cleared (Reconciliation Officer)</t>
  </si>
  <si>
    <t>Process Time  Up to the time were the Becomes Answerable</t>
  </si>
  <si>
    <t>3Hr</t>
  </si>
  <si>
    <t>Request For Branches To Send Their Monthly Return (Reconciliation Officer)</t>
  </si>
  <si>
    <t>Check The GL line Balance For Each Teller By Branch By Currency  Against  The Vault Balance   In TB ( Reconciliation Officer)</t>
  </si>
  <si>
    <t>Where There Is A Difference At The End Of The Month  Get In Touch With The Branch ( Reconciliation Officer)</t>
  </si>
  <si>
    <t>Refer To Reconciliation Manager ( Reconciliation Officer)</t>
  </si>
  <si>
    <t>Verify Balances Against GL  ( Reconciliation Manager)</t>
  </si>
  <si>
    <t>Where The Branch Had A system Issue Verify The Issuport Ticket  Or An Incident Report ( Reconciliation Manager</t>
  </si>
  <si>
    <t xml:space="preserve">Where there was an Incident Report , Assess The Report And Make A Recommendation </t>
  </si>
  <si>
    <t>Card Issuing And Arquiring Projects Handling Process</t>
  </si>
  <si>
    <t>Receive Business Requirement Document (BRD) or Business Case from Projects Office (Issuing &amp; Acquiring Manager, Head of Digital Transformation).</t>
  </si>
  <si>
    <t>Analyse the BRD/Business Case with all relevant stakeholders And Confirm alignment with business strategy, feasibility and regulatory expectations 
(Issuing &amp; Acquiring Manager, Head of Digital Transformation ,ICT, Business, Compliance, Risk, etc.).</t>
  </si>
  <si>
    <t>Prepare and submit EC/ICT Steering Paper for approval where applicable (Issuing &amp; Acquiring Manager).</t>
  </si>
  <si>
    <r>
      <t xml:space="preserve">Obtain </t>
    </r>
    <r>
      <rPr>
        <b/>
        <sz val="11"/>
        <color rgb="FFFF0000"/>
        <rFont val="Times New Roman"/>
        <family val="1"/>
      </rPr>
      <t>final approval</t>
    </r>
    <r>
      <rPr>
        <sz val="11"/>
        <color rgb="FFFF0000"/>
        <rFont val="Times New Roman"/>
        <family val="1"/>
      </rPr>
      <t xml:space="preserve"> of the project plan from the Steering Committee or Sponsor. (Issuing &amp; Acquiring Manager).</t>
    </r>
  </si>
  <si>
    <t>Upon approval, formally register the project with the Projects Office or PMO. (Issuing &amp; Acquiring Manager).</t>
  </si>
  <si>
    <r>
      <t xml:space="preserve">Conduct </t>
    </r>
    <r>
      <rPr>
        <b/>
        <sz val="11"/>
        <color rgb="FFFF0000"/>
        <rFont val="Times New Roman"/>
        <family val="1"/>
      </rPr>
      <t>Project Scoping and Alignment Meeting</t>
    </r>
    <r>
      <rPr>
        <sz val="11"/>
        <color rgb="FFFF0000"/>
        <rFont val="Times New Roman"/>
        <family val="1"/>
      </rPr>
      <t xml:space="preserve"> with key stakeholders (Issuing &amp; Acquiring Team).</t>
    </r>
  </si>
  <si>
    <r>
      <t>Submit</t>
    </r>
    <r>
      <rPr>
        <b/>
        <sz val="11"/>
        <color theme="1"/>
        <rFont val="Times New Roman"/>
        <family val="1"/>
      </rPr>
      <t xml:space="preserve"> Internal Requisition</t>
    </r>
    <r>
      <rPr>
        <sz val="11"/>
        <color theme="1"/>
        <rFont val="Times New Roman"/>
        <family val="1"/>
      </rPr>
      <t xml:space="preserve"> (IR), </t>
    </r>
    <r>
      <rPr>
        <b/>
        <sz val="11"/>
        <color theme="1"/>
        <rFont val="Times New Roman"/>
        <family val="1"/>
      </rPr>
      <t>Terms of Reference</t>
    </r>
    <r>
      <rPr>
        <sz val="11"/>
        <color theme="1"/>
        <rFont val="Times New Roman"/>
        <family val="1"/>
      </rPr>
      <t xml:space="preserve">, </t>
    </r>
    <r>
      <rPr>
        <b/>
        <sz val="11"/>
        <color theme="1"/>
        <rFont val="Times New Roman"/>
        <family val="1"/>
      </rPr>
      <t>Approved EC/ Steering Paper</t>
    </r>
    <r>
      <rPr>
        <sz val="11"/>
        <color theme="1"/>
        <rFont val="Times New Roman"/>
        <family val="1"/>
      </rPr>
      <t xml:space="preserve"> to Procument for Budget review and vendor engagement.</t>
    </r>
  </si>
  <si>
    <r>
      <t>Prioritise and assign resources</t>
    </r>
    <r>
      <rPr>
        <sz val="11"/>
        <color rgb="FFFF0000"/>
        <rFont val="Times New Roman"/>
        <family val="1"/>
      </rPr>
      <t xml:space="preserve"> to the project (Issuing &amp; Acquiring Manager, Head of Digital Transformation).</t>
    </r>
  </si>
  <si>
    <r>
      <t>Develop a project roadmap</t>
    </r>
    <r>
      <rPr>
        <sz val="11"/>
        <color theme="1"/>
        <rFont val="Times New Roman"/>
        <family val="1"/>
      </rPr>
      <t xml:space="preserve"> — define milestones, timelines, and dependencies.</t>
    </r>
    <r>
      <rPr>
        <b/>
        <sz val="11"/>
        <color theme="1"/>
        <rFont val="Times New Roman"/>
        <family val="1"/>
      </rPr>
      <t xml:space="preserve"> </t>
    </r>
    <r>
      <rPr>
        <sz val="11"/>
        <color theme="1"/>
        <rFont val="Times New Roman"/>
        <family val="1"/>
      </rPr>
      <t>(Issuing &amp; Acquiring Manager, Head of Digital Transformation).</t>
    </r>
  </si>
  <si>
    <r>
      <t xml:space="preserve">Prepare </t>
    </r>
    <r>
      <rPr>
        <b/>
        <sz val="11"/>
        <color theme="1"/>
        <rFont val="Times New Roman"/>
        <family val="1"/>
      </rPr>
      <t>detailed design and architecture documents</t>
    </r>
    <r>
      <rPr>
        <sz val="11"/>
        <color theme="1"/>
        <rFont val="Times New Roman"/>
        <family val="1"/>
      </rPr>
      <t xml:space="preserve"> (Issuing and Acquiring Specialist, Card Officer, Cards Supervisor).</t>
    </r>
  </si>
  <si>
    <r>
      <t xml:space="preserve">Commence </t>
    </r>
    <r>
      <rPr>
        <b/>
        <sz val="11"/>
        <color theme="1"/>
        <rFont val="Times New Roman"/>
        <family val="1"/>
      </rPr>
      <t>system development and configuration</t>
    </r>
    <r>
      <rPr>
        <sz val="11"/>
        <color theme="1"/>
        <rFont val="Times New Roman"/>
        <family val="1"/>
      </rPr>
      <t xml:space="preserve"> (Issuing and Acquiring Specialist, Card Officer, Cards Supervisor).</t>
    </r>
  </si>
  <si>
    <r>
      <t xml:space="preserve">Conduct </t>
    </r>
    <r>
      <rPr>
        <b/>
        <sz val="11"/>
        <color theme="1"/>
        <rFont val="Times New Roman"/>
        <family val="1"/>
      </rPr>
      <t>technical testing</t>
    </r>
    <r>
      <rPr>
        <sz val="11"/>
        <color theme="1"/>
        <rFont val="Times New Roman"/>
        <family val="1"/>
      </rPr>
      <t xml:space="preserve"> to validate system functionality (Issuing and Acquiring Specialist, Card Officer, Cards Supervisor).</t>
    </r>
  </si>
  <si>
    <r>
      <t xml:space="preserve">Perform </t>
    </r>
    <r>
      <rPr>
        <b/>
        <sz val="11"/>
        <color theme="1"/>
        <rFont val="Times New Roman"/>
        <family val="1"/>
      </rPr>
      <t>System Integration Testing (SIT)</t>
    </r>
    <r>
      <rPr>
        <sz val="11"/>
        <color theme="1"/>
        <rFont val="Times New Roman"/>
        <family val="1"/>
      </rPr>
      <t xml:space="preserve"> under the Project Lead. (Issuing and Acquiring Specialist, Card Officer, Cards Supervisor).</t>
    </r>
  </si>
  <si>
    <r>
      <t xml:space="preserve">Once SIT is successful, </t>
    </r>
    <r>
      <rPr>
        <b/>
        <sz val="11"/>
        <color theme="1"/>
        <rFont val="Times New Roman"/>
        <family val="1"/>
      </rPr>
      <t>communicate UAT readiness</t>
    </r>
    <r>
      <rPr>
        <sz val="11"/>
        <color theme="1"/>
        <rFont val="Times New Roman"/>
        <family val="1"/>
      </rPr>
      <t xml:space="preserve"> to the Projects Office (Issuing and Acquiring Manager).</t>
    </r>
  </si>
  <si>
    <r>
      <t>Receive  Invitation from Business Analysts</t>
    </r>
    <r>
      <rPr>
        <sz val="11"/>
        <color theme="1"/>
        <rFont val="Times New Roman"/>
        <family val="1"/>
      </rPr>
      <t xml:space="preserve"> notifying  UAT  Timem and test scenarios to participants.</t>
    </r>
  </si>
  <si>
    <r>
      <t xml:space="preserve">Conduct </t>
    </r>
    <r>
      <rPr>
        <b/>
        <sz val="11"/>
        <color theme="1"/>
        <rFont val="Times New Roman"/>
        <family val="1"/>
      </rPr>
      <t>User Acceptance Testing (UAT)</t>
    </r>
    <r>
      <rPr>
        <sz val="11"/>
        <color theme="1"/>
        <rFont val="Times New Roman"/>
        <family val="1"/>
      </rPr>
      <t xml:space="preserve"> (Issuing and Acquiring Specialist, Card Officer, Cards Supervisor, Business Users).</t>
    </r>
  </si>
  <si>
    <t>If UAT fails → return to SIT for fixes and revalidation. (Issuing and Acquiring Specialist, Card Officer, Cards Supervisor, Issuing &amp; Acquiring Manager)</t>
  </si>
  <si>
    <t>If UAT passes → receive UAT Attendees SignOffs (Issuing and Acquiring Specialist, Card Officer, Cards Supervisor, Issuing &amp; Acquiring Manager)</t>
  </si>
  <si>
    <r>
      <t xml:space="preserve">For major projects, Invite  </t>
    </r>
    <r>
      <rPr>
        <b/>
        <sz val="11"/>
        <color theme="1"/>
        <rFont val="Times New Roman"/>
        <family val="1"/>
      </rPr>
      <t>Compliance, Risk, and Audit To</t>
    </r>
    <r>
      <rPr>
        <sz val="11"/>
        <color theme="1"/>
        <rFont val="Times New Roman"/>
        <family val="1"/>
      </rPr>
      <t xml:space="preserve"> perform review and provide assurance reports.(Issuing &amp; Acquiring Manager, Head of Digital Transformation).</t>
    </r>
  </si>
  <si>
    <r>
      <rPr>
        <sz val="11"/>
        <color theme="1"/>
        <rFont val="Times New Roman"/>
        <family val="1"/>
      </rPr>
      <t xml:space="preserve">Receive </t>
    </r>
    <r>
      <rPr>
        <b/>
        <sz val="11"/>
        <color theme="1"/>
        <rFont val="Times New Roman"/>
        <family val="1"/>
      </rPr>
      <t>Executive Sign-Off</t>
    </r>
    <r>
      <rPr>
        <sz val="11"/>
        <color theme="1"/>
        <rFont val="Times New Roman"/>
        <family val="1"/>
      </rPr>
      <t xml:space="preserve"> from Banking Operations for go-live authorization.</t>
    </r>
    <r>
      <rPr>
        <b/>
        <sz val="11"/>
        <color theme="1"/>
        <rFont val="Times New Roman"/>
        <family val="1"/>
      </rPr>
      <t xml:space="preserve"> </t>
    </r>
    <r>
      <rPr>
        <sz val="11"/>
        <color theme="1"/>
        <rFont val="Times New Roman"/>
        <family val="1"/>
      </rPr>
      <t>(Issuing and Acquiring Specialist, Card Officer, Cards Supervisor, Issuing &amp; Acquiring Manager)</t>
    </r>
  </si>
  <si>
    <r>
      <t xml:space="preserve">Prepare and submit a </t>
    </r>
    <r>
      <rPr>
        <b/>
        <sz val="11"/>
        <color theme="1"/>
        <rFont val="Times New Roman"/>
        <family val="1"/>
      </rPr>
      <t>Change Request (CR)</t>
    </r>
    <r>
      <rPr>
        <sz val="11"/>
        <color theme="1"/>
        <rFont val="Times New Roman"/>
        <family val="1"/>
      </rPr>
      <t xml:space="preserve"> for migration to Production (Issuing and Acquiring Specialist, Card Officer, Cards Supervisor)</t>
    </r>
  </si>
  <si>
    <r>
      <t>ICT Systems Admin</t>
    </r>
    <r>
      <rPr>
        <sz val="11"/>
        <color theme="1"/>
        <rFont val="Times New Roman"/>
        <family val="1"/>
      </rPr>
      <t xml:space="preserve"> migrates solution to </t>
    </r>
    <r>
      <rPr>
        <b/>
        <sz val="11"/>
        <color theme="1"/>
        <rFont val="Times New Roman"/>
        <family val="1"/>
      </rPr>
      <t>Production Environment</t>
    </r>
    <r>
      <rPr>
        <sz val="11"/>
        <color theme="1"/>
        <rFont val="Times New Roman"/>
        <family val="1"/>
      </rPr>
      <t xml:space="preserve"> (Issuing and Acquiring Specialist, Card Officer, Cards Supervisor, Systems Admin).</t>
    </r>
  </si>
  <si>
    <r>
      <t xml:space="preserve">If migration issues occur → </t>
    </r>
    <r>
      <rPr>
        <b/>
        <sz val="11"/>
        <color theme="1"/>
        <rFont val="Times New Roman"/>
        <family val="1"/>
      </rPr>
      <t>investigate and resolve</t>
    </r>
    <r>
      <rPr>
        <sz val="11"/>
        <color theme="1"/>
        <rFont val="Times New Roman"/>
        <family val="1"/>
      </rPr>
      <t xml:space="preserve"> (Issuing and Acquiring Specialist, Card Officer, Cards Supervisor, Issuing &amp; Acquiring Manager, Systems Admin).</t>
    </r>
  </si>
  <si>
    <r>
      <t xml:space="preserve">Upon successful migration, perform </t>
    </r>
    <r>
      <rPr>
        <b/>
        <sz val="11"/>
        <color theme="1"/>
        <rFont val="Times New Roman"/>
        <family val="1"/>
      </rPr>
      <t>post-deployment verification</t>
    </r>
    <r>
      <rPr>
        <sz val="11"/>
        <color theme="1"/>
        <rFont val="Times New Roman"/>
        <family val="1"/>
      </rPr>
      <t>. (Issuing and Acquiring Specialist, Card Officer, Cards Supervisor, Issuing &amp; Acquiring Manager)</t>
    </r>
  </si>
  <si>
    <r>
      <t>Handover solution</t>
    </r>
    <r>
      <rPr>
        <sz val="11"/>
        <color theme="1"/>
        <rFont val="Times New Roman"/>
        <family val="1"/>
      </rPr>
      <t xml:space="preserve"> to </t>
    </r>
    <r>
      <rPr>
        <b/>
        <sz val="11"/>
        <color theme="1"/>
        <rFont val="Times New Roman"/>
        <family val="1"/>
      </rPr>
      <t>ICT Applications Support / Systems Admin / End Users</t>
    </r>
    <r>
      <rPr>
        <sz val="11"/>
        <color theme="1"/>
        <rFont val="Times New Roman"/>
        <family val="1"/>
      </rPr>
      <t xml:space="preserve"> for operational support. (Issuing and Acquiring Specialist, Card Officer, Cards Supervisor)</t>
    </r>
  </si>
  <si>
    <r>
      <t>Continuously monitor</t>
    </r>
    <r>
      <rPr>
        <b/>
        <sz val="11"/>
        <color theme="1"/>
        <rFont val="Times New Roman"/>
        <family val="1"/>
      </rPr>
      <t xml:space="preserve"> quality performance</t>
    </r>
    <r>
      <rPr>
        <sz val="11"/>
        <color theme="1"/>
        <rFont val="Times New Roman"/>
        <family val="1"/>
      </rPr>
      <t>. (Issuing and Acquiring Specialist, Card Officer, Cards Supervisor, Issuing &amp; Acquiring Manager)</t>
    </r>
  </si>
  <si>
    <r>
      <t xml:space="preserve">Update and manage </t>
    </r>
    <r>
      <rPr>
        <b/>
        <sz val="11"/>
        <color theme="1"/>
        <rFont val="Times New Roman"/>
        <family val="1"/>
      </rPr>
      <t>issue logs</t>
    </r>
    <r>
      <rPr>
        <sz val="11"/>
        <color theme="1"/>
        <rFont val="Times New Roman"/>
        <family val="1"/>
      </rPr>
      <t>. (Issuing and Acquiring Specialist, Card Officer, Cards Supervisor, Issuing &amp; Acquiring Manager)</t>
    </r>
  </si>
  <si>
    <r>
      <t xml:space="preserve">Conduct </t>
    </r>
    <r>
      <rPr>
        <b/>
        <sz val="11"/>
        <color theme="1"/>
        <rFont val="Times New Roman"/>
        <family val="1"/>
      </rPr>
      <t>quality reviews and internal audits</t>
    </r>
    <r>
      <rPr>
        <sz val="11"/>
        <color theme="1"/>
        <rFont val="Times New Roman"/>
        <family val="1"/>
      </rPr>
      <t xml:space="preserve"> where required. (Issuing and Acquiring Specialist, Card Officer, Cards Supervisor, Issuing &amp; Acquiring Manager)</t>
    </r>
  </si>
  <si>
    <r>
      <t xml:space="preserve">Provide regular </t>
    </r>
    <r>
      <rPr>
        <b/>
        <sz val="11"/>
        <color theme="1"/>
        <rFont val="Times New Roman"/>
        <family val="1"/>
      </rPr>
      <t>status reports</t>
    </r>
    <r>
      <rPr>
        <sz val="11"/>
        <color theme="1"/>
        <rFont val="Times New Roman"/>
        <family val="1"/>
      </rPr>
      <t xml:space="preserve"> to the Projects Office and Steering Committee. (Issuing &amp; Acquiring Manager, Head of Digital Transformation).</t>
    </r>
  </si>
  <si>
    <r>
      <t xml:space="preserve">Implement </t>
    </r>
    <r>
      <rPr>
        <b/>
        <sz val="11"/>
        <color theme="1"/>
        <rFont val="Times New Roman"/>
        <family val="1"/>
      </rPr>
      <t>corrective actions</t>
    </r>
    <r>
      <rPr>
        <sz val="11"/>
        <color theme="1"/>
        <rFont val="Times New Roman"/>
        <family val="1"/>
      </rPr>
      <t xml:space="preserve"> promptly to maintain project alignment. (Issuing and Acquiring Specialist, Card Officer, Cards Supervisor, Issuing &amp; Acquiring Manager)</t>
    </r>
  </si>
  <si>
    <r>
      <t xml:space="preserve">Confirm that all </t>
    </r>
    <r>
      <rPr>
        <b/>
        <sz val="11"/>
        <color theme="1"/>
        <rFont val="Times New Roman"/>
        <family val="1"/>
      </rPr>
      <t>deliverables meet acceptance criteria</t>
    </r>
    <r>
      <rPr>
        <sz val="11"/>
        <color theme="1"/>
        <rFont val="Times New Roman"/>
        <family val="1"/>
      </rPr>
      <t xml:space="preserve"> and are fully functional. (Issuing &amp; Acquiring Manager)</t>
    </r>
  </si>
  <si>
    <r>
      <t xml:space="preserve">Conduct </t>
    </r>
    <r>
      <rPr>
        <b/>
        <sz val="11"/>
        <color theme="1"/>
        <rFont val="Times New Roman"/>
        <family val="1"/>
      </rPr>
      <t>Post-Implementation Review (PIR)</t>
    </r>
    <r>
      <rPr>
        <sz val="11"/>
        <color theme="1"/>
        <rFont val="Times New Roman"/>
        <family val="1"/>
      </rPr>
      <t xml:space="preserve"> to evaluate success and lessons learned. (Issuing &amp; Acquiring Manager, Head of Digital Transformation)</t>
    </r>
  </si>
  <si>
    <r>
      <t>Release project resources</t>
    </r>
    <r>
      <rPr>
        <sz val="11"/>
        <color theme="1"/>
        <rFont val="Times New Roman"/>
        <family val="1"/>
      </rPr>
      <t xml:space="preserve"> and close all vendor engagements.</t>
    </r>
    <r>
      <rPr>
        <b/>
        <sz val="11"/>
        <color theme="1"/>
        <rFont val="Times New Roman"/>
        <family val="1"/>
      </rPr>
      <t xml:space="preserve"> </t>
    </r>
    <r>
      <rPr>
        <sz val="11"/>
        <color theme="1"/>
        <rFont val="Times New Roman"/>
        <family val="1"/>
      </rPr>
      <t>(Issuing &amp; Acquiring Manager, Head of Digital Transformation)</t>
    </r>
  </si>
  <si>
    <r>
      <t xml:space="preserve">Share all </t>
    </r>
    <r>
      <rPr>
        <b/>
        <sz val="11"/>
        <color theme="1"/>
        <rFont val="Times New Roman"/>
        <family val="1"/>
      </rPr>
      <t>project records</t>
    </r>
    <r>
      <rPr>
        <sz val="11"/>
        <color theme="1"/>
        <rFont val="Times New Roman"/>
        <family val="1"/>
      </rPr>
      <t xml:space="preserve"> for audit and future reference with Projects Office.</t>
    </r>
  </si>
  <si>
    <t>Process Time (Depends on complexity of project)</t>
  </si>
  <si>
    <t>Forecast future demand for debit and VISA cards Using  Historical data (The Cards Card Officer and Cards Services Supervisor)</t>
  </si>
  <si>
    <t>Initiate a stock order When the debit and VISA card inventory approaches the minimum reorder level (10,000)  With Procurement Or Vendor With Running Contract( Cards Card Officer )</t>
  </si>
  <si>
    <r>
      <t xml:space="preserve">Provide IR, Approvals For A New Vendor To Be Engaged By Procument  (Cards Services Supervisor) - </t>
    </r>
    <r>
      <rPr>
        <b/>
        <sz val="11"/>
        <color theme="1"/>
        <rFont val="Calibri"/>
        <family val="2"/>
        <scheme val="minor"/>
      </rPr>
      <t>New Vendor</t>
    </r>
  </si>
  <si>
    <r>
      <t xml:space="preserve">Share the Card Design With The Vendor (Cards Services Supervisor) - </t>
    </r>
    <r>
      <rPr>
        <b/>
        <sz val="11"/>
        <color theme="1"/>
        <rFont val="Calibri"/>
        <family val="2"/>
        <scheme val="minor"/>
      </rPr>
      <t>New Vendor</t>
    </r>
  </si>
  <si>
    <r>
      <t xml:space="preserve">Receive The Paper Proof Of The Card Design (Cards Services Supervisor) - </t>
    </r>
    <r>
      <rPr>
        <b/>
        <sz val="11"/>
        <color theme="1"/>
        <rFont val="Calibri"/>
        <family val="2"/>
        <scheme val="minor"/>
      </rPr>
      <t>New Vendor</t>
    </r>
  </si>
  <si>
    <r>
      <t xml:space="preserve">Seek Approval of The Printed Paper Proof Design ( Cards Services Supervisor) - </t>
    </r>
    <r>
      <rPr>
        <b/>
        <sz val="11"/>
        <color theme="1"/>
        <rFont val="Calibri"/>
        <family val="2"/>
        <scheme val="minor"/>
      </rPr>
      <t>New Vendor</t>
    </r>
  </si>
  <si>
    <t xml:space="preserve"> Prepare and send a debit card order to the approved card supplier With Quantity of cards required And Card type (e.g., Debit or VISA) (The Cards Card Officer)</t>
  </si>
  <si>
    <t>Upload Data Files On SFTP  With Card Details Requirements  ( Secure File Transfer Protocol)  (Cards Services Supervisor)</t>
  </si>
  <si>
    <t>Receive Sample Cards From Vendor (Cards Services Supervisor)</t>
  </si>
  <si>
    <t>Verify, Approve, Decline The Card Design On The Provided Sample (Cards Services Supervisor,  Issuing &amp; Acquiring Manager)</t>
  </si>
  <si>
    <t>Instruct The Vendor To Go Ahead With The Production Of the Requested Cards (Cards Services Supervisor,  Issuing &amp; Acquiring Manager)</t>
  </si>
  <si>
    <t xml:space="preserve">Receive Or Collect  Cards From The Vendor. Verify The Order Received Against The Request (Card Officer, Cards Services Supervisor, Issuing &amp; Acquiring Manager) </t>
  </si>
  <si>
    <t>Upon receipt,  update the inventory records.( Cards Officer and Card Services Supervisor)</t>
  </si>
  <si>
    <t xml:space="preserve">Store The Card Securely In A Vault. (Card Officer and Cards Services Supervisor) </t>
  </si>
  <si>
    <t>7 days</t>
  </si>
  <si>
    <t>Card Request and Dispatch Processing (from Branches)</t>
  </si>
  <si>
    <t xml:space="preserve">Receive Branch card requests via email  (Card Officer and Cards Services Supervisor) </t>
  </si>
  <si>
    <t xml:space="preserve">Acknowledge Request And Provide Delivery Timelines (Card Officer and Cards Services Supervisor) </t>
  </si>
  <si>
    <t xml:space="preserve">Record  Card Details On Card Dispatch Schedules  And emails  The CSO/ Branch Manager (Card Officer and Cards Services Supervisor) </t>
  </si>
  <si>
    <t xml:space="preserve">Prepare A Dispatch Memo (Card Officer ) </t>
  </si>
  <si>
    <t xml:space="preserve">Verify And approve the Memo ( Cards Services Supervisor) </t>
  </si>
  <si>
    <t xml:space="preserve"> Update the reserve stock register, and the Card Supervisor counter-signs as confirmation. ( Card Production Officer)</t>
  </si>
  <si>
    <t xml:space="preserve">Enclose Cards in a sealed envelope and  security-action pack . (Card Officer and Cards Services Supervisor) </t>
  </si>
  <si>
    <t xml:space="preserve">Submit  the courier packs to the Registry Department for mailing. (Card Officer and Cards Services Supervisor) </t>
  </si>
  <si>
    <t>Insert Verified  Confimation Of Receipt From The Branch</t>
  </si>
  <si>
    <t>Process Time Until Submission For Courier Services</t>
  </si>
  <si>
    <t xml:space="preserve">Receive Customer Query From Branch Or Contact Centre (Cards Officer and Cards Services Supervisor) </t>
  </si>
  <si>
    <t xml:space="preserve">Verify And Check Completeness and Compliance of the Request Details (Card Officer and Cards Services Supervisor) </t>
  </si>
  <si>
    <t xml:space="preserve">Attend to The Request And Provide Feed back (Card Officer and Cards Services Supervisor) </t>
  </si>
  <si>
    <t xml:space="preserve">Escalate Queries/ Requests To The Relevant Authorities were applicable eg Vendor/ Mananagement etc  (Card Officer and Cards Services Supervisor) </t>
  </si>
  <si>
    <t xml:space="preserve">Track Issue Until Resolution (Card Officer and Cards Services Supervisor) </t>
  </si>
  <si>
    <t xml:space="preserve">Advise Requester Once Issue Has Been Resolved (Card Officer and Cards Services Supervisor) </t>
  </si>
  <si>
    <t>Process Time (Depends on complexity of request)</t>
  </si>
  <si>
    <t xml:space="preserve">Receive Request to Add or Amend SmartVista &amp; PEX Agent Portal User Profiles From Branch Or Contact Centre (Cards Officer and Cards Services Supervisor) </t>
  </si>
  <si>
    <t xml:space="preserve">Escalate Queries/ Requests To The Relevant Authorities were applicable eg PEX/ Mananagement etc  (Card Officer and Cards Services Supervisor) </t>
  </si>
  <si>
    <t xml:space="preserve">Track Request Until Resolution (Card Officer and Cards Services Supervisor) </t>
  </si>
  <si>
    <t xml:space="preserve">Request PEX For The SmartVista &amp; Agent Portal User List (Cards Officer and Cards Services Supervisor) </t>
  </si>
  <si>
    <t xml:space="preserve">Share The List With ICT Security Team For Further Processing etc  (Card Officer and Cards Services Supervisor) </t>
  </si>
  <si>
    <t xml:space="preserve">Receive List Of Users To Be Removed From The Systems From ICT Security (Card Officer and Cards Services Supervisor) </t>
  </si>
  <si>
    <t xml:space="preserve">Log Request on PEX Tickecting System For Processing (Card Officer and Cards Services Supervisor) </t>
  </si>
  <si>
    <t xml:space="preserve">Advise ICT Security Once Issue Has Been Resolved Where Applicable (Card Officer and Cards Services Supervisor) </t>
  </si>
  <si>
    <t xml:space="preserve">Receive List Of Staff Exits from HR (Cards Officer and Cards Services Supervisor) </t>
  </si>
  <si>
    <t xml:space="preserve">Log Request on PEX Tickecting System For Removal Of The User Profile (Card Officer and Cards Services Supervisor) </t>
  </si>
  <si>
    <t>Receive Approved Request From Business To implement New Or Review Existing VRM Rules from Head Of Banking Operations  (Issuing &amp; Acquiring Manager, Head of Digital Transformation)</t>
  </si>
  <si>
    <t>Assign A Resource To Implement The Changes  (Issuing &amp; Acquiring Manager, Head of Digital Transformation)</t>
  </si>
  <si>
    <r>
      <t xml:space="preserve">Commence </t>
    </r>
    <r>
      <rPr>
        <b/>
        <sz val="11"/>
        <color theme="1"/>
        <rFont val="Times New Roman"/>
        <family val="1"/>
      </rPr>
      <t>system configuration</t>
    </r>
    <r>
      <rPr>
        <sz val="11"/>
        <color theme="1"/>
        <rFont val="Times New Roman"/>
        <family val="1"/>
      </rPr>
      <t xml:space="preserve"> (Issuing and Acquiring Specialist, Card Officer, Cards Supervisor).</t>
    </r>
  </si>
  <si>
    <r>
      <t xml:space="preserve">Conduct </t>
    </r>
    <r>
      <rPr>
        <b/>
        <sz val="11"/>
        <color theme="1"/>
        <rFont val="Times New Roman"/>
        <family val="1"/>
      </rPr>
      <t>technical testing</t>
    </r>
    <r>
      <rPr>
        <sz val="11"/>
        <color theme="1"/>
        <rFont val="Times New Roman"/>
        <family val="1"/>
      </rPr>
      <t xml:space="preserve"> to validate rule functionality (Issuing and Acquiring Specialist, Card Officer, Cards Supervisor).</t>
    </r>
  </si>
  <si>
    <r>
      <t xml:space="preserve">Upon successful configuration, perform </t>
    </r>
    <r>
      <rPr>
        <b/>
        <sz val="11"/>
        <color theme="1"/>
        <rFont val="Times New Roman"/>
        <family val="1"/>
      </rPr>
      <t>post-deployment verification</t>
    </r>
    <r>
      <rPr>
        <sz val="11"/>
        <color theme="1"/>
        <rFont val="Times New Roman"/>
        <family val="1"/>
      </rPr>
      <t>. (Issuing and Acquiring Specialist, Card Officer, Cards Supervisor, Issuing &amp; Acquiring Manager)</t>
    </r>
  </si>
  <si>
    <r>
      <t xml:space="preserve">Provide regular </t>
    </r>
    <r>
      <rPr>
        <b/>
        <sz val="11"/>
        <color theme="1"/>
        <rFont val="Times New Roman"/>
        <family val="1"/>
      </rPr>
      <t>status reports</t>
    </r>
    <r>
      <rPr>
        <sz val="11"/>
        <color theme="1"/>
        <rFont val="Times New Roman"/>
        <family val="1"/>
      </rPr>
      <t xml:space="preserve"> to the Head of Banking Operations and Business Unit. (Issuing &amp; Acquiring Manager, Head of Digital Transformation).</t>
    </r>
  </si>
  <si>
    <r>
      <t xml:space="preserve">Conduct </t>
    </r>
    <r>
      <rPr>
        <b/>
        <sz val="11"/>
        <color theme="1"/>
        <rFont val="Times New Roman"/>
        <family val="1"/>
      </rPr>
      <t>Post-Implementation Review (PIR)</t>
    </r>
    <r>
      <rPr>
        <sz val="11"/>
        <color theme="1"/>
        <rFont val="Times New Roman"/>
        <family val="1"/>
      </rPr>
      <t xml:space="preserve"> to evaluate success. (Issuing &amp; Acquiring Manager, Head of Digital Transformation)</t>
    </r>
  </si>
  <si>
    <t>New Internet Banking Platform Customer OnBoarding - Corporate &amp; Individual</t>
  </si>
  <si>
    <t xml:space="preserve">Manual Sign Up Process For The Administrator (Relationship Officer) /Digital For Individual </t>
  </si>
  <si>
    <t>Customer Creates Profiles And Mandates (Self Service Portal/Assisted By Relationship Officer)</t>
  </si>
  <si>
    <t>System Sends Credentials To Initiators And Approvers</t>
  </si>
  <si>
    <t xml:space="preserve">Initiators And Approvers Create Their  Own Passwords </t>
  </si>
  <si>
    <t>depend on number of users on a profile</t>
  </si>
  <si>
    <t>1hr</t>
  </si>
  <si>
    <t xml:space="preserve">New Internet Banking Platform Customer OnBoarding - Indiviual - </t>
  </si>
  <si>
    <t>Fully automated - access Through Website</t>
  </si>
  <si>
    <t>New Internet Banking  Queries Handling -Corporate</t>
  </si>
  <si>
    <t>Receive Login Query From Customer (Contact Centre Clerk/ Contact Center Supervisor)</t>
  </si>
  <si>
    <t>Check Whether The Customer Is Registered For Internet Banking (Contact Centre Clerk/ Contact Center Supervisor)</t>
  </si>
  <si>
    <t>Check Whether There Are Pending Registrations On Isupport (Contact Centre Clerk/ Contact Center Supervisor)</t>
  </si>
  <si>
    <t>Where The Request Is Not On Either Isupport Or In IB ,  Refer Customer To The Branch (Contact Centre Clerk/ Contact Center Supervisor)</t>
  </si>
  <si>
    <t>Where The Customer Is Registered , Check Profile Status And Completeness of The Linking Process (Contact Centre Clerk/ Contact Center Supervisor)</t>
  </si>
  <si>
    <t>Where The Status Is Active  Send Customer User Name And Link  For Them To Trigger Forget Password (Contact Centre Clerk/ Contact Center Supervisor)</t>
  </si>
  <si>
    <t>Where The Profile Is Blocked , Advise Requesting Branch To Get Arequest To Enable From The Customer (Contact Centre Clerk/ Contact Center Supervisor)</t>
  </si>
  <si>
    <t>Close The Issuoprt Ticket</t>
  </si>
  <si>
    <t>Total Process Time (minimum depends on number of users)</t>
  </si>
  <si>
    <t>5min</t>
  </si>
  <si>
    <t>New Internet Banking Quiries Handling - Individual</t>
  </si>
  <si>
    <t>Where The Customer Is Registered , Check Profile Status (Contact Centre Clerk/ Contact Center Supervisor)</t>
  </si>
  <si>
    <t>Where The Status Is Active Customer is Not receiving OTP Refer To ICT (Contact Centre Clerk/ Contact Center Supervisor)</t>
  </si>
  <si>
    <t xml:space="preserve">New Internet Banking Navigation Quries Queries Handling  </t>
  </si>
  <si>
    <t>Receive Query On Support Services EG  Statement Request, How To Authorise Atransaction -port (Contact Centre Clerk/ Contact Center Supervisor)</t>
  </si>
  <si>
    <t>Verify Completeness And Compliance  of The Request (Contact Centre Clerk/ Contact Center Supervisor)</t>
  </si>
  <si>
    <t>Where The Request Is Incomplete  Non Compliant Refer The Client To The Branch (Contact Centre Clerk/ Contact Center Supervisor)</t>
  </si>
  <si>
    <t>Where The Request Is complete  and  Compliant Train Them (Contact Centre Clerk/ Contact Center Supervisor)</t>
  </si>
  <si>
    <t>de</t>
  </si>
  <si>
    <t>Total Process Time (minimum depends on customer satisfication)</t>
  </si>
  <si>
    <t>Revenue Assuarance</t>
  </si>
  <si>
    <t>Product Specification And Revenue Configuration Analysis ( Revenue Assurance Analyst And Revenue Assurance Manager)</t>
  </si>
  <si>
    <t>Data Request From ICT,Business And Digital ( Revenue Assurance Analyst And Revenue Assurance Manager)</t>
  </si>
  <si>
    <t>Perform Extraction, Transformation And Loading ( Revenue Assurance Analyst And Revenue Assurance Manager)</t>
  </si>
  <si>
    <t>Data Validation  ( Revenue Assurance Analyst And Revenue Assurance Manager)</t>
  </si>
  <si>
    <t>Data Integration ( Revenue Assurance Analyst And Revenue Assurance Manager)</t>
  </si>
  <si>
    <t>Tarrif And Price Verification  ( Revenue Assurance Analyst And Revenue Assurance Manager)</t>
  </si>
  <si>
    <t>Collection And  Recognition Assurance   (Revenue Assurance Analyst And Revenue Assurance Manager)</t>
  </si>
  <si>
    <t>Reconciliation GL,Management Report And Financial  ( Revenue Assurance Analyst And Revenue Assurance Manager)</t>
  </si>
  <si>
    <t>Leakage Detection ,Exception handling, Recovery And Revenue Optimisation  ( Revenue Assurance Analyst And Revenue Assurance Manager)</t>
  </si>
  <si>
    <t>Reporting To Relevant Stakeholders  ( Revenue Assurance Analyst And Revenue Assurance Manager)</t>
  </si>
  <si>
    <t>Compliance And Audit  ( Revenue Assurance Analyst And Revenue Assurance Manager)</t>
  </si>
  <si>
    <t>Total Time for the Process - Per Product (Minutes)</t>
  </si>
  <si>
    <t>Total Processes Executed ()</t>
  </si>
  <si>
    <t>Credit Risk</t>
  </si>
  <si>
    <t>Credit Origination And Assessment (Retail And Corporate,Credit Risk Officer,Senior Manager Risk)</t>
  </si>
  <si>
    <t>Ratings and Classifications ( Retail, Corporate and Finance)</t>
  </si>
  <si>
    <t>Approval and Limit Management (Credit Committee,Senior Manager Risk,Head Business Risk)</t>
  </si>
  <si>
    <t>Monitoring and Review (Relationship Managers,Credit Risk Officer,Senior Manager Risk,Head Business Risk And Credit Monitoring)</t>
  </si>
  <si>
    <t>Collateral Management (Legal Department)</t>
  </si>
  <si>
    <t>Recovery And Remedial Action (Debt Recoveries Department)</t>
  </si>
  <si>
    <t>Portfolio Reporting  (Senior Manager Risk,Head Business Risk)</t>
  </si>
  <si>
    <t>Policy And Governance (Senior Manager Risk,Head Business Risk And Various Committees)</t>
  </si>
  <si>
    <t>Operational Risk</t>
  </si>
  <si>
    <t>Operational Risk Identification Through Risk Registers (Operational Risk Officer,Senior Manager Risk,Head Business Risk)</t>
  </si>
  <si>
    <t>Risk Assessment And Control Evaluation  (Operational Risk Officer,Senior Manager Risk,Head Business Risk)</t>
  </si>
  <si>
    <t>Mitigation And Control Implimentation  (Operational Risk Officer,Senior Manager Risk,Head Business Risk)</t>
  </si>
  <si>
    <t>Receiving And Analysing Incident Reports (Operational Risk Officer)</t>
  </si>
  <si>
    <t>Retail Operations And Head Office Visits And Assessments (Operational Risk Officer,Senior Manager Risk,Head Business Risk)</t>
  </si>
  <si>
    <t>Key Risk Indicators (KRI) Monitoring (Operational Risk Officer)</t>
  </si>
  <si>
    <t>Risk Control Self Assessments  (Operational Risk Officer,Senior Manager Risk,Head Business Risk)</t>
  </si>
  <si>
    <t>Business Continuity And Disaster Recovery Planning  (Operational Risk Officer,Senior Manager Risk,Head Business Risk)</t>
  </si>
  <si>
    <t>Operational Risk Reporting And Escalation (Operational Risk Officer,Senior Manager Risk,Head Business Risk)</t>
  </si>
  <si>
    <t>Quantitative Risk</t>
  </si>
  <si>
    <t>Requirements Gathering (Quantitative Risk Officer And Quantitative Risk Manager)</t>
  </si>
  <si>
    <t>Data Collection And Validation (Quantitative Risk Officer And Quantitative Risk Manager)</t>
  </si>
  <si>
    <t>Model Design And Development (Quantitative Risk Officer And Quantitative Risk Manager)</t>
  </si>
  <si>
    <t>Validation And Review (Quantitative Risk Officer And Quantitative Risk Manager)</t>
  </si>
  <si>
    <t>Model Governance And Documentation (Quantitative Risk Officer And Quantitative Risk Manager)</t>
  </si>
  <si>
    <t>Implementation And Integration (Quantitative Risk Officer And Quantitative Risk Manager)</t>
  </si>
  <si>
    <t>Monitoring ,Review And Recallibration (Quantitative Risk Officer And Quantitative Risk Manager)</t>
  </si>
  <si>
    <t>Model Decommissioning Or Replacement (Quantitative Risk Officer And Quantitative Risk Manager)</t>
  </si>
  <si>
    <t>Stress Testing Compliance And Audit  (Quantitative Risk Officer And Quantitative Risk Manager)</t>
  </si>
  <si>
    <t xml:space="preserve">Quantitative Risk Reporting And Analytics </t>
  </si>
  <si>
    <t>Compliance And Audit Compliance And Audit  (Quantitative Risk Officer And Quantitative Risk Manager)</t>
  </si>
  <si>
    <t>Total Time for the Process (Minutes) (3 Months)</t>
  </si>
  <si>
    <t>ICT And Cyber Security Risk</t>
  </si>
  <si>
    <t>ICT And Cyber Security Governance Policy And Compliance (Cyber Security,Compliance And ICT Analyst  ,Cyber Security And ICT  Manager)</t>
  </si>
  <si>
    <t>ICT And Cyber Security Control Design And Implimentation (Cyber Security Analyst, Cyber Security,Compliance And ICT Analyst  ,Cyber Security And ICT  Manager)</t>
  </si>
  <si>
    <t>ICT And Cyber Security Risk Identification And Assessments (Cyber Security Analyst, Cyber Security,Compliance And ICT Analyst  ,Cyber Security And ICT  Manager)</t>
  </si>
  <si>
    <t>ICT And Cyber Security Risk Monitoring (Cyber Security Analyst, Cyber Security,Compliance And ICT Analyst ,Cyber Security And ICT Manager)</t>
  </si>
  <si>
    <t>Incident Response And Investigation (Cyber Security Analyst, Cyber Security,Compliance And ICT Analyst  ,Cyber Security And ICT  Manager)</t>
  </si>
  <si>
    <t>Risk Treatment (Cyber Security Analyst, Cyber Security,Compliance And ICT Analyst  ,Cyber Security And ICT  Manager)</t>
  </si>
  <si>
    <t>Business Continuity And Disaster Recovery Planning (Cyber Security Analyst, Cyber Security,Compliance And ICT Analyst  ,Cyber Security And ICT  Manager)</t>
  </si>
  <si>
    <t>ICT And Cyber Security Change Management (Cyber Security Analyst, Cyber Security,Compliance And ICT Analyst  ,Cyber Security And ICT  Manager)</t>
  </si>
  <si>
    <t>ICT And Cyber Security Training (Cyber Security Analyst, Cyber Security,Compliance And ICT Analyst  ,Cyber Security And ICT  Manager)</t>
  </si>
  <si>
    <t>ICT And Cyber Security Reporting And Documentation (Cyber Security Analyst, Cyber Security,Compliance And ICT Analyst  ,Cyber Security And ICT  Manager)</t>
  </si>
  <si>
    <t>Vendor Or Third Party Risk Management (Cyber Security Analyst, Cyber Security,Compliance And ICT Analyst  ,Cyber Security And ICT  Manager)</t>
  </si>
  <si>
    <t>Middle Office</t>
  </si>
  <si>
    <t>Liquidity Risk Monitoring (Internal) - (Treasury Middle Office Officer And Treasury Middle Office Manager)</t>
  </si>
  <si>
    <t>Liquidity Coverage Ratio (Treasury Middle Office Manager)</t>
  </si>
  <si>
    <t>BSD 2,3 And 4 (Treasury Middle Office Officer And Treasury Middle Office Manager)</t>
  </si>
  <si>
    <t>Net Open Position (Treasury Middle Office Officer And Treasury Middle Office Manager)</t>
  </si>
  <si>
    <t>Limits Proposal Preparation And Implimentation (Treasury Middle Office Officer And Treasury Middle Office Manager)</t>
  </si>
  <si>
    <t>Operational Risk - Cancelled,Ammended,Backdated And Limit Breaches (Treasury Middle Office Officer And Treasury Middle Office Manager)</t>
  </si>
  <si>
    <t>Profit And Loss Monitoring For Treasury Products (Treasury Middle Office Officer And Treasury Middle Office Manager)</t>
  </si>
  <si>
    <t>Reconciliation Of Treasury Products (Treasury Middle Office Officer And Treasury Middle Office Manager)</t>
  </si>
  <si>
    <t>Policy And Governance (Treasury Middle Office Officer And Treasury Middle Office Manager)</t>
  </si>
  <si>
    <t>Treasury Risk Reporting (Treasury Middle Office Officer And Treasury Middle Office Manager)</t>
  </si>
  <si>
    <t>Loan Monitoring (Risk)</t>
  </si>
  <si>
    <t>Total Time for the Process (Minutes)</t>
  </si>
  <si>
    <t>Total Processes Time/Month  (Hours)</t>
  </si>
  <si>
    <t xml:space="preserve">Total FE Saved for all </t>
  </si>
  <si>
    <t>KYC Compliance Review</t>
  </si>
  <si>
    <t>Request A List Of Accounts Opened For The Previous Month From ICT (Compliance Officer)</t>
  </si>
  <si>
    <t>Select A Sample From The List Of Accounts Opened Per Month (Compliance Officer)</t>
  </si>
  <si>
    <t>Inspect For KYC Compliance Of All The Selected Files From Flexidoc And IDC(Compliance Officer)</t>
  </si>
  <si>
    <t>Prepare Report On KYC Compliance On New Accounts (Compliance Officer)</t>
  </si>
  <si>
    <t>Review And Verify The Prepared Report On  KYC Compliance (Compliance Manager)</t>
  </si>
  <si>
    <t>Review, Approve And Share The Prepared Report With The Respective Stakeholders (Head Of Compliance)</t>
  </si>
  <si>
    <t>AML/CFT Risk Assessment For New Products</t>
  </si>
  <si>
    <t>Conduct Due Diligence Assessment For New Products Or Services (Compliance Officer)</t>
  </si>
  <si>
    <t>Draft Risk Assessment Report  (Compliance Officer)</t>
  </si>
  <si>
    <t>Review And Verify The Prepared  Risk Report  (Compliance Manager)</t>
  </si>
  <si>
    <t>Review, Approve And Share The Prepared Report  (Head Of Compliance)</t>
  </si>
  <si>
    <t>Send The Product Pack To Regulators For Approval  (Head Of Compliance)</t>
  </si>
  <si>
    <t>Follow Up For Approvals With The Regulators  (Head Of Compliance)</t>
  </si>
  <si>
    <t xml:space="preserve"> Notify Process Owner On Receipt Of Approval   (Head Of Compliance)</t>
  </si>
  <si>
    <t>Regulatory Advisory Services</t>
  </si>
  <si>
    <t>Receive And Interpret a New Regulation / Act /Circular/Guideline/ Statutory Instrument ( Regulatory Compliance Officer)</t>
  </si>
  <si>
    <t>Review and Share Withb Stakeholders On New Or Changes In Law And Regulations (Compliance  Manager)</t>
  </si>
  <si>
    <t>Monitor Implimentation By Stakeholders   (Compliance Officer, Compliance  Manager, Head Of Compliance)</t>
  </si>
  <si>
    <t>Regulatory Affairs Management</t>
  </si>
  <si>
    <t>Receive  Queries, Instructions and Bank Searches Fro Regulators     (Compliance Officer, Compliance  Manager, Head Of Compliance)</t>
  </si>
  <si>
    <t>Assess The  Requirement  To Understand The Impact And The Business  Owner  (Compliance Officer, Compliance  Manager, Head Of Compliance)</t>
  </si>
  <si>
    <t>Communicate And Coordinate The Actioning  By Business Owner  And  Relay Responses To Various Regulators (Compliance Officer)</t>
  </si>
  <si>
    <t>Swift  Transaction Screening Sanctions Risk Management</t>
  </si>
  <si>
    <t xml:space="preserve">Screen And Review  Transactions Against Sanctions List  Using Swift  Transaction Screening- E.g OFAC,UN etc , To Identify Potential Matches (Compliance Officer, Compliance  Manager) </t>
  </si>
  <si>
    <t>Mantain And Update Relevant Sanctions Risk Management Database And Documents (Compliance Officer)</t>
  </si>
  <si>
    <t>Inform Staff On Sactions Updates Published By Regulatory Authorities (Compliance Officer)</t>
  </si>
  <si>
    <t>Transaction Monitoring And Control</t>
  </si>
  <si>
    <t>Receive Supicious Transactions From Business And Monitor Transaction And Account Activities To Identify Suspicious Transactions Using Rules Set In CBS (Compliance Officer)</t>
  </si>
  <si>
    <t>Analyse And Escalate  Suspicious Activity Reports Flagged By The Transaction Monitoring System / Received From  Business (Compliance Officer)</t>
  </si>
  <si>
    <t>Review  Suspicious Activity Report  (SAR) / STR (Compliance Manager)</t>
  </si>
  <si>
    <t>Upload Of STR/SAR On GoAML Platform As And When The Transaction Occurs (Compliance Officer)</t>
  </si>
  <si>
    <t>Mantain A Record Of All Submitted STR/SAR, And Make Follow Ups By FIU (Compliance Officer)</t>
  </si>
  <si>
    <t xml:space="preserve">Respond And Provide New Or Additional Customer Information To RBZ/FIU (Compliance Officer, Compliance  Manager, Head Of Compliance) </t>
  </si>
  <si>
    <t>Training And Awareness</t>
  </si>
  <si>
    <t xml:space="preserve">Prepare A Training Schedule/ Identify Adhoc Training  Needs  (Head Of Compliance) </t>
  </si>
  <si>
    <t xml:space="preserve">Prepare AML/CFT Training And Test  Material For Senior Management And Directors  (Compliance Officer, Compliance  Manager, Head Of Compliance) </t>
  </si>
  <si>
    <t>Engage Regulator And Facilitate Training For Senior Management And Directors ( Compliance Manager, Head Of Compliance)</t>
  </si>
  <si>
    <t xml:space="preserve">Conduct ML /TF Risk Awareness Trainings  (Compliance Officer, Compliance  Manager, Head Of Compliance) </t>
  </si>
  <si>
    <t xml:space="preserve">Mantain And Update Training Register  (Compliance Officer, Compliance  Manager) </t>
  </si>
  <si>
    <t>KYC/Customer Due Diligence</t>
  </si>
  <si>
    <t>Review Policies And Procedures For Conducting Customer Identification And Verification (Compliance Officer)</t>
  </si>
  <si>
    <t>Conduct Periodic Reviews Of KYC Records As To Completeness (Compliance Officer)</t>
  </si>
  <si>
    <t>Categorise Customers Into Appropriate Risk Categorie (Compliance Officer)</t>
  </si>
  <si>
    <t>Provide Expect Support And Advice On KYC /CDD Related Issues (Compliance Officer)</t>
  </si>
  <si>
    <t>Mantain Record Of High Risk And PEP Customers (Compliance Officer)</t>
  </si>
  <si>
    <t>Internal Audit Process</t>
  </si>
  <si>
    <t>Annual Risk Assessment And Planning (Head Of Audit, Audit Manager,Auditors)</t>
  </si>
  <si>
    <t>Audit Execution  (Head Of Audit, Audit Manager,Auditors)</t>
  </si>
  <si>
    <t>Reporting And Communication (Head Of Audit, Audit Manager,Auditors)</t>
  </si>
  <si>
    <t>Follow Up And Monitoring (Group Head Of Audit, Audit Manager,Auditors)</t>
  </si>
  <si>
    <t>Data Analytics (Audit)</t>
  </si>
  <si>
    <t>Extract Data From Dashboard ( Audit Manager, ICT Auditors)</t>
  </si>
  <si>
    <t>Data Acquisition And Preparation   (Audit Manager, ICT Auditors)</t>
  </si>
  <si>
    <t>Control Testing And Exception Analysis ( Audit Manager, ICT Auditors)</t>
  </si>
  <si>
    <t>Follow Up And Monitoring (Group Head Of Audit, Audit Manager, ICT Auditors)</t>
  </si>
  <si>
    <t>Investigation (Audit)</t>
  </si>
  <si>
    <t>Investigation Planning And  Scoping  (Group Head Of Audit, Audit Manager, Auditors -Investigations)</t>
  </si>
  <si>
    <t>Evidence Collection,Data Analysis And Forensics  (Group Head Of Audit, Audit Manager, Auditors -Investigations)</t>
  </si>
  <si>
    <t>Reporting And Communication (Group Head Of Audit, Audit Manager, Auditors -Investigations)</t>
  </si>
  <si>
    <t>Attend Court And Hearing Sessions  (Audit Manager, Auditors -Investigations)</t>
  </si>
  <si>
    <t>Project Management Involvement (Audit)</t>
  </si>
  <si>
    <t>Assign An Auditor With Competent Skills To Be A Team Member (Group Head Of Audit)</t>
  </si>
  <si>
    <t>Assigned Auditor To Fully Participate As A Team Member (Audit Manager, Auditors)</t>
  </si>
  <si>
    <t>Consult Line Management On High Impact, Material And High Risk Areas (Group Head Of Audit, Audit Manager, Auditors)</t>
  </si>
  <si>
    <t>Adhere To Project Task Requirements (Auditor)</t>
  </si>
  <si>
    <t>Perform Quality Assurance Tasks (Auditor)</t>
  </si>
  <si>
    <t>Perform Project Pre-Assessment Report To Be Signed By Head Of Audit For Submitting To RBZ As Part Of RBZ Application Approval Package (Audit Team)</t>
  </si>
  <si>
    <t>Perform Post Implementation Review 6 Months After Going Live And To Be Performed By Auditors Other Than The One Who Participated As A Member (Audit Team)</t>
  </si>
  <si>
    <t>Issue Post Implementation Audit Report (Group Head Of Audit)</t>
  </si>
  <si>
    <t>Opening Of Tenders And Quotations</t>
  </si>
  <si>
    <t>Opening Of Tenders Or/And Quotations (Auditors)</t>
  </si>
  <si>
    <t>Signing Off And Stamping  Of Received Tenders And Quotations (Auditors)</t>
  </si>
  <si>
    <t>Signing Off On The Tenders And Quotation Register (Auditors)</t>
  </si>
  <si>
    <t xml:space="preserve">DIGITAL PRODUCT DEVELOPMENT </t>
  </si>
  <si>
    <t>Banking Operations Facilitate Executive Sign Off (Business Analyst)</t>
  </si>
  <si>
    <t>Approval Of Change Request By DT And ICT Managers</t>
  </si>
  <si>
    <t>Total Processes Executed (Number of  Products Developed)</t>
  </si>
  <si>
    <t>Prepare Sign Off Documents For Prticipants And Their Heads (Business Analyst)</t>
  </si>
  <si>
    <t>Total Processes Executed (Number Of  DR Tests)</t>
  </si>
  <si>
    <t>Prepare Clean And Transform Data Sets For AI And Analytics Consumption (AI And Enterprise Data Manager/ AI And Enterprise Data Specialists)</t>
  </si>
  <si>
    <t>Document Data Proces, Work Flows And  Architectural Changes (AI And Enterprise Data Manager/ AI And Enterprise Data Specialists)</t>
  </si>
  <si>
    <t>Total Processes Executed (Number Of AI Projects Done)</t>
  </si>
  <si>
    <t>iSupport  Process Flow</t>
  </si>
  <si>
    <t xml:space="preserve">Receive Query From Internal Users On iSupport. </t>
  </si>
  <si>
    <t>Technician Diagonises The Query And Resolves It</t>
  </si>
  <si>
    <t xml:space="preserve">Technician Closes Issue On Isupport </t>
  </si>
  <si>
    <t>When User Follows Up On A Query,  Anylse The Query , Check If It Was Assigned To The Correct Technician (Help Desk Administrator)</t>
  </si>
  <si>
    <t>Reassign Query Where The Technician is Overwhelmed, Absent Or Was Wrongly Assigned (Help Desk Administrator)</t>
  </si>
  <si>
    <t>Do  Analysis Of Queries  (Help Desk Administrator)</t>
  </si>
  <si>
    <t>Contact Technician Or The User  With Overdue Tickets And Ecsalate To Line Manager (Help Desk Administrator)</t>
  </si>
  <si>
    <t>Total Processes Executed (Number of Isupport Queries)</t>
  </si>
  <si>
    <t>Total Processes Executed (Numbet of  Times Repairs &amp; configurations were done)</t>
  </si>
  <si>
    <t>Total Processes Executed (Number Of Times New Configurations were done)</t>
  </si>
  <si>
    <t>End Of Day And Start Of Day  Process</t>
  </si>
  <si>
    <t>Notify Branches Through Email  (Systems Administrator)</t>
  </si>
  <si>
    <t>Check For Branches That Are Still Logged In The System And Unathorised Transactions Using A Program (Systems Administrator)</t>
  </si>
  <si>
    <t>Incremental Backup For Core Systems On Server (Systems Administrator)</t>
  </si>
  <si>
    <t>Run Treasury End Of Day (EOD) In Treasury Application (Systems Administrator)</t>
  </si>
  <si>
    <t>Run Loan Management System (LMS) And IDC Intellect Digital Core EOD In IDC Core Application (Systems Administrator)</t>
  </si>
  <si>
    <t>Extract Dumbs Requested By Business Departments Or Vendor (Systems Administrator)</t>
  </si>
  <si>
    <t>Check If AML Job Is Still Running (Systems Administrator)</t>
  </si>
  <si>
    <t>Run Collect EOD (Systems Administrator)</t>
  </si>
  <si>
    <t>Run IDC Start Of Day (SOD) (Systems Administrator)</t>
  </si>
  <si>
    <t>If it Is On Saturday, Run Full Back Up For The System (Systems Administrator)</t>
  </si>
  <si>
    <t>Initiate (Start Service)  Business Reports (Systems Administrator)</t>
  </si>
  <si>
    <t>Total Processes Executed (Number Of Times EOD was Done)</t>
  </si>
  <si>
    <t>Deployment Of IDC Patches</t>
  </si>
  <si>
    <t>Receive Production Release From System Vendor (Intellect) - ( Systems Administrator)</t>
  </si>
  <si>
    <t>Verify The Contects Of The Release Received From Intellect (Systems Administrator)</t>
  </si>
  <si>
    <t>If The Deployment Requires Downtime, Prepare Executive Sign-Off (ICT Operations Manager)</t>
  </si>
  <si>
    <t>Receive Executive Approval (ICT Operations Manager)</t>
  </si>
  <si>
    <t>Banking Operations And Marketing Communicates With Relevant Stakeholders (Head Of Banking Operations/Group Head Of Marketing)</t>
  </si>
  <si>
    <t xml:space="preserve">Create A Change Request,Attach Executive Sign-Off And Production Release Notes  In Flexidoc (Systems Administrator/Database Administrator) </t>
  </si>
  <si>
    <t>Approve Change Request In Flexidoc (ICT Operations Manager/Infrastructure And Networks Manager/Senior Manager Applications  Support And ICT Operations/Digital Managers)</t>
  </si>
  <si>
    <t>Approve Change Request In Flexidoc (Group Group Head Of ICT ,Head Of Digital )</t>
  </si>
  <si>
    <t>Pre -systems Checks (Basic Functions Of The Systems) - (Systems Administrator)</t>
  </si>
  <si>
    <t>Backup Of Existing Files On The Server (Systems Administrator)</t>
  </si>
  <si>
    <t>Deployment Of The Release (Systems Adminstrator, Database Administrator)</t>
  </si>
  <si>
    <t>Post Deployment System Checks (Systems Administrator,Database Administrator)</t>
  </si>
  <si>
    <t>If There Are No Issues With The Deploymenrt, Proceed To Complete The Post Deployment Checklist On Flexidoc (Systems Administrator)</t>
  </si>
  <si>
    <t>Approve Post Deployment Checklist (ICT Operations Manager)</t>
  </si>
  <si>
    <t>Send Communication Via Email To Vendor And Relevant Departments (Systems Administrator)</t>
  </si>
  <si>
    <t>If The Deployment Was Not Successful , Initiate Rollback Process (Systems Administrator)</t>
  </si>
  <si>
    <t>Advise The Vendor That The Deployment Was Not Successful (Systems Administrator, Datatbase Administrator)</t>
  </si>
  <si>
    <t>Total Processes Executed (Number of Patch Deployments)</t>
  </si>
  <si>
    <t>Deployment Of Digital Channels Products Or Enhancements</t>
  </si>
  <si>
    <t>Receive Files For Deployment From Digital Transformation ( Systems Administrator)</t>
  </si>
  <si>
    <t>Verify The Contects Of The Files (Systems Administrator)</t>
  </si>
  <si>
    <t>Deployment Of The Files (Systems Adminstrator, Database Administrator)</t>
  </si>
  <si>
    <t>Send Communication Via Email To Digital Transformation And Relevant Departments (Systems Administrator)</t>
  </si>
  <si>
    <t>Advise Digital Transformation That The Deployment Was Not Successful (Systems Administrator, Datatbase Administrator)</t>
  </si>
  <si>
    <t>Total Processes Executed (Digital Deployments)</t>
  </si>
  <si>
    <t>User Management</t>
  </si>
  <si>
    <t>Receive User Request Form Through iSupport (Systems Administrator)</t>
  </si>
  <si>
    <t>Verify The Functions Requested Against Available Roles In The System (Systems Administrator)</t>
  </si>
  <si>
    <t>If The Functions Requested Are Available In The System Proceed With Creation Of The Profile (Systems Administrator)</t>
  </si>
  <si>
    <t>If The Functions Requested Are Not Available  In The System Proceed With Creation Of The Roles In The System (Systems Administrator)</t>
  </si>
  <si>
    <t>Approved User Role Configurations (ICT Operations Manager)</t>
  </si>
  <si>
    <t>Send Profile Details To The User Via Email (Systems Administrator)</t>
  </si>
  <si>
    <t>Total Processes Executed (Number Of Users)</t>
  </si>
  <si>
    <t>Password Reset</t>
  </si>
  <si>
    <t>Receive Password  Request Form Through iSupport (Systems Administrator)</t>
  </si>
  <si>
    <t>Reset The User In The System (Systems Administrator)</t>
  </si>
  <si>
    <t>Approve Reset In The System (ICT Operations Manager)</t>
  </si>
  <si>
    <t>File The Completed Password Reset Form On Sharepoint (Systems Administrator)</t>
  </si>
  <si>
    <t>RTGS Processing (ICT Administrators)</t>
  </si>
  <si>
    <t>Extract Accounts From Digipay And Core System (Systems Administrator)</t>
  </si>
  <si>
    <t>Merge File Extracts From Digipay And Core System (Systems Administrator)</t>
  </si>
  <si>
    <t>Drop The File In The Auxway System Folder (Systems Administrator)</t>
  </si>
  <si>
    <t>Verify Dropped Files (Systems Administrator)</t>
  </si>
  <si>
    <t>Activate The Process That Sends Documents To RBZ Through Trustlink (Systems Administrator)</t>
  </si>
  <si>
    <t>For Files That Fail To Generate In The Systems, Run A Script For  Regeneration Of Outgoing Files (Database Administrator)</t>
  </si>
  <si>
    <t>Confirm If The Files Have Been Generated And Send To Another Server Where There A Solution That Modifies Them To Suite RBZ Standards (Systems Administrator)</t>
  </si>
  <si>
    <t>Confirm In The Files Reached The Auxway Server, And Wait An Instruction From Treasury (Systems Administrator)</t>
  </si>
  <si>
    <t>Open Payments And Wait For Instruction To Close (Systems Administrator)</t>
  </si>
  <si>
    <t>Total Processes Executed (Number Of Rtgs Extractions Done  By ICT)</t>
  </si>
  <si>
    <t>ICT Banking Applications Support</t>
  </si>
  <si>
    <t>Receive Issues Or Queries From Users Of Digital Systems And Core Systems (Support Analyst)</t>
  </si>
  <si>
    <t>Perform Initial Analysis Of The Issue And Seek Further Information (Support Analyst)</t>
  </si>
  <si>
    <t>Simulate The Incident In The Test Environment To Understand The Issue (Support Analyst)</t>
  </si>
  <si>
    <t>Develop A solution For The Query/Issue (Support Analyst)</t>
  </si>
  <si>
    <t>Simulate The Developed Solution In The Test Environment (Support Analyst)</t>
  </si>
  <si>
    <t>If The Solution Is Financial, Recommend How The User Can Resolve It (Support Analyst)</t>
  </si>
  <si>
    <t>If Its Non-financial,Create A Change Request And Seek Approval From Line Management (Support Analyst)</t>
  </si>
  <si>
    <t>Implement The Necessary Configurations (Support Analyst)</t>
  </si>
  <si>
    <t>Document The Solution And Share With The Application Support Manager (Support Analayst)</t>
  </si>
  <si>
    <t>Product Development And Configuration (Applications Support Department)</t>
  </si>
  <si>
    <t>Receive Memo\Request For New Banking Products (Applications Support Manager)</t>
  </si>
  <si>
    <t>Verify The Request And Seek Clarification (Applications Support Manager)</t>
  </si>
  <si>
    <t>Discuss On The Implementation Methodology (Applications Support Manager And Support Analyst)</t>
  </si>
  <si>
    <t>Allocate Task to Support Analyst (Applications Support Manager)</t>
  </si>
  <si>
    <t>Develop Product Guided By  The Request Memo And Implementation Methodology In The Test Environment (Support Analyst)</t>
  </si>
  <si>
    <t>Conduct SIT's On The New Product (Support Analyst)</t>
  </si>
  <si>
    <t>Conduct UAT's With Relevant Stakeholders (Support Analyst)</t>
  </si>
  <si>
    <t>Receive UAT Sign-Off (Support Analayst)</t>
  </si>
  <si>
    <t>Create A Change Request To Migrate The New Product To Production In FLexidoc (Support Analyst)</t>
  </si>
  <si>
    <t>Post Migration Support (Support Analyst)</t>
  </si>
  <si>
    <t>Total Processes Executed (Number Of Products Developed)</t>
  </si>
  <si>
    <t xml:space="preserve">Implementation Of  Business Conditions </t>
  </si>
  <si>
    <t>Receive Memo\Request For New Business Conditions (Applications Support Manager)</t>
  </si>
  <si>
    <t>Verify The Requirements To Confirm Feasibility (Applications Support Manager)</t>
  </si>
  <si>
    <t>Make Necessary Changes In The Test Environment (Support Analyst)</t>
  </si>
  <si>
    <t>Conduct SIT's On The New Changes (Support Analyst)</t>
  </si>
  <si>
    <t>Create A Change Request To Migrate The New Changes To Production In FLexidoc (Support Analyst)</t>
  </si>
  <si>
    <t>Document The Ne Business Conditions From A Technical Pespective (Support Analayst)</t>
  </si>
  <si>
    <t>Total Processes Executed (Number Of Business Condition Reviews)</t>
  </si>
  <si>
    <t>Issue / System Enhancements ( Working With Intellect)</t>
  </si>
  <si>
    <t>Receive A Request From Business Users (Support Analyst, Applications Support Manager)</t>
  </si>
  <si>
    <t>Analyse The Request And Convert To Technical Requirement (Support Analyst, Applications Support Manager)</t>
  </si>
  <si>
    <t>Log The Request On Snow (Intellect Helpdesk) - (Support Analyst)</t>
  </si>
  <si>
    <t>Conduct Analysis And Trouble Shooting With Intellect Consultant (Support Analyst)</t>
  </si>
  <si>
    <t>Receive And Verify Solutions And Deployments From Intellect (Support Analyst)</t>
  </si>
  <si>
    <t>Apply Received Solutions In UAT Environment (Support Analyst)</t>
  </si>
  <si>
    <t>Conduct SIT's On The New Changes And Provide Feedback To Intellect (Support Analyst)</t>
  </si>
  <si>
    <t>Receive Internal UAT Sign-Off And Intellect Sign-Off (Support Analayst)</t>
  </si>
  <si>
    <t>Receive And Verify Production Release (Support Analyst)</t>
  </si>
  <si>
    <t>Create A Change Request For Migration To Production  in Flexidoc And Handover Deployment To ICT Operations Manager (Support Analyst)</t>
  </si>
  <si>
    <t>Document The Solution Provided By Intellect (Support Analayst)</t>
  </si>
  <si>
    <t>Total Processes Executed (Number Of Issues Logged On Snow)</t>
  </si>
  <si>
    <t>Pro-Active Monitoring And Prevention</t>
  </si>
  <si>
    <t>Review Dashboards For All Servers And Application ( Systems Administrator)</t>
  </si>
  <si>
    <t>Check System Perfomance Indicators And Confirm They Are Within Normal Threshholds (System Administrator)</t>
  </si>
  <si>
    <t>Verify That No Critical Alerts Or Service Outages Are Active (System Administrator)</t>
  </si>
  <si>
    <t>Confirm All Scheduled Backups Completed Successfully (System Administrator)</t>
  </si>
  <si>
    <t>Monitor Disk Space And Resource Utilisation To I dentify Early Capacity Risk (System Administrator)</t>
  </si>
  <si>
    <t>Raise Request For Resource Expansion Where Required (System Administrator)</t>
  </si>
  <si>
    <t>Responsive Support And Incident Management</t>
  </si>
  <si>
    <t>Review Issues Logged On iSupport And Incident Report Received From Various Departments (Systems Administrator)</t>
  </si>
  <si>
    <t>Priotise The Issues Based On Severiry,Business Impact And SLA (Systems Administrator)</t>
  </si>
  <si>
    <t>Communicate Proptly With Users And Keep Them Upadated Throughout The Cycle Of The Issue (System Administrator)</t>
  </si>
  <si>
    <t>v</t>
  </si>
  <si>
    <t>Troubleshoot Issues Using Standard Procedure And Tools (Systems Administrator)</t>
  </si>
  <si>
    <t>Resoleve Incidents Within Level 1 And Level 2 Capability (Systems Administrator)</t>
  </si>
  <si>
    <t>Escalate Complex Issues Or Vendor Related Issues To Level 3 Or Appropriate Vendor (Systems Administrator)</t>
  </si>
  <si>
    <t>Update The Ticket With Progress Notes And Close Them After User Confirmation (Systems Administrator)</t>
  </si>
  <si>
    <t>Server Room Monitoring</t>
  </si>
  <si>
    <t>Check And Record Server Room Temperature At The Start And At The End Of Each Shift (Systems Administrator)</t>
  </si>
  <si>
    <t>Verify Humidity Levels Are Within The Accepted Operating Ranges (Systems Administrator)</t>
  </si>
  <si>
    <t>Inspect And Confirm That All Cooling Systems Are Operational (Systems Administrator)</t>
  </si>
  <si>
    <t>Observe Any Unusual Smell Or Heat That May Indicate Equipment Or Cooling Failure (Systems Administrator)</t>
  </si>
  <si>
    <t>Insure Serve Rooms Remain Closed And To Mantaim Optimum Environmental Conditions (Systems Administrator)</t>
  </si>
  <si>
    <t>Report Any Temperature Or Cooling Failures To Administration/ICT Management (Systems Administrator)</t>
  </si>
  <si>
    <t>Log All Readings,Observations,Actions Taken In The Checklist (Word Document)</t>
  </si>
  <si>
    <t>Disaster Recovery Application Syncronisation And Configuration Process</t>
  </si>
  <si>
    <t>Verify Connectivity Between DR Site And Live Production Site (Systems Administrator)</t>
  </si>
  <si>
    <t>Perform System Health Checks  (Systems Administrator)</t>
  </si>
  <si>
    <t>Run And Validate Syncronisation Of File Systems (Systems Administrator)</t>
  </si>
  <si>
    <t>Ensure DR Configurations And Match The Production  (Systems Administrator)</t>
  </si>
  <si>
    <t>Test Service Startup And Access From DR To Confirm Functionality  (Systems Administrator)</t>
  </si>
  <si>
    <t>Log Syncronisation Results And Escalate Any Replication errors  (Systems Administrator)</t>
  </si>
  <si>
    <t>Update DR Documentation And Report Completion To ICT Management  (Systems Administrator)</t>
  </si>
  <si>
    <t>Total Processes Executed (Number  of Times)</t>
  </si>
  <si>
    <t xml:space="preserve">Configuring UAT Environments </t>
  </si>
  <si>
    <t>Confirm UAT Database Has Been Successfully Restored From The Approved Backup (Systems Administrator)</t>
  </si>
  <si>
    <t>Verify Data Intergrity And Confirm The Restore Completed Without Errors (Systems Administrator)</t>
  </si>
  <si>
    <t>Update All Configuration File To Point To UAT Environment Instead Of Production (Systems Administrator)</t>
  </si>
  <si>
    <t>Disable Or Mask Any Production Intergrations ,Automated Jobs Or Live Payment Gateway (Systems Administrator)</t>
  </si>
  <si>
    <t>Reset UAT Specific Credentials (Systems Administrator)</t>
  </si>
  <si>
    <t>Verify That Email And Notification Services Are Redirected Or Disabled To Prevent Live Customer Communication (Systems Administrator)</t>
  </si>
  <si>
    <t>Test Application Modules To Confirm Functionality And Connectivity To Restored Data (Systems Administrator)</t>
  </si>
  <si>
    <t>Document Configuration Change And Validate Results In The UAT Set Up Log (Systems Administrator)</t>
  </si>
  <si>
    <t>Notify Relevant Team That UAT Environment Is Now Ready (Systems Administrator)</t>
  </si>
  <si>
    <t xml:space="preserve">Charges And Parameters Configuration </t>
  </si>
  <si>
    <t>Receive Approved Memo Or Change Request From Business (Systems Administrator)</t>
  </si>
  <si>
    <t>Validate Details And Confirm Approval Through Change Management (Systems Administrator)</t>
  </si>
  <si>
    <t>Backup Configuration Before Any Updates (Systems Administrator)</t>
  </si>
  <si>
    <t>Implement Change On Application (Systems Administrator)</t>
  </si>
  <si>
    <t>Approve The Changes Captured In The System (Systems Administrator)</t>
  </si>
  <si>
    <t>Provide Feedback To Business (Systems Administrator)</t>
  </si>
  <si>
    <t>Limit Review</t>
  </si>
  <si>
    <t>Receive A Memo From Business Requesting Limits Review  (Systems Administrator)</t>
  </si>
  <si>
    <t>Implement Request In The System  (Systems Administrator)</t>
  </si>
  <si>
    <t>Approve The Change In The System (Systems Administrator)</t>
  </si>
  <si>
    <t>Total Processes Executed (Number Of Times Limits Have Been Reviewed)</t>
  </si>
  <si>
    <t>Database Availability And Connectivity</t>
  </si>
  <si>
    <t>Verify That All Services And Processes Are Running (Database Administrator)</t>
  </si>
  <si>
    <t>Attempt Connecting To Each Database (Database Administrator)</t>
  </si>
  <si>
    <t>Confirm Connectivity From Application Server Side (Database Administrator)</t>
  </si>
  <si>
    <t>Review Database Health Alerts Using Solarwinds And Oracle Enterprise Manager (OEM) -  (Database Administrator)</t>
  </si>
  <si>
    <t>Document Status In The Daily Log Book (Database Administrator)</t>
  </si>
  <si>
    <t>Escalate Any Anomalies To ICT Management (Database Administrator)</t>
  </si>
  <si>
    <t>Monitor Critical Performance Metrics</t>
  </si>
  <si>
    <t>Review If CPU,Memory,Disk I/O, Sessions And Wait Events (Database Administrator)</t>
  </si>
  <si>
    <t>Check Blocked Queries Or Long Running Queries (Database Administrator)</t>
  </si>
  <si>
    <t>Compare The Metrics To Baseline Or SLA Thresholds (Database Administrator)</t>
  </si>
  <si>
    <t>If Threshold Are Exceeded, Identify The Cause (Query,Configuration,Workload) - (Database Administrator)</t>
  </si>
  <si>
    <t>Notify The Stakeholders And Log The Incident (Database Administrator)</t>
  </si>
  <si>
    <t>Review Database Logs</t>
  </si>
  <si>
    <t>Locate Error Or Alert Logs (Database Administrator)</t>
  </si>
  <si>
    <t>Scan For Critical Errors Or Warnings (Database Administrator)</t>
  </si>
  <si>
    <t>Investigate The Route Cause And Resolve Where Possible (Database Administrator)</t>
  </si>
  <si>
    <t>Escalate Critical Issues To Management (Database Administrator)</t>
  </si>
  <si>
    <t>Document The Issues In Log Book -Physical  (Database Administrator)</t>
  </si>
  <si>
    <t xml:space="preserve">Total Time for the Process (Minutes)  </t>
  </si>
  <si>
    <t>Validate Scheduled Jobs Or Processes</t>
  </si>
  <si>
    <t>Check SQL Server Jobs,Cronjobs,/Oracle DBMS_Scheduler Jobs (Database Administrator)</t>
  </si>
  <si>
    <t>Review The Logs For Success And Failure (Database Administrator)</t>
  </si>
  <si>
    <t>Confirm The Jobs Have Completed Within Expected Time (Database Administrator)</t>
  </si>
  <si>
    <t>Investigate And Resolve Failure Immediately (Database Administrator)</t>
  </si>
  <si>
    <t>Notify The Stakeholders If Delays Or Failures Impact Business Processes (Database Administrator)</t>
  </si>
  <si>
    <t xml:space="preserve">Check For Synchronization Or Replication </t>
  </si>
  <si>
    <t>Check Replication Or Synchronization Status (Database Administrator)</t>
  </si>
  <si>
    <t>Check Lag Times And Confirm No Pending Transactions On The Standby Database (Database Administrator)</t>
  </si>
  <si>
    <t>Validate Standvy Readiness Using Failover Or Switch Over Commands (Database Administrator)</t>
  </si>
  <si>
    <t>Escalate The Issues (Database Administrator)</t>
  </si>
  <si>
    <t xml:space="preserve"> Document The  Issues (Database Administrator)</t>
  </si>
  <si>
    <t>Backups Verification</t>
  </si>
  <si>
    <t>Review The Backup Logs (Database Administrator)</t>
  </si>
  <si>
    <t>Cross Check With Backup Schedules  (Database Administrator)</t>
  </si>
  <si>
    <t>Confirm That  Full,Incremental And Archive Log Backup Have Been Actioned (Database Administrator)</t>
  </si>
  <si>
    <t>Record Verification In Our Backup Register (Database Administrator)</t>
  </si>
  <si>
    <t>Backups Restore Test</t>
  </si>
  <si>
    <t>Select A Non Production Environment (Database Administrator)</t>
  </si>
  <si>
    <t>Restore Backups And Validate: (1) Schema And Table Intergrity (2) Stored Procedures,Trigures And Functions (3) Referential Integrity (Database Administrator)</t>
  </si>
  <si>
    <t>Document Results , Time Taken And Any Issues (Database Administrator)</t>
  </si>
  <si>
    <t>Scheduling Backups</t>
  </si>
  <si>
    <t>Schedule Backups During Mantainance Windows Or Offpeak Hours (Database Administrator)</t>
  </si>
  <si>
    <t>Copy Backups To Storage Tapes (Database Administrator)</t>
  </si>
  <si>
    <t>Provide Backups Scripts To System Administrators For Backups (Database Administrator)</t>
  </si>
  <si>
    <t>Monitor For Completion And Errors (Database Administrator)</t>
  </si>
  <si>
    <t>Document In The Backup Register (Database Administrator)</t>
  </si>
  <si>
    <t>Transpotation Of Backup Tapes For Archiving</t>
  </si>
  <si>
    <t>Transport Backup Tapes To Offsite Storage (Database Administrator)</t>
  </si>
  <si>
    <t>Verify Accessibility And Intergrity Of Our Tapes (Database Administrator)</t>
  </si>
  <si>
    <t>Update Archival Logs (Database Administrator)</t>
  </si>
  <si>
    <t>Test Retrieval From Archive Periodically (Database Administrator)</t>
  </si>
  <si>
    <t>Performance Tuning : Analysis Of  Slow Running Queries,Stored Procedures And Indexing</t>
  </si>
  <si>
    <t>Identify The Top Consuming Queries (Database Administrator)</t>
  </si>
  <si>
    <t>Review execution plans and indexing strategies</t>
  </si>
  <si>
    <t>Identify missing or inefficient indexes</t>
  </si>
  <si>
    <t>Recommend query rewrites or index changes</t>
  </si>
  <si>
    <t>Test changes in UAT environment before production deployment</t>
  </si>
  <si>
    <t>System Monitoring and Analysis</t>
  </si>
  <si>
    <t>Check system availability and confirm all banking applications are up and running (Support Analyst)</t>
  </si>
  <si>
    <t>Monitor application performance tracking response times, transaction volumes, and user access trends (Support Analyst)</t>
  </si>
  <si>
    <t>Review logs and alerts, documentation, scanning system and application logs for errors, warnings, or failed transactions (Support Analyst)</t>
  </si>
  <si>
    <t>Check integrations ensuring connections to payment gateways, core banking, and external systems are stable (Support Analyst)</t>
  </si>
  <si>
    <t>Summarize daily or weekly system performance and incidents, determining trends, problem spikes and process redundancies (Support Analyst)</t>
  </si>
  <si>
    <t>Recommend improvements, suggesting actions to prevent recurring issues or enhance performance (Support Analyst)</t>
  </si>
  <si>
    <t>Participate in improvement processes for the given suggestions (Support Analyst)</t>
  </si>
  <si>
    <t>Document findings, monitoring results, incidents, and resolutions for audit and reference (Support Analyst)</t>
  </si>
  <si>
    <t>Vendor and SLA Management</t>
  </si>
  <si>
    <t>Identify and list all key vendors supporting banking applications and services (Support Analyst)</t>
  </si>
  <si>
    <t>Review SLAs and understand agreed service levels, response times, and uptime commitments (Support Analyst)</t>
  </si>
  <si>
    <t>Monitor vendor performance and tack how well vendors meet SLA targets and response timelines (Support Analyst)</t>
  </si>
  <si>
    <t>Record any vendor-related issues and escalate unresolved ones promptly (Support Analyst)</t>
  </si>
  <si>
    <t>Work closely with vendors to ensure timely problem fixes and updates (Support Analyst)</t>
  </si>
  <si>
    <t>Compare vendor performance reports against SLA metrics and highlight SLA breaches or poor performance to management for review (Support Analyst)</t>
  </si>
  <si>
    <t>Document records of vendor communications, performance reports, and improvement actions (Support Analyst)</t>
  </si>
  <si>
    <t>Automation of System/Bulk Processes</t>
  </si>
  <si>
    <t>Identify repetitive tasks, manual bulk processes such as data uploads, account updates, or transaction postings (Support Analyst)</t>
  </si>
  <si>
    <t>Assess automation feasibility determining which tasks can safely be automated without affecting business rules (Support Analyst)</t>
  </si>
  <si>
    <t>Design automation scripts to handle bulk operations efficiently (Support Analyst)</t>
  </si>
  <si>
    <t>Conduct SITS in a test system the new automated jobs to ensure accuracy and reliability (Support Analyst)</t>
  </si>
  <si>
    <t>Conduct UATs with relevant stakeholders to certify the automation (Support Analyst)</t>
  </si>
  <si>
    <t>Create change requests to seek approval to implement the automation jobs (Support Analyst)</t>
  </si>
  <si>
    <t>Implement automatic job runs using task schedulers or job control tools</t>
  </si>
  <si>
    <t>Monitor automated jobs to confirm successful completion and detect any failures (Support Analyst)</t>
  </si>
  <si>
    <t>Review and correct records or transactions that failed during automation (Support Analyst)</t>
  </si>
  <si>
    <t>Document automation process flow, scripts used, and control measures (Support Analyst)</t>
  </si>
  <si>
    <t>Evaluate automation effectiveness, optimize for performance or new requirements and report the improvements to Applications Support Manager</t>
  </si>
  <si>
    <t>Total Processes Executed (Number of Bulk Processes Automated)</t>
  </si>
  <si>
    <t>Implementation and Testing of Digital Enhancements</t>
  </si>
  <si>
    <t>Assign resource for Digital Products rollout testing (Support Analyst)</t>
  </si>
  <si>
    <t>Participate in rollout of new digital banking features or software updates (Support Analyst)</t>
  </si>
  <si>
    <t>Conduct QA/UAT phases by providing test data, validating fixes, and confirming readiness (Support Analyst)</t>
  </si>
  <si>
    <t>Train internal users and support teams on new functionalities (Support Analyst)</t>
  </si>
  <si>
    <t>Collect feedback from end users and report issues for refinement (Support Analyst)</t>
  </si>
  <si>
    <t>Conduct documentation and communication of updates to customers (Support Analyst)</t>
  </si>
  <si>
    <t>Monitor for anomalies, document results, and provide feedback for improvement (Support Analyst)</t>
  </si>
  <si>
    <t>Monitoring and Maintenance of Digital Products</t>
  </si>
  <si>
    <t>Monitor digital banking systems and transaction flows continuously via performance dashboards and alerts (Support Analyst)</t>
  </si>
  <si>
    <t>Identify any performance degradation, errors, or security alerts (Support Analyst)</t>
  </si>
  <si>
    <t>Analyse logs and reports to diagnose root causes of issues (Support Analyst)</t>
  </si>
  <si>
    <t>Coordinate with technical teams for timely fixes and updates (Support Analyst)</t>
  </si>
  <si>
    <t>Verify and report after resolution to ensure normal operation is restored (Support Analyst)</t>
  </si>
  <si>
    <t>Document systems status and maintenance activities (Support Analyst)</t>
  </si>
  <si>
    <t>Total Processes Executed (Number Of  Digital Products Being Monitored)</t>
  </si>
  <si>
    <t>Database Performance Tuning And Optimisation</t>
  </si>
  <si>
    <t>Analyse Slow Queries,Stored Procedures, And Indexing (Database Administrator)</t>
  </si>
  <si>
    <t>Adjust Database Configurations (Database Administrator)</t>
  </si>
  <si>
    <t>Update Statistics And Recompile Objects  (Database Administrator)</t>
  </si>
  <si>
    <t>Review Historical Performance Trends  (Database Administrator)</t>
  </si>
  <si>
    <t>Colloborate With Developers  (Database Administrator)</t>
  </si>
  <si>
    <t>Database Security Management</t>
  </si>
  <si>
    <t>User Provisioning And Role Based Access Control (Database Administrator)</t>
  </si>
  <si>
    <t>Implement Password And Account Policies For Database Users (Database Administrator)</t>
  </si>
  <si>
    <t>Monitor And Audit Database Activities (Database Administrator)</t>
  </si>
  <si>
    <t xml:space="preserve">Apply Patches To Database (Database Administrator) </t>
  </si>
  <si>
    <t>Attend To Audit Request  (Database Administrator)</t>
  </si>
  <si>
    <t>High Availability And Disaster Recovery</t>
  </si>
  <si>
    <t>Configure And Monitor Higher Availability Solutions (Database Administrator)</t>
  </si>
  <si>
    <t>Mantain Data Replication And Synchronisation (Database Administrator)</t>
  </si>
  <si>
    <t>Develop And Implement Disaster Recovery Plans (Database Administrator)</t>
  </si>
  <si>
    <t>Perform Backup Verification And Recovery Testing (Database Administrator)</t>
  </si>
  <si>
    <t>Ensure Uptime &amp; SLA Compliance (Database Administrator)</t>
  </si>
  <si>
    <t>Data Refresh On UAT/DEV Environments</t>
  </si>
  <si>
    <t>Plan Data Refresh (Database Administrator)</t>
  </si>
  <si>
    <t>Perform Data Refresh (Database Administrator)</t>
  </si>
  <si>
    <t>Post Refresh Validation (Database Administrator)</t>
  </si>
  <si>
    <t>Mantain Refresh Logs (Database Administrator)</t>
  </si>
  <si>
    <t>Total Processes Executed (Number Of Times Data Was Refreshed)</t>
  </si>
  <si>
    <t>Installation,Configuration And Upgrades</t>
  </si>
  <si>
    <t>Plan Installation And High Availability Set Up (Database Administrator)</t>
  </si>
  <si>
    <t>Install Database Software (Database Administrator)</t>
  </si>
  <si>
    <t>Configure Database And Higher Availability (Database Administrator)</t>
  </si>
  <si>
    <t>Configure Backups Post-Implementation (Database Administrator)</t>
  </si>
  <si>
    <t>Database Migration And Upgrades (Database Administrator)</t>
  </si>
  <si>
    <t>Database And Table Archiving</t>
  </si>
  <si>
    <t>Plan Archiving Strategy  (Database Administrator)</t>
  </si>
  <si>
    <t>Implement Or Table Data Archiving (Database Administrator)</t>
  </si>
  <si>
    <t>Automate Archiving (Database Administrator)</t>
  </si>
  <si>
    <t>Validate Archived Data (Database Administrator)</t>
  </si>
  <si>
    <t>ICT Infrastructure, Design  And Implementation</t>
  </si>
  <si>
    <t>Design And Deployment Of Robust And Scalable  Server Architectures And Core Network  (System Engineer,Network Engineer,Lead ICT Engineer,Senior Manager Infrastructure And Systems Support)</t>
  </si>
  <si>
    <t>Implement New Technologies Eg Provisioning Of Infrastructure  (System Engineer,Network Engineer And Lead ICT Engineer)</t>
  </si>
  <si>
    <t>Design Implementation And Maintenance Of Disaster Recovery Plan  (System Engineer,Network Engineer,Lead ICT Engineer,Senior Manager Infrastructure And Systems Support)</t>
  </si>
  <si>
    <t>Resolve Network And Datacentre Challenges (System Engineer,Network Engineer And Lead ICT Engineer)</t>
  </si>
  <si>
    <t>Monitoring Of Network And Server Performance (System Engineer,Network Engineer And Lead ICT Engineer)</t>
  </si>
  <si>
    <t>Develop And Mantain System And Network Architecture Diagrams And Documentation For New And Existing Infrastructure Developments (System Engineer,Network Engineer And Lead ICT Engineer)</t>
  </si>
  <si>
    <t>Systems Administration (Infrastructure And Systems Support)</t>
  </si>
  <si>
    <t>Ensure All Network Infrastructure Including Servers,Networks And Storage Systems Are Monitored  (System Engineer,Network Engineer And Lead ICT Engineer)</t>
  </si>
  <si>
    <t>Analysis Of System And Infrastructure Logs For Errors,Rectify Issues And Proactively Resolve Potential Errors Before They Impact Operations  (System Engineer, Lead ICT Engineer)</t>
  </si>
  <si>
    <t>Ensure Highest Levels Of System And Infrastructure Availability And Performance  (Lead ICT Engineer,Senior Manager Infrastructure And Systems Support)</t>
  </si>
  <si>
    <t>Trouble Shoot And Resolve Operating System Including DNS Service And Resolution Of Problems To Minimise Downtine  (System Engineer, Lead ICT Engineer)</t>
  </si>
  <si>
    <t>Administration Of Active Directory Including User And Group Management And Perform Regular Sanitization Of Stale Computer Accounts  (System Engineer, Lead ICT Engineer)</t>
  </si>
  <si>
    <t>ICT Security,Audit, Risk And Compliance</t>
  </si>
  <si>
    <t>Ensure All End Point Security Solutions Are Installed On All Servers And Work Stations  (System Engineer, Lead ICT Engineer)</t>
  </si>
  <si>
    <t>Implementation And Management Of Secure VPN Solutions -IPsec (Network Engineer And Lead ICT Engineer)</t>
  </si>
  <si>
    <t>Configure And Enforce Stringent Firewall Policies Including IPS Policies,Web Filtering And Zero Day Protection  (System Engineer, Network Engineer And Lead ICT Engineer)</t>
  </si>
  <si>
    <t>Design And Implementation Of Comprehensive Security Strategies ( (System Engineer,Network Engineer,Lead ICT Engineer,Senior Manager Infrastructure And Systems Support)</t>
  </si>
  <si>
    <t>Ensure Timely Patch Management Of Servers ,Storage Systems And Network Devices  (System Engineer,Network Engineer And Lead ICT Engineer)</t>
  </si>
  <si>
    <t>Address Audit And Compiance Issues Promptly (System Engineer,Network Engineer And Lead ICT Engineer)</t>
  </si>
  <si>
    <t>Administer User Permissions And Access Rights Across All Platforms (System Engineer,Network Engineer And Lead ICT Engineer)</t>
  </si>
  <si>
    <t>Configure Replication Between Production And Disaster Recovery Site And Lead Disaster Recovery Drills</t>
  </si>
  <si>
    <t>Capacity Planning And Management</t>
  </si>
  <si>
    <t>Conduct Regular Capacity Planning Analysis For Virtual Environment And Storage Systems To Forecast Future Resource Needs (System Engineer, Lead ICT Engineer,Senior Manager Infrastructure And Systems Support)</t>
  </si>
  <si>
    <t>Develop And Implement Strategies To Optimise Resource Utilisation And Prevent Performance Bottlenecks Across The Virtual And Storage Infrastructure (System Engineer,Lead ICT Engineer,Senior Manager Infrastructure And Systems Support)</t>
  </si>
  <si>
    <t>Planning And Management Of Backup And Recovery Capacity Using VEEAM (System Engineer, Lead ICT Engineer)</t>
  </si>
  <si>
    <t>Planning,Monitoring And Managing Network Capacity (Network Engineer,Lead ICT Engineer)</t>
  </si>
  <si>
    <t>Manage And Plan The Capacity Of Storage And Other Infrastructure Components To Ensure Current And Future Business Needs Are Met (System Engineer,Network Engineer, Lead ICT Engineer,Senior Manager Infrastructure And Systems Support)</t>
  </si>
  <si>
    <t>System Performance And Optimisation</t>
  </si>
  <si>
    <t>Use Tools</t>
  </si>
  <si>
    <t>Research On New Technologies And Recommend New Solutions (Lead ICT Engineer,Senior Manager Infrastructure And Systems Support)</t>
  </si>
  <si>
    <t>Optimise Network Performance By Fine Tuning Configurations (Network Engineer, Lead ICT Engineer)</t>
  </si>
  <si>
    <t>Write And Mantain Custom Scripts To Automate Tasks And Improve System Efficiency (System Engineer,Network Engineer And Lead ICT Engineer)</t>
  </si>
  <si>
    <t>Assist In Analysing Resource Utilisation On Virtual Servers And Adjust Allocations As Needed To Mantain Optimal Performance (System Engineer)</t>
  </si>
  <si>
    <t>User Application And Service Support</t>
  </si>
  <si>
    <t>Provide Techical Support For Internal Systems And Third Party Applications Configurations   (System Engineer,Network Engineer And Lead ICT Engineer)</t>
  </si>
  <si>
    <t>Liase With External Service Providers And Vendors To Resolve Complex Issues  (System Engineer,Network Engineer And Lead ICT Engineer)</t>
  </si>
  <si>
    <t>Deliver Technical Support To All Users  And Mantain SLA's (System Engineer,Network Engineer And Lead ICT Engineer)</t>
  </si>
  <si>
    <t>Acquisition  Of  End User Devices And Equipment</t>
  </si>
  <si>
    <t>Receive  Software And Hardware Requirements In D365 Through Internal Requisition  From Other Departments (ATM &amp; Hardware Support Officer, Lead ATM &amp; Hardware Support Officer)</t>
  </si>
  <si>
    <t>Assess  Software And Hardware Requirements For ICT And Proceeds To Capture Internal Requisition In D365 (ATM &amp; Hardware Support Officer, Lead ATM &amp; Hardware Support Officer)</t>
  </si>
  <si>
    <t>Conduct Market Research On Emerging Software And Hardware Technologies (ATM &amp; Hardware Support Officer, Lead ATM &amp; Hardware Support Officer)</t>
  </si>
  <si>
    <t>Engage Relevant Stakeholders Inorder To Ascertain  Software And Hardware Specifications Which Aligns To Organisational Needs (ATM &amp; Hardware Support Officer, Lead ATM &amp; Hardware Support Officer)</t>
  </si>
  <si>
    <t>Recommend Replacements And Decomissions Of Hardware And Software Technologies In Line Findings And Policy In D365 (ATM &amp; Hardware Support Officer)</t>
  </si>
  <si>
    <t>Review Request In D365  ( Lead ATM &amp; Hardware Support Officer)</t>
  </si>
  <si>
    <t>Review  Requirement and Recommend For Group Head Of ICT Approval In D365  (Senior Manager Infrastructure And Systems Support)</t>
  </si>
  <si>
    <t xml:space="preserve"> Review Requirement and  Approves In D365  (Group Head Of ICT)</t>
  </si>
  <si>
    <t>Receive Procured Software And Devices From Stores  And Verify Specs (ATM &amp; Hardware Support Officer, Lead ATM &amp; Hardware Support Officer)</t>
  </si>
  <si>
    <t>Configure Software and Device For Users (ATM &amp; Hardware Support Officer, Lead ATM &amp; Hardware Support Officer)</t>
  </si>
  <si>
    <t>Return the Configured Software And Device To Stores Department (ATM &amp; Hardware Support Officer, Lead ATM &amp; Hardware Support Officer)</t>
  </si>
  <si>
    <t xml:space="preserve"> Diposal Of  End User Devices And Equipment</t>
  </si>
  <si>
    <t>Engage Rumbi And Madzimure</t>
  </si>
  <si>
    <t>Receive / Assess   Software And Hardware Requirements (ATM &amp; Hardware Support Officer, Lead ATM &amp; Hardware Support Officer)</t>
  </si>
  <si>
    <t>Engage Relevant Stakeholders Inorder To Ascertain  Software And Hardware Specifications Which Aligns To Organisational Needs Where Necessary(ATM &amp; Hardware Support Officer, Lead ATM &amp; Hardware Support Officer)</t>
  </si>
  <si>
    <t>Raise A Memorandum Or email  To Recommend  Decomission Of Hardware And Software Technologies In Line With Findings And Policy (ATM &amp; Hardware Support Officer, Lead ATM &amp; Hardware Support Officer)</t>
  </si>
  <si>
    <t>Send Recomendation For Review  ( Lead ATM &amp; Hardware Support Officer)</t>
  </si>
  <si>
    <t>Analyse Requirement and Comment For Group Head Of ICT Approval (Senior Manager Infrastructure And Systems Support)</t>
  </si>
  <si>
    <t xml:space="preserve"> Anaylses Requirement and  Approves Requirement  (Group Head Of ICT)</t>
  </si>
  <si>
    <t>Receive Approved Instruction  And Send It To  Stores Department (Lead ATM &amp; Hardware Support Office)</t>
  </si>
  <si>
    <t>Place Asset For Disposal  (Stores)</t>
  </si>
  <si>
    <t>User And  Application Support</t>
  </si>
  <si>
    <t>Receive Help Desk Query Through iSupport (ATM &amp; Hardware Support Officer, Lead ATM &amp; Hardware Support Officer)</t>
  </si>
  <si>
    <t>Assess Query To Identify Problem (ATM &amp; Hardware Support Officer, Lead ATM &amp; Hardware Support Officer)</t>
  </si>
  <si>
    <t>Implement Solution If Available Or Escalate Where The Service Require To Be Outsourced (ATM &amp; Hardware Support Officer, Lead ATM &amp; Hardware Support Officer)</t>
  </si>
  <si>
    <t>Capture Internal  Requisition In D365 To Recommend Replacements Of Components  ( Lead ATM &amp; Hardware Support Officer)</t>
  </si>
  <si>
    <t>Review Internal Requisition In D365  ( Lead ATM &amp; Hardware Support Officer)</t>
  </si>
  <si>
    <t>Recommend  For Group Head Of ICT Approval In D365 (Senior Manager Infrastructure And Systems Support)</t>
  </si>
  <si>
    <t xml:space="preserve"> Approve Requirement  In D365  (Group Head Of ICT)</t>
  </si>
  <si>
    <t>Engage Service Providers To Assess The Requirements (Lead ATM &amp; Hardware Support Office)</t>
  </si>
  <si>
    <t>Receive Information On Which  Out Sourced Provider Will Attend To The Problem  (Lead ATM &amp; Hardware Support Office)</t>
  </si>
  <si>
    <t>Dispatch The Device To  The Approved Out Sourced Service Provider Through Assets  (ATM &amp; Hardware Support Officer, Lead ATM &amp; Hardware Support Officer)</t>
  </si>
  <si>
    <t>Receive Repaired Device , Test  And Acknowledge Service Delivery (ATM &amp; Hardware Support Officer, Lead ATM &amp; Hardware Support Officer)</t>
  </si>
  <si>
    <t>Payment Approval Sign-Off  In D365(Group Head Of ICT)</t>
  </si>
  <si>
    <t>Dispatch Device To User Through Stores ( Lead ATM &amp; Hardware Support Officer)</t>
  </si>
  <si>
    <t>ICT Audit Risk And Compliance User Monitoring</t>
  </si>
  <si>
    <t>Conduct Routine Inspections Of User Hardware And  Software To Assess Compliance And Identification Of Potential Risks (ATM &amp; Hardware Support Officer, Lead ATM &amp; Hardware Support Officer)</t>
  </si>
  <si>
    <t>Verify All softwares And Hardware Are Compliant With Licensing Requirements (ATM &amp; Hardware Support Officer, Lead ATM &amp; Hardware Support Officer)</t>
  </si>
  <si>
    <t>Document Findings In Line With Incident Requirements And Send For Approval Of Recommended Action (ATM &amp; Hardware Support Officer, Lead ATM )</t>
  </si>
  <si>
    <t>Check , Inspect Findings and Recommend To Group Head Of ICT (Network And Infrastructure Manager)</t>
  </si>
  <si>
    <t>Approve Recommendations  (Group Head Of ICT)</t>
  </si>
  <si>
    <t>Implement Security Measures And Updates In accordance To  Policy  (ATM &amp; Hardware Support Officer, Lead ATM &amp; Hardware Support Officer)</t>
  </si>
  <si>
    <t xml:space="preserve"> Project Management Office</t>
  </si>
  <si>
    <t>Coordinate scoping session of Business Case (PMO Manager)</t>
  </si>
  <si>
    <t>Coordinate Product scoping session (PMO Manager, Project Officers)</t>
  </si>
  <si>
    <t>Preparation of Project Charter (PMO Manager)</t>
  </si>
  <si>
    <t>Coordinate preparation of Business Requirement Document (BRD) (Project Officers,  PMO Manager)</t>
  </si>
  <si>
    <t>Prioritisation of Projects, Programs and Portfolio based on Criticality and Strategic Alignment (PMO Manager)</t>
  </si>
  <si>
    <t>Coordinate Project Implementation Committee Meeting (PIC) (PMO Manager)</t>
  </si>
  <si>
    <t>Coordinate Project Management Board Meeting (PMB) (PMO Manager)</t>
  </si>
  <si>
    <t>Holding Project KIck Off Meeting (Project Officers, PMO Manager)</t>
  </si>
  <si>
    <t>Handing over BRD to Technical Team to start work (Project Officers)</t>
  </si>
  <si>
    <t>Coordinate Project StandUp meetings / Daily Scrums (PMO Manager, Project Officer)</t>
  </si>
  <si>
    <t>Balancing resources for Projects, Programs and Portfolio (PMO Manager)</t>
  </si>
  <si>
    <t>Coordinate Update Meetings for PIC &amp; PMB (PMO Manager</t>
  </si>
  <si>
    <t>Preparation and Circulation of meetings (PMO Manager)</t>
  </si>
  <si>
    <t>Project Administration Duties (PMO Manager, Project Officers)</t>
  </si>
  <si>
    <t>Conduct Routine Project Reviews and making recommendations (PMO Manager)</t>
  </si>
  <si>
    <t>Continous Risk Assessment &amp; Maintanance of Risk Register (PMO Manager, Project Officer)</t>
  </si>
  <si>
    <t>Continous Stakeholder Engagement and Maintanance of Stakeholder Register (PMO Manager, Project Officer)</t>
  </si>
  <si>
    <t>Removing impediments that will affect Project Deliverables (PMO Manager, Project Officer)</t>
  </si>
  <si>
    <t>Oversee dependencies and interrelationships among Projects, Programs and Portfolios (PMO Manager, Project Officer)</t>
  </si>
  <si>
    <t>Management of Scope, Budget, Schedule and Quality for Projects, Programs and Portfolios (PMO Manager, Project Officer)</t>
  </si>
  <si>
    <t>Coordinate and Review Completeness of User Test Scripts and enforcing necessary approvals by Heads of Departments (PMO Manager, Project Officer)</t>
  </si>
  <si>
    <t>Oversee System Integration Testing (UAT)</t>
  </si>
  <si>
    <t>Oversee User Acceptance Testing (PMO Manager, Project Officer)</t>
  </si>
  <si>
    <t>Facilitating Change Management Processes (Trainings, Product Ownership, etc) (PMO Manager, Project Officer)</t>
  </si>
  <si>
    <t>Preparation of Executive Approval Report and recommending deployment to production (PMO Manager)</t>
  </si>
  <si>
    <t>Monitoring the deployment process (PMO Manager, Project Officer)</t>
  </si>
  <si>
    <t>Post Implementation Monitoring (PMO Manager, Project Officer)</t>
  </si>
  <si>
    <t>Project Closure Activities (Lessons learned Register, Facilitating Payment of Contractor, Release Resources) PMO Manager, Project Officer)</t>
  </si>
  <si>
    <t>Total Processes Executed (Number Of Projects)</t>
  </si>
  <si>
    <t>CASH DEPOSIT BY ECOCASH PARTNERS IN EXCHANGE OF E-VALUE</t>
  </si>
  <si>
    <t>Completes Agent And Deposit Details In Ecocash Log Book And Customer Appends Signature (Service Centre Consultant)</t>
  </si>
  <si>
    <t>Count and Verify Cash Received From Agent (Service Centre Consultant)</t>
  </si>
  <si>
    <t>Capture Deposit Transaction in CBS And Provide Customer With Receipt From Teller Printer (Service Centre Consultant)</t>
  </si>
  <si>
    <t>Transfer E-Value To Partner Using Branch Ecocash Mobile (Service Centre Consultant)</t>
  </si>
  <si>
    <t>Total Processes Executed (User Cerifications Conducted)</t>
  </si>
  <si>
    <t>CASH WITHDRAWAL BY ECOCASH PARTNER IN EXCHANGE OF E-VALUE</t>
  </si>
  <si>
    <t>Ecocash Partner (Agent) Processes Transfer Of Ecocash Float To Branch Wallet</t>
  </si>
  <si>
    <t>Confirm Receipt Of Float By Checking Branch Wallet Balance (Service Centre Consultant)</t>
  </si>
  <si>
    <t>Complete Agent And Withdrawal Details In Ecocash Log Book And Customer Appends Signature (Service Centre Consultant)</t>
  </si>
  <si>
    <t>Capture Cash Withdrawal Transaction In CBS And Provide Customer With Receipt From Teller Printer  (Service Centre Consultant)</t>
  </si>
  <si>
    <t>Count And Give Cash To Ecocash Partner (Service Centre Consultant)</t>
  </si>
  <si>
    <t>TRANSFER OF FLOAT BETWEEN BRANCHES</t>
  </si>
  <si>
    <t>Branches And CCD To Access Realtime Ecocash Float Balances</t>
  </si>
  <si>
    <t>Branch In Need Of Float Engages Branches With Excess Float (Service Centre Consultant)</t>
  </si>
  <si>
    <t>Float Remmitting Branch Captures Transfer In CBS (Service Centre Consultant)</t>
  </si>
  <si>
    <t>Transaction Authorized (Service Centre Supervisor or Branch Manager)</t>
  </si>
  <si>
    <t>Float Remmitting Branch Sends Float To Requesting Branch On Mobile (Service Centre Consultant)</t>
  </si>
  <si>
    <t>Verify Balance In CBS and Wallet Are Equal (Service Centre Consultant)</t>
  </si>
  <si>
    <t>Total Hours Saved For All Processes Per Employee</t>
  </si>
  <si>
    <t xml:space="preserve">Total FE Saved </t>
  </si>
  <si>
    <t>Procurement Process For OPEX Within Procurement Limit (General)</t>
  </si>
  <si>
    <t>Receive Internal Requisition (IR) Through D365 (Procurement Manager)</t>
  </si>
  <si>
    <t>Allocate Internal Requisitions To Procurement Officers In D365 (Procurement Manager)</t>
  </si>
  <si>
    <t>Prepare Request For Quotation Document And Upload In eGP (Procurement Officer)</t>
  </si>
  <si>
    <t>Capture Requisition Creation  In The eGP System (Procurement Officer)</t>
  </si>
  <si>
    <t>Approve Requisition Creation In The eGP System (Procurement Manager/Head Of Procurement)</t>
  </si>
  <si>
    <t>Create Tender In The eGP System (Procurement Officer)</t>
  </si>
  <si>
    <t>Approve Tender And Publish In The eGP System (Procurement Manager/Head Of Procurement)</t>
  </si>
  <si>
    <t>Attend To Queries From Suppliers (Procurement Officer)</t>
  </si>
  <si>
    <t>Open Tenders Submitted Through eGP (Procurement Officer,Procurement Manager)</t>
  </si>
  <si>
    <t>Download Quotations  And Save In The Computer (Procurement Officer)</t>
  </si>
  <si>
    <t>Check For Administrative Compliance (Procurement Officer)</t>
  </si>
  <si>
    <t>Prepare Comparative Schedule (Procurement Officer)</t>
  </si>
  <si>
    <t>Conduct Supplier Due Diligence For New Suppliers (Procurement Officer)</t>
  </si>
  <si>
    <t>Request For Additional Information Or Seek Clarification (Procurement Officer)</t>
  </si>
  <si>
    <t>Submit Authority Sought Memo In D365  To Purchase For Recommendation By Procurement Manager And Approval By Group Head Of Procurement (Procurement Officer)</t>
  </si>
  <si>
    <t>Approve Or Decline The Authority Sought Memo To Purchase In D365 (Procurement Manager And Group Head Of Procurement)</t>
  </si>
  <si>
    <t>Once Approved, Generate Purchase Order In D365  And System Will Send The Purchase Order To Supplier And Internal Departments (Procurement Officer)</t>
  </si>
  <si>
    <t>Follow Up With Customer To Make Sure The Goods Are Delivered within The Agreed Timeline (Procurement Officer)</t>
  </si>
  <si>
    <t>Total Processes Executed (Profiles Opened)</t>
  </si>
  <si>
    <t>Procurement Process For CAPEX And OPEX - RFQ</t>
  </si>
  <si>
    <t>Submit Authority Sought Memo To Purchase For Recommendation By Procurement Manager ;Approval By Group Head Of Procurement,Finance Director ,Managing Director And Group CEO Depending On Limit(Procurement Officer)</t>
  </si>
  <si>
    <t>Approve Or Decline The Authority Sought Memo To Purchase In D365 (Procurement Manager,Group Head Of Procurement,Finance Director ,Managing Director And Group CEO Depending On Limit(Procurement Officer)</t>
  </si>
  <si>
    <t>Send Purchase Order To The Supplier Through Email. Provide Stores Department And Finance Department With Physical Copy Of Purchase Order(Procurement Officer)</t>
  </si>
  <si>
    <t>Upon Delivery, Follow Up On Payment With Finance Department (Procurement Officer)</t>
  </si>
  <si>
    <t>After Payment, Confirm Receipt Of Funds From The Supplier (Procurement Officer)</t>
  </si>
  <si>
    <t>Total Processes Executed (Purchase Order)</t>
  </si>
  <si>
    <t>Procurement Process For CAPEX And OPEX - Competitive Bidding</t>
  </si>
  <si>
    <t>Conduct Market Analaysis On The Availability Of The Product,Price And Suppliers (Procurement Officer)</t>
  </si>
  <si>
    <t>Prepare Standard Bidding Document And Authority To Advertise (Procurement Officer)</t>
  </si>
  <si>
    <t>Approve Standard Bidding Document  And Authority To Advertise (Managing Director/Group CEO Depending On Limit Or Entities)</t>
  </si>
  <si>
    <t>Advertise In Government Gazette And Local Newspaper (Procurement Officer)</t>
  </si>
  <si>
    <t>Conduct Prebidding Meeting Where Applicable (Procurement Officer)</t>
  </si>
  <si>
    <t>Attend To Queries From Suppliers - Issue Addendums (Procurement Officer)</t>
  </si>
  <si>
    <t>Download BID Documents And Save In The Computer (Procurement Officer)</t>
  </si>
  <si>
    <t>Prepare Draft For Setting Up Evaluation Committee And Seek Approval From Managing Director/Group CEO (Procurement Officer)</t>
  </si>
  <si>
    <t>Group Head Of Procurement Recommends And Managing Director Approves Setting Up Evaluation Committee</t>
  </si>
  <si>
    <t>Pre-evaluation Of The BID Submission Docuements - Produce Draft Evaluation Report (Procurement Officer)</t>
  </si>
  <si>
    <t>Facilitate The Evaluation Committee Meeting And Present The Draft Evaluation Report (Procurement Officer/Procurement Manager/Group Head Of Compliance)</t>
  </si>
  <si>
    <t>Prepare Final Tender Evaluation Report After The Meeting And Circulate For Signatures (Procurement Officer)</t>
  </si>
  <si>
    <t xml:space="preserve">Evaluation Committee Members Approves The Report By Appending Their Signatures </t>
  </si>
  <si>
    <t>Prepare  PMU Tender Evaluation Report And  Submit To The Accounting Officer (Procurement Officer/Procurement Manager/Group Head Of Procurement)</t>
  </si>
  <si>
    <t>Approve PMU Tender Evaluation Report (Managing Director)</t>
  </si>
  <si>
    <t>Result Notification To All Participating Bidders (Procurement Officer)</t>
  </si>
  <si>
    <t>Draft Contract In Consultation With User,Contractor And Legal Department (Procurement Officer)</t>
  </si>
  <si>
    <t>Ensure The Winning Bidder Pays The Required Contract Administration Fee (Procurement Officer)</t>
  </si>
  <si>
    <t>Contract Signing  (Managing Director And Witnessed By Finance Director)</t>
  </si>
  <si>
    <t>Once Approved, Generate Purchase Order  In D365(Procurement Officer)</t>
  </si>
  <si>
    <t>Hand Over To The User For Implementation And Notify The Contractor  (Procurement Officer)</t>
  </si>
  <si>
    <t>Follow Up With Customer To Make Sure The Goods/Services Are Delivered within The Agreed Timeline (Procurement Officer)</t>
  </si>
  <si>
    <t>Procurement Process For Request For Proposal (RFP)</t>
  </si>
  <si>
    <t xml:space="preserve">Procurement Process For  Direct Procurement </t>
  </si>
  <si>
    <t>Prepare Standard Bidding Document  (Procurement Officer)</t>
  </si>
  <si>
    <t>Print Downloaded BID Documents (Procurement Officer)</t>
  </si>
  <si>
    <t>Prepare Draft For Setting Up Evaluation Committee And Seek Approval From Managing Director/Group CEO - Depending On Pricing(Procurement Officer)</t>
  </si>
  <si>
    <t xml:space="preserve">Group Head Of Procurement Recommends And Managing Director Approves Setting Up Evaluation Committee </t>
  </si>
  <si>
    <t>Pre-evaluation Of The BID Submission Documents - Produce Draft Evaluation Report (Procurement Officer)</t>
  </si>
  <si>
    <t>Facilitate The Evaluation Committee Meeting (Technical And Financials -Meetings Conducted Seperately)  And Present The Draft Evaluation Report (Procurement Officer/Procurement Manager/Group Head Of Compliance)</t>
  </si>
  <si>
    <t>Prepare Final Tender Evaluation Report  (Technical And Financial) After The Meeting And Curculate For Signatures (Procurement Officer)</t>
  </si>
  <si>
    <t>Award Notification To The Bidder (Procurement Officer)</t>
  </si>
  <si>
    <t>Once Approved, Generate Purchase Order In D365(Procurement Officer)</t>
  </si>
  <si>
    <t>Procurement Process For Framework Agreement</t>
  </si>
  <si>
    <t>Prepare Final Tender Evaluation Report After The Meeting And Curculate For Signatures (Procurement Officer)</t>
  </si>
  <si>
    <t>Prepare Draft  SPOC Review Documents And Shortlisting (Procurement Officer)</t>
  </si>
  <si>
    <t>Review  And Recommend SPOC Documents ( Procurement Manager And Group Head Of Procurement)</t>
  </si>
  <si>
    <t>Approve SPOC Documents (Managing Director)</t>
  </si>
  <si>
    <t>Submit SPOC Documents To PRAZ For Review</t>
  </si>
  <si>
    <t>Procurement Planning And Application For Procurement Licence</t>
  </si>
  <si>
    <t>Receive User Requirements (Procurement Manager)</t>
  </si>
  <si>
    <t>Conduct Market Analysis (Procurement Officer)</t>
  </si>
  <si>
    <t>Prepare The Procurement Plan Using Provided Template (Procurement Officer And Procurement Manager)</t>
  </si>
  <si>
    <t>Review Procurement Plan And Submit To Managing Director (Group Head Of Procurement)</t>
  </si>
  <si>
    <t>Managing Director Submits To The Board For Approval (Managing Director)</t>
  </si>
  <si>
    <t>Submit Approved Procurement Plan To PRAZ Through eGP System (Group Head Of Procurement)</t>
  </si>
  <si>
    <t>Total Processes Executed (Purchase Order) This is done once per year</t>
  </si>
  <si>
    <t>Procurement Outside eGP System (Exemptions)</t>
  </si>
  <si>
    <t>Prepare Request For Quotation Document (Procurement Officer)</t>
  </si>
  <si>
    <t>Send Request For Quotation Through Email To Selected Suppliers (Procurement Officer)</t>
  </si>
  <si>
    <t>Opening Of Quotations In The Presence Of Internal Auditors (Procurement Officer)</t>
  </si>
  <si>
    <t>Print Downloaded Quotations (Procurement Officer)</t>
  </si>
  <si>
    <t>Prepare,Submit Authority Sought Memo To Purchase For Recommendation By Procurement Manager And Approval By Group Head Of Procurement (Procurement Officer)</t>
  </si>
  <si>
    <t>Approve Or Decline The Authority Sought Memo To Purchase (Procurement Manager And Group Head Of Procurement)</t>
  </si>
  <si>
    <t>Once Approved, System Generates Purchase Order In D365 (Procurement Officer)</t>
  </si>
  <si>
    <t>ACCOUNT OPENING INDIVIDUAL  - IDENTIFICATION OF CLIENTS</t>
  </si>
  <si>
    <t>ACCOUNT OPENING INDIVIDUAL  NON-INVITATION PVT BANKING</t>
  </si>
  <si>
    <t>Account Opening -Invitation Pvt Banking</t>
  </si>
  <si>
    <t>Identify Qualifying Customers (Centre Manager, Private Banker, Relationship Officer)</t>
  </si>
  <si>
    <t>For Existing Client Or KYC Is Available Perform Screening For Individual (Service Center Consultant)</t>
  </si>
  <si>
    <t>Seek The Necessary Approval If There Is A Trace On Client (Service Centre Consultant)</t>
  </si>
  <si>
    <t>Prepare Motivation And Seek Approval On Flexidoc System  (Centre Manager, Private Banker, Relationship Officer)</t>
  </si>
  <si>
    <t>Invitation Approved On Flexidoc System (Head Of Retail -&gt; Executive Director - Banking -&gt; Managing Director)</t>
  </si>
  <si>
    <t>Engage Client To Set Up Appointment (Centre Manager,Private Banker, Relationship Officer)</t>
  </si>
  <si>
    <t>Email\Deliver Invitation Letter To Client (Centre Manager, Private Banker, Relationship Officer)</t>
  </si>
  <si>
    <t>Onboarding Process</t>
  </si>
  <si>
    <t>PERSONALIZED LOCAL CARD ISSUANCE- PVT BANKING</t>
  </si>
  <si>
    <t>Once Account Is Opened Personalize Clients Card (Service Centre Consultant)</t>
  </si>
  <si>
    <t>PERSONALIZED VISA CARD ISSUANCE- PVT BANKING</t>
  </si>
  <si>
    <t>After Receiving Request For A Visa Card, Proceed To Personalize Clients Card (Service Centre Consultant)</t>
  </si>
  <si>
    <t>Total Processes Executed (Number of Issued Cards)</t>
  </si>
  <si>
    <t xml:space="preserve"> OTHER BRANCH - CARD PERSONALIZATION</t>
  </si>
  <si>
    <t>Should Be Done Centrally At Card Centre</t>
  </si>
  <si>
    <t>Loan Origination Consumer Unsecured Retail - PVT Banking - Pre Approved Limits</t>
  </si>
  <si>
    <t>Customers To Submit Applications For Loans And ODs Through Digital Platform Or Self Service Portal (Alone or Assisted By Service Centre Consultant)</t>
  </si>
  <si>
    <t>System Should Be Able To Recognise Private Banking Customers. Loans Or ODs Below Pre-Approved Limits For Private Banking Application Should Approved Immediately</t>
  </si>
  <si>
    <t>LOAN ORIGINATION CONSUMER UNSECURED RETAIL - PVT BANKING - Above Limits</t>
  </si>
  <si>
    <t>System To Send Notification Of Application To Private Banking Branch And Virtual Centre</t>
  </si>
  <si>
    <t>System Should Be Able To Recognise Private Banking Customers And Prioritize The Application</t>
  </si>
  <si>
    <t>After Approval System To Disburses The Loan (Based On Limits)</t>
  </si>
  <si>
    <t>ACCOUNT OPENING- Proffessional Bodies - Private Banking</t>
  </si>
  <si>
    <t>Records Management - Filing Active</t>
  </si>
  <si>
    <t>Branch And Departments To Upload Documents To Flexidoc Or Relevant DMS. System To Automatically Classify And Archive Documents</t>
  </si>
  <si>
    <t>For Documents With Physical Copies, Receive Document From Relevant Department Upon Production Or Within Agreed  Period e.g. Finance And Treasury -&gt; 3 Months, Branches -&gt; 1 Year (Registry Supervisor)</t>
  </si>
  <si>
    <t>Classify Document And Put Reference On The Document That Indicates Where The Document Is To Be Filed And Handover To Registry Clerk (Registy Supervisor)</t>
  </si>
  <si>
    <t>Receive And Place The Document In The Relevant File (Registry Clerk)</t>
  </si>
  <si>
    <t>Total  Processes Executed Per Month (Files)</t>
  </si>
  <si>
    <t>Records Management - Filing Semi-Active &amp; Non-Active</t>
  </si>
  <si>
    <t>For Destruction , Record The Documents On The Document Destruction Sheet In Flexidoc (Registry Clerk)</t>
  </si>
  <si>
    <t>Inspect And Sign The Document Destruction Sheet In Flexidoc (Registry Supervisor)</t>
  </si>
  <si>
    <t>The Relevant Department Or Branch Will Receive An Alert  From The System, informing Them About The Destruction</t>
  </si>
  <si>
    <t>Generate Memo To Audit Inviting Them To Come And Inspect And Certify The Destruction (Registry Supervisor)</t>
  </si>
  <si>
    <t>After Audit Certification, Accompany Documents To The Destruction Service Provider To Witness The Destruction (Registry Clerk)</t>
  </si>
  <si>
    <t>File The Document Destruction Sheets In The Flexidoc (Registry Clerk)</t>
  </si>
  <si>
    <t>Retrieval Of Current And Non-Current Files Or Documents</t>
  </si>
  <si>
    <t>Users Should Retrieve Documents From Flexidoc Or Document Management System Using View Only Option Upon Being Granted Access By Registry Department</t>
  </si>
  <si>
    <t>Any Need For Printing Should Be Done By Registry Department For Head Office</t>
  </si>
  <si>
    <t>As For Branches, Request Should Be Channeled To Registry Department For Printing Office</t>
  </si>
  <si>
    <t>Total Time for the Process (Minutes) Per Document</t>
  </si>
  <si>
    <t xml:space="preserve">Acquisition, Allocation And Administration Of Mobile FCT ( Fixed Cellular Terminal) Lines </t>
  </si>
  <si>
    <t xml:space="preserve">Branches To Submit Request For FCT Lines And HandsetsThrough D365. FCT Line Request Will Be Directed To Registry And Handset Request Will Be Allocated To Procurement For Processing In The System. </t>
  </si>
  <si>
    <t>Submit Request To Acquire FCT Line To Management For Approval (Registry Supervisor)</t>
  </si>
  <si>
    <t>Upon Approval By Administration Manager And Group Head Of Corporate Services, Assign Registry Clerk To Request For  Line From Mobile Network Operator. (Registry Clerk, Registry Supervisor)</t>
  </si>
  <si>
    <t>On Receipt Of Line, Record And Dispatch Line To Branch (Registry Clerk)</t>
  </si>
  <si>
    <t>Upon Purchase Of FCT Handset, Dispatch To Branch (Registry Clerk)</t>
  </si>
  <si>
    <t xml:space="preserve">Total Time for the Process (Minutes) </t>
  </si>
  <si>
    <t>Total  Processes Executed Per Month (Line Replacement)</t>
  </si>
  <si>
    <t>Acquisition, Allocation And Administration Of Job Related Or Contractual Mobile Network  Line And Airtime Allocation</t>
  </si>
  <si>
    <t>Receive Properly Approved  Request  From Departments For  Mobile Lines And Airtime Allocation Through In Flexidoc/D365   (Registry Supervisor)</t>
  </si>
  <si>
    <t>Prepare  Request And Submit For Approval To  Administration Manager And Group Head Of Corporate Services In Flexidoc/D365 (Registry Supervisor)</t>
  </si>
  <si>
    <t>Upon Approval By Administration Manager And Group Head Of Corporate Services, Assign Registry Clerk To Request For  Line From Mobile Network Operator.  (For Netone Specify The Approved Airtime Allocation To Cap On The Line) (Registry Clerk, Registry Supervisor)</t>
  </si>
  <si>
    <t>On Receipt Of eSim , Forward To The User On Email/Flexidoc  (Registry Clerk)</t>
  </si>
  <si>
    <t>Acquisition, Allocation And Administration Of Telemetry (POS) Data Lines</t>
  </si>
  <si>
    <t>Receive Approved  Request  From Departments For  Telemetry Lines Through In Flexidoc/D365   (Registry Supervisor)</t>
  </si>
  <si>
    <t>Upon Approval By Administration Manager And Group Head Of Corporate Services, Assign Registry Clerk To Request For  Telemetry Lines From Mobile Network Operator.  (Registry Clerk, Registry Supervisor)</t>
  </si>
  <si>
    <t>On Receipt Of Telemetry Lines From Mobile Network Operator , Record In The System And Handover To Merchant Services Department  (Registry Clerk)</t>
  </si>
  <si>
    <t>Administration Of Mobile Service Invoices And Recovery Of Funds For Excess Usage By Staff</t>
  </si>
  <si>
    <t>Staff Should Be Allocated Cellphone Allowance Through Payroll System</t>
  </si>
  <si>
    <t>As For Telemetry Lines Receive Invoice From Mobile Network Operator  And Upload In Flexidoc For Approval (Registry Clerk)</t>
  </si>
  <si>
    <t>Merchant Services Department Verifies ,Validate And Sign The Invoice In Flexidoc</t>
  </si>
  <si>
    <t>Registry  Checks, Countersigns And Submits  Invoice To The Administration Manager In Flexidoc (Registry Supervisor)</t>
  </si>
  <si>
    <t>Admin Manager Checks, Countersigns And Submits The Invoice To The Group Head For Corporate Services  In Flexidoc (Admin Manager)</t>
  </si>
  <si>
    <t>Group Head Checks And Approves The Invoice In Flexidoc (Group Head For Corporate Services)</t>
  </si>
  <si>
    <t>Submit Invoice To Finance For Payment Through D365(Registry Clerk)</t>
  </si>
  <si>
    <t>Upon Payment, Request For POP From Treasury And Forward To Service Providers (Registry Clerk)</t>
  </si>
  <si>
    <t>Mailing (Handling Of Mail) - Interbranch Incoming And Outgoing</t>
  </si>
  <si>
    <t>Collect All Printers From Offices And Set Up One Printer For The Whole Floor. The Printer Will Be Accessed Using A PIN To Discourage Printing Personal Documents.</t>
  </si>
  <si>
    <t xml:space="preserve">Decentralise Purchasing Of Stationery (Bond Paper, Cartridges) </t>
  </si>
  <si>
    <t>Other Correspondents, Should Forwarded Through Document Management System And Email</t>
  </si>
  <si>
    <t>For The Few Remaining Documents ,Follow The Current Process</t>
  </si>
  <si>
    <t>For Outgoing, Collect Mail From Departments (Messenger)</t>
  </si>
  <si>
    <t>Slot Mail In Registry Pigeon Hole (Messenger)</t>
  </si>
  <si>
    <t>Pull Out Mail From Pigeon Hole (Registry Clerk)</t>
  </si>
  <si>
    <t>Sort The Mail (Registry Clerk)</t>
  </si>
  <si>
    <t>Pack The Mail In Courier Packs (Registry Clerk)</t>
  </si>
  <si>
    <t>Prepare Consignment Note For The Mail (Registry Clerk)</t>
  </si>
  <si>
    <t>Handover The Packs To Courier - UNIFREIGHT And FEDEX (Registry Clerk)</t>
  </si>
  <si>
    <t>For Incoming , Receive Mail From Courier And Sign  (Registry Clerk)</t>
  </si>
  <si>
    <t>Open The Mail Bag And Record The Contents In The Incoming Mail Register (Registry Clerk)</t>
  </si>
  <si>
    <t>Sort The Mail Into Respective Departments Pigeon Hole (Registry Clerk)</t>
  </si>
  <si>
    <t>Collect And Deliver The Mail To Respective Department (Messenger)</t>
  </si>
  <si>
    <t>Switchboard Services Incoming And Outgoing Calls</t>
  </si>
  <si>
    <t xml:space="preserve">Upgrade The Current System To VOIP. </t>
  </si>
  <si>
    <t>Total Time for the Process (Minutes) - Handle One Call</t>
  </si>
  <si>
    <t>Fixed Telephone Line Services (Telone) And Recovery Of Funds For Excesses</t>
  </si>
  <si>
    <t>Total Time for the Process (Minutes) -</t>
  </si>
  <si>
    <t>Messenger Services (Kitchen Administration,Photocopying And Binding)</t>
  </si>
  <si>
    <t>Buy Coffee Makers. Secretaries Should Prepare Tea/Coffee For Their Bosses</t>
  </si>
  <si>
    <t>Open And Clean Kitchen (Messenger)</t>
  </si>
  <si>
    <t>Total Time for the Process (Minutes) - Daily Duty</t>
  </si>
  <si>
    <t>Receiving An Asset -  Stores And Assets Department</t>
  </si>
  <si>
    <t>Access Or View  The Purchase Order In D365 (Stores Supervisor)</t>
  </si>
  <si>
    <t>Receive Asset Accompanied By Invoice Or Delivery Note (Assets Clerk)</t>
  </si>
  <si>
    <t>Verify That The Delivery Matches The Description, Quantity On The Purchase Order (Assets Clerk)</t>
  </si>
  <si>
    <t>Stores Supervisor Inspect And Accept The Delivered Asset</t>
  </si>
  <si>
    <t>Request Relevant Department To Perfom Quality Check On The Delivered Asset Before Signing Delivery Note e.g. Computer Equipment -&gt; ICT Department (Assets Clerk)</t>
  </si>
  <si>
    <t>If Delivery Is Not Matching The Description,  Quantity Or Quality Return Goods To Supplier And Advise Procurement Through Email  (Asset Clerk)</t>
  </si>
  <si>
    <t>Prepare A Goods Returned Voucher In Voucher Book  Which Is Signed By Supplier And Assets Clerk In The Event That The Asset Does Not Meet Requirement (Assets Clerk)</t>
  </si>
  <si>
    <t>If Asset Meets The Requirements The User Department And Assets Clerk Sign Delivery Note (Assets Clerk)</t>
  </si>
  <si>
    <t>Receive Signed Delivery Note And Invoice For Payment Processes (Assets Clerk)</t>
  </si>
  <si>
    <t>If The Invoice Amount Does Not Match The Purchase Order Amount Return The Invoice To The Supplier And Advise Procurement Through Email (Assets Clerk)</t>
  </si>
  <si>
    <t>Prepare Goods Received Voucher (Assets Clerk)</t>
  </si>
  <si>
    <t>Approve Goods Received Voucher (Stores Supervisor)</t>
  </si>
  <si>
    <t>Upload Goods Received Voucher And Invoice  In D365  For Payment Processing, Updating Asset Register And Asset Code Generation  (Assets Clerk)</t>
  </si>
  <si>
    <t>Recieve Asset Number Generated Sequentially From The SUN System From Finance And Tag The Asset (Assets Clerk)</t>
  </si>
  <si>
    <t>Safeguard The Asset Awaiting Dispatch To Branches Or Collection By User (Assets Clerk)</t>
  </si>
  <si>
    <t>Advise The User On The Asset Received Though Email Or Phone Call (Assets Clerk)</t>
  </si>
  <si>
    <t>User Should Acknowledge Receipt Of The Asset In The System</t>
  </si>
  <si>
    <t>Prepare Consignment Note With Unique Reference Number In Duplicate For The Relevant Courier Company With Delivery Location And Name Of Recepient (Assets Clerk)</t>
  </si>
  <si>
    <t>Prepare Asset Clearance Voucher (Assets Clerk)</t>
  </si>
  <si>
    <t>Package The Asset For Delivery To The Branch User And Attach Consigment Note On The Packaging (Assets Clerk)</t>
  </si>
  <si>
    <t>Handover The Asset To Courier Representative  (Stores Clerk)</t>
  </si>
  <si>
    <t>Total Time for the Process (Minutes) - Receiving Asset Without Any Issue</t>
  </si>
  <si>
    <t>Motor Vehicle Maintenance Service (Under Warranty)</t>
  </si>
  <si>
    <t>View Internal Requisition From The User In D365  (Transport Officer)</t>
  </si>
  <si>
    <t>Verify , Validate And Approve  The Internal Requisition In D365 (Transport Officer)</t>
  </si>
  <si>
    <t>Approve Internal Requisition In D365 (Administration Manager And Group Head Of Corporate Services)</t>
  </si>
  <si>
    <t>Prepare A Purchase Order In D365 (Transport Officer)</t>
  </si>
  <si>
    <t>Review Purchase Order And Approve In D365 (Administration Manager)</t>
  </si>
  <si>
    <t>Book The Car For Service And Receive The Date From The Service Provider (Transport Officer)</t>
  </si>
  <si>
    <t>Advise The User To Take The Car For Service To The Garage (Transport Officer)</t>
  </si>
  <si>
    <t>After Completion Of Service, Check and Test The Car (Transport Officer)</t>
  </si>
  <si>
    <t>Sign Delivery Note (Transport Officer)</t>
  </si>
  <si>
    <t>If Everything Ok, Hand It Over To The User Or Respective Department. If There Are Any Issues, Return The Car To The Service Provider To Attend To The Issues (Transport Officer)</t>
  </si>
  <si>
    <t>Receive Invoice,Tax Clearance And Delivery Note (Transport Officer)</t>
  </si>
  <si>
    <t>Validate The Invoice Against Purchase Order To Confirm Work Done And Upload In D365 (Transport Officer)</t>
  </si>
  <si>
    <t>Administration Manager  Approves The Invoice For Payment In D365</t>
  </si>
  <si>
    <t>Total  Processes Executed Per Month (Car Services Per Month)</t>
  </si>
  <si>
    <t>Motor Vehicle Maintenance Service (No Warranty)</t>
  </si>
  <si>
    <t>View And Download Purchase Purchase Order In D365 (Transport Officer)</t>
  </si>
  <si>
    <t>Validate The Invoice Against Purchase Order To Confirm Work Done And Upload In D365  (Transport Officer)</t>
  </si>
  <si>
    <t>Administration Manager And Group Head Of Corporate Service Approves The Invoice For Payment In D365</t>
  </si>
  <si>
    <t>Motor Vehicle : Accidents</t>
  </si>
  <si>
    <t>Receive Report From The User About The Accident (Transport Officer)</t>
  </si>
  <si>
    <t>If It Is A Local Accident, Call Police To Attend To The Scene. For Outside Harare, Advise User To Call The Police And Line Management  (Transport Officer)</t>
  </si>
  <si>
    <t>Prepare Report For The Administration Manager (Transport Officer)</t>
  </si>
  <si>
    <t>Collect The Car Or Call Breakdown Vehicle If The Car Is Not In A Driving Condition (Transport Officer)</t>
  </si>
  <si>
    <t>Request User To Submit Police Report And His/Her Report Explaining The Circumstance Of The Accident (Transport Officer)</t>
  </si>
  <si>
    <t>Notify The Insurers About The Accident (Transport Officer)</t>
  </si>
  <si>
    <t>Invite Service Providers Already Approved By Our Insurance Company (Transport Officer)</t>
  </si>
  <si>
    <t>After Receiving Quotations, Submit To Our Insurers Together With The Claim Form  And Police Report (Transport Officer)</t>
  </si>
  <si>
    <t>Receive Repair Authorisation Letter From Insurer (Transport Officer)</t>
  </si>
  <si>
    <t>Book The Car For Repairs And Receive The Date From The Service Provider (Transport Officer)</t>
  </si>
  <si>
    <t>After Completion Of Repairs, Check and Test The Car (Transport Officer)</t>
  </si>
  <si>
    <t>Sign Satisfactory Note Or Confirmation Note  (Transport Officer)</t>
  </si>
  <si>
    <t>Receive Excess  Invoice,Tax Clearance And Delivery Note From Service Provider (Transport Officer)</t>
  </si>
  <si>
    <t>Validate The Invoice Against Authorisation Letter To Confirm Work Done And Sign (Transport Officer)</t>
  </si>
  <si>
    <t>Administration Manager And Group Head Of Corporate Service Approves The Invoice For Payment</t>
  </si>
  <si>
    <t>Submit The Invoice,Tax Clearance And Purchase Order To Finance For Processing (Transport Officer)</t>
  </si>
  <si>
    <t>Receive Proof Of Payment From Finance And Forward To Service Provider (Transport Officer</t>
  </si>
  <si>
    <t>Outsourcing Of Taxi Service</t>
  </si>
  <si>
    <t>Request Procurement To Engage Service Providers (Transport Officer And Administration Manager)</t>
  </si>
  <si>
    <t>Inspect Short Listed Service Providers (Operators License,Passenger Insurance,Motor Vehicle Fitness, Defensive License For the Drivers) - Transport Officer</t>
  </si>
  <si>
    <t>Recommend Qualifying Service Providers To Procurement (Transport Officer)</t>
  </si>
  <si>
    <t>Ensure That Departments Have Valid Taxi  Voucher Books And Contact Details Of Selected Service Providers (Transport Officer)</t>
  </si>
  <si>
    <t>Receive Vouchers Together With The Taxi Invoice From The Service Provider (Transport Officer)</t>
  </si>
  <si>
    <t>Verify And Validate The Vouchers (Name Of Employee,Distance,Authorising Signature And Date) - Transport Officer</t>
  </si>
  <si>
    <t>Verify, Validate And Sign The Invoice (Transport Officer)</t>
  </si>
  <si>
    <t>Submit Invoice To Administration Manager And Group Head Of Corporate Services</t>
  </si>
  <si>
    <t>Approve Invoice (Administration Manager And Group Head Of Corporate Services)</t>
  </si>
  <si>
    <t>Submit Invoice To Finance For Processing (Transport Officer)</t>
  </si>
  <si>
    <t>Total Time for the Process (Minutes)  - Excluding Procurement Activities</t>
  </si>
  <si>
    <t>Total  Processes Executed Per Month ( Hire Per Month  Per Month)</t>
  </si>
  <si>
    <t xml:space="preserve">Attending To Break Downs </t>
  </si>
  <si>
    <t>Receive Report From The User About The Breakdown (Transport Officer)</t>
  </si>
  <si>
    <t>If It Is A Local Breakdown, Attend To The Scene. For Outside Harare, Advise User To Call The Approved Service Provider And Line Management  (Transport Officer)</t>
  </si>
  <si>
    <t>Collect The Car Or Call Breakdown Tow Vehicle If The Car Is Not In A Driving Condition (Transport Officer)</t>
  </si>
  <si>
    <t>Inspect The Defects On The Call (Transport Officer)</t>
  </si>
  <si>
    <t>Prepare Internal Requisition In D365 (Transport Officer)</t>
  </si>
  <si>
    <t>Administration Manager And Group Head Of Corporate Service Approves The Internal Requisition In D365</t>
  </si>
  <si>
    <t>Submit Requisition To Procurement For Processing (Transport Officer)</t>
  </si>
  <si>
    <t>View  Order In D365,Download  And Forward To Service Provider (Transport Officer)</t>
  </si>
  <si>
    <t>Deliver The Car For Repairs To The Service Provider (Transport Officer)</t>
  </si>
  <si>
    <t>Receive Invoice,Tax Clearance And Delivery Note From Service Provider (Transport Officer)</t>
  </si>
  <si>
    <t>Validate The Invoice Against Purchase Order To Confirm Work Done And Approve In D365 (Transport Officer)</t>
  </si>
  <si>
    <t>Total  Processes Executed Per Month ( Breakdown  Per Month )</t>
  </si>
  <si>
    <t>Maintain Bank Buildings - Small Projects</t>
  </si>
  <si>
    <t>Inspect Bank Buildings Annually Using Checklist (Facilities Officer)</t>
  </si>
  <si>
    <t>Prepare A Report After Inspection And Recommend What Needs To Be Repaired (Facilities Officer)</t>
  </si>
  <si>
    <t xml:space="preserve">Administration Manager And Group Head Of Corporate Services Approves The Report </t>
  </si>
  <si>
    <t>Upon Approval If The Repair Is Urgent, Request The User To Submit Internal Requisition (Facilities Officer)</t>
  </si>
  <si>
    <t>Receive Internal Requisition Through D365,Provide Specification Including Indicating If There Is Need For Site Meeting  And Submit To Line Management For Approval.  (Facilities Officer)</t>
  </si>
  <si>
    <t>Administration Manager And Group Head Of Corporate Services Approves The Internal Requisition In D365</t>
  </si>
  <si>
    <t>Receive Purchase Order From Procurement In D365 And Submit To Service Provider (Facilities Officer)</t>
  </si>
  <si>
    <t>Engage The Service Provider To Commence The Works And Supervise Until Completion (Facilities Officer)</t>
  </si>
  <si>
    <t>Prepare Practical Completion Certificate And Request The Service Provider To Sign (Facilities Officer)</t>
  </si>
  <si>
    <t>Receive Fiscal Invoice And Tax Clearance From Service Provider (Facilities Officer)</t>
  </si>
  <si>
    <t>Verify And Validate The Invoice Against The Purchase Order . Upload  The Invoice And Practical Completion Certificate  In D365 (Facilities Officer)</t>
  </si>
  <si>
    <t>Administration Manager And Group Head Of Corporate Services Approves Invoice For Payment In D365</t>
  </si>
  <si>
    <t>Civil Building Work  (Without A Consultant)</t>
  </si>
  <si>
    <t>Receive Internal Requisition From Relevant Department In D365 (Facilities Officer)</t>
  </si>
  <si>
    <t xml:space="preserve">Carryout Site Visit And Take Measurements Where Necessary (Facilities Officer) </t>
  </si>
  <si>
    <t>Prepare The Architectural Drawings And Specifications (Facilities Officer)</t>
  </si>
  <si>
    <t>Submit The Architectural Drawings and Specifications to Administration Manager And Group Head Of Corporate Services (Facilities Officer)</t>
  </si>
  <si>
    <t>Upon Approval, Submit Architectural Drawings And Specifications To Procurement For Tendering (Facilities Officer)</t>
  </si>
  <si>
    <t>Carryout Site Meeting Together With Procurement (Facilities Officer)</t>
  </si>
  <si>
    <t>Assist With  The Evaluation Of Bids (Facilities Officer)</t>
  </si>
  <si>
    <t>View Purchase Order Or Contract  From Procurement In D365 And Liase With The Service Provider For Site Handover (Facilities Officer)</t>
  </si>
  <si>
    <t>Supervise The Contractor Until Completion And Prepare Progress Reports For Management (Facilities Officer)</t>
  </si>
  <si>
    <t>Verify And Validate The Invoice Against The Purchase Order And Upload  The Fiscal Invoice,Tax Clearance,Purchase Order And Practical Completion Certificate  In D365</t>
  </si>
  <si>
    <t>If The Project Has Default Liability Period, Carryout Final Inspection And Liase With The Contractor To Rectify The Defects (Facilities Officer)</t>
  </si>
  <si>
    <t>Prepare Final Completion Certificate  And Facilitate Payment Of Retention (Facilities Officer)</t>
  </si>
  <si>
    <t>Major Capital Project  (With A Consultant)</t>
  </si>
  <si>
    <t>Receive Internal Requisition From Relevant Department In D365(Facilities Officer)</t>
  </si>
  <si>
    <t>Prepare A design Brief For The Consultant (Facilities Officer)</t>
  </si>
  <si>
    <t xml:space="preserve">Carryout Site Visit With The Consultant  And Take Measurements Where Necessary (Facilities Officer) </t>
  </si>
  <si>
    <t>Analyse The Architectural Drawaing ,3D Designs And Bill Of Quantities (Facilities Officer)</t>
  </si>
  <si>
    <t>Submit The Architectural Drawings,3D Designs and Bill Of Quantities to Administration Manager And Group Head Of Corporate Services (Facilities Officer)</t>
  </si>
  <si>
    <t>Upon Approval, Submit Architectural Drawings,3D Designs and Bill Of Quantities To Procurement For Tendering (Facilities Officer)</t>
  </si>
  <si>
    <t>Carryout Site Meeting During The Tender Together With Procurement And Consultant (Facilities Officer)</t>
  </si>
  <si>
    <t>Receive Purchase Order Or Contract  From Procurement And Liase With The Service Provider For Site Handover (Facilities Officer)</t>
  </si>
  <si>
    <t>Supervise The  Contractor And Consultant  To Ensure The Project Conforms To The Bank's Specification  And Ensure Progress Reports Are Submitted (Facilities Officer)</t>
  </si>
  <si>
    <t>Ensure The Consultant Prepares Progress Payments Claims And Practical Completion Certificate Upon Completion (Facilities Officer)</t>
  </si>
  <si>
    <t xml:space="preserve">Verify And Validate The Invoice Against The Purchase Order. Upload The Invoice In D365 </t>
  </si>
  <si>
    <t>Ensure Consultant Prepares Final Completion Certificate  And Facilitate Payment Of Retention (Facilities Officer)</t>
  </si>
  <si>
    <t>Physical Asset Verification (Annual)</t>
  </si>
  <si>
    <t>Visit The Respective Office Or Branch (Asset Clerk)</t>
  </si>
  <si>
    <t>Log Into D365 System And Access The  Asset Register(Assets Clerk)</t>
  </si>
  <si>
    <t>Check Assets Under Each Work Station  And Update Custodian Information  In D365 (Asset Clerk)</t>
  </si>
  <si>
    <t>Re-Tag Assets With Missing Tags (Asset Clerk)</t>
  </si>
  <si>
    <t>Inventory Under Each  Individual Work Station Is Recorded In System  (Asset Clerk)</t>
  </si>
  <si>
    <t>User To Acknowledge Assets Under His/Her Custodian Through The System (Assets Clerk)</t>
  </si>
  <si>
    <t>Verify And Countersign In The System  (Stores Supervisor)</t>
  </si>
  <si>
    <t>System Will Flag Excess Assets (Assets Clerk)</t>
  </si>
  <si>
    <t xml:space="preserve">System Will Provide A Report Showing A lost Of Excess Assets </t>
  </si>
  <si>
    <t>Compile A Report For Physical Assset Verification ( Usable Assets And Excess Assets) . Recommend Assets For Disposal In Flexdoc - (Assets Clerk)</t>
  </si>
  <si>
    <t>Stores Supervisor Reviews The Report In Flexidoc</t>
  </si>
  <si>
    <t>Administration Manager  And Group Head Of Corporate Services Approves The Report  In Flexidoc</t>
  </si>
  <si>
    <t>Total  Processes Executed Per Month (Annual Physical Asset Verification)</t>
  </si>
  <si>
    <t>Asset Movement</t>
  </si>
  <si>
    <t>Capture Asset Movement In D365/System (Assets Clerk)</t>
  </si>
  <si>
    <t xml:space="preserve">Stores Supervisor Approves Asset Movement In D365 /System </t>
  </si>
  <si>
    <t>Prepare Asset Clearance Form (Assets Clerk)</t>
  </si>
  <si>
    <t>Update The Asset Register  To Reflect The Custodian  Change In D365 (Assets Clerk)</t>
  </si>
  <si>
    <t>Assist With The Movement Of The Asset (Assets Clerk)</t>
  </si>
  <si>
    <t>Total  Processes Executed Per Month (Asset Movement)</t>
  </si>
  <si>
    <t>Administration Of Rented Assets (Q-Rent)</t>
  </si>
  <si>
    <t>Discontinue Hiring Of Laptops And Computers.</t>
  </si>
  <si>
    <t>Total  Processes Executed Per Month (Rented Machines )</t>
  </si>
  <si>
    <t>Administration Of Coupons And Reconciliation</t>
  </si>
  <si>
    <t>Issue Fuel Cards To Staff Members Who Receive Fuel Coupons</t>
  </si>
  <si>
    <t xml:space="preserve">Issue Fuel Cards To Departments For Business Trips </t>
  </si>
  <si>
    <t>Implement Reconciliation System</t>
  </si>
  <si>
    <t xml:space="preserve">Total  Processes Executed Per Month (Issuing Coupons) </t>
  </si>
  <si>
    <t>Receiving Of Stationery Stock</t>
  </si>
  <si>
    <t>Capture  Requisition In D365 To Replinish Stocks When Stock Reach Minimum Oder Quantity  (Stores Clerk)</t>
  </si>
  <si>
    <t>Review And Sign Requisition In D365 (Stores Supervisor)</t>
  </si>
  <si>
    <t>Administration Manager And Group Head Of Corporate Services Approves The Requisition In D365</t>
  </si>
  <si>
    <t>View Purchase Order In D365 (Stores Clerk)</t>
  </si>
  <si>
    <t>Receive Stock Accompanied By Invoice Or Delivery Note (Stores Clerk)</t>
  </si>
  <si>
    <t>Verify That The Delivery Matches The Description, Quantity On The Purchase Order (Stores Clerk)</t>
  </si>
  <si>
    <t>Stores Supervisor Inspects The Delivered Stock</t>
  </si>
  <si>
    <t>If Delivery Is Not Matching The Description,  Quantity Or Quality Return Goods To Supplier And Advise Procurement Through Email  (Stores Clerk)</t>
  </si>
  <si>
    <t>Prepare A Goods Returned Voucher In Voucher Book  Which Is Signed By Supplier And Stores Clerk In The Event That The Stock Does Not Meet Requirement (Stores Clerk)</t>
  </si>
  <si>
    <t>If Stock Delivered  Meets The Requirements Stores  Clerk Signs Delivery Note (Stores Clerk)</t>
  </si>
  <si>
    <t>Receive Signed Delivery Note And Invoice For Payment Processes (Stores Clerk)</t>
  </si>
  <si>
    <t>If The Invoice Amount Does Not Match The Purchase Order Amount Return The Invoice To The Supplier And Advise Procurement Through Email (Stores Clerk)</t>
  </si>
  <si>
    <t>Prepare Goods Received Voucher (Stores Clerk)</t>
  </si>
  <si>
    <t>Upload Goods Received Voucher And Invoice In D365 (Stores Clerk)</t>
  </si>
  <si>
    <t>Capture Goods Received In D365 (Stores Clerk)</t>
  </si>
  <si>
    <t>Lock The Stock In The Warehouse Under Dual Custodianship (Stores Clerk And Supervisor)</t>
  </si>
  <si>
    <t xml:space="preserve">Total  Processes Executed Per Month (Stock Received) </t>
  </si>
  <si>
    <t>Issuing Of Stationery Stock To Users</t>
  </si>
  <si>
    <t>View Internal Requisition From Users In D365 (Stores Clerk)</t>
  </si>
  <si>
    <t>Verify And Validate The Internal Requisition In D365 (Stores Clerk)</t>
  </si>
  <si>
    <t>Issue Stock To The User (Stores Clerk)</t>
  </si>
  <si>
    <t>Prepare Stock Dispatch Sheet In D365 (Stores Clerk)</t>
  </si>
  <si>
    <t>Supervisor Approves The Stock Dispatch Sheet  In D365</t>
  </si>
  <si>
    <t>User Acknowledges Stock Received In D365 (Stores Clerk)</t>
  </si>
  <si>
    <t>If The User Is Not At Head Office Prepare Issue Voucher In D365  (Stores Clerk)</t>
  </si>
  <si>
    <t>Prepare Consignment Note With Unique Reference Number In Duplicate For The Relevant Courier Company With Delivery Location And Name Of Recepient (Stores Clerk)</t>
  </si>
  <si>
    <t>Package The Stock For Delivery To The Branch User And Attach Consigment Note On The Packaging (Stores Clerk)</t>
  </si>
  <si>
    <t>Handover The Stock To Courier Representative  (Stores Clerk)</t>
  </si>
  <si>
    <t xml:space="preserve">Total  Processes Executed Per Month (Stock Issued) </t>
  </si>
  <si>
    <t>Supervison Of  Security Companies  And Payment Processing (Outsourced)</t>
  </si>
  <si>
    <t>Conduct Daily Spot Checks On Security Guards Stationed At Head Office (Security Officer)</t>
  </si>
  <si>
    <t>Report Issues Identified During Spot Checks To The Outsourced Security Companies And Prepare Reports For Line Management (Security Officer)</t>
  </si>
  <si>
    <t>Visit The Security Companies From Time To Time To Discuss Pertinent Issues (Security Officer)</t>
  </si>
  <si>
    <t>Ensure The Outsourced Security Companies Adhere To Contractual Terms (Security Officer)</t>
  </si>
  <si>
    <t>Verify And Validate Invoices Received For Guarding Services And Submit To Line Management For Approval (Security Officer)</t>
  </si>
  <si>
    <t>Administration Manager  Checks And Group Head Of Corporate Services Recommends The Invoice For Payment</t>
  </si>
  <si>
    <t>Group Finance Director Approves The Invoice For Payment</t>
  </si>
  <si>
    <t xml:space="preserve">Total  Processes Executed Per Month (Supervision) </t>
  </si>
  <si>
    <t>Coordination Of Internal And External CIT</t>
  </si>
  <si>
    <t>Issue Seals To CCD And Branches (Security Officer And Security Assistant)</t>
  </si>
  <si>
    <t>Receive Request From CCD For CIT Services (Security Officer)</t>
  </si>
  <si>
    <t>For Internal CIT, Issue Fuel Coupons To Security Assistants And Firearms (Security Officer)</t>
  </si>
  <si>
    <t>Record Fuel Coupons Issued In Fuel Coupons Register And Firearms In The Weapons Register (Security Officer)</t>
  </si>
  <si>
    <t>Request Security Assistants To Acknowledge Receipt Of Coupons And Weapons By Signing In The Registers (Security Officer)</t>
  </si>
  <si>
    <t>Collect And Deliver Cash (Security Assistants)</t>
  </si>
  <si>
    <t>For External CIT,Liase With The Contact Person Confidentially To Provide CIT Service (Security Officer)</t>
  </si>
  <si>
    <t>Receive Confirmation Of Arrival From CCD Department (Security Officer)</t>
  </si>
  <si>
    <t>Receive Continous Updates On Cash Movements From Designated Contact Person (Security Officer)</t>
  </si>
  <si>
    <t>Total Time for the Process (Minutes)  - CIT Run</t>
  </si>
  <si>
    <t xml:space="preserve">Total  Processes Executed Per Month (CIT Runs) </t>
  </si>
  <si>
    <t>Administration Of Firearms</t>
  </si>
  <si>
    <t>Issue Firearms To Security Assistant On Trip By Trip Basis (Security Officer)</t>
  </si>
  <si>
    <t>Record Firearms In The Weapons  Register (Security Officer)</t>
  </si>
  <si>
    <t>Request Security Assistant To Acknowledge Receipt Of Firearm By Signing In The Registers (Security Officer)</t>
  </si>
  <si>
    <t>After Trip, Security Assistant Returns Firearm To Security Officer And Records In The Register</t>
  </si>
  <si>
    <t>Ensure Firearms Are Licensed (Security Officer)</t>
  </si>
  <si>
    <t>Engaging Prospective Tenants</t>
  </si>
  <si>
    <t>Receive Application Letter And Supporting Documents From Prospective Tenants (Estates Clerk)</t>
  </si>
  <si>
    <t>Prepare A Recommendation Memo To Administration Manager  And Upload On Flexidoc (Estates Clerk)</t>
  </si>
  <si>
    <t>Administration Manager Reviews The Recommendation Memo And Fowards To Group Head Of Corporate Services For Approval In Flexidoc</t>
  </si>
  <si>
    <t>Group Head Of Corporate Services Approves The Recommendation Memo In Flexidoc</t>
  </si>
  <si>
    <t>After Approval, Prepare Draft Lease Agreement In Consultantion With Legal Department And Submit To  Prospective Tenant (Estates Clerk)</t>
  </si>
  <si>
    <t>If Both Parties Are Agreeable To The Terms And Conditions, Both Parties Signs (Group Head Of Corporate Services)</t>
  </si>
  <si>
    <t>Capture Fiscal Invoice In The System Including Email Address. System To Send Invoice  To Client (Estates Clerk)</t>
  </si>
  <si>
    <t>Hand Over And Take Over (Estates Clerk)</t>
  </si>
  <si>
    <t xml:space="preserve">Total  Processes Executed Per Month </t>
  </si>
  <si>
    <t>Renewal Of Lease Agreement And Addendum</t>
  </si>
  <si>
    <t>Receive Alerts For Expired  Lease Agreements From The System (Estates Clerk)</t>
  </si>
  <si>
    <t>Prepare  Addendum For Lease Period Renewal  Or Price Review And Upload In Flexidoc  (Estates Clerk)</t>
  </si>
  <si>
    <t>Administration Manager Reviews The Addendum In Flexidoc</t>
  </si>
  <si>
    <t>Group Head Of Corporate Services Approves The Addendum In Flexidoc  And Signs</t>
  </si>
  <si>
    <t>Request Customer To Come And Countersign The Agreement Or Forward On Email (Estates Clerk)</t>
  </si>
  <si>
    <t>After Signing By Both Parties, File The Copy To Registry Department (Estates Clerk)</t>
  </si>
  <si>
    <t>Preparation Of Rental Invoices And  Statement For Tenant</t>
  </si>
  <si>
    <t>Capture Invoice In The System And System Will Generate A Fiscal Invoice  (Estates Clerk)</t>
  </si>
  <si>
    <t>System To Send Fiscal Invoice To Client  (Estates Clerk)</t>
  </si>
  <si>
    <t>Payments Made By Customer To Be Updated To Customer Statement (Estates Clerk)</t>
  </si>
  <si>
    <t>System To Send Statement On Monthly Basis Direct To Customers</t>
  </si>
  <si>
    <t>Staff House Rental Deductions And VAT Payments</t>
  </si>
  <si>
    <t>Submit Schedule Indicating Rental Payments To Be Deducted From Staff, Only When There Are Changes (Estates Clerk)</t>
  </si>
  <si>
    <t>Submit The Schedule To Human Resources Department (Estates Clerk)</t>
  </si>
  <si>
    <t>For VAT, Prepare VAT Schedule Indicating USD And ZWG Payments (Estates Clerk)</t>
  </si>
  <si>
    <t>Prepare A Covering Memo And Upload In Flexidoc  (Estates Clerk)</t>
  </si>
  <si>
    <t>Administration Manager Reviews The Memo In Flexidoc</t>
  </si>
  <si>
    <t>Group Head Of Corporate Services Approves The Memo In Flexidoc</t>
  </si>
  <si>
    <t>Submit To Finance For Payment (Estates Clerk)</t>
  </si>
  <si>
    <t xml:space="preserve">Rental Debtors </t>
  </si>
  <si>
    <t>System To Update Customer Payments In Real Time Estates Clerk)</t>
  </si>
  <si>
    <t>Rental And Utility To Be Seperated At Capturing Stage</t>
  </si>
  <si>
    <t>System To Produce Debtors Report (Estates Clerk)</t>
  </si>
  <si>
    <t>Finance To Access The Statement Through The System (Estates Clerk)</t>
  </si>
  <si>
    <t>Inspection Of Properties</t>
  </si>
  <si>
    <t>Annual Inspection For Residential (Estates Clerk)</t>
  </si>
  <si>
    <t>Prepare A Report Indicating The State Of The Property (Estates Clerk)</t>
  </si>
  <si>
    <t>Submit Report To Administration For Assessment Regarding State Of The Property (Estates Clerk)</t>
  </si>
  <si>
    <t>Engage The Facilities Officer (Administration Manager)</t>
  </si>
  <si>
    <t xml:space="preserve">Payroll Admin - Employee Engagement And Updates </t>
  </si>
  <si>
    <t>HR System Sends Notification For Employee Payroll Update Request To Salaries Officer And Salaries Administrator</t>
  </si>
  <si>
    <t>View Employee Information In HR System Including The Contract (Engagement Applications)  (Salaries Officer, Salaries Administrator)</t>
  </si>
  <si>
    <t>If Its A New Employee, Input Employee Information Into Payroll System According To Contract (Belina) and Enroll On Belina Conect (Salaries Officer, Salaries Administrator)</t>
  </si>
  <si>
    <t>If Its A Current Employee, Update Grades And Roles In Payroll System (Salaries Officer, Salaries Administrator)</t>
  </si>
  <si>
    <t>Confirm Update Of Payroll Update In HR System (Salaries Officer, Salaries Administrator)</t>
  </si>
  <si>
    <t>Payroll Admin - Salary Processing</t>
  </si>
  <si>
    <t>Update Rate In Belina System (Salaries Officer, Salaries Administrator)</t>
  </si>
  <si>
    <t>Upload File For  Allowances E.g Overtime,Fuel,Retention,Motor Vehicle And Hardship Allowance  (Salaries Officer, Salaries Administrator etc)</t>
  </si>
  <si>
    <t>Receive Bills And Other Deductions From Service Providers Then Upload In Belina For Deductions (Salaries Officer, Salaries Administrator)</t>
  </si>
  <si>
    <t>Run Calculation Routine On The Belina Server  To Validate The Payroll (Salaries Officer, Salaries Administrator)</t>
  </si>
  <si>
    <t>Prepare Memo Showing  Payroll Total Cost To Human Resources Manager  And Upload In Flexidoc (Salaries Officer, Salaries Administrator)</t>
  </si>
  <si>
    <t xml:space="preserve">Human Resources Manager Reviews In Flexidoc </t>
  </si>
  <si>
    <t>Group Head Of Human Resources And Managing Director Approves The Payroll In Flexidoc</t>
  </si>
  <si>
    <t>Download  Journal Entries From Belina And Send To Finance Department (Salaries Officer, Salaries Administrator)</t>
  </si>
  <si>
    <t>Staff To Access Their Payslip In Belina (Salaries Officer, Salaries Administrator)</t>
  </si>
  <si>
    <t>Check Respective Salaries Suspense Account For Funding (Salaries Officer, Salaries Administrator)</t>
  </si>
  <si>
    <t>Run Salaries For Staff In CBS ( Salaries Clerk And Team Leader SFI)</t>
  </si>
  <si>
    <t>Total Time for the Process (Minutes)   Up To Release Of Payslip</t>
  </si>
  <si>
    <t>Statutory Returns</t>
  </si>
  <si>
    <t>Download Template From Belina For ZIMRA,Pension And  NSSA  (Salaries Officer, Salaries Administrator)</t>
  </si>
  <si>
    <t>Submit ZIMRA Template To Finance Department For Uploading In TaRMS  (Salaries Officer, Salaries Administrator)</t>
  </si>
  <si>
    <t>Submit Template To NEC  And ZIBAWU (Salaries Officer, Salaries Administrator)</t>
  </si>
  <si>
    <t>As For NSSA , Upload NSSA Self Service Portal (Salaries Officer, Salaries Administrator)</t>
  </si>
  <si>
    <t>Overtime</t>
  </si>
  <si>
    <t xml:space="preserve">Staff Completes Attendance Form Indicating Start And Finish Time </t>
  </si>
  <si>
    <t xml:space="preserve">Respective Manager Verifies The Attendance Form </t>
  </si>
  <si>
    <t>Respective Head Of Department Approves The Attendance Form</t>
  </si>
  <si>
    <t>Attendance Form Is Submitted To Human Resources Department Accompanied By Executive Approval</t>
  </si>
  <si>
    <t>On Receipt , Verify And Validate The Attendance Register  (Salaries Officer, Salaries Administrator)</t>
  </si>
  <si>
    <t>Calculate The Overtime Worked (Salaries Officer, Salaries Administrator)</t>
  </si>
  <si>
    <t>Capture Overtime In Belina (Salaries Officer, Salaries Administrator)</t>
  </si>
  <si>
    <t xml:space="preserve">Loan Origination : Staff </t>
  </si>
  <si>
    <t>Apply For Loan Using Digital Platforms And Upload Supporting Documents Where Necessary</t>
  </si>
  <si>
    <t>Check Completeness Of The Loan Application In The System (Staff Loans Officer)</t>
  </si>
  <si>
    <t>System To Check For Current Running Loans And All Other Commitments. Debt Ratio Is Embedded In The System.</t>
  </si>
  <si>
    <t>Complete Decision Sheet, Recommend Qualifying Amount And Submit In Flexdoc(Staff Loans Officer)</t>
  </si>
  <si>
    <t>Verify And Sign The Decision Sheet In Flexidoc (Human Resources Manager)</t>
  </si>
  <si>
    <t>Group Head Of Human Resources Recommends Or  Declines Loan Application In Flexidoc</t>
  </si>
  <si>
    <t>Managing Director Approves,Defers Or Declines In Flexidoc</t>
  </si>
  <si>
    <t>Notify Staff On The Status Of Their Application Through Email  (Staff Loans Officer)</t>
  </si>
  <si>
    <t>Seek Disbursement Approval From Treasury Front Office Through Email (Staff Loans Officer)</t>
  </si>
  <si>
    <t>Upon Receiving Approval  To Disburse, Prepare Facility Agreement And Send To Applicant For Signing (Staff Loans Officer)</t>
  </si>
  <si>
    <t>Receive Signed Facility Agreement From Applicant And Proceed To Capture The Loan In LMS  (Staff Loans Officer)</t>
  </si>
  <si>
    <t>Liquidate Current Running Loans (Staff Loans Officer)</t>
  </si>
  <si>
    <t>Authorise Loan In LMS (Human Resources Manager)</t>
  </si>
  <si>
    <t>Archive The Application Form In Flexidoc (Staff Loans Officer)</t>
  </si>
  <si>
    <t>Overdraft Applications For Staff With Trace</t>
  </si>
  <si>
    <t>Staff Should Apply Through Digital Platform And System Should Override Traces</t>
  </si>
  <si>
    <t>Loan Monitoring : Staff</t>
  </si>
  <si>
    <t xml:space="preserve">Implement Payroll Deductions </t>
  </si>
  <si>
    <t>Staff Should Access Their Statements Through Digital Platforms</t>
  </si>
  <si>
    <t>Recruitment And Selection</t>
  </si>
  <si>
    <t>Receive Signed Recruitment Request From The Relevant Department And Submits The Request To Human Resources Manager For Implementation Through Flexidoc (Group Head Of Human Resources)</t>
  </si>
  <si>
    <t>Human Resources Manager Assigns Human Resources Officer To Initiate The Engagement Process Through Flexidoc</t>
  </si>
  <si>
    <t>Prepare Draft Job Advert And  Upload In Flexidoc Submit For Review (Human Resources Officer)</t>
  </si>
  <si>
    <t>Human Resources Manager Reviews The Job Advert In Flexidoc</t>
  </si>
  <si>
    <t>Group Head Of Human Resources Approves The Advert In Flexidoc</t>
  </si>
  <si>
    <t>Advertise The Job, Internal Through Email Or External Through Social Media Platforms (Human Resources Manager)</t>
  </si>
  <si>
    <t>Receive Job Applications From Candidates  Through Digital Platforms (Human Resources Officer, Human Resources Manager)</t>
  </si>
  <si>
    <t>Shortlist The Applications And Advise The Relevant Department. System To Assist With Shortlisting Of Candidates By Rejecting Applications that Do Not Meet The Criteria q(Human Resources Officer, Human Resources Manager)</t>
  </si>
  <si>
    <t>Prepare A Memo To Group Head Of Human Resources Seeking Authority To Proceed With Conducting Interviews For The Shortlisted Candidates  And Upload In Flexidoc  (Human Resources Officer)</t>
  </si>
  <si>
    <t>Human Resources Manager Reviews The Memo For conducting Interviews In Flexidoc</t>
  </si>
  <si>
    <t>Group Head Of Human Resources Approves The Memo For Conducting Interviews In Flexidoc</t>
  </si>
  <si>
    <t>Send Email To Interview Selection Pannel Advising Them About The Interview Venue And Date (Human Resources Officer)</t>
  </si>
  <si>
    <t>Receive confirmation From Interview Selection Pannel  Through Email And Proceed To Contact Candidates Inviting Them To Attend The Interview</t>
  </si>
  <si>
    <t>Access The Interview Pack Through The System.  Score Sheets,Questions And List Of The Candidates Should Be Digitalized (Human Resources Officer)</t>
  </si>
  <si>
    <t>Facilitate  And Carryout The Interview (Human Resource Officer,Human resources Manager And Group Head Of Human Resources )</t>
  </si>
  <si>
    <t>Consolidate The Scoring Sheets (Human Resources Officer)</t>
  </si>
  <si>
    <t>Prepare And Upload Recommendations For Approval  In Flexidoc (Human Resources Officer)</t>
  </si>
  <si>
    <t>Human Resources Manager Reviews The Recommendation In Flexidoc</t>
  </si>
  <si>
    <t>Group Head Of Human Resources Supports The Recommendation For Approval By The Managing Director In Flexidoc</t>
  </si>
  <si>
    <t>Managing Director Approves The Recommendation In Flexidoc</t>
  </si>
  <si>
    <t>FCB Check Will Be Conducted In The Backend Of The System</t>
  </si>
  <si>
    <t>Conduct Reference Checks (Human Resources Officer)</t>
  </si>
  <si>
    <t>Request Candidate To Go For Medical Checks (Human Resources Assistant And Human Resources Officer)</t>
  </si>
  <si>
    <t>If All The Checks Are Successful, Request The Recommended  Candidate To Come And Sign The Job Offer Letter (Human Resources Officer, Human Resources Manager And Group Head of Human Resources )</t>
  </si>
  <si>
    <t>If The Candidate Accepts The Offer , Receive Signed Job Offfer Letter (Human Resources Officer, Human Resources Manager And Group Head of Human Resources )</t>
  </si>
  <si>
    <t>As For Declined Offers, Engage The Second Ranked Candidate On the list (Human Resources Officer, Human Resources Manager And Group Head of Human Resources )</t>
  </si>
  <si>
    <t>Total  Processes Executed Per Month  (Number Of Interviews Conducted)</t>
  </si>
  <si>
    <t xml:space="preserve">Total Processes Time/Month </t>
  </si>
  <si>
    <t>School Fees Allowance Processing</t>
  </si>
  <si>
    <t>Receive School Fees Claim Form And Invoices Through Digital Form (Human Resources Officer)</t>
  </si>
  <si>
    <t>Verify And Validate The Claim And Invoices (Human Resources Officer)</t>
  </si>
  <si>
    <t>System To Calculate School Fees Allowance  Payable Per Individual And Validate (Human Resources Officer)</t>
  </si>
  <si>
    <t>Submit School Fees Claims To HR Salaries Department For Processing  In Flexdoc Or System (Human Resources Officer)</t>
  </si>
  <si>
    <t>Promotion And Transfers</t>
  </si>
  <si>
    <t>Receive Signed Transfer Or Promotion Request From The Relevant Department And Submits The Request To Human Resources Manager For Implementation Through Flexidoc (Group Head Of Human Resources)</t>
  </si>
  <si>
    <t xml:space="preserve">Human Resources Manager Assigns Human Resources Officer To Initiate The Process </t>
  </si>
  <si>
    <t>Prepare Draft Promotion Or Transfers Memo And Letter To Be Given To The Employee . Upload The Documents In Flexidoc (Human Resources Officer)</t>
  </si>
  <si>
    <t>Human Resources Manager Reviews The Documents In Flexidoc</t>
  </si>
  <si>
    <t xml:space="preserve">Group Head Of Human Resources Signs  The Memo And Letter </t>
  </si>
  <si>
    <t xml:space="preserve">Managing Countersigns The Memo And Letter </t>
  </si>
  <si>
    <t>Send The letter To Employee Through Mail (Human Resources Officer)</t>
  </si>
  <si>
    <t xml:space="preserve">HR Administration </t>
  </si>
  <si>
    <t>Prepare Report For Staff Movement (Engagement,Exits,Transfers And Promotion) And Upload In Flexidoc - (Human Resources Officer)</t>
  </si>
  <si>
    <t>Review Staff Movement Report In Flexidoc (Human Resources Manager)</t>
  </si>
  <si>
    <t>Group Head Of Human Resources Approves The Memo By Signing In Flexidoc</t>
  </si>
  <si>
    <t>Send The Memo To All Employees Through Email (Human Resources Manager)</t>
  </si>
  <si>
    <t>For Transfers And promotions , Prepare A Memo Indicating  Relevant Allowances For Approval By Managing Director  And Upload In Flexidox (Human resources Officer)</t>
  </si>
  <si>
    <t>Group Head Of Human Resources Supports The Memo In Flexidoc</t>
  </si>
  <si>
    <t>Managing Director Approves The Memo In Flexidoc</t>
  </si>
  <si>
    <t>Records Management</t>
  </si>
  <si>
    <t>View Certified Documents  (National ID,Birth Certificates,Academic Certificates And Any Other Certificates) In The System - (Human Resources Assistant)</t>
  </si>
  <si>
    <t>Receive Original Documents From Employee For Verification (Human Resources Assistant)</t>
  </si>
  <si>
    <t>Verify And Validate The Certified Documents  In The System Against The Original Documents (Human Resources Assistant)</t>
  </si>
  <si>
    <t>Create Personal File For The Employee In The System  And Transfer All The Documents  (Human Resources Assistant)</t>
  </si>
  <si>
    <t>Mail Or Documents Management</t>
  </si>
  <si>
    <t>Documents Should Be Uploaded And Approved Through Flexidoc Management System.</t>
  </si>
  <si>
    <t>Facilitation Of Recruitment Interviews</t>
  </si>
  <si>
    <t>Interview Scoring Sheets, Questions And List Of Candidates Should Be Accessed Through The System (Human Resources Assistant)</t>
  </si>
  <si>
    <t>Set Up The Venue And Organise Refreshments For The Participants (Human Resources Assistant)</t>
  </si>
  <si>
    <t>After Interviews, Conduct Background Checks (Human Resources Assistant)</t>
  </si>
  <si>
    <t>Liase With Doctors For Pre-employment Medical Checks (Human Resources Assistant)</t>
  </si>
  <si>
    <t>Employee To Open Bank Account On His or Her Own. Assist on Medical Aid Registration And Funeral Policy (Human Resources Assistant)</t>
  </si>
  <si>
    <t>Formally Introduce And Handover The Employee To The Respective Department Depending On Position</t>
  </si>
  <si>
    <t>Facilitation Of Staff Training</t>
  </si>
  <si>
    <t>Booking Of Training Venue ( Human Resources Assistant)</t>
  </si>
  <si>
    <t>Prepare The Training Venue (Human Resources Assistant)</t>
  </si>
  <si>
    <t>Sourcing Of Refreshments For Training Participants (Human Resources Assistant)</t>
  </si>
  <si>
    <t>Organise Transport Of Training Participants (Human Resources Assistant)</t>
  </si>
  <si>
    <t>Identification Of Training Needs</t>
  </si>
  <si>
    <t>Departments To Submit Their Training Needs Through E-Learning Platform</t>
  </si>
  <si>
    <t>Identify Training Needs From Strategy Sessions And Strategy Documents (Group Learning And Development Manager)</t>
  </si>
  <si>
    <t>System To Assist With Consolidation Of  Training Needs Into Learning And Development Plan (Group Learning And Development Manager)</t>
  </si>
  <si>
    <t>Draft Learning And Development Plan And Upload In Flexidoc  (Group Learning And Development Manager)</t>
  </si>
  <si>
    <t>Group Head Of Human Resources Reviews  And Approves The Learning And Development Plan In Flexidoc</t>
  </si>
  <si>
    <t>Staff To View The Training Plan in E-Learning Platform (Group Learning And Development Manager)</t>
  </si>
  <si>
    <t xml:space="preserve">Nominations To Be Submitted Through E-Learning Platform (Group Learning And Development Manager) </t>
  </si>
  <si>
    <t>System To Assist With Consolidation Of  Nominations  (Group Learning And Development Manager)</t>
  </si>
  <si>
    <t xml:space="preserve">Development Of Training Material </t>
  </si>
  <si>
    <t>Formulation Of Training Objectives (Group Learning And Development Manager)</t>
  </si>
  <si>
    <t>Conduct Research On The Specific Training (Group Learning And Development Manager)</t>
  </si>
  <si>
    <t>Identify Necessary Tools (E.g Role Plays, Questionaires etc) (Group Learning And Development Manager)</t>
  </si>
  <si>
    <t>Develop Training Material (Group Learning And Development Manager)</t>
  </si>
  <si>
    <t>Sanitize The Training Material E.g Checking The Flow  (Group Learning And Development Manager)</t>
  </si>
  <si>
    <t>Engage The Relevant Department For Their Input Before Finalisation Of The Training Content (Group Learning And Development Manager)</t>
  </si>
  <si>
    <t>After Receiving Input , Consolidate And Submit To Group Head Of Human Resources For Approval (Group Learning And Development Manager)</t>
  </si>
  <si>
    <t>Group Head Of Human Resources Approves The Training Material</t>
  </si>
  <si>
    <t>Training Administration</t>
  </si>
  <si>
    <t>Invite Attendees For Specific Training Through ELearning System (Group Learning And Development Manager)</t>
  </si>
  <si>
    <t>Arrange Venue For The Training (Group Learning And Development Manager, Human Resources Assistant)</t>
  </si>
  <si>
    <t>Organise Transport And Refreshments (Group Learning And Development Manager, Human Resources Assistant)</t>
  </si>
  <si>
    <t>Organise Accomodation And Allowances For Travelling Delegates (Group Learning And Development Manager)</t>
  </si>
  <si>
    <t>Organise Training Equipment (Group Learning And Development Manager, Human Resources Assistant)</t>
  </si>
  <si>
    <t>Facilitate The Training Throug ELearning  (Group Learning And Development Manager)</t>
  </si>
  <si>
    <t>Conduct Post Course Evaluation Through ELearning Platform (Group Learning And Development Manager)</t>
  </si>
  <si>
    <t>Upload Documents And Any Other Material To ELearning Platform (Group Learning And Development Manager)</t>
  </si>
  <si>
    <t>Where Training Is Conducted Though ELearing Platform, The System Should Generate A Post Course Report And Allow Addition Of Supplimentary Findings. Prepare Post Course Report (Group Learning And Development Manager)</t>
  </si>
  <si>
    <t>If Training Was Conduced Physically Prepare Post Course Report (Group Learning And Development Manager)</t>
  </si>
  <si>
    <t>Deploy Assessments To Test Understanding Of Training (Group Learning And Development Manager)</t>
  </si>
  <si>
    <t>Administration Of Conferences And Outsourced Training</t>
  </si>
  <si>
    <t>Receive Notification Of Conference Or External Training  (Group Learning And Development Manager)</t>
  </si>
  <si>
    <t>Identify Relevant Employees To Attend The Training  (Group Learning And Development Manager)</t>
  </si>
  <si>
    <t>Seek Approvals From The Relevant Authority. Documentation Should Be Channeled Through Flexidcoc (Group Learning And Development Manager)</t>
  </si>
  <si>
    <t>Process The Payment Through D365 (Group Learning And Development Manager)</t>
  </si>
  <si>
    <t>Invite Attendees For Specific Training (Group Learning And Development Manager)</t>
  </si>
  <si>
    <t>Receive Feedback Report From Participants  (Group Learning And Development Manager)</t>
  </si>
  <si>
    <t>Succession Planning</t>
  </si>
  <si>
    <t>Identify Critical Roles (Roles Below Senior Management)  In The Organisation (Group Learning And Development Manager)</t>
  </si>
  <si>
    <t>Identify Potential,Contingency And Planned Successors (Group Learning And Development Manager)</t>
  </si>
  <si>
    <t>Identify Development  Needs Or Gaps For The Successors  (Group Learning And Development Manager)</t>
  </si>
  <si>
    <t>Implement Development Solutions For The Identified Gaps (Group Learning And Development Manager)</t>
  </si>
  <si>
    <t>Conduct Reviews Annually (Group Learning And Development Manager)</t>
  </si>
  <si>
    <t xml:space="preserve">Stakeholder Engagement </t>
  </si>
  <si>
    <t>Creation Of The Fora (Works Council) For The Bipartite (Human Resources And Employment Relations Manager)</t>
  </si>
  <si>
    <t>Receive Request (Opinion Or General ) From The Stakeholder (Human Resources And Employment Relations Manager, Group Head Of Human Resorces)</t>
  </si>
  <si>
    <t>Provide Opinion On The Subject Matter (Human Resources And Employment Relations Manager, Group Head Of Human Resorces)</t>
  </si>
  <si>
    <t>Facilitate The Engagement Of The Bipartite Parties (Human Resources And Employment Relations Manager)</t>
  </si>
  <si>
    <t>Endevour To Assist Parties To Achieve Common Ground (Human Resources And Employment Relations Manager)</t>
  </si>
  <si>
    <t>Mantain Relations With Trade Union (Human Resources And Employment Relations Manager, Group Head Of Human Resorces)</t>
  </si>
  <si>
    <t>Represent The Group In Negotiations And Dispute Resolution In Coloboration With Legal (Human Resources And Employment Relations Manager )</t>
  </si>
  <si>
    <t>Disciplinary Hearing</t>
  </si>
  <si>
    <t>Receive A Complaint From Line Management Of Alleged Misconduct (Human Resources And Employment Relations Manager)</t>
  </si>
  <si>
    <t>Facilitate Investigation And Reporting (Human Resources And Employment Relations Manager)</t>
  </si>
  <si>
    <t>Facilitate The Drafting Of The Charge Letter (Human Resources And Employment Relations Manager)</t>
  </si>
  <si>
    <t>Review  The Charge Letter (Human Resources And Employment Relations Manager)</t>
  </si>
  <si>
    <t>Facilitate The Convening Of The Hearing (Human Resources And Employment Relations Manager)</t>
  </si>
  <si>
    <t>Facilitate Documentation Of The Record Of Proceedings (Human Resources And Employment Relations Manager)</t>
  </si>
  <si>
    <t>Facilitate The Handing Out Of The Judgement Letter (Human Resources And Employment Relations Manager)</t>
  </si>
  <si>
    <t>Appeal Hearing</t>
  </si>
  <si>
    <t>Receive Appeal From Appellant (Human Resources And Employment Relations Manager)</t>
  </si>
  <si>
    <t>Recover Record Of Proceedings (Human Resources And Employment Relations Manager)</t>
  </si>
  <si>
    <t>Facilitate Constitution Of Appeal Committee (Human Resources And Employment Relations Manager)</t>
  </si>
  <si>
    <t>Fcailitate Convening Of Appeal Hearing (Human Resources And Employment Relations Manager)</t>
  </si>
  <si>
    <t>Facilitate The Determination Of Appeal (Human Resources And Employment Relations Manager)</t>
  </si>
  <si>
    <t>Facilitate Documentation Of The Record (Human Resources And Employment Relations Manager)</t>
  </si>
  <si>
    <t>Grievances</t>
  </si>
  <si>
    <t>Receive Request From Immediate Supervisor Over A Raised Grievance (Human Resources And Employment Relations Manager)</t>
  </si>
  <si>
    <t>Provide Opinion Based On The Grievance (Human Resources And Employment Relations Manager)</t>
  </si>
  <si>
    <t>Facilitate The Convening Of Enquiry Or Grievance Hearing (Human Resources And Employment Relations Manager)</t>
  </si>
  <si>
    <t>Facilitate Documentation Of Grievance Hearing (Human Resources And Employment Relations Manager)</t>
  </si>
  <si>
    <t>Facilitate Convening Of Another Grievance Hearing By Next Line Manager If Employee Is Still Agrived (Human Resources And Employment Relations Manager)</t>
  </si>
  <si>
    <t>Facilitate Convening Of Grievance And Disciplinary Committee If Employee Still Agrieved And Appeals (Human Resources And Employment Relations Manager)</t>
  </si>
  <si>
    <t>Facilitate Issuing Of  A Determination Or Referral To National Employment Council If There Is Deadlock By G&amp;DC (Human Resources And Employment Relations Manager)</t>
  </si>
  <si>
    <t>Acquisition Of Hardware And Software (Core Equipment)</t>
  </si>
  <si>
    <t>Receive Request From Relevant Section Within ICT Department ( Senior Manager Infrastructure And Systems Support)</t>
  </si>
  <si>
    <t>Evaluate The Requirements (Senior Manager Infrastructure And Systems Support)</t>
  </si>
  <si>
    <t>Determine The Required  Specifications ( Senior Manager Infrastructure And Systems Support)</t>
  </si>
  <si>
    <t>Determine The Terms Of Reference (Supplier Specification) - ( Senior Manager Infrastructure And Systems Support)</t>
  </si>
  <si>
    <t>Prepare The Internal Requisition In D365 ( Senior Manager Infrastructure And Systems Support)</t>
  </si>
  <si>
    <t>If It Is A Tender , Participate In The Tender Evaluation Committee ( Senior Manager Infrastructure And Systems Support)</t>
  </si>
  <si>
    <t>Assist With Contract Preparation ( Senior Manager Infrastructure And Systems Support)</t>
  </si>
  <si>
    <t xml:space="preserve">Signing Of The Contract By Vendor And Sponsor </t>
  </si>
  <si>
    <t>For Hardware, Receive Delivery Note And Hardware From Stores Department  ( Senior Manager Infrastructure And Systems Support)</t>
  </si>
  <si>
    <t>Verify Conformance To Specification ( Senior Manager Infrastructure And Systems Support)</t>
  </si>
  <si>
    <t>Engage Project Office To Faciliate With Implementation Of The Project ( Senior Manager Infrastructure And Systems Support)</t>
  </si>
  <si>
    <t>Participate In The Implementation Of The Project ( Senior Manager Infrastructure And Systems Support)</t>
  </si>
  <si>
    <t>Commission The Project ( Senior Manager Infrastructure And Systems Support)</t>
  </si>
  <si>
    <t>View Invoice In D365 And Validate Against Purchase Order Or Contract ( Senior Manager Infrastructure And Systems Support)</t>
  </si>
  <si>
    <t>Group Head Of ICT Approves The Invoice For Payment In D365</t>
  </si>
  <si>
    <t>Submit Invoice To Finance For Processing ( ICT Administration Officer)</t>
  </si>
  <si>
    <t>Post Implementation Review And Monitoring ( Senior Manager Infrastructure And Systems Support)</t>
  </si>
  <si>
    <t>Acquisition Of Hardware And Software (Triggered By Users)</t>
  </si>
  <si>
    <t>Receive Internal Requisition From User In D365 ( Senior Manager Infrastructure And Systems Support)</t>
  </si>
  <si>
    <t>Repair Of Hardware - Without Contract Or SLA</t>
  </si>
  <si>
    <t>Receive Request Through iSupport (ATM Hardware Support Officer)</t>
  </si>
  <si>
    <t>Receive Asset From Stores And Review Department (ATM Hardware Support Officer)</t>
  </si>
  <si>
    <t>Update Workshop Register (ATM Hardware Support Officer)</t>
  </si>
  <si>
    <t>Reviews And Verify Faults Reported (ATM Hardware Support Officer)</t>
  </si>
  <si>
    <t>Repair The Hardware/ Service (ATM Hardware Support Officer)</t>
  </si>
  <si>
    <t>If  Specialist Attention Is Required Raise Internal Requisition In D365 (ATM Hardware Support Officer)</t>
  </si>
  <si>
    <t xml:space="preserve"> Senior Manager Infrastructure And Systems Support Reviews The Internal Requisition In D365</t>
  </si>
  <si>
    <t>Group Head Of ICT Approves The Internal Requisition In D365</t>
  </si>
  <si>
    <t>Submit To Procurement For Processing ( ICT Administration Officer)</t>
  </si>
  <si>
    <t>Hand Over The Hardware To Supplier For On-site Repairs  Or  Via  Stores Department For Off-site (ATM Hardware Support Officer)</t>
  </si>
  <si>
    <t>For On-site Test The Hardware After Repair (ATM Hardware Support Officer)</t>
  </si>
  <si>
    <t>For Off-site Receive Hardware Through Stores Department And Test ( ATM Hardware Support Officer)</t>
  </si>
  <si>
    <t>After Test, Hand Over The Hardware To Stores Department And Update Register (ATM Hardware Support Officer)</t>
  </si>
  <si>
    <t>Confirm Delivery Of Hardware To User, Then Proceed To Close The Ticket  (ATM Hardware Support Officer)</t>
  </si>
  <si>
    <t>Receive Invoice From Vendor, Purchase Order And Job Card, Then Upload In D365 (ATM Hardware Support Officer)</t>
  </si>
  <si>
    <t>Review Invoice ,Purchase Order And Job Card ( Senior Manager Infrastructure And Systems Support)</t>
  </si>
  <si>
    <t>Total Processes Executed (Number Of Repairs)</t>
  </si>
  <si>
    <t>Repair Of Hardware - Under  Contract Or SLA (Data Centre Assets)</t>
  </si>
  <si>
    <t>Identify Anormalies Through Monitoring (System Engineer)</t>
  </si>
  <si>
    <t>Contact Vendor For SLA Support (System Engineer)</t>
  </si>
  <si>
    <t>Schedule For Mantenance Window (System Engineer)</t>
  </si>
  <si>
    <t>Supervise  Vendor Attending To The Issue As Per Stipulated SLA (System Engineer)</t>
  </si>
  <si>
    <t>Test The Solution And Commission (System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</si>
</sst>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0.0%"/>
    <numFmt numFmtId="166" formatCode="_-[$US$-3009]* #,##0.00_-;\-[$US$-3009]* #,##0.00_-;_-[$US$-3009]* &quot;-&quot;??_-;_-@_-"/>
    <numFmt numFmtId="167" formatCode="0.0"/>
  </numFmts>
  <fonts count="107">
    <font>
      <sz val="11"/>
      <color theme="1"/>
      <name val="Calibri"/>
      <charset val="134"/>
      <scheme val="minor"/>
    </font>
    <font>
      <sz val="11"/>
      <color theme="1"/>
      <name val="Calibri"/>
      <scheme val="minor"/>
    </font>
    <font>
      <sz val="11"/>
      <color theme="1"/>
      <name val="Calibri"/>
      <family val="2"/>
      <scheme val="minor"/>
    </font>
    <font>
      <b/>
      <sz val="11"/>
      <color theme="1"/>
      <name val="Calibri"/>
      <charset val="134"/>
      <scheme val="minor"/>
    </font>
    <font>
      <b/>
      <sz val="10"/>
      <color rgb="FF242424"/>
      <name val="Arial"/>
      <charset val="134"/>
    </font>
    <font>
      <sz val="11"/>
      <name val="Calibri"/>
      <charset val="134"/>
      <scheme val="minor"/>
    </font>
    <font>
      <sz val="10"/>
      <color rgb="FF242424"/>
      <name val="Arial"/>
      <charset val="134"/>
    </font>
    <font>
      <sz val="10"/>
      <name val="Arial"/>
      <charset val="134"/>
    </font>
    <font>
      <sz val="10"/>
      <color theme="1"/>
      <name val="Arial"/>
      <charset val="134"/>
    </font>
    <font>
      <sz val="11"/>
      <color rgb="FF242424"/>
      <name val="Calibri"/>
      <charset val="134"/>
    </font>
    <font>
      <sz val="12"/>
      <color rgb="FF242424"/>
      <name val="Times New Roman"/>
      <charset val="134"/>
    </font>
    <font>
      <sz val="12"/>
      <color rgb="FF242424"/>
      <name val="Calibri"/>
      <charset val="134"/>
      <scheme val="minor"/>
    </font>
    <font>
      <sz val="11"/>
      <color rgb="FF242424"/>
      <name val="Calibri"/>
      <charset val="134"/>
      <scheme val="minor"/>
    </font>
    <font>
      <sz val="11"/>
      <color theme="1"/>
      <name val="Calibri"/>
      <charset val="134"/>
      <scheme val="minor"/>
    </font>
    <font>
      <b/>
      <sz val="11"/>
      <color rgb="FF000000"/>
      <name val="Calibri"/>
      <charset val="134"/>
    </font>
    <font>
      <sz val="11"/>
      <color rgb="FF000000"/>
      <name val="Calibri"/>
      <family val="2"/>
    </font>
    <font>
      <sz val="11"/>
      <color rgb="FF000000"/>
      <name val="Calibri"/>
      <charset val="134"/>
    </font>
    <font>
      <b/>
      <sz val="11"/>
      <color rgb="FF000000"/>
      <name val="Calibri"/>
      <family val="2"/>
    </font>
    <font>
      <b/>
      <sz val="11"/>
      <color rgb="FF242424"/>
      <name val="Calibri"/>
      <family val="2"/>
    </font>
    <font>
      <b/>
      <sz val="10"/>
      <name val="Arial"/>
      <family val="2"/>
    </font>
    <font>
      <sz val="10"/>
      <name val="Arial"/>
      <family val="2"/>
    </font>
    <font>
      <b/>
      <sz val="10"/>
      <color rgb="FF000000"/>
      <name val="Arial"/>
      <family val="2"/>
    </font>
    <font>
      <b/>
      <sz val="11"/>
      <color rgb="FF000000"/>
      <name val="Calibri"/>
    </font>
    <font>
      <sz val="10"/>
      <color rgb="FF000000"/>
      <name val="Arial"/>
    </font>
    <font>
      <sz val="11"/>
      <color rgb="FF000000"/>
      <name val="Calibri"/>
    </font>
    <font>
      <sz val="10"/>
      <color rgb="FF000000"/>
      <name val="Arial"/>
      <family val="2"/>
    </font>
    <font>
      <sz val="11"/>
      <name val="Calibri"/>
      <charset val="134"/>
    </font>
    <font>
      <b/>
      <sz val="11"/>
      <name val="Calibri"/>
      <charset val="134"/>
    </font>
    <font>
      <sz val="10"/>
      <color rgb="FF000000"/>
      <name val="Arial"/>
      <charset val="134"/>
    </font>
    <font>
      <sz val="11"/>
      <color rgb="FF242424"/>
      <name val="Calibri"/>
      <family val="2"/>
    </font>
    <font>
      <sz val="11"/>
      <color rgb="FF000000"/>
      <name val="Calibri"/>
      <charset val="134"/>
      <scheme val="minor"/>
    </font>
    <font>
      <b/>
      <sz val="11"/>
      <color rgb="FF000000"/>
      <name val="Calibri"/>
      <charset val="134"/>
      <scheme val="minor"/>
    </font>
    <font>
      <b/>
      <sz val="11"/>
      <color theme="1"/>
      <name val="Calibri"/>
      <family val="2"/>
      <scheme val="minor"/>
    </font>
    <font>
      <sz val="11"/>
      <color rgb="FF000000"/>
      <name val="Calibri"/>
      <scheme val="minor"/>
    </font>
    <font>
      <sz val="11"/>
      <color theme="4"/>
      <name val="Calibri"/>
      <charset val="134"/>
      <scheme val="minor"/>
    </font>
    <font>
      <sz val="11"/>
      <color rgb="FF242424"/>
      <name val="Aptos Narrow"/>
      <charset val="1"/>
    </font>
    <font>
      <sz val="11"/>
      <color theme="1"/>
      <name val="Times New Roman"/>
      <family val="1"/>
      <charset val="1"/>
    </font>
    <font>
      <sz val="7"/>
      <color rgb="FF000000"/>
      <name val="Times New Roman"/>
    </font>
    <font>
      <sz val="11"/>
      <color rgb="FF000000"/>
      <name val="Times New Roman"/>
    </font>
    <font>
      <b/>
      <sz val="11"/>
      <color rgb="FF000000"/>
      <name val="Times New Roman"/>
    </font>
    <font>
      <b/>
      <sz val="7"/>
      <color rgb="FF000000"/>
      <name val="Times New Roman"/>
    </font>
    <font>
      <b/>
      <sz val="11"/>
      <color rgb="FF242424"/>
      <name val="Aptos Narrow"/>
      <charset val="1"/>
    </font>
    <font>
      <sz val="11"/>
      <color rgb="FF000000"/>
      <name val="Aptos"/>
    </font>
    <font>
      <sz val="11"/>
      <color rgb="FFFF0000"/>
      <name val="Calibri"/>
      <charset val="134"/>
      <scheme val="minor"/>
    </font>
    <font>
      <b/>
      <sz val="11"/>
      <color theme="1"/>
      <name val="Times New Roman"/>
      <family val="1"/>
      <charset val="1"/>
    </font>
    <font>
      <sz val="11"/>
      <color theme="1"/>
      <name val="Calibri"/>
    </font>
    <font>
      <b/>
      <sz val="11"/>
      <color rgb="FF000000"/>
      <name val="Times New Roman"/>
      <family val="1"/>
    </font>
    <font>
      <sz val="11"/>
      <color rgb="FF000000"/>
      <name val="Times New Roman"/>
      <family val="1"/>
    </font>
    <font>
      <sz val="12"/>
      <color rgb="FF000000"/>
      <name val="Aptos"/>
      <family val="1"/>
    </font>
    <font>
      <b/>
      <sz val="11"/>
      <color rgb="FF000000"/>
      <name val="Aptos"/>
      <family val="2"/>
    </font>
    <font>
      <sz val="11"/>
      <color theme="1"/>
      <name val="Aptos"/>
      <family val="1"/>
    </font>
    <font>
      <sz val="7"/>
      <color theme="1"/>
      <name val="Times New Roman"/>
      <family val="1"/>
    </font>
    <font>
      <sz val="11"/>
      <color theme="1"/>
      <name val="Aptos"/>
      <family val="2"/>
    </font>
    <font>
      <b/>
      <sz val="11"/>
      <color theme="1"/>
      <name val="Aptos Narrow"/>
      <family val="2"/>
    </font>
    <font>
      <b/>
      <sz val="11"/>
      <color theme="1"/>
      <name val="Times New Roman"/>
      <family val="1"/>
    </font>
    <font>
      <sz val="11"/>
      <color theme="1"/>
      <name val="Times New Roman"/>
      <family val="1"/>
    </font>
    <font>
      <b/>
      <sz val="11"/>
      <color rgb="FF000000"/>
      <name val="Calibri"/>
      <family val="2"/>
      <scheme val="minor"/>
    </font>
    <font>
      <sz val="11"/>
      <color rgb="FFFF0000"/>
      <name val="Calibri"/>
      <charset val="134"/>
    </font>
    <font>
      <b/>
      <sz val="11"/>
      <color rgb="FFFF0000"/>
      <name val="Calibri"/>
      <family val="2"/>
      <scheme val="minor"/>
    </font>
    <font>
      <b/>
      <sz val="11"/>
      <color rgb="FFFF0000"/>
      <name val="Times New Roman"/>
      <family val="1"/>
    </font>
    <font>
      <sz val="11"/>
      <color rgb="FFFF0000"/>
      <name val="Times New Roman"/>
      <family val="1"/>
    </font>
    <font>
      <b/>
      <sz val="11"/>
      <color rgb="FFFF0000"/>
      <name val="Calibri"/>
      <family val="2"/>
    </font>
    <font>
      <b/>
      <sz val="11"/>
      <color rgb="FFFF0000"/>
      <name val="Calibri"/>
      <charset val="134"/>
      <scheme val="minor"/>
    </font>
    <font>
      <b/>
      <sz val="11"/>
      <color rgb="FFFF0000"/>
      <name val="Calibri"/>
      <scheme val="minor"/>
    </font>
    <font>
      <sz val="11"/>
      <color rgb="FFFF0000"/>
      <name val="Calibri"/>
      <family val="2"/>
    </font>
    <font>
      <sz val="11"/>
      <color rgb="FFFF0000"/>
      <name val="Calibri"/>
      <family val="2"/>
      <scheme val="minor"/>
    </font>
    <font>
      <sz val="11"/>
      <name val="Calibri"/>
      <family val="2"/>
      <scheme val="minor"/>
    </font>
    <font>
      <b/>
      <sz val="11"/>
      <name val="Calibri"/>
      <family val="2"/>
      <scheme val="minor"/>
    </font>
    <font>
      <b/>
      <sz val="11"/>
      <color rgb="FF000000"/>
      <name val="Aptos Narrow"/>
      <charset val="134"/>
    </font>
    <font>
      <sz val="11"/>
      <color rgb="FF000000"/>
      <name val="Aptos Narrow"/>
      <family val="2"/>
    </font>
    <font>
      <b/>
      <sz val="11"/>
      <color rgb="FF000000"/>
      <name val="Aptos Narrow"/>
      <family val="2"/>
    </font>
    <font>
      <b/>
      <sz val="12"/>
      <name val="Aptos Narrow"/>
      <family val="2"/>
    </font>
    <font>
      <b/>
      <sz val="12"/>
      <color rgb="FF000000"/>
      <name val="Aptos Narrow"/>
      <family val="2"/>
    </font>
    <font>
      <b/>
      <sz val="11"/>
      <color theme="1"/>
      <name val="Calibri"/>
      <scheme val="minor"/>
    </font>
    <font>
      <b/>
      <sz val="11"/>
      <color rgb="FF000000"/>
      <name val="Calibri"/>
      <scheme val="minor"/>
    </font>
    <font>
      <b/>
      <sz val="12"/>
      <color rgb="FF000000"/>
      <name val="Times New Roman"/>
      <family val="1"/>
    </font>
    <font>
      <b/>
      <sz val="12"/>
      <color rgb="FF000000"/>
      <name val="Calibri"/>
      <family val="2"/>
      <scheme val="minor"/>
    </font>
    <font>
      <sz val="11"/>
      <color rgb="FF000000"/>
      <name val="Calibri"/>
      <family val="2"/>
      <scheme val="minor"/>
    </font>
    <font>
      <sz val="11"/>
      <color rgb="FFFF0000"/>
      <name val="Calibri"/>
      <scheme val="minor"/>
    </font>
    <font>
      <b/>
      <sz val="12"/>
      <color theme="0"/>
      <name val="Times New Roman"/>
      <family val="1"/>
    </font>
    <font>
      <b/>
      <sz val="11"/>
      <color theme="1"/>
      <name val="Calibri"/>
      <family val="2"/>
      <charset val="134"/>
      <scheme val="minor"/>
    </font>
    <font>
      <sz val="11"/>
      <color rgb="FF000000"/>
      <name val="Calibri"/>
      <scheme val="minor"/>
    </font>
    <font>
      <sz val="11"/>
      <color theme="1"/>
      <name val="Calibri"/>
      <family val="2"/>
      <charset val="134"/>
      <scheme val="minor"/>
    </font>
    <font>
      <b/>
      <sz val="11"/>
      <color theme="1"/>
      <name val="Calibri"/>
      <family val="2"/>
      <scheme val="minor"/>
    </font>
    <font>
      <sz val="11"/>
      <color rgb="FF000000"/>
      <name val="Calibri"/>
      <family val="2"/>
      <scheme val="minor"/>
    </font>
    <font>
      <b/>
      <sz val="11"/>
      <color rgb="FF000000"/>
      <name val="Calibri"/>
      <family val="2"/>
      <charset val="134"/>
      <scheme val="minor"/>
    </font>
    <font>
      <b/>
      <sz val="11"/>
      <color rgb="FF000000"/>
      <name val="Calibri"/>
      <family val="2"/>
      <scheme val="minor"/>
    </font>
    <font>
      <sz val="12"/>
      <color rgb="FF000000"/>
      <name val="Times New Roman"/>
      <family val="1"/>
    </font>
    <font>
      <b/>
      <sz val="11"/>
      <color theme="1"/>
      <name val="Calibri"/>
      <charset val="134"/>
      <scheme val="minor"/>
    </font>
    <font>
      <sz val="11"/>
      <color rgb="FF242424"/>
      <name val="Aptos Narrow"/>
    </font>
    <font>
      <sz val="11"/>
      <color theme="1"/>
      <name val="Calibri"/>
      <family val="2"/>
      <scheme val="minor"/>
    </font>
    <font>
      <sz val="11"/>
      <color theme="1"/>
      <name val="Calibri"/>
      <scheme val="minor"/>
    </font>
    <font>
      <sz val="11"/>
      <color rgb="FF242424"/>
      <name val="Calibri"/>
      <scheme val="minor"/>
    </font>
    <font>
      <b/>
      <sz val="12"/>
      <color rgb="FFFFFFFF"/>
      <name val="Times New Roman"/>
      <family val="1"/>
    </font>
    <font>
      <sz val="11"/>
      <color rgb="FF000000"/>
      <name val="Aptos Narrow"/>
    </font>
    <font>
      <sz val="11"/>
      <color rgb="FFFF0000"/>
      <name val="Calibri"/>
      <family val="2"/>
      <scheme val="minor"/>
    </font>
    <font>
      <b/>
      <sz val="11"/>
      <color theme="0"/>
      <name val="Calibri"/>
      <family val="2"/>
      <scheme val="minor"/>
    </font>
    <font>
      <sz val="11"/>
      <color rgb="FF000000"/>
      <name val="Aptos"/>
      <family val="1"/>
    </font>
    <font>
      <sz val="11"/>
      <color rgb="FF000000"/>
      <name val="Aptos"/>
      <family val="2"/>
    </font>
    <font>
      <b/>
      <sz val="12"/>
      <color rgb="FFFFFFFF"/>
      <name val="Aptos Narrow"/>
      <family val="2"/>
    </font>
    <font>
      <sz val="11"/>
      <color rgb="FF000000"/>
      <name val="Aptos Narrow"/>
      <charset val="1"/>
    </font>
    <font>
      <b/>
      <sz val="11"/>
      <color rgb="FFFF0000"/>
      <name val="Calibri"/>
      <family val="2"/>
      <scheme val="minor"/>
    </font>
    <font>
      <b/>
      <sz val="11"/>
      <color rgb="FFFF0000"/>
      <name val="Calibri"/>
    </font>
    <font>
      <sz val="11"/>
      <color rgb="FFFF0000"/>
      <name val="Calibri"/>
    </font>
    <font>
      <sz val="12"/>
      <color rgb="FF000000"/>
      <name val="Times New Roman"/>
    </font>
    <font>
      <sz val="11"/>
      <color theme="1"/>
      <name val="Aptos Narrow"/>
      <family val="2"/>
    </font>
    <font>
      <b/>
      <sz val="12"/>
      <color theme="5"/>
      <name val="Times New Roman"/>
      <family val="1"/>
    </font>
  </fonts>
  <fills count="30">
    <fill>
      <patternFill patternType="none"/>
    </fill>
    <fill>
      <patternFill patternType="gray125"/>
    </fill>
    <fill>
      <patternFill patternType="solid">
        <fgColor rgb="FF0070C0"/>
        <bgColor indexed="64"/>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theme="6"/>
        <bgColor indexed="64"/>
      </patternFill>
    </fill>
    <fill>
      <patternFill patternType="solid">
        <fgColor rgb="FF00B050"/>
        <bgColor indexed="64"/>
      </patternFill>
    </fill>
    <fill>
      <patternFill patternType="solid">
        <fgColor rgb="FFFFFF00"/>
        <bgColor rgb="FF000000"/>
      </patternFill>
    </fill>
    <fill>
      <patternFill patternType="solid">
        <fgColor rgb="FFFFFFFF"/>
        <bgColor rgb="FF000000"/>
      </patternFill>
    </fill>
    <fill>
      <patternFill patternType="solid">
        <fgColor rgb="FFE2EFDA"/>
        <bgColor rgb="FF000000"/>
      </patternFill>
    </fill>
    <fill>
      <patternFill patternType="solid">
        <fgColor rgb="FFD9E1F2"/>
        <bgColor rgb="FF000000"/>
      </patternFill>
    </fill>
    <fill>
      <patternFill patternType="solid">
        <fgColor theme="1"/>
        <bgColor indexed="64"/>
      </patternFill>
    </fill>
    <fill>
      <patternFill patternType="solid">
        <fgColor theme="5"/>
        <bgColor indexed="64"/>
      </patternFill>
    </fill>
    <fill>
      <patternFill patternType="solid">
        <fgColor theme="0"/>
        <bgColor rgb="FF000000"/>
      </patternFill>
    </fill>
    <fill>
      <patternFill patternType="solid">
        <fgColor theme="9" tint="0.79998168889431442"/>
        <bgColor indexed="64"/>
      </patternFill>
    </fill>
    <fill>
      <patternFill patternType="solid">
        <fgColor theme="4"/>
        <bgColor indexed="64"/>
      </patternFill>
    </fill>
    <fill>
      <patternFill patternType="solid">
        <fgColor rgb="FF00FF00"/>
        <bgColor rgb="FF000000"/>
      </patternFill>
    </fill>
    <fill>
      <patternFill patternType="solid">
        <fgColor theme="6" tint="0.59999389629810485"/>
        <bgColor indexed="64"/>
      </patternFill>
    </fill>
    <fill>
      <patternFill patternType="solid">
        <fgColor theme="0" tint="-0.249977111117893"/>
        <bgColor indexed="64"/>
      </patternFill>
    </fill>
    <fill>
      <patternFill patternType="solid">
        <fgColor theme="2"/>
        <bgColor indexed="64"/>
      </patternFill>
    </fill>
    <fill>
      <patternFill patternType="solid">
        <fgColor rgb="FF006600"/>
        <bgColor indexed="64"/>
      </patternFill>
    </fill>
    <fill>
      <patternFill patternType="solid">
        <fgColor rgb="FF00FF00"/>
        <bgColor indexed="64"/>
      </patternFill>
    </fill>
    <fill>
      <patternFill patternType="solid">
        <fgColor theme="9"/>
        <bgColor indexed="64"/>
      </patternFill>
    </fill>
    <fill>
      <patternFill patternType="solid">
        <fgColor rgb="FF006600"/>
        <bgColor rgb="FF000000"/>
      </patternFill>
    </fill>
    <fill>
      <patternFill patternType="solid">
        <fgColor theme="9" tint="-0.249977111117893"/>
        <bgColor indexed="64"/>
      </patternFill>
    </fill>
    <fill>
      <patternFill patternType="solid">
        <fgColor theme="2" tint="-9.9978637043366805E-2"/>
        <bgColor indexed="64"/>
      </patternFill>
    </fill>
    <fill>
      <patternFill patternType="solid">
        <fgColor theme="1" tint="0.34998626667073579"/>
        <bgColor indexed="64"/>
      </patternFill>
    </fill>
    <fill>
      <patternFill patternType="solid">
        <fgColor theme="9" tint="-0.499984740745262"/>
        <bgColor indexed="64"/>
      </patternFill>
    </fill>
    <fill>
      <patternFill patternType="solid">
        <fgColor theme="1" tint="0.499984740745262"/>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style="thin">
        <color rgb="FF000000"/>
      </right>
      <top style="thin">
        <color indexed="64"/>
      </top>
      <bottom/>
      <diagonal/>
    </border>
    <border>
      <left/>
      <right/>
      <top style="thin">
        <color indexed="64"/>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style="thin">
        <color rgb="FF000000"/>
      </left>
      <right/>
      <top style="thin">
        <color indexed="64"/>
      </top>
      <bottom style="thin">
        <color rgb="FF000000"/>
      </bottom>
      <diagonal/>
    </border>
    <border>
      <left/>
      <right style="thin">
        <color indexed="64"/>
      </right>
      <top style="thin">
        <color indexed="64"/>
      </top>
      <bottom style="thin">
        <color indexed="64"/>
      </bottom>
      <diagonal/>
    </border>
    <border>
      <left/>
      <right style="thin">
        <color rgb="FF000000"/>
      </right>
      <top style="thin">
        <color indexed="64"/>
      </top>
      <bottom style="thin">
        <color rgb="FF000000"/>
      </bottom>
      <diagonal/>
    </border>
    <border>
      <left/>
      <right/>
      <top style="thin">
        <color indexed="64"/>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indexed="64"/>
      </right>
      <top style="thin">
        <color indexed="64"/>
      </top>
      <bottom/>
      <diagonal/>
    </border>
    <border>
      <left style="thin">
        <color rgb="FF000000"/>
      </left>
      <right style="thin">
        <color auto="1"/>
      </right>
      <top style="thin">
        <color auto="1"/>
      </top>
      <bottom style="thin">
        <color auto="1"/>
      </bottom>
      <diagonal/>
    </border>
    <border>
      <left/>
      <right style="thin">
        <color auto="1"/>
      </right>
      <top/>
      <bottom/>
      <diagonal/>
    </border>
  </borders>
  <cellStyleXfs count="3">
    <xf numFmtId="0" fontId="0" fillId="0" borderId="0"/>
    <xf numFmtId="164" fontId="13" fillId="0" borderId="0" applyFont="0" applyFill="0" applyBorder="0" applyAlignment="0" applyProtection="0"/>
    <xf numFmtId="9" fontId="13" fillId="0" borderId="0" applyFont="0" applyFill="0" applyBorder="0" applyAlignment="0" applyProtection="0"/>
  </cellStyleXfs>
  <cellXfs count="930">
    <xf numFmtId="0" fontId="0" fillId="0" borderId="0" xfId="0"/>
    <xf numFmtId="0" fontId="3" fillId="0" borderId="0" xfId="0" applyFont="1"/>
    <xf numFmtId="0" fontId="3" fillId="0" borderId="0" xfId="0" applyFont="1" applyAlignment="1">
      <alignment horizontal="center" wrapText="1"/>
    </xf>
    <xf numFmtId="9" fontId="0" fillId="0" borderId="0" xfId="2" applyFont="1" applyAlignment="1">
      <alignment horizontal="center"/>
    </xf>
    <xf numFmtId="9" fontId="0" fillId="0" borderId="0" xfId="0" applyNumberFormat="1" applyAlignment="1">
      <alignment horizontal="center"/>
    </xf>
    <xf numFmtId="165" fontId="0" fillId="0" borderId="0" xfId="0" applyNumberFormat="1" applyAlignment="1">
      <alignment horizontal="center"/>
    </xf>
    <xf numFmtId="9" fontId="0" fillId="0" borderId="0" xfId="0" applyNumberFormat="1"/>
    <xf numFmtId="0" fontId="0" fillId="0" borderId="0" xfId="0" applyAlignment="1">
      <alignment horizontal="center"/>
    </xf>
    <xf numFmtId="0" fontId="0" fillId="0" borderId="0" xfId="0" applyAlignment="1">
      <alignment horizontal="center" wrapText="1"/>
    </xf>
    <xf numFmtId="0" fontId="0" fillId="2" borderId="0" xfId="0" applyFill="1"/>
    <xf numFmtId="0" fontId="3" fillId="0" borderId="1" xfId="0" applyFont="1" applyBorder="1"/>
    <xf numFmtId="0" fontId="0" fillId="0" borderId="1" xfId="0" applyBorder="1"/>
    <xf numFmtId="0" fontId="3" fillId="3" borderId="1" xfId="0" applyFont="1" applyFill="1" applyBorder="1"/>
    <xf numFmtId="0" fontId="0" fillId="5" borderId="1" xfId="0" applyFill="1" applyBorder="1"/>
    <xf numFmtId="0" fontId="0" fillId="2" borderId="1" xfId="0" applyFill="1" applyBorder="1"/>
    <xf numFmtId="0" fontId="0" fillId="0" borderId="1" xfId="0" applyBorder="1" applyAlignment="1">
      <alignment horizontal="left"/>
    </xf>
    <xf numFmtId="0" fontId="3" fillId="0" borderId="1" xfId="0" applyFont="1" applyBorder="1" applyAlignment="1">
      <alignment horizontal="left"/>
    </xf>
    <xf numFmtId="9" fontId="0" fillId="0" borderId="1" xfId="2" applyFont="1" applyBorder="1" applyAlignment="1">
      <alignment horizontal="left"/>
    </xf>
    <xf numFmtId="9" fontId="0" fillId="0" borderId="1" xfId="0" applyNumberFormat="1" applyBorder="1" applyAlignment="1">
      <alignment horizontal="left"/>
    </xf>
    <xf numFmtId="9" fontId="3" fillId="0" borderId="1" xfId="2" applyFont="1" applyBorder="1" applyAlignment="1">
      <alignment horizontal="left"/>
    </xf>
    <xf numFmtId="9" fontId="0" fillId="0" borderId="1" xfId="0" applyNumberFormat="1" applyBorder="1"/>
    <xf numFmtId="165" fontId="0" fillId="0" borderId="1" xfId="0" applyNumberFormat="1" applyBorder="1" applyAlignment="1">
      <alignment horizontal="left"/>
    </xf>
    <xf numFmtId="9" fontId="3" fillId="0" borderId="1" xfId="0" applyNumberFormat="1" applyFont="1" applyBorder="1" applyAlignment="1">
      <alignment horizontal="left"/>
    </xf>
    <xf numFmtId="0" fontId="0" fillId="3" borderId="1" xfId="0" applyFill="1" applyBorder="1"/>
    <xf numFmtId="0" fontId="0" fillId="0" borderId="1" xfId="2" applyNumberFormat="1" applyFont="1" applyBorder="1" applyAlignment="1">
      <alignment horizontal="left"/>
    </xf>
    <xf numFmtId="0" fontId="3" fillId="3" borderId="1" xfId="2" applyNumberFormat="1" applyFont="1" applyFill="1" applyBorder="1" applyAlignment="1">
      <alignment horizontal="left"/>
    </xf>
    <xf numFmtId="0" fontId="3" fillId="3" borderId="1" xfId="0" applyFont="1" applyFill="1" applyBorder="1" applyAlignment="1">
      <alignment horizontal="left"/>
    </xf>
    <xf numFmtId="9" fontId="3" fillId="0" borderId="1" xfId="2" applyFont="1" applyFill="1" applyBorder="1" applyAlignment="1">
      <alignment horizontal="left"/>
    </xf>
    <xf numFmtId="9" fontId="0" fillId="0" borderId="1" xfId="2" applyFont="1" applyFill="1" applyBorder="1" applyAlignment="1">
      <alignment horizontal="left"/>
    </xf>
    <xf numFmtId="10" fontId="3" fillId="0" borderId="1" xfId="0" applyNumberFormat="1" applyFont="1" applyBorder="1" applyAlignment="1">
      <alignment horizontal="left"/>
    </xf>
    <xf numFmtId="0" fontId="0" fillId="4" borderId="0" xfId="0" applyFill="1"/>
    <xf numFmtId="0" fontId="0" fillId="0" borderId="0" xfId="0" applyAlignment="1">
      <alignment wrapText="1"/>
    </xf>
    <xf numFmtId="0" fontId="0" fillId="7" borderId="0" xfId="0" applyFill="1"/>
    <xf numFmtId="9" fontId="3" fillId="0" borderId="0" xfId="0" applyNumberFormat="1" applyFont="1"/>
    <xf numFmtId="9" fontId="3" fillId="0" borderId="0" xfId="0" applyNumberFormat="1" applyFont="1" applyAlignment="1">
      <alignment horizontal="center"/>
    </xf>
    <xf numFmtId="0" fontId="0" fillId="3" borderId="0" xfId="0" applyFill="1"/>
    <xf numFmtId="166" fontId="0" fillId="0" borderId="0" xfId="1" applyNumberFormat="1" applyFont="1" applyAlignment="1">
      <alignment horizontal="center"/>
    </xf>
    <xf numFmtId="166" fontId="3" fillId="0" borderId="0" xfId="1" applyNumberFormat="1" applyFont="1" applyAlignment="1">
      <alignment horizontal="center"/>
    </xf>
    <xf numFmtId="9" fontId="0" fillId="0" borderId="0" xfId="2" applyFont="1"/>
    <xf numFmtId="0" fontId="6" fillId="7" borderId="0" xfId="0" applyFont="1" applyFill="1" applyAlignment="1">
      <alignment horizontal="left" vertical="center"/>
    </xf>
    <xf numFmtId="9" fontId="0" fillId="4" borderId="0" xfId="0" applyNumberFormat="1" applyFill="1"/>
    <xf numFmtId="165" fontId="3" fillId="0" borderId="0" xfId="0" applyNumberFormat="1" applyFont="1" applyAlignment="1">
      <alignment horizontal="center"/>
    </xf>
    <xf numFmtId="10" fontId="3" fillId="0" borderId="0" xfId="0" applyNumberFormat="1" applyFont="1" applyAlignment="1">
      <alignment horizontal="center"/>
    </xf>
    <xf numFmtId="165" fontId="0" fillId="0" borderId="0" xfId="0" applyNumberFormat="1"/>
    <xf numFmtId="0" fontId="14" fillId="0" borderId="0" xfId="0" applyFont="1"/>
    <xf numFmtId="0" fontId="15" fillId="0" borderId="0" xfId="0" applyFont="1"/>
    <xf numFmtId="0" fontId="16" fillId="0" borderId="0" xfId="0" applyFont="1"/>
    <xf numFmtId="9" fontId="16" fillId="0" borderId="0" xfId="0" applyNumberFormat="1" applyFont="1"/>
    <xf numFmtId="0" fontId="17" fillId="8" borderId="0" xfId="0" applyFont="1" applyFill="1"/>
    <xf numFmtId="0" fontId="17" fillId="0" borderId="0" xfId="0" applyFont="1"/>
    <xf numFmtId="0" fontId="0" fillId="5" borderId="0" xfId="0" applyFill="1"/>
    <xf numFmtId="9" fontId="13" fillId="0" borderId="1" xfId="2" applyBorder="1" applyAlignment="1">
      <alignment horizontal="left"/>
    </xf>
    <xf numFmtId="0" fontId="0" fillId="5" borderId="1" xfId="0" applyFill="1" applyBorder="1" applyAlignment="1">
      <alignment horizontal="left"/>
    </xf>
    <xf numFmtId="0" fontId="3" fillId="5" borderId="1" xfId="0" applyFont="1" applyFill="1" applyBorder="1"/>
    <xf numFmtId="0" fontId="3" fillId="5" borderId="1" xfId="0" applyFont="1" applyFill="1" applyBorder="1" applyAlignment="1">
      <alignment horizontal="left"/>
    </xf>
    <xf numFmtId="9" fontId="3" fillId="5" borderId="1" xfId="2" applyFont="1" applyFill="1" applyBorder="1" applyAlignment="1">
      <alignment horizontal="left"/>
    </xf>
    <xf numFmtId="0" fontId="3" fillId="5" borderId="1" xfId="2" applyNumberFormat="1" applyFont="1" applyFill="1" applyBorder="1" applyAlignment="1">
      <alignment horizontal="left"/>
    </xf>
    <xf numFmtId="0" fontId="3" fillId="5" borderId="0" xfId="0" applyFont="1" applyFill="1"/>
    <xf numFmtId="9" fontId="13" fillId="0" borderId="1" xfId="2" applyFill="1" applyBorder="1" applyAlignment="1">
      <alignment horizontal="left"/>
    </xf>
    <xf numFmtId="9" fontId="13" fillId="5" borderId="1" xfId="2" applyFill="1" applyBorder="1" applyAlignment="1">
      <alignment horizontal="left"/>
    </xf>
    <xf numFmtId="9" fontId="0" fillId="5" borderId="1" xfId="0" applyNumberFormat="1" applyFill="1" applyBorder="1" applyAlignment="1">
      <alignment horizontal="left"/>
    </xf>
    <xf numFmtId="0" fontId="21" fillId="8" borderId="0" xfId="0" applyFont="1" applyFill="1"/>
    <xf numFmtId="0" fontId="22" fillId="0" borderId="0" xfId="0" applyFont="1"/>
    <xf numFmtId="0" fontId="23" fillId="0" borderId="0" xfId="0" applyFont="1"/>
    <xf numFmtId="0" fontId="24" fillId="0" borderId="0" xfId="0" applyFont="1"/>
    <xf numFmtId="9" fontId="24" fillId="0" borderId="0" xfId="0" applyNumberFormat="1" applyFont="1"/>
    <xf numFmtId="0" fontId="25" fillId="0" borderId="0" xfId="0" applyFont="1"/>
    <xf numFmtId="0" fontId="21" fillId="0" borderId="0" xfId="0" applyFont="1"/>
    <xf numFmtId="9" fontId="15" fillId="0" borderId="0" xfId="0" applyNumberFormat="1" applyFont="1"/>
    <xf numFmtId="9" fontId="22" fillId="0" borderId="0" xfId="0" applyNumberFormat="1" applyFont="1"/>
    <xf numFmtId="0" fontId="4" fillId="8" borderId="0" xfId="0" applyFont="1" applyFill="1"/>
    <xf numFmtId="0" fontId="6" fillId="9" borderId="0" xfId="0" applyFont="1" applyFill="1"/>
    <xf numFmtId="9" fontId="16" fillId="9" borderId="0" xfId="0" applyNumberFormat="1" applyFont="1" applyFill="1"/>
    <xf numFmtId="0" fontId="14" fillId="9" borderId="0" xfId="0" applyFont="1" applyFill="1"/>
    <xf numFmtId="9" fontId="14" fillId="9" borderId="0" xfId="0" applyNumberFormat="1" applyFont="1" applyFill="1"/>
    <xf numFmtId="0" fontId="6" fillId="0" borderId="0" xfId="0" applyFont="1"/>
    <xf numFmtId="9" fontId="14" fillId="0" borderId="0" xfId="0" applyNumberFormat="1" applyFont="1"/>
    <xf numFmtId="0" fontId="7" fillId="0" borderId="0" xfId="0" applyFont="1"/>
    <xf numFmtId="0" fontId="26" fillId="9" borderId="0" xfId="0" applyFont="1" applyFill="1"/>
    <xf numFmtId="0" fontId="27" fillId="9" borderId="0" xfId="0" applyFont="1" applyFill="1"/>
    <xf numFmtId="0" fontId="28" fillId="0" borderId="0" xfId="0" applyFont="1"/>
    <xf numFmtId="0" fontId="15" fillId="0" borderId="0" xfId="0" applyFont="1" applyAlignment="1">
      <alignment wrapText="1"/>
    </xf>
    <xf numFmtId="0" fontId="3" fillId="0" borderId="1" xfId="2" applyNumberFormat="1" applyFont="1" applyFill="1" applyBorder="1" applyAlignment="1">
      <alignment horizontal="left"/>
    </xf>
    <xf numFmtId="0" fontId="16" fillId="0" borderId="8" xfId="0" applyFont="1" applyBorder="1"/>
    <xf numFmtId="0" fontId="0" fillId="0" borderId="0" xfId="0" applyAlignment="1">
      <alignment horizontal="left"/>
    </xf>
    <xf numFmtId="0" fontId="0" fillId="0" borderId="10" xfId="0" applyBorder="1"/>
    <xf numFmtId="0" fontId="0" fillId="0" borderId="10" xfId="0" applyBorder="1" applyAlignment="1">
      <alignment horizontal="left"/>
    </xf>
    <xf numFmtId="0" fontId="0" fillId="0" borderId="11" xfId="0" applyBorder="1"/>
    <xf numFmtId="0" fontId="0" fillId="0" borderId="11" xfId="0" applyBorder="1" applyAlignment="1">
      <alignment horizontal="left"/>
    </xf>
    <xf numFmtId="0" fontId="3" fillId="3" borderId="11" xfId="0" applyFont="1" applyFill="1" applyBorder="1"/>
    <xf numFmtId="0" fontId="3" fillId="0" borderId="11" xfId="0" applyFont="1" applyBorder="1" applyAlignment="1">
      <alignment horizontal="left"/>
    </xf>
    <xf numFmtId="0" fontId="0" fillId="0" borderId="6" xfId="0" applyBorder="1"/>
    <xf numFmtId="9" fontId="0" fillId="0" borderId="6" xfId="0" applyNumberFormat="1" applyBorder="1" applyAlignment="1">
      <alignment horizontal="left"/>
    </xf>
    <xf numFmtId="0" fontId="22" fillId="0" borderId="11" xfId="0" applyFont="1" applyBorder="1" applyAlignment="1">
      <alignment wrapText="1"/>
    </xf>
    <xf numFmtId="0" fontId="22" fillId="0" borderId="11" xfId="0" applyFont="1" applyBorder="1"/>
    <xf numFmtId="0" fontId="24" fillId="0" borderId="11" xfId="0" applyFont="1" applyBorder="1"/>
    <xf numFmtId="0" fontId="22" fillId="0" borderId="0" xfId="0" applyFont="1" applyAlignment="1">
      <alignment wrapText="1"/>
    </xf>
    <xf numFmtId="9" fontId="24" fillId="0" borderId="11" xfId="0" applyNumberFormat="1" applyFont="1" applyBorder="1" applyAlignment="1">
      <alignment wrapText="1"/>
    </xf>
    <xf numFmtId="9" fontId="24" fillId="0" borderId="11" xfId="0" applyNumberFormat="1" applyFont="1" applyBorder="1"/>
    <xf numFmtId="0" fontId="16" fillId="12" borderId="0" xfId="0" applyFont="1" applyFill="1"/>
    <xf numFmtId="0" fontId="0" fillId="12" borderId="0" xfId="0" applyFill="1"/>
    <xf numFmtId="0" fontId="17" fillId="8" borderId="11" xfId="0" applyFont="1" applyFill="1" applyBorder="1"/>
    <xf numFmtId="0" fontId="14" fillId="0" borderId="11" xfId="0" applyFont="1" applyBorder="1"/>
    <xf numFmtId="0" fontId="15" fillId="0" borderId="11" xfId="0" applyFont="1" applyBorder="1" applyAlignment="1">
      <alignment wrapText="1"/>
    </xf>
    <xf numFmtId="9" fontId="16" fillId="0" borderId="11" xfId="0" applyNumberFormat="1" applyFont="1" applyBorder="1"/>
    <xf numFmtId="0" fontId="14" fillId="12" borderId="0" xfId="0" applyFont="1" applyFill="1"/>
    <xf numFmtId="9" fontId="22" fillId="0" borderId="11" xfId="0" applyNumberFormat="1" applyFont="1" applyBorder="1" applyAlignment="1">
      <alignment wrapText="1"/>
    </xf>
    <xf numFmtId="9" fontId="22" fillId="0" borderId="11" xfId="0" applyNumberFormat="1" applyFont="1" applyBorder="1"/>
    <xf numFmtId="0" fontId="0" fillId="12" borderId="0" xfId="0" applyFill="1" applyAlignment="1">
      <alignment horizontal="left"/>
    </xf>
    <xf numFmtId="0" fontId="0" fillId="12" borderId="1" xfId="0" applyFill="1" applyBorder="1"/>
    <xf numFmtId="0" fontId="0" fillId="12" borderId="1" xfId="0" applyFill="1" applyBorder="1" applyAlignment="1">
      <alignment horizontal="left"/>
    </xf>
    <xf numFmtId="9" fontId="24" fillId="0" borderId="19" xfId="0" applyNumberFormat="1" applyFont="1" applyBorder="1" applyAlignment="1">
      <alignment wrapText="1"/>
    </xf>
    <xf numFmtId="9" fontId="24" fillId="0" borderId="19" xfId="0" applyNumberFormat="1" applyFont="1" applyBorder="1"/>
    <xf numFmtId="0" fontId="24" fillId="0" borderId="19" xfId="0" applyFont="1" applyBorder="1"/>
    <xf numFmtId="0" fontId="21" fillId="12" borderId="0" xfId="0" applyFont="1" applyFill="1"/>
    <xf numFmtId="0" fontId="17" fillId="12" borderId="0" xfId="0" applyFont="1" applyFill="1"/>
    <xf numFmtId="0" fontId="22" fillId="12" borderId="0" xfId="0" applyFont="1" applyFill="1"/>
    <xf numFmtId="0" fontId="15" fillId="12" borderId="0" xfId="0" applyFont="1" applyFill="1"/>
    <xf numFmtId="0" fontId="24" fillId="12" borderId="0" xfId="0" applyFont="1" applyFill="1"/>
    <xf numFmtId="0" fontId="25" fillId="0" borderId="0" xfId="0" applyFont="1" applyAlignment="1">
      <alignment wrapText="1"/>
    </xf>
    <xf numFmtId="0" fontId="16" fillId="0" borderId="11" xfId="0" applyFont="1" applyBorder="1"/>
    <xf numFmtId="0" fontId="16" fillId="0" borderId="20" xfId="0" applyFont="1" applyBorder="1"/>
    <xf numFmtId="9" fontId="16" fillId="0" borderId="20" xfId="0" applyNumberFormat="1" applyFont="1" applyBorder="1"/>
    <xf numFmtId="0" fontId="16" fillId="0" borderId="11" xfId="0" applyFont="1" applyBorder="1" applyAlignment="1">
      <alignment wrapText="1"/>
    </xf>
    <xf numFmtId="9" fontId="0" fillId="4" borderId="11" xfId="0" applyNumberFormat="1" applyFill="1" applyBorder="1"/>
    <xf numFmtId="9" fontId="0" fillId="0" borderId="11" xfId="0" applyNumberFormat="1" applyBorder="1"/>
    <xf numFmtId="9" fontId="0" fillId="5" borderId="11" xfId="0" applyNumberFormat="1" applyFill="1" applyBorder="1"/>
    <xf numFmtId="0" fontId="15" fillId="0" borderId="11" xfId="0" applyFont="1" applyBorder="1"/>
    <xf numFmtId="0" fontId="0" fillId="5" borderId="11" xfId="0" applyFill="1" applyBorder="1"/>
    <xf numFmtId="9" fontId="24" fillId="4" borderId="11" xfId="0" applyNumberFormat="1" applyFont="1" applyFill="1" applyBorder="1"/>
    <xf numFmtId="0" fontId="0" fillId="0" borderId="19" xfId="0" applyBorder="1"/>
    <xf numFmtId="9" fontId="0" fillId="0" borderId="19" xfId="0" applyNumberFormat="1" applyBorder="1"/>
    <xf numFmtId="9" fontId="0" fillId="0" borderId="12" xfId="0" applyNumberFormat="1" applyBorder="1"/>
    <xf numFmtId="0" fontId="0" fillId="0" borderId="13" xfId="0" applyBorder="1"/>
    <xf numFmtId="0" fontId="0" fillId="0" borderId="12" xfId="0" applyBorder="1"/>
    <xf numFmtId="9" fontId="30" fillId="4" borderId="11" xfId="0" applyNumberFormat="1" applyFont="1" applyFill="1" applyBorder="1"/>
    <xf numFmtId="0" fontId="14" fillId="0" borderId="11" xfId="0" applyFont="1" applyBorder="1" applyAlignment="1">
      <alignment wrapText="1"/>
    </xf>
    <xf numFmtId="9" fontId="17" fillId="0" borderId="0" xfId="0" applyNumberFormat="1" applyFont="1"/>
    <xf numFmtId="0" fontId="23" fillId="0" borderId="0" xfId="0" applyFont="1" applyAlignment="1">
      <alignment wrapText="1"/>
    </xf>
    <xf numFmtId="9" fontId="3" fillId="0" borderId="11" xfId="0" applyNumberFormat="1" applyFont="1" applyBorder="1"/>
    <xf numFmtId="9" fontId="22" fillId="0" borderId="19" xfId="0" applyNumberFormat="1" applyFont="1" applyBorder="1"/>
    <xf numFmtId="9" fontId="30" fillId="0" borderId="11" xfId="0" applyNumberFormat="1" applyFont="1" applyBorder="1"/>
    <xf numFmtId="0" fontId="0" fillId="0" borderId="20" xfId="0" applyBorder="1"/>
    <xf numFmtId="0" fontId="0" fillId="0" borderId="20" xfId="0" applyBorder="1" applyAlignment="1">
      <alignment horizontal="left"/>
    </xf>
    <xf numFmtId="9" fontId="30" fillId="0" borderId="0" xfId="0" applyNumberFormat="1" applyFont="1"/>
    <xf numFmtId="0" fontId="3" fillId="0" borderId="0" xfId="0" applyFont="1" applyAlignment="1">
      <alignment wrapText="1"/>
    </xf>
    <xf numFmtId="0" fontId="22" fillId="0" borderId="20" xfId="0" applyFont="1" applyBorder="1" applyAlignment="1">
      <alignment wrapText="1"/>
    </xf>
    <xf numFmtId="0" fontId="22" fillId="0" borderId="20" xfId="0" applyFont="1" applyBorder="1"/>
    <xf numFmtId="9" fontId="0" fillId="0" borderId="17" xfId="0" applyNumberFormat="1" applyBorder="1"/>
    <xf numFmtId="9" fontId="3" fillId="0" borderId="19" xfId="0" applyNumberFormat="1" applyFont="1" applyBorder="1"/>
    <xf numFmtId="0" fontId="19" fillId="8" borderId="11" xfId="0" applyFont="1" applyFill="1" applyBorder="1"/>
    <xf numFmtId="0" fontId="22" fillId="0" borderId="26" xfId="0" applyFont="1" applyBorder="1"/>
    <xf numFmtId="9" fontId="24" fillId="0" borderId="20" xfId="0" applyNumberFormat="1" applyFont="1" applyBorder="1" applyAlignment="1">
      <alignment wrapText="1"/>
    </xf>
    <xf numFmtId="9" fontId="24" fillId="0" borderId="20" xfId="0" applyNumberFormat="1" applyFont="1" applyBorder="1"/>
    <xf numFmtId="9" fontId="0" fillId="0" borderId="20" xfId="0" applyNumberFormat="1" applyBorder="1"/>
    <xf numFmtId="9" fontId="0" fillId="0" borderId="26" xfId="0" applyNumberFormat="1" applyBorder="1"/>
    <xf numFmtId="9" fontId="0" fillId="4" borderId="19" xfId="0" applyNumberFormat="1" applyFill="1" applyBorder="1"/>
    <xf numFmtId="0" fontId="20" fillId="0" borderId="11" xfId="0" applyFont="1" applyBorder="1" applyAlignment="1">
      <alignment wrapText="1"/>
    </xf>
    <xf numFmtId="9" fontId="20" fillId="0" borderId="11" xfId="0" applyNumberFormat="1" applyFont="1" applyBorder="1"/>
    <xf numFmtId="0" fontId="20" fillId="0" borderId="11" xfId="0" applyFont="1" applyBorder="1"/>
    <xf numFmtId="9" fontId="0" fillId="4" borderId="12" xfId="0" applyNumberFormat="1" applyFill="1" applyBorder="1"/>
    <xf numFmtId="9" fontId="24" fillId="4" borderId="11" xfId="0" applyNumberFormat="1" applyFont="1" applyFill="1" applyBorder="1" applyAlignment="1">
      <alignment wrapText="1"/>
    </xf>
    <xf numFmtId="9" fontId="0" fillId="4" borderId="17" xfId="0" applyNumberFormat="1" applyFill="1" applyBorder="1"/>
    <xf numFmtId="9" fontId="24" fillId="4" borderId="19" xfId="0" applyNumberFormat="1" applyFont="1" applyFill="1" applyBorder="1"/>
    <xf numFmtId="0" fontId="24" fillId="0" borderId="19" xfId="0" applyFont="1" applyBorder="1" applyAlignment="1">
      <alignment wrapText="1"/>
    </xf>
    <xf numFmtId="9" fontId="0" fillId="0" borderId="13" xfId="0" applyNumberFormat="1" applyBorder="1"/>
    <xf numFmtId="165" fontId="0" fillId="4" borderId="11" xfId="0" applyNumberFormat="1" applyFill="1" applyBorder="1"/>
    <xf numFmtId="0" fontId="18" fillId="8" borderId="11" xfId="0" applyFont="1" applyFill="1" applyBorder="1"/>
    <xf numFmtId="9" fontId="3" fillId="12" borderId="1" xfId="0" applyNumberFormat="1" applyFont="1" applyFill="1" applyBorder="1" applyAlignment="1">
      <alignment horizontal="left"/>
    </xf>
    <xf numFmtId="9" fontId="0" fillId="12" borderId="1" xfId="0" applyNumberFormat="1" applyFill="1" applyBorder="1" applyAlignment="1">
      <alignment horizontal="left"/>
    </xf>
    <xf numFmtId="9" fontId="3" fillId="5" borderId="1" xfId="0" applyNumberFormat="1" applyFont="1" applyFill="1" applyBorder="1" applyAlignment="1">
      <alignment horizontal="left"/>
    </xf>
    <xf numFmtId="0" fontId="24" fillId="0" borderId="11" xfId="0" applyFont="1" applyBorder="1" applyAlignment="1">
      <alignment wrapText="1"/>
    </xf>
    <xf numFmtId="0" fontId="3" fillId="0" borderId="0" xfId="0" applyFont="1" applyAlignment="1">
      <alignment horizontal="center"/>
    </xf>
    <xf numFmtId="0" fontId="22" fillId="0" borderId="17" xfId="0" applyFont="1" applyBorder="1" applyAlignment="1">
      <alignment horizontal="center" wrapText="1"/>
    </xf>
    <xf numFmtId="0" fontId="22" fillId="0" borderId="16" xfId="0" applyFont="1" applyBorder="1" applyAlignment="1">
      <alignment horizontal="center" wrapText="1"/>
    </xf>
    <xf numFmtId="9" fontId="22" fillId="0" borderId="0" xfId="0" applyNumberFormat="1" applyFont="1" applyAlignment="1">
      <alignment wrapText="1"/>
    </xf>
    <xf numFmtId="165" fontId="0" fillId="0" borderId="11" xfId="0" applyNumberFormat="1" applyBorder="1"/>
    <xf numFmtId="0" fontId="3" fillId="0" borderId="0" xfId="0" applyFont="1" applyAlignment="1">
      <alignment horizontal="left"/>
    </xf>
    <xf numFmtId="9" fontId="13" fillId="0" borderId="10" xfId="2" applyBorder="1" applyAlignment="1">
      <alignment horizontal="left"/>
    </xf>
    <xf numFmtId="0" fontId="4" fillId="3" borderId="6" xfId="0" applyFont="1" applyFill="1" applyBorder="1" applyAlignment="1">
      <alignment horizontal="left" vertical="center"/>
    </xf>
    <xf numFmtId="0" fontId="3" fillId="0" borderId="6" xfId="0" applyFont="1" applyBorder="1" applyAlignment="1">
      <alignment horizontal="left"/>
    </xf>
    <xf numFmtId="0" fontId="14" fillId="8" borderId="11" xfId="0" applyFont="1" applyFill="1" applyBorder="1"/>
    <xf numFmtId="9" fontId="13" fillId="0" borderId="0" xfId="2" applyBorder="1" applyAlignment="1">
      <alignment horizontal="left"/>
    </xf>
    <xf numFmtId="9" fontId="0" fillId="0" borderId="10" xfId="0" applyNumberFormat="1" applyBorder="1" applyAlignment="1">
      <alignment horizontal="left"/>
    </xf>
    <xf numFmtId="9" fontId="0" fillId="0" borderId="11" xfId="0" applyNumberFormat="1" applyBorder="1" applyAlignment="1">
      <alignment horizontal="left"/>
    </xf>
    <xf numFmtId="9" fontId="3" fillId="0" borderId="0" xfId="2" applyFont="1" applyBorder="1" applyAlignment="1">
      <alignment horizontal="left"/>
    </xf>
    <xf numFmtId="0" fontId="4" fillId="3" borderId="11" xfId="0" applyFont="1" applyFill="1" applyBorder="1" applyAlignment="1">
      <alignment horizontal="left" vertical="center"/>
    </xf>
    <xf numFmtId="0" fontId="0" fillId="0" borderId="1" xfId="0" applyBorder="1" applyAlignment="1">
      <alignment wrapText="1"/>
    </xf>
    <xf numFmtId="0" fontId="3" fillId="0" borderId="11" xfId="0" applyFont="1" applyBorder="1" applyAlignment="1">
      <alignment horizontal="left" wrapText="1"/>
    </xf>
    <xf numFmtId="0" fontId="0" fillId="0" borderId="6" xfId="0" applyBorder="1" applyAlignment="1">
      <alignment wrapText="1"/>
    </xf>
    <xf numFmtId="0" fontId="0" fillId="0" borderId="10" xfId="0" applyBorder="1" applyAlignment="1">
      <alignment wrapText="1"/>
    </xf>
    <xf numFmtId="0" fontId="0" fillId="0" borderId="11" xfId="0" applyBorder="1" applyAlignment="1">
      <alignment wrapText="1"/>
    </xf>
    <xf numFmtId="0" fontId="3" fillId="12" borderId="0" xfId="0" applyFont="1" applyFill="1"/>
    <xf numFmtId="9" fontId="30" fillId="0" borderId="19" xfId="0" applyNumberFormat="1" applyFont="1" applyBorder="1"/>
    <xf numFmtId="0" fontId="0" fillId="0" borderId="5" xfId="0" applyBorder="1"/>
    <xf numFmtId="9" fontId="13" fillId="0" borderId="11" xfId="2" applyBorder="1" applyAlignment="1">
      <alignment horizontal="left"/>
    </xf>
    <xf numFmtId="9" fontId="13" fillId="0" borderId="9" xfId="2" applyBorder="1" applyAlignment="1">
      <alignment horizontal="left"/>
    </xf>
    <xf numFmtId="0" fontId="0" fillId="0" borderId="9" xfId="0" applyBorder="1" applyAlignment="1">
      <alignment wrapText="1"/>
    </xf>
    <xf numFmtId="9" fontId="13" fillId="0" borderId="5" xfId="2" applyBorder="1"/>
    <xf numFmtId="9" fontId="13" fillId="0" borderId="0" xfId="2" applyBorder="1"/>
    <xf numFmtId="9" fontId="13" fillId="0" borderId="6" xfId="2" applyBorder="1" applyAlignment="1">
      <alignment horizontal="left"/>
    </xf>
    <xf numFmtId="0" fontId="8" fillId="0" borderId="0" xfId="0" applyFont="1" applyAlignment="1">
      <alignment horizontal="left" vertical="center"/>
    </xf>
    <xf numFmtId="9" fontId="0" fillId="0" borderId="0" xfId="2" applyFont="1" applyFill="1" applyBorder="1" applyAlignment="1">
      <alignment horizontal="left"/>
    </xf>
    <xf numFmtId="0" fontId="8" fillId="12" borderId="0" xfId="0" applyFont="1" applyFill="1" applyAlignment="1">
      <alignment horizontal="left" vertical="center"/>
    </xf>
    <xf numFmtId="9" fontId="0" fillId="12" borderId="0" xfId="2" applyFont="1" applyFill="1" applyBorder="1" applyAlignment="1">
      <alignment horizontal="left"/>
    </xf>
    <xf numFmtId="9" fontId="3" fillId="0" borderId="10" xfId="2" applyFont="1" applyBorder="1" applyAlignment="1">
      <alignment horizontal="left"/>
    </xf>
    <xf numFmtId="0" fontId="4" fillId="5" borderId="0" xfId="0" applyFont="1" applyFill="1" applyAlignment="1">
      <alignment horizontal="left" vertical="center"/>
    </xf>
    <xf numFmtId="0" fontId="3" fillId="5" borderId="0" xfId="0" applyFont="1" applyFill="1" applyAlignment="1">
      <alignment horizontal="left"/>
    </xf>
    <xf numFmtId="9" fontId="3" fillId="5" borderId="0" xfId="2" applyFont="1" applyFill="1" applyBorder="1" applyAlignment="1">
      <alignment horizontal="left"/>
    </xf>
    <xf numFmtId="0" fontId="4" fillId="5" borderId="10" xfId="0" applyFont="1" applyFill="1" applyBorder="1" applyAlignment="1">
      <alignment horizontal="left" vertical="center"/>
    </xf>
    <xf numFmtId="9" fontId="3" fillId="5" borderId="10" xfId="2" applyFont="1" applyFill="1" applyBorder="1" applyAlignment="1">
      <alignment horizontal="left"/>
    </xf>
    <xf numFmtId="9" fontId="3" fillId="0" borderId="0" xfId="0" applyNumberFormat="1" applyFont="1" applyAlignment="1">
      <alignment horizontal="left"/>
    </xf>
    <xf numFmtId="9" fontId="3" fillId="0" borderId="10" xfId="0" applyNumberFormat="1" applyFont="1" applyBorder="1" applyAlignment="1">
      <alignment horizontal="left"/>
    </xf>
    <xf numFmtId="9" fontId="24" fillId="0" borderId="0" xfId="0" applyNumberFormat="1" applyFont="1" applyAlignment="1">
      <alignment wrapText="1"/>
    </xf>
    <xf numFmtId="0" fontId="31" fillId="3" borderId="1" xfId="0" applyFont="1" applyFill="1" applyBorder="1"/>
    <xf numFmtId="9" fontId="24" fillId="4" borderId="19" xfId="0" applyNumberFormat="1" applyFont="1" applyFill="1" applyBorder="1" applyAlignment="1">
      <alignment wrapText="1"/>
    </xf>
    <xf numFmtId="0" fontId="30" fillId="0" borderId="1" xfId="0" applyFont="1" applyBorder="1" applyAlignment="1">
      <alignment wrapText="1"/>
    </xf>
    <xf numFmtId="0" fontId="30" fillId="0" borderId="1" xfId="0" applyFont="1" applyBorder="1"/>
    <xf numFmtId="0" fontId="31" fillId="0" borderId="1" xfId="0" applyFont="1" applyBorder="1"/>
    <xf numFmtId="0" fontId="22" fillId="10" borderId="14" xfId="0" applyFont="1" applyFill="1" applyBorder="1" applyAlignment="1">
      <alignment horizontal="center"/>
    </xf>
    <xf numFmtId="0" fontId="22" fillId="10" borderId="13" xfId="0" applyFont="1" applyFill="1" applyBorder="1" applyAlignment="1">
      <alignment horizontal="center"/>
    </xf>
    <xf numFmtId="0" fontId="22" fillId="10" borderId="11" xfId="0" applyFont="1" applyFill="1" applyBorder="1"/>
    <xf numFmtId="0" fontId="32" fillId="3" borderId="1" xfId="0" applyFont="1" applyFill="1" applyBorder="1" applyAlignment="1">
      <alignment wrapText="1"/>
    </xf>
    <xf numFmtId="0" fontId="32" fillId="3" borderId="10" xfId="0" applyFont="1" applyFill="1" applyBorder="1" applyAlignment="1">
      <alignment wrapText="1"/>
    </xf>
    <xf numFmtId="9" fontId="0" fillId="0" borderId="0" xfId="2" applyFont="1" applyAlignment="1">
      <alignment wrapText="1"/>
    </xf>
    <xf numFmtId="9" fontId="32" fillId="0" borderId="0" xfId="0" applyNumberFormat="1" applyFont="1" applyAlignment="1">
      <alignment wrapText="1"/>
    </xf>
    <xf numFmtId="9" fontId="0" fillId="0" borderId="0" xfId="0" applyNumberFormat="1" applyAlignment="1">
      <alignment wrapText="1"/>
    </xf>
    <xf numFmtId="10" fontId="0" fillId="0" borderId="1" xfId="0" applyNumberFormat="1" applyBorder="1" applyAlignment="1">
      <alignment horizontal="left"/>
    </xf>
    <xf numFmtId="10" fontId="3" fillId="0" borderId="1" xfId="2" applyNumberFormat="1" applyFont="1" applyBorder="1" applyAlignment="1">
      <alignment horizontal="left"/>
    </xf>
    <xf numFmtId="10" fontId="0" fillId="0" borderId="0" xfId="0" applyNumberFormat="1"/>
    <xf numFmtId="165" fontId="3" fillId="0" borderId="1" xfId="0" applyNumberFormat="1" applyFont="1" applyBorder="1" applyAlignment="1">
      <alignment horizontal="left"/>
    </xf>
    <xf numFmtId="165" fontId="3" fillId="0" borderId="1" xfId="2" applyNumberFormat="1" applyFont="1" applyFill="1" applyBorder="1" applyAlignment="1">
      <alignment horizontal="left"/>
    </xf>
    <xf numFmtId="9" fontId="0" fillId="0" borderId="0" xfId="0" applyNumberFormat="1" applyAlignment="1">
      <alignment horizontal="left"/>
    </xf>
    <xf numFmtId="0" fontId="22" fillId="0" borderId="1" xfId="0" applyFont="1" applyBorder="1"/>
    <xf numFmtId="165" fontId="3" fillId="0" borderId="1" xfId="2" applyNumberFormat="1" applyFont="1" applyBorder="1" applyAlignment="1">
      <alignment horizontal="left"/>
    </xf>
    <xf numFmtId="165" fontId="0" fillId="0" borderId="1" xfId="2" applyNumberFormat="1" applyFont="1" applyFill="1" applyBorder="1" applyAlignment="1">
      <alignment horizontal="left"/>
    </xf>
    <xf numFmtId="165" fontId="0" fillId="4" borderId="0" xfId="0" applyNumberFormat="1" applyFill="1"/>
    <xf numFmtId="0" fontId="14" fillId="11" borderId="0" xfId="0" applyFont="1" applyFill="1" applyAlignment="1">
      <alignment wrapText="1"/>
    </xf>
    <xf numFmtId="0" fontId="14" fillId="0" borderId="0" xfId="0" applyFont="1" applyAlignment="1">
      <alignment wrapText="1"/>
    </xf>
    <xf numFmtId="0" fontId="22" fillId="11" borderId="0" xfId="0" applyFont="1" applyFill="1" applyAlignment="1">
      <alignment wrapText="1"/>
    </xf>
    <xf numFmtId="0" fontId="3" fillId="3" borderId="0" xfId="0" applyFont="1" applyFill="1"/>
    <xf numFmtId="0" fontId="15" fillId="0" borderId="1" xfId="0" applyFont="1" applyBorder="1"/>
    <xf numFmtId="0" fontId="17" fillId="0" borderId="1" xfId="0" applyFont="1" applyBorder="1"/>
    <xf numFmtId="0" fontId="17" fillId="3" borderId="1" xfId="0" applyFont="1" applyFill="1" applyBorder="1"/>
    <xf numFmtId="0" fontId="3" fillId="5" borderId="10" xfId="0" applyFont="1" applyFill="1" applyBorder="1" applyAlignment="1">
      <alignment horizontal="left"/>
    </xf>
    <xf numFmtId="9" fontId="3" fillId="5" borderId="10" xfId="0" applyNumberFormat="1" applyFont="1" applyFill="1" applyBorder="1" applyAlignment="1">
      <alignment horizontal="left"/>
    </xf>
    <xf numFmtId="0" fontId="0" fillId="12" borderId="6" xfId="0" applyFill="1" applyBorder="1"/>
    <xf numFmtId="9" fontId="3" fillId="12" borderId="6" xfId="0" applyNumberFormat="1" applyFont="1" applyFill="1" applyBorder="1" applyAlignment="1">
      <alignment horizontal="left"/>
    </xf>
    <xf numFmtId="9" fontId="0" fillId="12" borderId="6" xfId="0" applyNumberFormat="1" applyFill="1" applyBorder="1" applyAlignment="1">
      <alignment horizontal="left"/>
    </xf>
    <xf numFmtId="0" fontId="0" fillId="12" borderId="6" xfId="0" applyFill="1" applyBorder="1" applyAlignment="1">
      <alignment horizontal="left"/>
    </xf>
    <xf numFmtId="0" fontId="3" fillId="5" borderId="11" xfId="0" applyFont="1" applyFill="1" applyBorder="1" applyAlignment="1">
      <alignment horizontal="left"/>
    </xf>
    <xf numFmtId="9" fontId="3" fillId="5" borderId="11" xfId="0" applyNumberFormat="1" applyFont="1" applyFill="1" applyBorder="1" applyAlignment="1">
      <alignment horizontal="left"/>
    </xf>
    <xf numFmtId="0" fontId="3" fillId="0" borderId="10" xfId="0" applyFont="1" applyBorder="1"/>
    <xf numFmtId="0" fontId="3" fillId="0" borderId="13" xfId="0" applyFont="1" applyBorder="1" applyAlignment="1">
      <alignment horizontal="left"/>
    </xf>
    <xf numFmtId="9" fontId="3" fillId="0" borderId="0" xfId="0" applyNumberFormat="1" applyFont="1" applyAlignment="1">
      <alignment wrapText="1"/>
    </xf>
    <xf numFmtId="0" fontId="32" fillId="0" borderId="0" xfId="0" applyFont="1" applyAlignment="1">
      <alignment wrapText="1"/>
    </xf>
    <xf numFmtId="0" fontId="34" fillId="0" borderId="1" xfId="0" applyFont="1" applyBorder="1"/>
    <xf numFmtId="0" fontId="34" fillId="2" borderId="1" xfId="0" applyFont="1" applyFill="1" applyBorder="1"/>
    <xf numFmtId="0" fontId="17" fillId="8" borderId="10" xfId="0" applyFont="1" applyFill="1" applyBorder="1" applyAlignment="1">
      <alignment wrapText="1"/>
    </xf>
    <xf numFmtId="0" fontId="22" fillId="0" borderId="29" xfId="0" applyFont="1" applyBorder="1"/>
    <xf numFmtId="0" fontId="24" fillId="0" borderId="0" xfId="0" applyFont="1" applyAlignment="1">
      <alignment wrapText="1"/>
    </xf>
    <xf numFmtId="0" fontId="35" fillId="0" borderId="0" xfId="0" applyFont="1"/>
    <xf numFmtId="0" fontId="30" fillId="0" borderId="1" xfId="0" applyFont="1" applyBorder="1" applyAlignment="1">
      <alignment horizontal="left"/>
    </xf>
    <xf numFmtId="10" fontId="30" fillId="0" borderId="1" xfId="0" applyNumberFormat="1" applyFont="1" applyBorder="1" applyAlignment="1">
      <alignment horizontal="left"/>
    </xf>
    <xf numFmtId="9" fontId="30" fillId="0" borderId="1" xfId="0" applyNumberFormat="1" applyFont="1" applyBorder="1" applyAlignment="1">
      <alignment horizontal="left"/>
    </xf>
    <xf numFmtId="0" fontId="38" fillId="0" borderId="0" xfId="0" applyFont="1"/>
    <xf numFmtId="0" fontId="39" fillId="3" borderId="0" xfId="0" applyFont="1" applyFill="1"/>
    <xf numFmtId="0" fontId="41" fillId="3" borderId="0" xfId="0" applyFont="1" applyFill="1"/>
    <xf numFmtId="0" fontId="22" fillId="0" borderId="12" xfId="0" applyFont="1" applyBorder="1" applyAlignment="1">
      <alignment horizontal="center"/>
    </xf>
    <xf numFmtId="0" fontId="22" fillId="0" borderId="14" xfId="0" applyFont="1" applyBorder="1" applyAlignment="1">
      <alignment horizontal="center"/>
    </xf>
    <xf numFmtId="0" fontId="22" fillId="0" borderId="13" xfId="0" applyFont="1" applyBorder="1" applyAlignment="1">
      <alignment horizontal="center"/>
    </xf>
    <xf numFmtId="0" fontId="22" fillId="0" borderId="12" xfId="0" applyFont="1" applyBorder="1" applyAlignment="1">
      <alignment horizontal="center" wrapText="1"/>
    </xf>
    <xf numFmtId="0" fontId="3" fillId="0" borderId="12" xfId="0" applyFont="1" applyBorder="1" applyAlignment="1">
      <alignment horizontal="center" wrapText="1"/>
    </xf>
    <xf numFmtId="0" fontId="3" fillId="0" borderId="13" xfId="0" applyFont="1" applyBorder="1" applyAlignment="1">
      <alignment horizontal="center" wrapText="1"/>
    </xf>
    <xf numFmtId="0" fontId="22" fillId="0" borderId="13" xfId="0" applyFont="1" applyBorder="1" applyAlignment="1">
      <alignment horizontal="center" wrapText="1"/>
    </xf>
    <xf numFmtId="9" fontId="0" fillId="0" borderId="0" xfId="0" applyNumberFormat="1" applyAlignment="1">
      <alignment horizontal="right"/>
    </xf>
    <xf numFmtId="0" fontId="24" fillId="5" borderId="11" xfId="0" applyFont="1" applyFill="1" applyBorder="1" applyAlignment="1">
      <alignment wrapText="1"/>
    </xf>
    <xf numFmtId="0" fontId="24" fillId="5" borderId="11" xfId="0" applyFont="1" applyFill="1" applyBorder="1"/>
    <xf numFmtId="0" fontId="22" fillId="0" borderId="13" xfId="0" applyFont="1" applyBorder="1" applyAlignment="1">
      <alignment wrapText="1"/>
    </xf>
    <xf numFmtId="0" fontId="22" fillId="0" borderId="0" xfId="0" applyFont="1" applyAlignment="1">
      <alignment horizontal="center" wrapText="1"/>
    </xf>
    <xf numFmtId="0" fontId="22" fillId="5" borderId="11" xfId="0" applyFont="1" applyFill="1" applyBorder="1"/>
    <xf numFmtId="0" fontId="14" fillId="0" borderId="31" xfId="0" applyFont="1" applyBorder="1" applyAlignment="1">
      <alignment wrapText="1"/>
    </xf>
    <xf numFmtId="0" fontId="22" fillId="0" borderId="31" xfId="0" applyFont="1" applyBorder="1" applyAlignment="1">
      <alignment wrapText="1"/>
    </xf>
    <xf numFmtId="0" fontId="22" fillId="0" borderId="30" xfId="0" applyFont="1" applyBorder="1" applyAlignment="1">
      <alignment wrapText="1"/>
    </xf>
    <xf numFmtId="0" fontId="3" fillId="0" borderId="13" xfId="0" applyFont="1" applyBorder="1" applyAlignment="1">
      <alignment horizontal="center"/>
    </xf>
    <xf numFmtId="9" fontId="24" fillId="5" borderId="11" xfId="0" applyNumberFormat="1" applyFont="1" applyFill="1" applyBorder="1" applyAlignment="1">
      <alignment wrapText="1"/>
    </xf>
    <xf numFmtId="9" fontId="24" fillId="5" borderId="11" xfId="0" applyNumberFormat="1" applyFont="1" applyFill="1" applyBorder="1"/>
    <xf numFmtId="9" fontId="0" fillId="5" borderId="0" xfId="0" applyNumberFormat="1" applyFill="1" applyAlignment="1">
      <alignment horizontal="left"/>
    </xf>
    <xf numFmtId="10" fontId="0" fillId="5" borderId="0" xfId="0" applyNumberFormat="1" applyFill="1" applyAlignment="1">
      <alignment horizontal="left"/>
    </xf>
    <xf numFmtId="10" fontId="0" fillId="0" borderId="0" xfId="0" applyNumberFormat="1" applyAlignment="1">
      <alignment horizontal="left"/>
    </xf>
    <xf numFmtId="0" fontId="43" fillId="0" borderId="0" xfId="0" applyFont="1"/>
    <xf numFmtId="0" fontId="3" fillId="0" borderId="29" xfId="0" applyFont="1" applyBorder="1" applyAlignment="1">
      <alignment horizontal="left"/>
    </xf>
    <xf numFmtId="9" fontId="45" fillId="0" borderId="11" xfId="0" applyNumberFormat="1" applyFont="1" applyBorder="1" applyAlignment="1">
      <alignment wrapText="1"/>
    </xf>
    <xf numFmtId="9" fontId="45" fillId="0" borderId="11" xfId="0" applyNumberFormat="1" applyFont="1" applyBorder="1"/>
    <xf numFmtId="0" fontId="22" fillId="10" borderId="11" xfId="0" applyFont="1" applyFill="1" applyBorder="1" applyAlignment="1">
      <alignment horizontal="center"/>
    </xf>
    <xf numFmtId="0" fontId="22" fillId="0" borderId="11" xfId="0" applyFont="1" applyBorder="1" applyAlignment="1">
      <alignment horizontal="center"/>
    </xf>
    <xf numFmtId="0" fontId="17" fillId="8" borderId="1" xfId="0" applyFont="1" applyFill="1" applyBorder="1"/>
    <xf numFmtId="0" fontId="17" fillId="0" borderId="1" xfId="0" applyFont="1" applyBorder="1" applyAlignment="1">
      <alignment horizontal="left"/>
    </xf>
    <xf numFmtId="0" fontId="3" fillId="0" borderId="1" xfId="2" applyNumberFormat="1" applyFont="1" applyBorder="1" applyAlignment="1">
      <alignment horizontal="left"/>
    </xf>
    <xf numFmtId="0" fontId="46" fillId="8" borderId="1" xfId="0" applyFont="1" applyFill="1" applyBorder="1"/>
    <xf numFmtId="9" fontId="17" fillId="0" borderId="0" xfId="2" applyFont="1" applyBorder="1" applyAlignment="1">
      <alignment horizontal="left"/>
    </xf>
    <xf numFmtId="0" fontId="47" fillId="0" borderId="0" xfId="0" applyFont="1" applyAlignment="1">
      <alignment vertical="center"/>
    </xf>
    <xf numFmtId="0" fontId="47" fillId="0" borderId="0" xfId="0" applyFont="1"/>
    <xf numFmtId="0" fontId="49" fillId="3" borderId="0" xfId="0" applyFont="1" applyFill="1" applyAlignment="1">
      <alignment vertical="center"/>
    </xf>
    <xf numFmtId="0" fontId="50" fillId="0" borderId="0" xfId="0" applyFont="1" applyAlignment="1">
      <alignment vertical="center"/>
    </xf>
    <xf numFmtId="0" fontId="52" fillId="0" borderId="0" xfId="0" applyFont="1" applyAlignment="1">
      <alignment vertical="center"/>
    </xf>
    <xf numFmtId="0" fontId="32" fillId="3" borderId="0" xfId="0" applyFont="1" applyFill="1"/>
    <xf numFmtId="9" fontId="15" fillId="0" borderId="0" xfId="2" applyFont="1" applyBorder="1" applyAlignment="1">
      <alignment horizontal="right"/>
    </xf>
    <xf numFmtId="0" fontId="53" fillId="3" borderId="0" xfId="0" applyFont="1" applyFill="1"/>
    <xf numFmtId="9" fontId="3" fillId="0" borderId="0" xfId="2" applyFont="1"/>
    <xf numFmtId="0" fontId="54" fillId="3" borderId="1" xfId="0" applyFont="1" applyFill="1" applyBorder="1"/>
    <xf numFmtId="0" fontId="55" fillId="0" borderId="1" xfId="0" applyFont="1" applyBorder="1"/>
    <xf numFmtId="0" fontId="55" fillId="0" borderId="1" xfId="0" applyFont="1" applyBorder="1" applyAlignment="1">
      <alignment wrapText="1"/>
    </xf>
    <xf numFmtId="0" fontId="32" fillId="3" borderId="1" xfId="0" applyFont="1" applyFill="1" applyBorder="1"/>
    <xf numFmtId="0" fontId="32" fillId="0" borderId="1" xfId="0" applyFont="1" applyBorder="1"/>
    <xf numFmtId="0" fontId="17" fillId="3" borderId="1" xfId="0" applyFont="1" applyFill="1" applyBorder="1" applyAlignment="1">
      <alignment horizontal="left"/>
    </xf>
    <xf numFmtId="9" fontId="32" fillId="0" borderId="1" xfId="2" applyFont="1" applyBorder="1"/>
    <xf numFmtId="0" fontId="22" fillId="0" borderId="11" xfId="0" applyFont="1" applyBorder="1" applyAlignment="1">
      <alignment horizontal="center" wrapText="1"/>
    </xf>
    <xf numFmtId="0" fontId="22" fillId="0" borderId="21" xfId="0" applyFont="1" applyBorder="1" applyAlignment="1">
      <alignment horizontal="center"/>
    </xf>
    <xf numFmtId="0" fontId="22" fillId="0" borderId="21" xfId="0" applyFont="1" applyBorder="1" applyAlignment="1">
      <alignment horizontal="center" wrapText="1"/>
    </xf>
    <xf numFmtId="0" fontId="14" fillId="0" borderId="24" xfId="0" applyFont="1" applyBorder="1" applyAlignment="1">
      <alignment wrapText="1"/>
    </xf>
    <xf numFmtId="0" fontId="22" fillId="0" borderId="24" xfId="0" applyFont="1" applyBorder="1" applyAlignment="1">
      <alignment wrapText="1"/>
    </xf>
    <xf numFmtId="0" fontId="22" fillId="0" borderId="28" xfId="0" applyFont="1" applyBorder="1" applyAlignment="1">
      <alignment horizontal="center" wrapText="1"/>
    </xf>
    <xf numFmtId="0" fontId="22" fillId="0" borderId="12" xfId="0" applyFont="1" applyBorder="1" applyAlignment="1">
      <alignment wrapText="1"/>
    </xf>
    <xf numFmtId="0" fontId="0" fillId="0" borderId="9" xfId="0" applyBorder="1"/>
    <xf numFmtId="0" fontId="0" fillId="3" borderId="9" xfId="0" applyFill="1" applyBorder="1"/>
    <xf numFmtId="9" fontId="0" fillId="3" borderId="0" xfId="0" applyNumberFormat="1" applyFill="1"/>
    <xf numFmtId="0" fontId="14" fillId="0" borderId="24" xfId="0" applyFont="1" applyBorder="1"/>
    <xf numFmtId="0" fontId="22" fillId="0" borderId="24" xfId="0" applyFont="1" applyBorder="1"/>
    <xf numFmtId="0" fontId="22" fillId="0" borderId="0" xfId="0" applyFont="1" applyAlignment="1">
      <alignment horizontal="center"/>
    </xf>
    <xf numFmtId="0" fontId="22" fillId="0" borderId="14" xfId="0" applyFont="1" applyBorder="1" applyAlignment="1">
      <alignment horizontal="center" wrapText="1"/>
    </xf>
    <xf numFmtId="0" fontId="22" fillId="10" borderId="0" xfId="0" applyFont="1" applyFill="1" applyAlignment="1">
      <alignment horizontal="center"/>
    </xf>
    <xf numFmtId="0" fontId="0" fillId="12" borderId="11" xfId="0" applyFill="1" applyBorder="1"/>
    <xf numFmtId="0" fontId="34" fillId="0" borderId="11" xfId="0" applyFont="1" applyBorder="1"/>
    <xf numFmtId="0" fontId="0" fillId="3" borderId="11" xfId="0" applyFill="1" applyBorder="1"/>
    <xf numFmtId="0" fontId="34" fillId="0" borderId="2" xfId="0" applyFont="1" applyBorder="1"/>
    <xf numFmtId="0" fontId="0" fillId="0" borderId="2" xfId="0" applyBorder="1"/>
    <xf numFmtId="9" fontId="24" fillId="0" borderId="12" xfId="0" applyNumberFormat="1" applyFont="1" applyBorder="1" applyAlignment="1">
      <alignment wrapText="1"/>
    </xf>
    <xf numFmtId="9" fontId="24" fillId="0" borderId="12" xfId="0" applyNumberFormat="1" applyFont="1" applyBorder="1"/>
    <xf numFmtId="0" fontId="22" fillId="0" borderId="13" xfId="0" applyFont="1" applyBorder="1"/>
    <xf numFmtId="0" fontId="24" fillId="0" borderId="13" xfId="0" applyFont="1" applyBorder="1"/>
    <xf numFmtId="0" fontId="14" fillId="0" borderId="13" xfId="0" applyFont="1" applyBorder="1"/>
    <xf numFmtId="0" fontId="16" fillId="0" borderId="13" xfId="0" applyFont="1" applyBorder="1"/>
    <xf numFmtId="9" fontId="0" fillId="4" borderId="18" xfId="0" applyNumberFormat="1" applyFill="1" applyBorder="1"/>
    <xf numFmtId="9" fontId="0" fillId="0" borderId="18" xfId="0" applyNumberFormat="1" applyBorder="1"/>
    <xf numFmtId="165" fontId="0" fillId="4" borderId="13" xfId="0" applyNumberFormat="1" applyFill="1" applyBorder="1"/>
    <xf numFmtId="9" fontId="24" fillId="0" borderId="13" xfId="0" applyNumberFormat="1" applyFont="1" applyBorder="1" applyAlignment="1">
      <alignment wrapText="1"/>
    </xf>
    <xf numFmtId="9" fontId="24" fillId="0" borderId="13" xfId="0" applyNumberFormat="1" applyFont="1" applyBorder="1"/>
    <xf numFmtId="0" fontId="34" fillId="0" borderId="29" xfId="0" applyFont="1" applyBorder="1"/>
    <xf numFmtId="0" fontId="0" fillId="0" borderId="29" xfId="0" applyBorder="1"/>
    <xf numFmtId="0" fontId="16" fillId="0" borderId="12" xfId="0" applyFont="1" applyBorder="1"/>
    <xf numFmtId="0" fontId="3" fillId="0" borderId="11" xfId="0" applyFont="1" applyBorder="1"/>
    <xf numFmtId="0" fontId="0" fillId="12" borderId="12" xfId="0" applyFill="1" applyBorder="1"/>
    <xf numFmtId="9" fontId="0" fillId="5" borderId="12" xfId="0" applyNumberFormat="1" applyFill="1" applyBorder="1"/>
    <xf numFmtId="167" fontId="0" fillId="0" borderId="11" xfId="0" applyNumberFormat="1" applyBorder="1"/>
    <xf numFmtId="43" fontId="0" fillId="0" borderId="11" xfId="0" applyNumberFormat="1" applyBorder="1"/>
    <xf numFmtId="0" fontId="3" fillId="0" borderId="12" xfId="0" applyFont="1" applyBorder="1"/>
    <xf numFmtId="9" fontId="0" fillId="5" borderId="0" xfId="0" applyNumberFormat="1" applyFill="1"/>
    <xf numFmtId="9" fontId="3" fillId="0" borderId="12" xfId="0" applyNumberFormat="1" applyFont="1" applyBorder="1"/>
    <xf numFmtId="0" fontId="22" fillId="10" borderId="12" xfId="0" applyFont="1" applyFill="1" applyBorder="1" applyAlignment="1">
      <alignment horizontal="center"/>
    </xf>
    <xf numFmtId="0" fontId="22" fillId="11" borderId="11" xfId="0" applyFont="1" applyFill="1" applyBorder="1" applyAlignment="1">
      <alignment wrapText="1"/>
    </xf>
    <xf numFmtId="0" fontId="16" fillId="0" borderId="19" xfId="0" applyFont="1" applyBorder="1" applyAlignment="1">
      <alignment wrapText="1"/>
    </xf>
    <xf numFmtId="0" fontId="16" fillId="0" borderId="19" xfId="0" applyFont="1" applyBorder="1"/>
    <xf numFmtId="0" fontId="0" fillId="0" borderId="32" xfId="0" applyBorder="1"/>
    <xf numFmtId="9" fontId="0" fillId="5" borderId="13" xfId="0" applyNumberFormat="1" applyFill="1" applyBorder="1"/>
    <xf numFmtId="9" fontId="0" fillId="5" borderId="14" xfId="0" applyNumberFormat="1" applyFill="1" applyBorder="1"/>
    <xf numFmtId="9" fontId="0" fillId="0" borderId="14" xfId="0" applyNumberFormat="1" applyBorder="1"/>
    <xf numFmtId="0" fontId="16" fillId="0" borderId="17" xfId="0" applyFont="1" applyBorder="1"/>
    <xf numFmtId="0" fontId="16" fillId="0" borderId="18" xfId="0" applyFont="1" applyBorder="1"/>
    <xf numFmtId="9" fontId="16" fillId="0" borderId="12" xfId="0" applyNumberFormat="1" applyFont="1" applyBorder="1"/>
    <xf numFmtId="0" fontId="22" fillId="0" borderId="18" xfId="0" applyFont="1" applyBorder="1" applyAlignment="1">
      <alignment wrapText="1"/>
    </xf>
    <xf numFmtId="0" fontId="0" fillId="0" borderId="26" xfId="0" applyBorder="1"/>
    <xf numFmtId="0" fontId="0" fillId="13" borderId="1" xfId="0" applyFill="1" applyBorder="1" applyAlignment="1">
      <alignment wrapText="1"/>
    </xf>
    <xf numFmtId="0" fontId="58" fillId="3" borderId="1" xfId="0" applyFont="1" applyFill="1" applyBorder="1"/>
    <xf numFmtId="9" fontId="3" fillId="0" borderId="14" xfId="0" applyNumberFormat="1" applyFont="1" applyBorder="1"/>
    <xf numFmtId="0" fontId="0" fillId="15" borderId="0" xfId="0" applyFill="1"/>
    <xf numFmtId="0" fontId="16" fillId="15" borderId="0" xfId="0" applyFont="1" applyFill="1"/>
    <xf numFmtId="0" fontId="14" fillId="15" borderId="11" xfId="0" applyFont="1" applyFill="1" applyBorder="1" applyAlignment="1">
      <alignment horizontal="center" wrapText="1"/>
    </xf>
    <xf numFmtId="0" fontId="14" fillId="15" borderId="0" xfId="0" applyFont="1" applyFill="1" applyAlignment="1">
      <alignment wrapText="1"/>
    </xf>
    <xf numFmtId="0" fontId="3" fillId="15" borderId="0" xfId="0" applyFont="1" applyFill="1"/>
    <xf numFmtId="0" fontId="14" fillId="15" borderId="0" xfId="0" applyFont="1" applyFill="1"/>
    <xf numFmtId="0" fontId="14" fillId="15" borderId="11" xfId="0" applyFont="1" applyFill="1" applyBorder="1" applyAlignment="1">
      <alignment wrapText="1"/>
    </xf>
    <xf numFmtId="0" fontId="14" fillId="15" borderId="14" xfId="0" applyFont="1" applyFill="1" applyBorder="1" applyAlignment="1">
      <alignment horizontal="center" wrapText="1"/>
    </xf>
    <xf numFmtId="0" fontId="14" fillId="15" borderId="12" xfId="0" applyFont="1" applyFill="1" applyBorder="1" applyAlignment="1">
      <alignment wrapText="1"/>
    </xf>
    <xf numFmtId="9" fontId="3" fillId="0" borderId="11" xfId="2" applyFont="1" applyBorder="1" applyAlignment="1">
      <alignment horizontal="left"/>
    </xf>
    <xf numFmtId="0" fontId="3" fillId="0" borderId="10" xfId="0" applyFont="1" applyBorder="1" applyAlignment="1">
      <alignment horizontal="left"/>
    </xf>
    <xf numFmtId="0" fontId="3" fillId="0" borderId="19" xfId="0" applyFont="1" applyBorder="1" applyAlignment="1">
      <alignment horizontal="left"/>
    </xf>
    <xf numFmtId="0" fontId="3" fillId="0" borderId="34" xfId="0" applyFont="1" applyBorder="1"/>
    <xf numFmtId="0" fontId="3" fillId="0" borderId="19" xfId="0" applyFont="1" applyBorder="1"/>
    <xf numFmtId="0" fontId="3" fillId="0" borderId="17" xfId="0" applyFont="1" applyBorder="1"/>
    <xf numFmtId="0" fontId="3" fillId="0" borderId="18" xfId="0" applyFont="1" applyBorder="1"/>
    <xf numFmtId="0" fontId="0" fillId="0" borderId="25" xfId="0" applyBorder="1"/>
    <xf numFmtId="0" fontId="0" fillId="12" borderId="25" xfId="0" applyFill="1" applyBorder="1"/>
    <xf numFmtId="0" fontId="3" fillId="0" borderId="25" xfId="0" applyFont="1" applyBorder="1"/>
    <xf numFmtId="0" fontId="0" fillId="5" borderId="25" xfId="0" applyFill="1" applyBorder="1"/>
    <xf numFmtId="0" fontId="34" fillId="0" borderId="35" xfId="0" applyFont="1" applyBorder="1"/>
    <xf numFmtId="0" fontId="0" fillId="0" borderId="35" xfId="0" applyBorder="1"/>
    <xf numFmtId="9" fontId="3" fillId="0" borderId="25" xfId="0" applyNumberFormat="1" applyFont="1" applyBorder="1"/>
    <xf numFmtId="0" fontId="22" fillId="0" borderId="25" xfId="0" applyFont="1" applyBorder="1"/>
    <xf numFmtId="0" fontId="22" fillId="0" borderId="25" xfId="0" applyFont="1" applyBorder="1" applyAlignment="1">
      <alignment wrapText="1"/>
    </xf>
    <xf numFmtId="0" fontId="24" fillId="0" borderId="25" xfId="0" applyFont="1" applyBorder="1"/>
    <xf numFmtId="0" fontId="0" fillId="3" borderId="25" xfId="0" applyFill="1" applyBorder="1"/>
    <xf numFmtId="0" fontId="3" fillId="0" borderId="17" xfId="0" applyFont="1" applyBorder="1" applyAlignment="1">
      <alignment horizontal="left"/>
    </xf>
    <xf numFmtId="0" fontId="24" fillId="0" borderId="12" xfId="0" applyFont="1" applyBorder="1"/>
    <xf numFmtId="0" fontId="0" fillId="5" borderId="12" xfId="0" applyFill="1" applyBorder="1"/>
    <xf numFmtId="0" fontId="0" fillId="0" borderId="17" xfId="0" applyBorder="1"/>
    <xf numFmtId="0" fontId="22" fillId="0" borderId="12" xfId="0" applyFont="1" applyBorder="1"/>
    <xf numFmtId="0" fontId="0" fillId="12" borderId="19" xfId="0" applyFill="1" applyBorder="1"/>
    <xf numFmtId="0" fontId="0" fillId="12" borderId="19" xfId="0" applyFill="1" applyBorder="1" applyAlignment="1">
      <alignment horizontal="left"/>
    </xf>
    <xf numFmtId="0" fontId="0" fillId="12" borderId="17" xfId="0" applyFill="1" applyBorder="1"/>
    <xf numFmtId="0" fontId="3" fillId="0" borderId="20" xfId="0" applyFont="1" applyBorder="1" applyAlignment="1">
      <alignment horizontal="left"/>
    </xf>
    <xf numFmtId="0" fontId="3" fillId="0" borderId="32" xfId="0" applyFont="1" applyBorder="1" applyAlignment="1">
      <alignment horizontal="left"/>
    </xf>
    <xf numFmtId="0" fontId="24" fillId="0" borderId="20" xfId="0" applyFont="1" applyBorder="1"/>
    <xf numFmtId="0" fontId="24" fillId="0" borderId="26" xfId="0" applyFont="1" applyBorder="1"/>
    <xf numFmtId="0" fontId="3" fillId="0" borderId="20" xfId="0" applyFont="1" applyBorder="1" applyAlignment="1">
      <alignment horizontal="left" wrapText="1"/>
    </xf>
    <xf numFmtId="0" fontId="24" fillId="0" borderId="20" xfId="0" applyFont="1" applyBorder="1" applyAlignment="1">
      <alignment wrapText="1"/>
    </xf>
    <xf numFmtId="0" fontId="0" fillId="0" borderId="6" xfId="0" applyBorder="1" applyAlignment="1">
      <alignment horizontal="left"/>
    </xf>
    <xf numFmtId="0" fontId="0" fillId="5" borderId="11" xfId="0" applyFill="1" applyBorder="1" applyAlignment="1">
      <alignment horizontal="left"/>
    </xf>
    <xf numFmtId="0" fontId="22" fillId="5" borderId="11" xfId="0" applyFont="1" applyFill="1" applyBorder="1" applyAlignment="1">
      <alignment wrapText="1"/>
    </xf>
    <xf numFmtId="0" fontId="0" fillId="5" borderId="19" xfId="0" applyFill="1" applyBorder="1"/>
    <xf numFmtId="0" fontId="0" fillId="5" borderId="19" xfId="0" applyFill="1" applyBorder="1" applyAlignment="1">
      <alignment horizontal="left"/>
    </xf>
    <xf numFmtId="0" fontId="14" fillId="5" borderId="19" xfId="0" applyFont="1" applyFill="1" applyBorder="1" applyAlignment="1">
      <alignment wrapText="1"/>
    </xf>
    <xf numFmtId="0" fontId="14" fillId="0" borderId="33" xfId="0" applyFont="1" applyBorder="1" applyAlignment="1">
      <alignment wrapText="1"/>
    </xf>
    <xf numFmtId="0" fontId="14" fillId="0" borderId="20" xfId="0" applyFont="1" applyBorder="1" applyAlignment="1">
      <alignment wrapText="1"/>
    </xf>
    <xf numFmtId="0" fontId="14" fillId="0" borderId="20" xfId="0" applyFont="1" applyBorder="1"/>
    <xf numFmtId="0" fontId="16" fillId="0" borderId="20" xfId="0" applyFont="1" applyBorder="1" applyAlignment="1">
      <alignment wrapText="1"/>
    </xf>
    <xf numFmtId="0" fontId="54" fillId="0" borderId="1" xfId="0" applyFont="1" applyBorder="1" applyAlignment="1">
      <alignment wrapText="1"/>
    </xf>
    <xf numFmtId="0" fontId="60" fillId="0" borderId="1" xfId="0" applyFont="1" applyBorder="1" applyAlignment="1">
      <alignment wrapText="1"/>
    </xf>
    <xf numFmtId="0" fontId="59" fillId="0" borderId="1" xfId="0" applyFont="1" applyBorder="1" applyAlignment="1">
      <alignment wrapText="1"/>
    </xf>
    <xf numFmtId="0" fontId="24" fillId="0" borderId="18" xfId="0" applyFont="1" applyBorder="1"/>
    <xf numFmtId="9" fontId="30" fillId="5" borderId="11" xfId="0" applyNumberFormat="1" applyFont="1" applyFill="1" applyBorder="1"/>
    <xf numFmtId="9" fontId="22" fillId="0" borderId="31" xfId="0" applyNumberFormat="1" applyFont="1" applyBorder="1" applyAlignment="1">
      <alignment wrapText="1"/>
    </xf>
    <xf numFmtId="165" fontId="0" fillId="0" borderId="13" xfId="0" applyNumberFormat="1" applyBorder="1"/>
    <xf numFmtId="0" fontId="22" fillId="11" borderId="13" xfId="0" applyFont="1" applyFill="1" applyBorder="1" applyAlignment="1">
      <alignment wrapText="1"/>
    </xf>
    <xf numFmtId="0" fontId="24" fillId="0" borderId="32" xfId="0" applyFont="1" applyBorder="1"/>
    <xf numFmtId="0" fontId="0" fillId="0" borderId="18" xfId="0" applyBorder="1"/>
    <xf numFmtId="0" fontId="24" fillId="0" borderId="18" xfId="0" applyFont="1" applyBorder="1" applyAlignment="1">
      <alignment wrapText="1"/>
    </xf>
    <xf numFmtId="165" fontId="0" fillId="5" borderId="11" xfId="0" applyNumberFormat="1" applyFill="1" applyBorder="1"/>
    <xf numFmtId="9" fontId="0" fillId="5" borderId="19" xfId="0" applyNumberFormat="1" applyFill="1" applyBorder="1"/>
    <xf numFmtId="9" fontId="3" fillId="0" borderId="1" xfId="0" applyNumberFormat="1" applyFont="1" applyBorder="1"/>
    <xf numFmtId="165" fontId="3" fillId="0" borderId="0" xfId="0" applyNumberFormat="1" applyFont="1"/>
    <xf numFmtId="9" fontId="0" fillId="5" borderId="20" xfId="0" applyNumberFormat="1" applyFill="1" applyBorder="1"/>
    <xf numFmtId="165" fontId="0" fillId="5" borderId="13" xfId="0" applyNumberFormat="1" applyFill="1" applyBorder="1"/>
    <xf numFmtId="9" fontId="0" fillId="5" borderId="18" xfId="0" applyNumberFormat="1" applyFill="1" applyBorder="1"/>
    <xf numFmtId="9" fontId="30" fillId="5" borderId="0" xfId="0" applyNumberFormat="1" applyFont="1" applyFill="1"/>
    <xf numFmtId="9" fontId="30" fillId="5" borderId="25" xfId="0" applyNumberFormat="1" applyFont="1" applyFill="1" applyBorder="1"/>
    <xf numFmtId="9" fontId="0" fillId="5" borderId="25" xfId="0" applyNumberFormat="1" applyFill="1" applyBorder="1"/>
    <xf numFmtId="0" fontId="14" fillId="15" borderId="13" xfId="0" applyFont="1" applyFill="1" applyBorder="1" applyAlignment="1">
      <alignment horizontal="center" wrapText="1"/>
    </xf>
    <xf numFmtId="0" fontId="3" fillId="0" borderId="18" xfId="0" applyFont="1" applyBorder="1" applyAlignment="1">
      <alignment horizontal="left"/>
    </xf>
    <xf numFmtId="0" fontId="47" fillId="14" borderId="1" xfId="0" applyFont="1" applyFill="1" applyBorder="1" applyAlignment="1">
      <alignment wrapText="1"/>
    </xf>
    <xf numFmtId="0" fontId="47" fillId="0" borderId="1" xfId="0" applyFont="1" applyBorder="1" applyAlignment="1">
      <alignment vertical="center" wrapText="1"/>
    </xf>
    <xf numFmtId="0" fontId="47" fillId="0" borderId="1" xfId="0" applyFont="1" applyBorder="1" applyAlignment="1">
      <alignment wrapText="1"/>
    </xf>
    <xf numFmtId="0" fontId="47" fillId="0" borderId="0" xfId="0" applyFont="1" applyAlignment="1">
      <alignment vertical="center" wrapText="1"/>
    </xf>
    <xf numFmtId="0" fontId="47" fillId="14" borderId="0" xfId="0" applyFont="1" applyFill="1" applyAlignment="1">
      <alignment wrapText="1"/>
    </xf>
    <xf numFmtId="0" fontId="47" fillId="0" borderId="0" xfId="0" applyFont="1" applyAlignment="1">
      <alignment wrapText="1"/>
    </xf>
    <xf numFmtId="0" fontId="48" fillId="0" borderId="0" xfId="0" applyFont="1" applyAlignment="1">
      <alignment wrapText="1"/>
    </xf>
    <xf numFmtId="0" fontId="61" fillId="8" borderId="1" xfId="0" applyFont="1" applyFill="1" applyBorder="1"/>
    <xf numFmtId="0" fontId="15" fillId="0" borderId="1" xfId="0" applyFont="1" applyBorder="1" applyAlignment="1">
      <alignment wrapText="1"/>
    </xf>
    <xf numFmtId="0" fontId="0" fillId="0" borderId="0" xfId="0" quotePrefix="1" applyAlignment="1">
      <alignment wrapText="1"/>
    </xf>
    <xf numFmtId="0" fontId="62" fillId="3" borderId="0" xfId="0" applyFont="1" applyFill="1"/>
    <xf numFmtId="0" fontId="43" fillId="0" borderId="11" xfId="0" applyFont="1" applyBorder="1"/>
    <xf numFmtId="9" fontId="43" fillId="0" borderId="11" xfId="0" applyNumberFormat="1" applyFont="1" applyBorder="1"/>
    <xf numFmtId="9" fontId="57" fillId="0" borderId="11" xfId="0" applyNumberFormat="1" applyFont="1" applyBorder="1"/>
    <xf numFmtId="0" fontId="57" fillId="0" borderId="11" xfId="0" applyFont="1" applyBorder="1"/>
    <xf numFmtId="0" fontId="57" fillId="0" borderId="12" xfId="0" applyFont="1" applyBorder="1"/>
    <xf numFmtId="0" fontId="43" fillId="0" borderId="1" xfId="0" applyFont="1" applyBorder="1" applyAlignment="1">
      <alignment wrapText="1"/>
    </xf>
    <xf numFmtId="0" fontId="43" fillId="0" borderId="1" xfId="0" applyFont="1" applyBorder="1"/>
    <xf numFmtId="9" fontId="43" fillId="0" borderId="1" xfId="2" applyFont="1" applyBorder="1" applyAlignment="1">
      <alignment horizontal="left"/>
    </xf>
    <xf numFmtId="0" fontId="62" fillId="3" borderId="10" xfId="0" applyFont="1" applyFill="1" applyBorder="1"/>
    <xf numFmtId="0" fontId="62" fillId="3" borderId="1" xfId="0" applyFont="1" applyFill="1" applyBorder="1"/>
    <xf numFmtId="0" fontId="3" fillId="0" borderId="1" xfId="0" applyFont="1" applyBorder="1" applyAlignment="1">
      <alignment wrapText="1"/>
    </xf>
    <xf numFmtId="0" fontId="63" fillId="3" borderId="1" xfId="0" applyFont="1" applyFill="1" applyBorder="1"/>
    <xf numFmtId="9" fontId="62" fillId="0" borderId="1" xfId="0" applyNumberFormat="1" applyFont="1" applyBorder="1" applyAlignment="1">
      <alignment horizontal="left"/>
    </xf>
    <xf numFmtId="0" fontId="62" fillId="0" borderId="1" xfId="0" applyFont="1" applyBorder="1" applyAlignment="1">
      <alignment horizontal="left"/>
    </xf>
    <xf numFmtId="0" fontId="62" fillId="0" borderId="1" xfId="0" applyFont="1" applyBorder="1"/>
    <xf numFmtId="0" fontId="43" fillId="0" borderId="1" xfId="0" applyFont="1" applyBorder="1" applyAlignment="1">
      <alignment horizontal="left"/>
    </xf>
    <xf numFmtId="0" fontId="35" fillId="0" borderId="0" xfId="0" applyFont="1" applyAlignment="1">
      <alignment wrapText="1"/>
    </xf>
    <xf numFmtId="0" fontId="43" fillId="0" borderId="25" xfId="0" applyFont="1" applyBorder="1"/>
    <xf numFmtId="9" fontId="43" fillId="0" borderId="1" xfId="2" applyFont="1" applyFill="1" applyBorder="1" applyAlignment="1">
      <alignment horizontal="left"/>
    </xf>
    <xf numFmtId="165" fontId="43" fillId="0" borderId="1" xfId="0" applyNumberFormat="1" applyFont="1" applyBorder="1" applyAlignment="1">
      <alignment horizontal="left"/>
    </xf>
    <xf numFmtId="0" fontId="3" fillId="0" borderId="11" xfId="0" applyFont="1" applyBorder="1" applyAlignment="1">
      <alignment wrapText="1"/>
    </xf>
    <xf numFmtId="0" fontId="63" fillId="0" borderId="11" xfId="0" applyFont="1" applyBorder="1" applyAlignment="1">
      <alignment wrapText="1"/>
    </xf>
    <xf numFmtId="0" fontId="62" fillId="0" borderId="1" xfId="0" applyFont="1" applyBorder="1" applyAlignment="1">
      <alignment wrapText="1"/>
    </xf>
    <xf numFmtId="0" fontId="61" fillId="0" borderId="1" xfId="0" applyFont="1" applyBorder="1" applyAlignment="1">
      <alignment wrapText="1"/>
    </xf>
    <xf numFmtId="0" fontId="17" fillId="0" borderId="1" xfId="0" applyFont="1" applyBorder="1" applyAlignment="1">
      <alignment wrapText="1"/>
    </xf>
    <xf numFmtId="0" fontId="64" fillId="0" borderId="1" xfId="0" applyFont="1" applyBorder="1" applyAlignment="1">
      <alignment wrapText="1"/>
    </xf>
    <xf numFmtId="0" fontId="0" fillId="5" borderId="1" xfId="0" applyFill="1" applyBorder="1" applyAlignment="1">
      <alignment wrapText="1"/>
    </xf>
    <xf numFmtId="9" fontId="0" fillId="5" borderId="1" xfId="2" applyFont="1" applyFill="1" applyBorder="1" applyAlignment="1">
      <alignment horizontal="left"/>
    </xf>
    <xf numFmtId="0" fontId="43" fillId="5" borderId="1" xfId="0" applyFont="1" applyFill="1" applyBorder="1" applyAlignment="1">
      <alignment wrapText="1"/>
    </xf>
    <xf numFmtId="9" fontId="62" fillId="0" borderId="1" xfId="2" applyFont="1" applyFill="1" applyBorder="1" applyAlignment="1">
      <alignment horizontal="left"/>
    </xf>
    <xf numFmtId="0" fontId="3" fillId="0" borderId="1" xfId="0" applyFont="1" applyBorder="1" applyAlignment="1">
      <alignment horizontal="left" wrapText="1"/>
    </xf>
    <xf numFmtId="0" fontId="66" fillId="0" borderId="1" xfId="0" applyFont="1" applyBorder="1" applyAlignment="1">
      <alignment wrapText="1"/>
    </xf>
    <xf numFmtId="0" fontId="2" fillId="0" borderId="1" xfId="0" applyFont="1" applyBorder="1" applyAlignment="1">
      <alignment wrapText="1"/>
    </xf>
    <xf numFmtId="0" fontId="32" fillId="2" borderId="0" xfId="0" applyFont="1" applyFill="1"/>
    <xf numFmtId="9" fontId="66" fillId="0" borderId="1" xfId="0" applyNumberFormat="1" applyFont="1" applyBorder="1" applyAlignment="1">
      <alignment horizontal="left"/>
    </xf>
    <xf numFmtId="10" fontId="66" fillId="0" borderId="1" xfId="0" applyNumberFormat="1" applyFont="1" applyBorder="1" applyAlignment="1">
      <alignment horizontal="left"/>
    </xf>
    <xf numFmtId="9" fontId="66" fillId="0" borderId="1" xfId="2" applyFont="1" applyBorder="1" applyAlignment="1">
      <alignment horizontal="left"/>
    </xf>
    <xf numFmtId="0" fontId="2" fillId="0" borderId="11" xfId="0" applyFont="1" applyBorder="1" applyAlignment="1">
      <alignment wrapText="1"/>
    </xf>
    <xf numFmtId="0" fontId="66" fillId="0" borderId="11" xfId="0" applyFont="1" applyBorder="1" applyAlignment="1">
      <alignment wrapText="1"/>
    </xf>
    <xf numFmtId="9" fontId="2" fillId="0" borderId="11" xfId="2" applyFont="1" applyBorder="1" applyAlignment="1">
      <alignment horizontal="left"/>
    </xf>
    <xf numFmtId="10" fontId="2" fillId="0" borderId="11" xfId="2" applyNumberFormat="1" applyFont="1" applyBorder="1" applyAlignment="1">
      <alignment horizontal="left"/>
    </xf>
    <xf numFmtId="9" fontId="65" fillId="0" borderId="11" xfId="2" applyFont="1" applyBorder="1" applyAlignment="1">
      <alignment horizontal="left"/>
    </xf>
    <xf numFmtId="10" fontId="65" fillId="0" borderId="11" xfId="2" applyNumberFormat="1" applyFont="1" applyBorder="1" applyAlignment="1">
      <alignment horizontal="left"/>
    </xf>
    <xf numFmtId="0" fontId="2" fillId="2" borderId="0" xfId="0" applyFont="1" applyFill="1"/>
    <xf numFmtId="9" fontId="32" fillId="0" borderId="0" xfId="0" applyNumberFormat="1" applyFont="1"/>
    <xf numFmtId="0" fontId="32" fillId="0" borderId="0" xfId="0" applyFont="1"/>
    <xf numFmtId="0" fontId="68" fillId="0" borderId="11" xfId="0" applyFont="1" applyBorder="1" applyAlignment="1">
      <alignment horizontal="left"/>
    </xf>
    <xf numFmtId="0" fontId="69" fillId="0" borderId="11" xfId="0" applyFont="1" applyBorder="1"/>
    <xf numFmtId="9" fontId="69" fillId="0" borderId="11" xfId="0" applyNumberFormat="1" applyFont="1" applyBorder="1" applyAlignment="1">
      <alignment horizontal="left"/>
    </xf>
    <xf numFmtId="0" fontId="69" fillId="0" borderId="0" xfId="0" applyFont="1"/>
    <xf numFmtId="9" fontId="70" fillId="0" borderId="11" xfId="0" applyNumberFormat="1" applyFont="1" applyBorder="1"/>
    <xf numFmtId="0" fontId="70" fillId="0" borderId="11" xfId="0" applyFont="1" applyBorder="1"/>
    <xf numFmtId="0" fontId="67" fillId="3" borderId="1" xfId="0" applyFont="1" applyFill="1" applyBorder="1"/>
    <xf numFmtId="0" fontId="67" fillId="0" borderId="1" xfId="0" applyFont="1" applyBorder="1" applyAlignment="1">
      <alignment horizontal="left"/>
    </xf>
    <xf numFmtId="0" fontId="66" fillId="0" borderId="1" xfId="0" applyFont="1" applyBorder="1"/>
    <xf numFmtId="0" fontId="67" fillId="0" borderId="1" xfId="0" applyFont="1" applyBorder="1"/>
    <xf numFmtId="9" fontId="67" fillId="0" borderId="1" xfId="0" applyNumberFormat="1" applyFont="1" applyBorder="1" applyAlignment="1">
      <alignment horizontal="left"/>
    </xf>
    <xf numFmtId="0" fontId="66" fillId="0" borderId="1" xfId="0" applyFont="1" applyBorder="1" applyAlignment="1">
      <alignment horizontal="left"/>
    </xf>
    <xf numFmtId="0" fontId="2" fillId="0" borderId="0" xfId="0" applyFont="1"/>
    <xf numFmtId="0" fontId="0" fillId="16" borderId="0" xfId="0" applyFill="1"/>
    <xf numFmtId="0" fontId="2" fillId="16" borderId="0" xfId="0" applyFont="1" applyFill="1"/>
    <xf numFmtId="0" fontId="70" fillId="0" borderId="1" xfId="0" applyFont="1" applyBorder="1"/>
    <xf numFmtId="0" fontId="70" fillId="0" borderId="29" xfId="0" applyFont="1" applyBorder="1"/>
    <xf numFmtId="0" fontId="69" fillId="0" borderId="1" xfId="0" applyFont="1" applyBorder="1" applyAlignment="1">
      <alignment wrapText="1"/>
    </xf>
    <xf numFmtId="9" fontId="69" fillId="0" borderId="8" xfId="0" applyNumberFormat="1" applyFont="1" applyBorder="1"/>
    <xf numFmtId="0" fontId="69" fillId="0" borderId="6" xfId="0" applyFont="1" applyBorder="1" applyAlignment="1">
      <alignment wrapText="1"/>
    </xf>
    <xf numFmtId="9" fontId="69" fillId="0" borderId="0" xfId="0" applyNumberFormat="1" applyFont="1"/>
    <xf numFmtId="9" fontId="70" fillId="0" borderId="0" xfId="0" applyNumberFormat="1" applyFont="1"/>
    <xf numFmtId="0" fontId="70" fillId="17" borderId="11" xfId="0" applyFont="1" applyFill="1" applyBorder="1"/>
    <xf numFmtId="0" fontId="70" fillId="0" borderId="13" xfId="0" applyFont="1" applyBorder="1"/>
    <xf numFmtId="0" fontId="69" fillId="0" borderId="13" xfId="0" applyFont="1" applyBorder="1"/>
    <xf numFmtId="0" fontId="69" fillId="0" borderId="20" xfId="0" applyFont="1" applyBorder="1"/>
    <xf numFmtId="0" fontId="70" fillId="0" borderId="32" xfId="0" applyFont="1" applyBorder="1"/>
    <xf numFmtId="0" fontId="69" fillId="0" borderId="32" xfId="0" applyFont="1" applyBorder="1"/>
    <xf numFmtId="0" fontId="71" fillId="8" borderId="11" xfId="0" applyFont="1" applyFill="1" applyBorder="1"/>
    <xf numFmtId="0" fontId="16" fillId="0" borderId="1" xfId="0" applyFont="1" applyBorder="1"/>
    <xf numFmtId="0" fontId="16" fillId="0" borderId="6" xfId="0" applyFont="1" applyBorder="1"/>
    <xf numFmtId="0" fontId="2" fillId="3" borderId="0" xfId="0" applyFont="1" applyFill="1" applyAlignment="1">
      <alignment wrapText="1"/>
    </xf>
    <xf numFmtId="0" fontId="2" fillId="0" borderId="0" xfId="0" applyFont="1" applyAlignment="1">
      <alignment wrapText="1"/>
    </xf>
    <xf numFmtId="0" fontId="30" fillId="0" borderId="0" xfId="0" applyFont="1" applyAlignment="1">
      <alignment wrapText="1"/>
    </xf>
    <xf numFmtId="9" fontId="2" fillId="0" borderId="1" xfId="2" applyFont="1" applyBorder="1"/>
    <xf numFmtId="9" fontId="2" fillId="0" borderId="1" xfId="2" applyFont="1" applyFill="1" applyBorder="1"/>
    <xf numFmtId="0" fontId="68" fillId="0" borderId="13" xfId="0" applyFont="1" applyBorder="1"/>
    <xf numFmtId="0" fontId="72" fillId="3" borderId="11" xfId="0" applyFont="1" applyFill="1" applyBorder="1"/>
    <xf numFmtId="0" fontId="30" fillId="0" borderId="1" xfId="0" applyFont="1" applyBorder="1" applyAlignment="1">
      <alignment vertical="top" wrapText="1"/>
    </xf>
    <xf numFmtId="9" fontId="31" fillId="0" borderId="1" xfId="0" applyNumberFormat="1" applyFont="1" applyBorder="1" applyAlignment="1">
      <alignment horizontal="left"/>
    </xf>
    <xf numFmtId="0" fontId="31" fillId="0" borderId="1" xfId="0" applyFont="1" applyBorder="1" applyAlignment="1">
      <alignment horizontal="left"/>
    </xf>
    <xf numFmtId="0" fontId="31" fillId="3" borderId="20" xfId="0" applyFont="1" applyFill="1" applyBorder="1"/>
    <xf numFmtId="0" fontId="65" fillId="0" borderId="11" xfId="0" applyFont="1" applyBorder="1" applyAlignment="1">
      <alignment wrapText="1"/>
    </xf>
    <xf numFmtId="0" fontId="6" fillId="9" borderId="0" xfId="0" applyFont="1" applyFill="1" applyAlignment="1">
      <alignment wrapText="1"/>
    </xf>
    <xf numFmtId="0" fontId="6" fillId="0" borderId="0" xfId="0" applyFont="1" applyAlignment="1">
      <alignment wrapText="1"/>
    </xf>
    <xf numFmtId="0" fontId="7" fillId="0" borderId="0" xfId="0" applyFont="1" applyAlignment="1">
      <alignment wrapText="1"/>
    </xf>
    <xf numFmtId="0" fontId="28" fillId="0" borderId="0" xfId="0" applyFont="1" applyAlignment="1">
      <alignment wrapText="1"/>
    </xf>
    <xf numFmtId="0" fontId="69" fillId="0" borderId="11" xfId="0" applyFont="1" applyBorder="1" applyAlignment="1">
      <alignment wrapText="1"/>
    </xf>
    <xf numFmtId="0" fontId="73" fillId="3" borderId="1" xfId="0" applyFont="1" applyFill="1" applyBorder="1"/>
    <xf numFmtId="0" fontId="74" fillId="3" borderId="1" xfId="0" applyFont="1" applyFill="1" applyBorder="1"/>
    <xf numFmtId="0" fontId="33" fillId="5" borderId="1" xfId="0" applyFont="1" applyFill="1" applyBorder="1" applyAlignment="1">
      <alignment wrapText="1"/>
    </xf>
    <xf numFmtId="0" fontId="30" fillId="18" borderId="0" xfId="0" applyFont="1" applyFill="1"/>
    <xf numFmtId="0" fontId="30" fillId="16" borderId="0" xfId="0" applyFont="1" applyFill="1"/>
    <xf numFmtId="0" fontId="31" fillId="3" borderId="0" xfId="0" applyFont="1" applyFill="1"/>
    <xf numFmtId="0" fontId="30" fillId="0" borderId="0" xfId="0" applyFont="1"/>
    <xf numFmtId="0" fontId="0" fillId="19" borderId="0" xfId="0" applyFill="1"/>
    <xf numFmtId="0" fontId="21" fillId="3" borderId="1" xfId="0" applyFont="1" applyFill="1" applyBorder="1" applyAlignment="1">
      <alignment horizontal="left" vertical="center"/>
    </xf>
    <xf numFmtId="0" fontId="56" fillId="0" borderId="1" xfId="0" applyFont="1" applyBorder="1" applyAlignment="1">
      <alignment horizontal="left"/>
    </xf>
    <xf numFmtId="0" fontId="77" fillId="0" borderId="1" xfId="0" applyFont="1" applyBorder="1" applyAlignment="1">
      <alignment wrapText="1"/>
    </xf>
    <xf numFmtId="9" fontId="77" fillId="0" borderId="1" xfId="0" applyNumberFormat="1" applyFont="1" applyBorder="1" applyAlignment="1">
      <alignment horizontal="left"/>
    </xf>
    <xf numFmtId="165" fontId="77" fillId="0" borderId="1" xfId="0" applyNumberFormat="1" applyFont="1" applyBorder="1" applyAlignment="1">
      <alignment horizontal="left"/>
    </xf>
    <xf numFmtId="0" fontId="77" fillId="0" borderId="1" xfId="0" applyFont="1" applyBorder="1"/>
    <xf numFmtId="9" fontId="56" fillId="0" borderId="1" xfId="0" applyNumberFormat="1" applyFont="1" applyBorder="1" applyAlignment="1">
      <alignment horizontal="left"/>
    </xf>
    <xf numFmtId="165" fontId="56" fillId="0" borderId="1" xfId="0" applyNumberFormat="1" applyFont="1" applyBorder="1" applyAlignment="1">
      <alignment horizontal="left"/>
    </xf>
    <xf numFmtId="0" fontId="30" fillId="0" borderId="11" xfId="0" applyFont="1" applyBorder="1"/>
    <xf numFmtId="0" fontId="30" fillId="0" borderId="25" xfId="0" applyFont="1" applyBorder="1"/>
    <xf numFmtId="0" fontId="35" fillId="0" borderId="11" xfId="0" applyFont="1" applyBorder="1" applyAlignment="1">
      <alignment wrapText="1"/>
    </xf>
    <xf numFmtId="9" fontId="0" fillId="0" borderId="29" xfId="0" applyNumberFormat="1" applyBorder="1" applyAlignment="1">
      <alignment horizontal="left"/>
    </xf>
    <xf numFmtId="0" fontId="3" fillId="3" borderId="10" xfId="0" applyFont="1" applyFill="1" applyBorder="1"/>
    <xf numFmtId="0" fontId="78" fillId="0" borderId="1" xfId="0" applyFont="1" applyBorder="1"/>
    <xf numFmtId="0" fontId="30" fillId="16" borderId="1" xfId="0" applyFont="1" applyFill="1" applyBorder="1"/>
    <xf numFmtId="0" fontId="33" fillId="0" borderId="1" xfId="0" applyFont="1" applyBorder="1"/>
    <xf numFmtId="0" fontId="0" fillId="6" borderId="0" xfId="0" applyFill="1"/>
    <xf numFmtId="0" fontId="3" fillId="0" borderId="0" xfId="0" applyFont="1" applyAlignment="1">
      <alignment horizontal="right"/>
    </xf>
    <xf numFmtId="0" fontId="3" fillId="15" borderId="0" xfId="0" applyFont="1" applyFill="1" applyAlignment="1">
      <alignment horizontal="right"/>
    </xf>
    <xf numFmtId="0" fontId="62" fillId="3" borderId="1" xfId="0" applyFont="1" applyFill="1" applyBorder="1" applyAlignment="1">
      <alignment wrapText="1"/>
    </xf>
    <xf numFmtId="9" fontId="30" fillId="0" borderId="1" xfId="2" applyFont="1" applyBorder="1" applyAlignment="1">
      <alignment horizontal="left"/>
    </xf>
    <xf numFmtId="9" fontId="31" fillId="0" borderId="1" xfId="2" applyFont="1" applyBorder="1" applyAlignment="1">
      <alignment horizontal="left"/>
    </xf>
    <xf numFmtId="0" fontId="0" fillId="20" borderId="0" xfId="0" applyFill="1"/>
    <xf numFmtId="0" fontId="29" fillId="0" borderId="11" xfId="0" applyFont="1" applyBorder="1"/>
    <xf numFmtId="0" fontId="3" fillId="0" borderId="0" xfId="0" applyFont="1" applyAlignment="1">
      <alignment horizontal="left" wrapText="1"/>
    </xf>
    <xf numFmtId="0" fontId="79" fillId="21" borderId="11" xfId="0" applyFont="1" applyFill="1" applyBorder="1"/>
    <xf numFmtId="0" fontId="80" fillId="0" borderId="11" xfId="0" applyFont="1" applyBorder="1" applyAlignment="1">
      <alignment horizontal="left"/>
    </xf>
    <xf numFmtId="0" fontId="81" fillId="0" borderId="11" xfId="0" applyFont="1" applyBorder="1"/>
    <xf numFmtId="9" fontId="82" fillId="0" borderId="11" xfId="0" applyNumberFormat="1" applyFont="1" applyBorder="1" applyAlignment="1">
      <alignment horizontal="right"/>
    </xf>
    <xf numFmtId="9" fontId="24" fillId="0" borderId="6" xfId="0" applyNumberFormat="1" applyFont="1" applyBorder="1" applyAlignment="1">
      <alignment wrapText="1"/>
    </xf>
    <xf numFmtId="9" fontId="24" fillId="0" borderId="8" xfId="0" applyNumberFormat="1" applyFont="1" applyBorder="1"/>
    <xf numFmtId="9" fontId="24" fillId="0" borderId="9" xfId="0" applyNumberFormat="1" applyFont="1" applyBorder="1" applyAlignment="1">
      <alignment wrapText="1"/>
    </xf>
    <xf numFmtId="0" fontId="83" fillId="22" borderId="11" xfId="0" applyFont="1" applyFill="1" applyBorder="1" applyAlignment="1">
      <alignment horizontal="center"/>
    </xf>
    <xf numFmtId="0" fontId="83" fillId="0" borderId="11" xfId="0" applyFont="1" applyBorder="1" applyAlignment="1">
      <alignment horizontal="left"/>
    </xf>
    <xf numFmtId="0" fontId="84" fillId="0" borderId="11" xfId="0" applyFont="1" applyBorder="1"/>
    <xf numFmtId="9" fontId="0" fillId="0" borderId="11" xfId="0" applyNumberFormat="1" applyBorder="1" applyAlignment="1">
      <alignment horizontal="right"/>
    </xf>
    <xf numFmtId="0" fontId="79" fillId="21" borderId="19" xfId="0" applyFont="1" applyFill="1" applyBorder="1"/>
    <xf numFmtId="0" fontId="80" fillId="0" borderId="19" xfId="0" applyFont="1" applyBorder="1" applyAlignment="1">
      <alignment horizontal="left"/>
    </xf>
    <xf numFmtId="0" fontId="84" fillId="0" borderId="11" xfId="0" applyFont="1" applyBorder="1" applyAlignment="1">
      <alignment wrapText="1"/>
    </xf>
    <xf numFmtId="0" fontId="81" fillId="0" borderId="19" xfId="0" applyFont="1" applyBorder="1" applyAlignment="1">
      <alignment wrapText="1"/>
    </xf>
    <xf numFmtId="9" fontId="82" fillId="0" borderId="19" xfId="0" applyNumberFormat="1" applyFont="1" applyBorder="1" applyAlignment="1">
      <alignment horizontal="right"/>
    </xf>
    <xf numFmtId="9" fontId="0" fillId="0" borderId="19" xfId="0" applyNumberFormat="1" applyBorder="1" applyAlignment="1">
      <alignment horizontal="right"/>
    </xf>
    <xf numFmtId="0" fontId="84" fillId="0" borderId="19" xfId="0" applyFont="1" applyBorder="1" applyAlignment="1">
      <alignment wrapText="1"/>
    </xf>
    <xf numFmtId="0" fontId="85" fillId="0" borderId="1" xfId="0" applyFont="1" applyBorder="1" applyAlignment="1">
      <alignment horizontal="left"/>
    </xf>
    <xf numFmtId="0" fontId="85" fillId="0" borderId="2" xfId="0" applyFont="1" applyBorder="1" applyAlignment="1">
      <alignment horizontal="left"/>
    </xf>
    <xf numFmtId="0" fontId="85" fillId="0" borderId="11" xfId="0" applyFont="1" applyBorder="1" applyAlignment="1">
      <alignment horizontal="left"/>
    </xf>
    <xf numFmtId="0" fontId="84" fillId="0" borderId="1" xfId="0" applyFont="1" applyBorder="1" applyAlignment="1">
      <alignment wrapText="1"/>
    </xf>
    <xf numFmtId="9" fontId="84" fillId="0" borderId="1" xfId="0" applyNumberFormat="1" applyFont="1" applyBorder="1" applyAlignment="1">
      <alignment horizontal="left"/>
    </xf>
    <xf numFmtId="9" fontId="84" fillId="0" borderId="2" xfId="0" applyNumberFormat="1" applyFont="1" applyBorder="1" applyAlignment="1">
      <alignment horizontal="left"/>
    </xf>
    <xf numFmtId="9" fontId="84" fillId="0" borderId="11" xfId="0" applyNumberFormat="1" applyFont="1" applyBorder="1" applyAlignment="1">
      <alignment horizontal="left"/>
    </xf>
    <xf numFmtId="0" fontId="84" fillId="0" borderId="1" xfId="0" applyFont="1" applyBorder="1"/>
    <xf numFmtId="9" fontId="85" fillId="0" borderId="1" xfId="0" applyNumberFormat="1" applyFont="1" applyBorder="1" applyAlignment="1">
      <alignment horizontal="left"/>
    </xf>
    <xf numFmtId="9" fontId="85" fillId="0" borderId="2" xfId="0" applyNumberFormat="1" applyFont="1" applyBorder="1" applyAlignment="1">
      <alignment horizontal="left"/>
    </xf>
    <xf numFmtId="9" fontId="85" fillId="0" borderId="11" xfId="0" applyNumberFormat="1" applyFont="1" applyBorder="1" applyAlignment="1">
      <alignment horizontal="left"/>
    </xf>
    <xf numFmtId="0" fontId="85" fillId="0" borderId="1" xfId="0" applyFont="1" applyBorder="1"/>
    <xf numFmtId="9" fontId="86" fillId="0" borderId="11" xfId="0" applyNumberFormat="1" applyFont="1" applyBorder="1" applyAlignment="1">
      <alignment horizontal="left"/>
    </xf>
    <xf numFmtId="0" fontId="86" fillId="22" borderId="11" xfId="0" applyFont="1" applyFill="1" applyBorder="1" applyAlignment="1">
      <alignment horizontal="center"/>
    </xf>
    <xf numFmtId="0" fontId="84" fillId="0" borderId="11" xfId="0" applyFont="1" applyBorder="1" applyAlignment="1">
      <alignment horizontal="left"/>
    </xf>
    <xf numFmtId="0" fontId="85" fillId="0" borderId="34" xfId="0" applyFont="1" applyBorder="1" applyAlignment="1">
      <alignment horizontal="left"/>
    </xf>
    <xf numFmtId="0" fontId="85" fillId="0" borderId="22" xfId="0" applyFont="1" applyBorder="1" applyAlignment="1">
      <alignment horizontal="left"/>
    </xf>
    <xf numFmtId="0" fontId="85" fillId="0" borderId="19" xfId="0" applyFont="1" applyBorder="1" applyAlignment="1">
      <alignment horizontal="left"/>
    </xf>
    <xf numFmtId="0" fontId="84" fillId="0" borderId="13" xfId="0" applyFont="1" applyBorder="1" applyAlignment="1">
      <alignment horizontal="left"/>
    </xf>
    <xf numFmtId="0" fontId="83" fillId="0" borderId="13" xfId="0" applyFont="1" applyBorder="1" applyAlignment="1">
      <alignment horizontal="left"/>
    </xf>
    <xf numFmtId="0" fontId="0" fillId="0" borderId="13" xfId="0" applyBorder="1" applyAlignment="1">
      <alignment horizontal="left"/>
    </xf>
    <xf numFmtId="0" fontId="81" fillId="0" borderId="11" xfId="0" applyFont="1" applyBorder="1" applyAlignment="1">
      <alignment wrapText="1"/>
    </xf>
    <xf numFmtId="0" fontId="87" fillId="5" borderId="11" xfId="0" applyFont="1" applyFill="1" applyBorder="1"/>
    <xf numFmtId="0" fontId="85" fillId="5" borderId="0" xfId="0" applyFont="1" applyFill="1" applyAlignment="1">
      <alignment horizontal="left"/>
    </xf>
    <xf numFmtId="0" fontId="85" fillId="5" borderId="19" xfId="0" applyFont="1" applyFill="1" applyBorder="1" applyAlignment="1">
      <alignment horizontal="left"/>
    </xf>
    <xf numFmtId="9" fontId="83" fillId="0" borderId="13" xfId="0" applyNumberFormat="1" applyFont="1" applyBorder="1"/>
    <xf numFmtId="9" fontId="83" fillId="0" borderId="11" xfId="0" applyNumberFormat="1" applyFont="1" applyBorder="1"/>
    <xf numFmtId="0" fontId="85" fillId="0" borderId="0" xfId="0" applyFont="1" applyAlignment="1">
      <alignment horizontal="left"/>
    </xf>
    <xf numFmtId="0" fontId="35" fillId="0" borderId="11" xfId="0" applyFont="1" applyBorder="1"/>
    <xf numFmtId="0" fontId="85" fillId="0" borderId="13" xfId="0" applyFont="1" applyBorder="1" applyAlignment="1">
      <alignment horizontal="left"/>
    </xf>
    <xf numFmtId="9" fontId="83" fillId="0" borderId="0" xfId="0" applyNumberFormat="1" applyFont="1"/>
    <xf numFmtId="0" fontId="83" fillId="0" borderId="0" xfId="0" applyFont="1"/>
    <xf numFmtId="0" fontId="85" fillId="0" borderId="10" xfId="0" applyFont="1" applyBorder="1" applyAlignment="1">
      <alignment horizontal="left"/>
    </xf>
    <xf numFmtId="0" fontId="0" fillId="0" borderId="19" xfId="0" applyBorder="1" applyAlignment="1">
      <alignment wrapText="1"/>
    </xf>
    <xf numFmtId="0" fontId="88" fillId="0" borderId="11" xfId="0" applyFont="1" applyBorder="1" applyAlignment="1">
      <alignment horizontal="left"/>
    </xf>
    <xf numFmtId="10" fontId="88" fillId="0" borderId="11" xfId="0" applyNumberFormat="1" applyFont="1" applyBorder="1" applyAlignment="1">
      <alignment horizontal="left"/>
    </xf>
    <xf numFmtId="0" fontId="83" fillId="0" borderId="11" xfId="0" applyFont="1" applyBorder="1"/>
    <xf numFmtId="9" fontId="88" fillId="0" borderId="11" xfId="0" applyNumberFormat="1" applyFont="1" applyBorder="1" applyAlignment="1">
      <alignment horizontal="left"/>
    </xf>
    <xf numFmtId="0" fontId="88" fillId="0" borderId="11" xfId="0" applyFont="1" applyBorder="1"/>
    <xf numFmtId="0" fontId="83" fillId="4" borderId="11" xfId="0" applyFont="1" applyFill="1" applyBorder="1" applyAlignment="1">
      <alignment horizontal="left"/>
    </xf>
    <xf numFmtId="9" fontId="88" fillId="0" borderId="11" xfId="0" applyNumberFormat="1" applyFont="1" applyBorder="1"/>
    <xf numFmtId="0" fontId="17" fillId="0" borderId="11" xfId="0" applyFont="1" applyBorder="1" applyAlignment="1">
      <alignment horizontal="left"/>
    </xf>
    <xf numFmtId="0" fontId="47" fillId="14" borderId="11" xfId="0" applyFont="1" applyFill="1" applyBorder="1" applyAlignment="1">
      <alignment wrapText="1"/>
    </xf>
    <xf numFmtId="9" fontId="17" fillId="0" borderId="11" xfId="2" applyFont="1" applyBorder="1" applyAlignment="1">
      <alignment horizontal="left"/>
    </xf>
    <xf numFmtId="0" fontId="47" fillId="0" borderId="11" xfId="0" applyFont="1" applyBorder="1" applyAlignment="1">
      <alignment vertical="center" wrapText="1"/>
    </xf>
    <xf numFmtId="9" fontId="0" fillId="0" borderId="11" xfId="2" applyFont="1" applyBorder="1"/>
    <xf numFmtId="0" fontId="47" fillId="0" borderId="11" xfId="0" applyFont="1" applyBorder="1" applyAlignment="1">
      <alignment wrapText="1"/>
    </xf>
    <xf numFmtId="0" fontId="38" fillId="0" borderId="11" xfId="0" applyFont="1" applyBorder="1" applyAlignment="1">
      <alignment wrapText="1"/>
    </xf>
    <xf numFmtId="9" fontId="15" fillId="0" borderId="11" xfId="2" applyFont="1" applyBorder="1" applyAlignment="1">
      <alignment horizontal="right"/>
    </xf>
    <xf numFmtId="0" fontId="0" fillId="0" borderId="11" xfId="0" applyBorder="1" applyAlignment="1">
      <alignment vertical="top" wrapText="1"/>
    </xf>
    <xf numFmtId="0" fontId="0" fillId="5" borderId="11" xfId="0" applyFill="1" applyBorder="1" applyAlignment="1">
      <alignment wrapText="1"/>
    </xf>
    <xf numFmtId="0" fontId="22" fillId="0" borderId="11" xfId="0" applyFont="1" applyBorder="1" applyAlignment="1">
      <alignment horizontal="left"/>
    </xf>
    <xf numFmtId="0" fontId="35" fillId="0" borderId="11" xfId="0" applyFont="1" applyBorder="1" applyAlignment="1">
      <alignment vertical="top" wrapText="1"/>
    </xf>
    <xf numFmtId="0" fontId="83" fillId="22" borderId="11" xfId="0" applyFont="1" applyFill="1" applyBorder="1" applyAlignment="1">
      <alignment horizontal="left"/>
    </xf>
    <xf numFmtId="0" fontId="89" fillId="0" borderId="11" xfId="0" applyFont="1" applyBorder="1" applyAlignment="1">
      <alignment wrapText="1"/>
    </xf>
    <xf numFmtId="0" fontId="90" fillId="0" borderId="11" xfId="0" applyFont="1" applyBorder="1"/>
    <xf numFmtId="0" fontId="79" fillId="21" borderId="11" xfId="0" applyFont="1" applyFill="1" applyBorder="1" applyAlignment="1">
      <alignment wrapText="1"/>
    </xf>
    <xf numFmtId="0" fontId="91" fillId="0" borderId="11" xfId="0" applyFont="1" applyBorder="1" applyAlignment="1">
      <alignment wrapText="1"/>
    </xf>
    <xf numFmtId="0" fontId="92" fillId="0" borderId="11" xfId="0" applyFont="1" applyBorder="1"/>
    <xf numFmtId="0" fontId="91" fillId="0" borderId="11" xfId="0" applyFont="1" applyBorder="1"/>
    <xf numFmtId="0" fontId="92" fillId="0" borderId="11" xfId="0" applyFont="1" applyBorder="1" applyAlignment="1">
      <alignment wrapText="1"/>
    </xf>
    <xf numFmtId="0" fontId="36" fillId="0" borderId="11" xfId="0" applyFont="1" applyBorder="1" applyAlignment="1">
      <alignment wrapText="1"/>
    </xf>
    <xf numFmtId="0" fontId="44" fillId="23" borderId="11" xfId="0" applyFont="1" applyFill="1" applyBorder="1"/>
    <xf numFmtId="0" fontId="93" fillId="24" borderId="11" xfId="0" applyFont="1" applyFill="1" applyBorder="1" applyAlignment="1">
      <alignment wrapText="1"/>
    </xf>
    <xf numFmtId="0" fontId="94" fillId="0" borderId="11" xfId="0" applyFont="1" applyBorder="1" applyAlignment="1">
      <alignment wrapText="1"/>
    </xf>
    <xf numFmtId="9" fontId="69" fillId="0" borderId="11" xfId="0" applyNumberFormat="1" applyFont="1" applyBorder="1" applyAlignment="1">
      <alignment wrapText="1"/>
    </xf>
    <xf numFmtId="0" fontId="89" fillId="0" borderId="11" xfId="0" applyFont="1" applyBorder="1"/>
    <xf numFmtId="9" fontId="69" fillId="0" borderId="11" xfId="0" applyNumberFormat="1" applyFont="1" applyBorder="1"/>
    <xf numFmtId="0" fontId="94" fillId="0" borderId="11" xfId="0" applyFont="1" applyBorder="1"/>
    <xf numFmtId="9" fontId="95" fillId="0" borderId="11" xfId="0" applyNumberFormat="1" applyFont="1" applyBorder="1"/>
    <xf numFmtId="0" fontId="0" fillId="0" borderId="11" xfId="0" applyBorder="1" applyAlignment="1">
      <alignment horizontal="right"/>
    </xf>
    <xf numFmtId="0" fontId="83" fillId="4" borderId="11" xfId="0" applyFont="1" applyFill="1" applyBorder="1" applyAlignment="1">
      <alignment horizontal="right"/>
    </xf>
    <xf numFmtId="0" fontId="83" fillId="0" borderId="11" xfId="0" applyFont="1" applyBorder="1" applyAlignment="1">
      <alignment horizontal="right"/>
    </xf>
    <xf numFmtId="0" fontId="97" fillId="0" borderId="0" xfId="0" applyFont="1" applyAlignment="1">
      <alignment vertical="center"/>
    </xf>
    <xf numFmtId="0" fontId="98" fillId="0" borderId="0" xfId="0" applyFont="1" applyAlignment="1">
      <alignment vertical="center"/>
    </xf>
    <xf numFmtId="0" fontId="15" fillId="0" borderId="0" xfId="0" applyFont="1" applyAlignment="1">
      <alignment horizontal="left"/>
    </xf>
    <xf numFmtId="0" fontId="99" fillId="24" borderId="11" xfId="0" applyFont="1" applyFill="1" applyBorder="1"/>
    <xf numFmtId="0" fontId="99" fillId="24" borderId="19" xfId="0" applyFont="1" applyFill="1" applyBorder="1"/>
    <xf numFmtId="0" fontId="70" fillId="0" borderId="19" xfId="0" applyFont="1" applyBorder="1"/>
    <xf numFmtId="9" fontId="69" fillId="0" borderId="20" xfId="0" applyNumberFormat="1" applyFont="1" applyBorder="1"/>
    <xf numFmtId="0" fontId="95" fillId="0" borderId="11" xfId="0" applyFont="1" applyBorder="1" applyAlignment="1">
      <alignment wrapText="1"/>
    </xf>
    <xf numFmtId="0" fontId="85" fillId="0" borderId="18" xfId="0" applyFont="1" applyBorder="1" applyAlignment="1">
      <alignment horizontal="left"/>
    </xf>
    <xf numFmtId="0" fontId="22" fillId="3" borderId="11" xfId="0" applyFont="1" applyFill="1" applyBorder="1" applyAlignment="1">
      <alignment horizontal="center"/>
    </xf>
    <xf numFmtId="0" fontId="22" fillId="3" borderId="12" xfId="0" applyFont="1" applyFill="1" applyBorder="1" applyAlignment="1">
      <alignment horizontal="center"/>
    </xf>
    <xf numFmtId="165" fontId="0" fillId="0" borderId="11" xfId="2" applyNumberFormat="1" applyFont="1" applyFill="1" applyBorder="1" applyAlignment="1">
      <alignment horizontal="center"/>
    </xf>
    <xf numFmtId="9" fontId="88" fillId="0" borderId="11" xfId="0" applyNumberFormat="1" applyFont="1" applyBorder="1" applyAlignment="1">
      <alignment horizontal="center"/>
    </xf>
    <xf numFmtId="165" fontId="88" fillId="0" borderId="11" xfId="0" applyNumberFormat="1" applyFont="1" applyBorder="1" applyAlignment="1">
      <alignment horizontal="center"/>
    </xf>
    <xf numFmtId="165" fontId="88" fillId="0" borderId="12" xfId="0" applyNumberFormat="1" applyFon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9" fontId="0" fillId="0" borderId="11" xfId="0" applyNumberFormat="1" applyBorder="1" applyAlignment="1">
      <alignment horizontal="center"/>
    </xf>
    <xf numFmtId="0" fontId="83" fillId="0" borderId="11" xfId="0" applyFont="1" applyBorder="1" applyAlignment="1">
      <alignment horizontal="center"/>
    </xf>
    <xf numFmtId="0" fontId="83" fillId="0" borderId="12" xfId="0" applyFont="1" applyBorder="1" applyAlignment="1">
      <alignment horizontal="center"/>
    </xf>
    <xf numFmtId="0" fontId="100" fillId="0" borderId="0" xfId="0" applyFont="1" applyAlignment="1">
      <alignment wrapText="1"/>
    </xf>
    <xf numFmtId="0" fontId="35" fillId="25" borderId="0" xfId="0" applyFont="1" applyFill="1"/>
    <xf numFmtId="0" fontId="0" fillId="26" borderId="0" xfId="0" applyFill="1"/>
    <xf numFmtId="165" fontId="83" fillId="0" borderId="11" xfId="2" applyNumberFormat="1" applyFont="1" applyFill="1" applyBorder="1" applyAlignment="1">
      <alignment horizontal="center"/>
    </xf>
    <xf numFmtId="165" fontId="83" fillId="0" borderId="12" xfId="2" applyNumberFormat="1" applyFont="1" applyFill="1" applyBorder="1" applyAlignment="1">
      <alignment horizontal="center"/>
    </xf>
    <xf numFmtId="165" fontId="0" fillId="0" borderId="12" xfId="2" applyNumberFormat="1" applyFont="1" applyFill="1" applyBorder="1" applyAlignment="1">
      <alignment horizontal="center"/>
    </xf>
    <xf numFmtId="0" fontId="0" fillId="27" borderId="0" xfId="0" applyFill="1"/>
    <xf numFmtId="0" fontId="96" fillId="28" borderId="11" xfId="0" applyFont="1" applyFill="1" applyBorder="1"/>
    <xf numFmtId="0" fontId="43" fillId="3" borderId="0" xfId="0" applyFont="1" applyFill="1" applyAlignment="1">
      <alignment wrapText="1"/>
    </xf>
    <xf numFmtId="0" fontId="0" fillId="3" borderId="11" xfId="0" applyFill="1" applyBorder="1" applyAlignment="1">
      <alignment wrapText="1"/>
    </xf>
    <xf numFmtId="0" fontId="0" fillId="29" borderId="0" xfId="0" applyFill="1"/>
    <xf numFmtId="9" fontId="15" fillId="0" borderId="6" xfId="0" applyNumberFormat="1" applyFont="1" applyBorder="1"/>
    <xf numFmtId="9" fontId="15" fillId="0" borderId="8" xfId="0" applyNumberFormat="1" applyFont="1" applyBorder="1"/>
    <xf numFmtId="9" fontId="15" fillId="0" borderId="11" xfId="0" applyNumberFormat="1" applyFont="1" applyBorder="1"/>
    <xf numFmtId="0" fontId="17" fillId="0" borderId="29" xfId="0" applyFont="1" applyBorder="1"/>
    <xf numFmtId="0" fontId="17" fillId="0" borderId="18" xfId="0" applyFont="1" applyBorder="1"/>
    <xf numFmtId="9" fontId="15" fillId="0" borderId="29" xfId="0" applyNumberFormat="1" applyFont="1" applyBorder="1"/>
    <xf numFmtId="10" fontId="15" fillId="0" borderId="29" xfId="0" applyNumberFormat="1" applyFont="1" applyBorder="1"/>
    <xf numFmtId="10" fontId="15" fillId="0" borderId="8" xfId="0" applyNumberFormat="1" applyFont="1" applyBorder="1"/>
    <xf numFmtId="9" fontId="15" fillId="0" borderId="36" xfId="0" applyNumberFormat="1" applyFont="1" applyBorder="1"/>
    <xf numFmtId="10" fontId="15" fillId="0" borderId="36" xfId="0" applyNumberFormat="1" applyFont="1" applyBorder="1"/>
    <xf numFmtId="10" fontId="15" fillId="0" borderId="11" xfId="0" applyNumberFormat="1" applyFont="1" applyBorder="1"/>
    <xf numFmtId="9" fontId="15" fillId="0" borderId="20" xfId="0" applyNumberFormat="1" applyFont="1" applyBorder="1"/>
    <xf numFmtId="10" fontId="15" fillId="0" borderId="20" xfId="0" applyNumberFormat="1" applyFont="1" applyBorder="1"/>
    <xf numFmtId="0" fontId="101" fillId="0" borderId="11" xfId="0" applyFont="1" applyBorder="1" applyAlignment="1">
      <alignment horizontal="left"/>
    </xf>
    <xf numFmtId="0" fontId="64" fillId="0" borderId="0" xfId="0" applyFont="1"/>
    <xf numFmtId="0" fontId="2" fillId="0" borderId="12" xfId="0" applyFont="1" applyBorder="1" applyAlignment="1">
      <alignment wrapText="1"/>
    </xf>
    <xf numFmtId="9" fontId="15" fillId="0" borderId="6" xfId="0" applyNumberFormat="1" applyFont="1" applyBorder="1" applyAlignment="1">
      <alignment wrapText="1"/>
    </xf>
    <xf numFmtId="0" fontId="77" fillId="0" borderId="11" xfId="0" applyFont="1" applyBorder="1" applyAlignment="1">
      <alignment wrapText="1"/>
    </xf>
    <xf numFmtId="9" fontId="15" fillId="0" borderId="13" xfId="0" applyNumberFormat="1" applyFont="1" applyBorder="1"/>
    <xf numFmtId="9" fontId="15" fillId="0" borderId="32" xfId="0" applyNumberFormat="1" applyFont="1" applyBorder="1"/>
    <xf numFmtId="0" fontId="17" fillId="0" borderId="11" xfId="0" applyFont="1" applyBorder="1"/>
    <xf numFmtId="0" fontId="79" fillId="21" borderId="19" xfId="0" applyFont="1" applyFill="1" applyBorder="1" applyAlignment="1">
      <alignment wrapText="1"/>
    </xf>
    <xf numFmtId="0" fontId="0" fillId="0" borderId="26" xfId="0" applyBorder="1" applyAlignment="1">
      <alignment wrapText="1"/>
    </xf>
    <xf numFmtId="0" fontId="15" fillId="0" borderId="12" xfId="0" applyFont="1" applyBorder="1" applyAlignment="1">
      <alignment wrapText="1"/>
    </xf>
    <xf numFmtId="0" fontId="17" fillId="0" borderId="26" xfId="0" applyFont="1" applyBorder="1"/>
    <xf numFmtId="0" fontId="17" fillId="0" borderId="20" xfId="0" applyFont="1" applyBorder="1"/>
    <xf numFmtId="0" fontId="17" fillId="0" borderId="13" xfId="0" applyFont="1" applyBorder="1"/>
    <xf numFmtId="0" fontId="17" fillId="0" borderId="14" xfId="0" applyFont="1" applyBorder="1"/>
    <xf numFmtId="0" fontId="15" fillId="0" borderId="6" xfId="0" applyFont="1" applyBorder="1"/>
    <xf numFmtId="0" fontId="3" fillId="23" borderId="1" xfId="0" applyFont="1" applyFill="1" applyBorder="1"/>
    <xf numFmtId="0" fontId="5" fillId="5" borderId="1" xfId="0" applyFont="1" applyFill="1" applyBorder="1" applyAlignment="1">
      <alignment wrapText="1"/>
    </xf>
    <xf numFmtId="0" fontId="100" fillId="0" borderId="0" xfId="0" applyFont="1"/>
    <xf numFmtId="0" fontId="5" fillId="0" borderId="1" xfId="0" applyFont="1" applyBorder="1" applyAlignment="1">
      <alignment wrapText="1"/>
    </xf>
    <xf numFmtId="9" fontId="0" fillId="0" borderId="29" xfId="2" applyFont="1" applyBorder="1" applyAlignment="1">
      <alignment horizontal="left"/>
    </xf>
    <xf numFmtId="9" fontId="22" fillId="0" borderId="20" xfId="0" applyNumberFormat="1" applyFont="1" applyBorder="1"/>
    <xf numFmtId="0" fontId="61" fillId="0" borderId="0" xfId="0" applyFont="1" applyAlignment="1">
      <alignment wrapText="1"/>
    </xf>
    <xf numFmtId="0" fontId="62" fillId="0" borderId="0" xfId="0" applyFont="1"/>
    <xf numFmtId="0" fontId="102" fillId="0" borderId="0" xfId="0" applyFont="1" applyAlignment="1">
      <alignment wrapText="1"/>
    </xf>
    <xf numFmtId="0" fontId="103" fillId="0" borderId="0" xfId="0" applyFont="1"/>
    <xf numFmtId="9" fontId="103" fillId="0" borderId="0" xfId="0" applyNumberFormat="1" applyFont="1"/>
    <xf numFmtId="0" fontId="17" fillId="0" borderId="0" xfId="0" applyFont="1" applyAlignment="1">
      <alignment horizontal="left"/>
    </xf>
    <xf numFmtId="9" fontId="0" fillId="0" borderId="11" xfId="2" applyFont="1" applyFill="1" applyBorder="1" applyAlignment="1">
      <alignment horizontal="center"/>
    </xf>
    <xf numFmtId="9" fontId="83" fillId="0" borderId="11" xfId="2" applyFont="1" applyFill="1" applyBorder="1" applyAlignment="1">
      <alignment horizontal="center"/>
    </xf>
    <xf numFmtId="0" fontId="0" fillId="0" borderId="19" xfId="0" applyBorder="1" applyAlignment="1">
      <alignment horizontal="center"/>
    </xf>
    <xf numFmtId="0" fontId="87" fillId="0" borderId="11" xfId="0" applyFont="1" applyBorder="1" applyAlignment="1">
      <alignment wrapText="1"/>
    </xf>
    <xf numFmtId="0" fontId="104" fillId="0" borderId="11" xfId="0" applyFont="1" applyBorder="1" applyAlignment="1">
      <alignment wrapText="1"/>
    </xf>
    <xf numFmtId="9" fontId="0" fillId="0" borderId="13" xfId="2" applyFont="1" applyFill="1" applyBorder="1" applyAlignment="1">
      <alignment horizontal="center"/>
    </xf>
    <xf numFmtId="9" fontId="83" fillId="0" borderId="13" xfId="2" applyFont="1" applyFill="1" applyBorder="1" applyAlignment="1">
      <alignment horizontal="center"/>
    </xf>
    <xf numFmtId="0" fontId="30" fillId="0" borderId="11" xfId="0" applyFont="1" applyBorder="1" applyAlignment="1">
      <alignment vertical="top" wrapText="1"/>
    </xf>
    <xf numFmtId="0" fontId="30" fillId="0" borderId="11" xfId="0" applyFont="1" applyBorder="1" applyAlignment="1">
      <alignment wrapText="1"/>
    </xf>
    <xf numFmtId="9" fontId="83" fillId="0" borderId="20" xfId="2" applyFont="1" applyFill="1" applyBorder="1" applyAlignment="1">
      <alignment horizontal="center"/>
    </xf>
    <xf numFmtId="9" fontId="0" fillId="0" borderId="11" xfId="2" applyFont="1" applyBorder="1" applyAlignment="1">
      <alignment horizontal="center"/>
    </xf>
    <xf numFmtId="9" fontId="53" fillId="0" borderId="11" xfId="2" applyFont="1" applyBorder="1" applyAlignment="1">
      <alignment horizontal="center"/>
    </xf>
    <xf numFmtId="165" fontId="53" fillId="0" borderId="11" xfId="2" applyNumberFormat="1" applyFont="1" applyBorder="1" applyAlignment="1">
      <alignment horizontal="center"/>
    </xf>
    <xf numFmtId="0" fontId="53" fillId="22" borderId="11" xfId="0" applyFont="1" applyFill="1" applyBorder="1" applyAlignment="1">
      <alignment horizontal="center"/>
    </xf>
    <xf numFmtId="0" fontId="105" fillId="0" borderId="11" xfId="0" applyFont="1" applyBorder="1"/>
    <xf numFmtId="0" fontId="53" fillId="0" borderId="11" xfId="0" applyFont="1" applyBorder="1" applyAlignment="1">
      <alignment horizontal="center"/>
    </xf>
    <xf numFmtId="0" fontId="53" fillId="0" borderId="12" xfId="0" applyFont="1" applyBorder="1" applyAlignment="1">
      <alignment horizontal="center"/>
    </xf>
    <xf numFmtId="0" fontId="47" fillId="0" borderId="10" xfId="0" applyFont="1" applyBorder="1" applyAlignment="1">
      <alignment wrapText="1"/>
    </xf>
    <xf numFmtId="9" fontId="0" fillId="0" borderId="0" xfId="2" applyFont="1" applyFill="1" applyBorder="1" applyAlignment="1">
      <alignment horizontal="center"/>
    </xf>
    <xf numFmtId="165" fontId="83" fillId="0" borderId="0" xfId="2" applyNumberFormat="1" applyFont="1" applyFill="1" applyBorder="1" applyAlignment="1">
      <alignment horizontal="center"/>
    </xf>
    <xf numFmtId="9" fontId="83" fillId="0" borderId="0" xfId="2" applyFont="1" applyFill="1" applyBorder="1" applyAlignment="1">
      <alignment horizontal="center"/>
    </xf>
    <xf numFmtId="0" fontId="90" fillId="0" borderId="20" xfId="0" applyFont="1" applyBorder="1"/>
    <xf numFmtId="0" fontId="83" fillId="0" borderId="20" xfId="0" applyFont="1" applyBorder="1" applyAlignment="1">
      <alignment horizontal="center"/>
    </xf>
    <xf numFmtId="0" fontId="83" fillId="0" borderId="26" xfId="0" applyFont="1" applyBorder="1" applyAlignment="1">
      <alignment horizontal="center"/>
    </xf>
    <xf numFmtId="9" fontId="24" fillId="0" borderId="11" xfId="0" applyNumberFormat="1" applyFont="1" applyBorder="1" applyAlignment="1">
      <alignment horizontal="center"/>
    </xf>
    <xf numFmtId="9" fontId="83" fillId="0" borderId="11" xfId="2" applyFont="1" applyBorder="1" applyAlignment="1">
      <alignment horizontal="center"/>
    </xf>
    <xf numFmtId="165" fontId="83" fillId="0" borderId="11" xfId="2" applyNumberFormat="1" applyFont="1" applyBorder="1" applyAlignment="1">
      <alignment horizontal="center"/>
    </xf>
    <xf numFmtId="165" fontId="83" fillId="0" borderId="0" xfId="2" applyNumberFormat="1" applyFont="1" applyAlignment="1">
      <alignment horizontal="center"/>
    </xf>
    <xf numFmtId="9" fontId="83" fillId="0" borderId="0" xfId="2" applyFont="1" applyAlignment="1">
      <alignment horizontal="center"/>
    </xf>
    <xf numFmtId="0" fontId="100" fillId="0" borderId="11" xfId="0" applyFont="1" applyBorder="1"/>
    <xf numFmtId="9" fontId="0" fillId="0" borderId="13" xfId="2" applyFont="1" applyBorder="1" applyAlignment="1">
      <alignment horizontal="center"/>
    </xf>
    <xf numFmtId="0" fontId="100" fillId="0" borderId="11" xfId="0" applyFont="1" applyBorder="1" applyAlignment="1">
      <alignment wrapText="1"/>
    </xf>
    <xf numFmtId="0" fontId="0" fillId="0" borderId="20" xfId="0" applyBorder="1" applyAlignment="1">
      <alignment wrapText="1"/>
    </xf>
    <xf numFmtId="9" fontId="24" fillId="0" borderId="13" xfId="0" applyNumberFormat="1" applyFont="1" applyBorder="1" applyAlignment="1">
      <alignment horizontal="center"/>
    </xf>
    <xf numFmtId="0" fontId="100" fillId="0" borderId="20" xfId="0" applyFont="1" applyBorder="1"/>
    <xf numFmtId="0" fontId="100" fillId="0" borderId="20" xfId="0" applyFont="1" applyBorder="1" applyAlignment="1">
      <alignment wrapText="1"/>
    </xf>
    <xf numFmtId="9" fontId="24" fillId="0" borderId="13" xfId="0" applyNumberFormat="1" applyFont="1" applyBorder="1" applyAlignment="1">
      <alignment horizontal="center" wrapText="1"/>
    </xf>
    <xf numFmtId="0" fontId="0" fillId="0" borderId="19" xfId="0" applyBorder="1" applyAlignment="1">
      <alignment vertical="top" wrapText="1"/>
    </xf>
    <xf numFmtId="9" fontId="0" fillId="0" borderId="18" xfId="2" applyFont="1" applyBorder="1" applyAlignment="1">
      <alignment horizontal="center"/>
    </xf>
    <xf numFmtId="9" fontId="0" fillId="0" borderId="12" xfId="0" applyNumberFormat="1" applyBorder="1" applyAlignment="1">
      <alignment horizontal="center"/>
    </xf>
    <xf numFmtId="0" fontId="0" fillId="0" borderId="20" xfId="0" applyBorder="1" applyAlignment="1">
      <alignment horizontal="center"/>
    </xf>
    <xf numFmtId="0" fontId="0" fillId="0" borderId="17" xfId="0" applyBorder="1" applyAlignment="1">
      <alignment vertical="top" wrapText="1"/>
    </xf>
    <xf numFmtId="0" fontId="22" fillId="3" borderId="19" xfId="0" applyFont="1" applyFill="1" applyBorder="1" applyAlignment="1">
      <alignment horizontal="center"/>
    </xf>
    <xf numFmtId="0" fontId="22" fillId="3" borderId="17" xfId="0" applyFont="1" applyFill="1" applyBorder="1" applyAlignment="1">
      <alignment horizontal="center"/>
    </xf>
    <xf numFmtId="9" fontId="24" fillId="0" borderId="32" xfId="0" applyNumberFormat="1" applyFont="1" applyBorder="1" applyAlignment="1">
      <alignment horizontal="center"/>
    </xf>
    <xf numFmtId="9" fontId="24" fillId="0" borderId="18" xfId="0" applyNumberFormat="1" applyFont="1" applyBorder="1" applyAlignment="1">
      <alignment horizontal="center"/>
    </xf>
    <xf numFmtId="0" fontId="0" fillId="0" borderId="12" xfId="0" applyBorder="1" applyAlignment="1">
      <alignment wrapText="1"/>
    </xf>
    <xf numFmtId="0" fontId="106" fillId="21" borderId="19" xfId="0" applyFont="1" applyFill="1" applyBorder="1" applyAlignment="1">
      <alignment wrapText="1"/>
    </xf>
    <xf numFmtId="165" fontId="24" fillId="0" borderId="13" xfId="0" applyNumberFormat="1" applyFont="1" applyBorder="1" applyAlignment="1">
      <alignment horizontal="center"/>
    </xf>
    <xf numFmtId="165" fontId="24" fillId="0" borderId="18" xfId="0" applyNumberFormat="1" applyFont="1" applyBorder="1" applyAlignment="1">
      <alignment horizontal="center"/>
    </xf>
    <xf numFmtId="9" fontId="0" fillId="0" borderId="1" xfId="0" applyNumberFormat="1" applyBorder="1" applyAlignment="1">
      <alignment wrapText="1"/>
    </xf>
    <xf numFmtId="165" fontId="24" fillId="0" borderId="11" xfId="0" applyNumberFormat="1" applyFont="1" applyBorder="1" applyAlignment="1">
      <alignment horizontal="center"/>
    </xf>
    <xf numFmtId="9" fontId="83" fillId="0" borderId="20" xfId="2" applyFont="1" applyBorder="1" applyAlignment="1">
      <alignment horizontal="center"/>
    </xf>
    <xf numFmtId="165" fontId="83" fillId="0" borderId="20" xfId="2" applyNumberFormat="1" applyFont="1" applyBorder="1" applyAlignment="1">
      <alignment horizontal="center"/>
    </xf>
    <xf numFmtId="9" fontId="24" fillId="0" borderId="20" xfId="0" applyNumberFormat="1" applyFont="1" applyBorder="1" applyAlignment="1">
      <alignment horizontal="center"/>
    </xf>
    <xf numFmtId="0" fontId="35" fillId="0" borderId="20" xfId="0" applyFont="1" applyBorder="1" applyAlignment="1">
      <alignment wrapText="1"/>
    </xf>
    <xf numFmtId="9" fontId="24" fillId="0" borderId="19" xfId="0" applyNumberFormat="1" applyFont="1" applyBorder="1" applyAlignment="1">
      <alignment horizontal="center"/>
    </xf>
    <xf numFmtId="165" fontId="24" fillId="0" borderId="20" xfId="0" applyNumberFormat="1" applyFont="1" applyBorder="1" applyAlignment="1">
      <alignment horizontal="center"/>
    </xf>
    <xf numFmtId="0" fontId="91" fillId="5" borderId="19" xfId="0" applyFont="1" applyFill="1" applyBorder="1" applyAlignment="1">
      <alignment wrapText="1"/>
    </xf>
    <xf numFmtId="9" fontId="24" fillId="5" borderId="18" xfId="0" applyNumberFormat="1" applyFont="1" applyFill="1" applyBorder="1" applyAlignment="1">
      <alignment horizontal="center"/>
    </xf>
    <xf numFmtId="9" fontId="24" fillId="5" borderId="11" xfId="0" applyNumberFormat="1" applyFont="1" applyFill="1" applyBorder="1" applyAlignment="1">
      <alignment horizontal="center"/>
    </xf>
    <xf numFmtId="0" fontId="91" fillId="5" borderId="17" xfId="0" applyFont="1" applyFill="1" applyBorder="1" applyAlignment="1">
      <alignment wrapText="1"/>
    </xf>
    <xf numFmtId="0" fontId="92" fillId="0" borderId="12" xfId="0" applyFont="1" applyBorder="1" applyAlignment="1">
      <alignment wrapText="1"/>
    </xf>
    <xf numFmtId="0" fontId="92" fillId="0" borderId="26" xfId="0" applyFont="1" applyBorder="1" applyAlignment="1">
      <alignment wrapText="1"/>
    </xf>
    <xf numFmtId="0" fontId="92" fillId="0" borderId="17" xfId="0" applyFont="1" applyBorder="1" applyAlignment="1">
      <alignment wrapText="1"/>
    </xf>
    <xf numFmtId="0" fontId="91" fillId="5" borderId="11" xfId="0" applyFont="1" applyFill="1" applyBorder="1" applyAlignment="1">
      <alignment wrapText="1"/>
    </xf>
    <xf numFmtId="0" fontId="22" fillId="3" borderId="11" xfId="0" applyFont="1" applyFill="1" applyBorder="1"/>
    <xf numFmtId="165" fontId="83" fillId="0" borderId="11" xfId="0" applyNumberFormat="1" applyFont="1" applyBorder="1"/>
    <xf numFmtId="0" fontId="1" fillId="0" borderId="1" xfId="0" applyFont="1" applyBorder="1" applyAlignment="1">
      <alignment wrapText="1"/>
    </xf>
    <xf numFmtId="0" fontId="1" fillId="0" borderId="1" xfId="0" applyFont="1" applyBorder="1"/>
    <xf numFmtId="0" fontId="1" fillId="0" borderId="0" xfId="0" applyFont="1" applyAlignment="1">
      <alignment wrapText="1"/>
    </xf>
    <xf numFmtId="9" fontId="1" fillId="0" borderId="1" xfId="0" applyNumberFormat="1" applyFont="1" applyBorder="1" applyAlignment="1">
      <alignment horizontal="left"/>
    </xf>
    <xf numFmtId="0" fontId="1" fillId="0" borderId="0" xfId="0" applyFont="1" applyAlignment="1">
      <alignment vertical="top" wrapText="1"/>
    </xf>
    <xf numFmtId="0" fontId="3" fillId="0" borderId="0" xfId="0" applyFont="1" applyAlignment="1">
      <alignment horizontal="center"/>
    </xf>
    <xf numFmtId="0" fontId="14" fillId="15" borderId="12" xfId="0" applyFont="1" applyFill="1" applyBorder="1" applyAlignment="1">
      <alignment horizontal="center"/>
    </xf>
    <xf numFmtId="0" fontId="14" fillId="15" borderId="14" xfId="0" applyFont="1" applyFill="1" applyBorder="1" applyAlignment="1">
      <alignment horizontal="center"/>
    </xf>
    <xf numFmtId="0" fontId="14" fillId="15" borderId="13" xfId="0" applyFont="1" applyFill="1" applyBorder="1" applyAlignment="1">
      <alignment horizontal="center"/>
    </xf>
    <xf numFmtId="0" fontId="14" fillId="0" borderId="12" xfId="0" applyFont="1" applyBorder="1" applyAlignment="1">
      <alignment horizontal="center"/>
    </xf>
    <xf numFmtId="0" fontId="14" fillId="0" borderId="14" xfId="0" applyFont="1" applyBorder="1" applyAlignment="1">
      <alignment horizontal="center"/>
    </xf>
    <xf numFmtId="0" fontId="22" fillId="0" borderId="12" xfId="0" applyFont="1" applyBorder="1" applyAlignment="1">
      <alignment horizontal="center" wrapText="1"/>
    </xf>
    <xf numFmtId="0" fontId="22" fillId="0" borderId="14" xfId="0" applyFont="1" applyBorder="1" applyAlignment="1">
      <alignment horizontal="center" wrapText="1"/>
    </xf>
    <xf numFmtId="0" fontId="22" fillId="0" borderId="13" xfId="0" applyFont="1" applyBorder="1" applyAlignment="1">
      <alignment horizontal="center" wrapText="1"/>
    </xf>
    <xf numFmtId="0" fontId="14" fillId="15" borderId="11" xfId="0" applyFont="1" applyFill="1" applyBorder="1" applyAlignment="1">
      <alignment horizontal="center"/>
    </xf>
    <xf numFmtId="0" fontId="22" fillId="15" borderId="11" xfId="0" applyFont="1" applyFill="1" applyBorder="1" applyAlignment="1">
      <alignment horizontal="center" wrapText="1"/>
    </xf>
    <xf numFmtId="0" fontId="14" fillId="15" borderId="11" xfId="0" applyFont="1" applyFill="1" applyBorder="1" applyAlignment="1">
      <alignment horizontal="center" wrapText="1"/>
    </xf>
    <xf numFmtId="0" fontId="22" fillId="0" borderId="11" xfId="0" applyFont="1" applyBorder="1" applyAlignment="1">
      <alignment horizontal="center"/>
    </xf>
    <xf numFmtId="0" fontId="14" fillId="0" borderId="11" xfId="0" applyFont="1" applyBorder="1" applyAlignment="1">
      <alignment horizontal="center"/>
    </xf>
    <xf numFmtId="0" fontId="22" fillId="0" borderId="11" xfId="0" applyFont="1" applyBorder="1" applyAlignment="1">
      <alignment wrapText="1"/>
    </xf>
    <xf numFmtId="0" fontId="24" fillId="0" borderId="20" xfId="0" applyFont="1" applyBorder="1" applyAlignment="1">
      <alignment wrapText="1"/>
    </xf>
    <xf numFmtId="0" fontId="14" fillId="5" borderId="19" xfId="0" applyFont="1" applyFill="1" applyBorder="1"/>
    <xf numFmtId="0" fontId="14" fillId="0" borderId="11" xfId="0" applyFont="1" applyBorder="1"/>
    <xf numFmtId="0" fontId="14" fillId="0" borderId="5" xfId="0" applyFont="1" applyBorder="1" applyAlignment="1">
      <alignment wrapText="1"/>
    </xf>
    <xf numFmtId="0" fontId="14" fillId="15" borderId="12" xfId="0" applyFont="1" applyFill="1" applyBorder="1" applyAlignment="1">
      <alignment horizontal="center" wrapText="1"/>
    </xf>
    <xf numFmtId="0" fontId="14" fillId="15" borderId="14" xfId="0" applyFont="1" applyFill="1" applyBorder="1" applyAlignment="1">
      <alignment horizontal="center" wrapText="1"/>
    </xf>
    <xf numFmtId="0" fontId="14" fillId="15" borderId="16" xfId="0" applyFont="1" applyFill="1" applyBorder="1" applyAlignment="1">
      <alignment horizontal="center" wrapText="1"/>
    </xf>
    <xf numFmtId="0" fontId="14" fillId="15" borderId="18" xfId="0" applyFont="1" applyFill="1" applyBorder="1" applyAlignment="1">
      <alignment horizontal="center" wrapText="1"/>
    </xf>
    <xf numFmtId="0" fontId="14" fillId="15" borderId="13" xfId="0" applyFont="1" applyFill="1" applyBorder="1" applyAlignment="1">
      <alignment horizontal="center" wrapText="1"/>
    </xf>
    <xf numFmtId="0" fontId="22" fillId="0" borderId="11" xfId="0" applyFont="1" applyBorder="1" applyAlignment="1">
      <alignment horizontal="center" wrapText="1"/>
    </xf>
    <xf numFmtId="0" fontId="22" fillId="10" borderId="11" xfId="0" applyFont="1" applyFill="1" applyBorder="1" applyAlignment="1">
      <alignment horizontal="center"/>
    </xf>
    <xf numFmtId="0" fontId="22" fillId="0" borderId="21" xfId="0" applyFont="1" applyBorder="1" applyAlignment="1">
      <alignment horizontal="center" wrapText="1"/>
    </xf>
    <xf numFmtId="0" fontId="3" fillId="0" borderId="21" xfId="0" applyFont="1" applyBorder="1" applyAlignment="1">
      <alignment horizontal="center" wrapText="1"/>
    </xf>
    <xf numFmtId="0" fontId="22" fillId="0" borderId="25" xfId="0" applyFont="1" applyBorder="1" applyAlignment="1">
      <alignment horizontal="center"/>
    </xf>
    <xf numFmtId="0" fontId="22" fillId="0" borderId="0" xfId="0" applyFont="1" applyAlignment="1">
      <alignment horizontal="center"/>
    </xf>
    <xf numFmtId="0" fontId="22" fillId="0" borderId="27" xfId="0" applyFont="1" applyBorder="1" applyAlignment="1">
      <alignment horizontal="center"/>
    </xf>
    <xf numFmtId="0" fontId="22" fillId="0" borderId="12" xfId="0" applyFont="1" applyBorder="1" applyAlignment="1">
      <alignment horizontal="center"/>
    </xf>
    <xf numFmtId="0" fontId="22" fillId="0" borderId="14" xfId="0" applyFont="1" applyBorder="1" applyAlignment="1">
      <alignment horizontal="center"/>
    </xf>
    <xf numFmtId="0" fontId="22" fillId="0" borderId="13" xfId="0" applyFont="1" applyBorder="1" applyAlignment="1">
      <alignment horizontal="center"/>
    </xf>
    <xf numFmtId="0" fontId="22" fillId="10" borderId="12" xfId="0" applyFont="1" applyFill="1" applyBorder="1" applyAlignment="1">
      <alignment horizontal="center"/>
    </xf>
    <xf numFmtId="0" fontId="22" fillId="10" borderId="14" xfId="0" applyFont="1" applyFill="1" applyBorder="1" applyAlignment="1">
      <alignment horizontal="center"/>
    </xf>
    <xf numFmtId="0" fontId="22" fillId="10" borderId="13" xfId="0" applyFont="1" applyFill="1" applyBorder="1" applyAlignment="1">
      <alignment horizontal="center"/>
    </xf>
    <xf numFmtId="0" fontId="14" fillId="0" borderId="11" xfId="0" applyFont="1" applyBorder="1" applyAlignment="1">
      <alignment horizontal="center" wrapText="1"/>
    </xf>
    <xf numFmtId="0" fontId="22" fillId="0" borderId="17" xfId="0" applyFont="1" applyBorder="1" applyAlignment="1">
      <alignment horizontal="center" wrapText="1"/>
    </xf>
    <xf numFmtId="0" fontId="22" fillId="0" borderId="16" xfId="0" applyFont="1" applyBorder="1" applyAlignment="1">
      <alignment horizontal="center" wrapText="1"/>
    </xf>
    <xf numFmtId="0" fontId="22" fillId="0" borderId="18" xfId="0" applyFont="1" applyBorder="1" applyAlignment="1">
      <alignment horizontal="center" wrapText="1"/>
    </xf>
    <xf numFmtId="0" fontId="22" fillId="0" borderId="0" xfId="0" applyFont="1" applyAlignment="1">
      <alignment horizontal="center" wrapText="1"/>
    </xf>
    <xf numFmtId="0" fontId="22" fillId="0" borderId="15" xfId="0" applyFont="1" applyBorder="1" applyAlignment="1">
      <alignment horizontal="center"/>
    </xf>
    <xf numFmtId="0" fontId="22" fillId="0" borderId="16" xfId="0" applyFont="1" applyBorder="1" applyAlignment="1">
      <alignment horizontal="center"/>
    </xf>
    <xf numFmtId="0" fontId="3" fillId="0" borderId="12" xfId="0" applyFont="1" applyBorder="1" applyAlignment="1">
      <alignment horizontal="center" wrapText="1"/>
    </xf>
    <xf numFmtId="0" fontId="22" fillId="0" borderId="12" xfId="0" applyFont="1" applyBorder="1" applyAlignment="1">
      <alignment wrapText="1"/>
    </xf>
    <xf numFmtId="0" fontId="22" fillId="0" borderId="13" xfId="0" applyFont="1" applyBorder="1" applyAlignment="1">
      <alignment wrapText="1"/>
    </xf>
    <xf numFmtId="0" fontId="22" fillId="0" borderId="24" xfId="0" applyFont="1" applyBorder="1" applyAlignment="1">
      <alignment wrapText="1"/>
    </xf>
    <xf numFmtId="0" fontId="22" fillId="0" borderId="23" xfId="0" applyFont="1" applyBorder="1" applyAlignment="1">
      <alignment wrapText="1"/>
    </xf>
    <xf numFmtId="0" fontId="22" fillId="10" borderId="17" xfId="0" applyFont="1" applyFill="1" applyBorder="1" applyAlignment="1">
      <alignment horizontal="center"/>
    </xf>
    <xf numFmtId="0" fontId="22" fillId="10" borderId="16" xfId="0" applyFont="1" applyFill="1" applyBorder="1" applyAlignment="1">
      <alignment horizontal="center"/>
    </xf>
    <xf numFmtId="0" fontId="22" fillId="10" borderId="18" xfId="0" applyFont="1" applyFill="1" applyBorder="1" applyAlignment="1">
      <alignment horizontal="center"/>
    </xf>
    <xf numFmtId="0" fontId="22" fillId="0" borderId="21" xfId="0" applyFont="1" applyBorder="1" applyAlignment="1">
      <alignment horizontal="center"/>
    </xf>
    <xf numFmtId="0" fontId="22" fillId="0" borderId="2" xfId="0" applyFont="1" applyBorder="1" applyAlignment="1">
      <alignment horizontal="center"/>
    </xf>
    <xf numFmtId="0" fontId="22" fillId="0" borderId="3" xfId="0" applyFont="1" applyBorder="1" applyAlignment="1">
      <alignment horizontal="center"/>
    </xf>
    <xf numFmtId="0" fontId="22" fillId="0" borderId="0" xfId="0" applyFont="1"/>
    <xf numFmtId="0" fontId="22" fillId="0" borderId="27" xfId="0" applyFont="1" applyBorder="1"/>
    <xf numFmtId="0" fontId="22" fillId="0" borderId="0" xfId="0" applyFont="1" applyAlignment="1">
      <alignment wrapText="1"/>
    </xf>
    <xf numFmtId="0" fontId="22" fillId="0" borderId="27" xfId="0" applyFont="1" applyBorder="1" applyAlignment="1">
      <alignment wrapText="1"/>
    </xf>
    <xf numFmtId="0" fontId="22" fillId="0" borderId="5" xfId="0" applyFont="1" applyBorder="1" applyAlignment="1">
      <alignment wrapText="1"/>
    </xf>
    <xf numFmtId="0" fontId="22" fillId="10" borderId="2" xfId="0" applyFont="1" applyFill="1" applyBorder="1" applyAlignment="1">
      <alignment horizontal="center"/>
    </xf>
    <xf numFmtId="0" fontId="22" fillId="10" borderId="3" xfId="0" applyFont="1" applyFill="1" applyBorder="1" applyAlignment="1">
      <alignment horizontal="center"/>
    </xf>
    <xf numFmtId="0" fontId="22" fillId="10" borderId="4" xfId="0" applyFont="1" applyFill="1" applyBorder="1" applyAlignment="1">
      <alignment horizontal="center"/>
    </xf>
    <xf numFmtId="0" fontId="22" fillId="10" borderId="22" xfId="0" applyFont="1" applyFill="1" applyBorder="1" applyAlignment="1">
      <alignment horizontal="center"/>
    </xf>
    <xf numFmtId="0" fontId="22" fillId="10" borderId="24" xfId="0" applyFont="1" applyFill="1" applyBorder="1" applyAlignment="1">
      <alignment horizontal="center"/>
    </xf>
    <xf numFmtId="0" fontId="22" fillId="10" borderId="23" xfId="0" applyFont="1" applyFill="1" applyBorder="1" applyAlignment="1">
      <alignment horizontal="center"/>
    </xf>
    <xf numFmtId="0" fontId="22" fillId="0" borderId="24" xfId="0" applyFont="1" applyBorder="1"/>
    <xf numFmtId="0" fontId="22" fillId="0" borderId="23" xfId="0" applyFont="1" applyBorder="1"/>
    <xf numFmtId="0" fontId="16" fillId="0" borderId="20" xfId="0" applyFont="1" applyBorder="1" applyAlignment="1">
      <alignment wrapText="1"/>
    </xf>
    <xf numFmtId="0" fontId="22" fillId="0" borderId="11" xfId="0" applyFont="1" applyBorder="1"/>
    <xf numFmtId="0" fontId="22" fillId="10" borderId="11" xfId="0" applyFont="1" applyFill="1" applyBorder="1"/>
    <xf numFmtId="0" fontId="22" fillId="0" borderId="20" xfId="0" applyFont="1" applyBorder="1" applyAlignment="1">
      <alignment wrapText="1"/>
    </xf>
    <xf numFmtId="0" fontId="14" fillId="0" borderId="0" xfId="0" applyFont="1" applyAlignment="1">
      <alignment wrapText="1"/>
    </xf>
    <xf numFmtId="0" fontId="14" fillId="0" borderId="0" xfId="0" applyFont="1"/>
    <xf numFmtId="0" fontId="14" fillId="0" borderId="11" xfId="0" applyFont="1" applyBorder="1" applyAlignment="1">
      <alignment wrapText="1"/>
    </xf>
    <xf numFmtId="0" fontId="22" fillId="0" borderId="5" xfId="0" applyFont="1" applyBorder="1" applyAlignment="1">
      <alignment horizontal="center"/>
    </xf>
    <xf numFmtId="0" fontId="22" fillId="0" borderId="7" xfId="0" applyFont="1" applyBorder="1" applyAlignment="1">
      <alignment horizontal="center"/>
    </xf>
    <xf numFmtId="0" fontId="22" fillId="0" borderId="31" xfId="0" applyFont="1" applyBorder="1" applyAlignment="1">
      <alignment horizontal="center" wrapText="1"/>
    </xf>
    <xf numFmtId="0" fontId="22" fillId="0" borderId="28" xfId="0" applyFont="1" applyBorder="1" applyAlignment="1">
      <alignment horizontal="center" wrapText="1"/>
    </xf>
    <xf numFmtId="0" fontId="14" fillId="5" borderId="19" xfId="0" applyFont="1" applyFill="1" applyBorder="1" applyAlignment="1">
      <alignment wrapText="1"/>
    </xf>
    <xf numFmtId="0" fontId="22" fillId="0" borderId="20" xfId="0" applyFont="1" applyBorder="1"/>
    <xf numFmtId="0" fontId="14" fillId="0" borderId="7" xfId="0" applyFont="1" applyBorder="1"/>
    <xf numFmtId="0" fontId="14" fillId="0" borderId="22" xfId="0" applyFont="1" applyBorder="1" applyAlignment="1">
      <alignment wrapText="1"/>
    </xf>
    <xf numFmtId="0" fontId="14" fillId="0" borderId="24" xfId="0" applyFont="1" applyBorder="1" applyAlignment="1">
      <alignment wrapText="1"/>
    </xf>
    <xf numFmtId="0" fontId="14" fillId="0" borderId="24" xfId="0" applyFont="1" applyBorder="1"/>
    <xf numFmtId="0" fontId="14" fillId="5" borderId="11" xfId="0" applyFont="1" applyFill="1" applyBorder="1"/>
    <xf numFmtId="0" fontId="3" fillId="0" borderId="21" xfId="0" applyFont="1" applyBorder="1" applyAlignment="1">
      <alignment horizontal="center"/>
    </xf>
    <xf numFmtId="0" fontId="3" fillId="0" borderId="11" xfId="0" applyFont="1" applyBorder="1" applyAlignment="1">
      <alignment horizontal="center"/>
    </xf>
    <xf numFmtId="0" fontId="14" fillId="10" borderId="2" xfId="0" applyFont="1" applyFill="1" applyBorder="1"/>
    <xf numFmtId="0" fontId="14" fillId="11" borderId="11" xfId="0" applyFont="1" applyFill="1" applyBorder="1" applyAlignment="1">
      <alignment wrapText="1"/>
    </xf>
    <xf numFmtId="0" fontId="16" fillId="0" borderId="11" xfId="0" applyFont="1" applyBorder="1" applyAlignment="1">
      <alignment wrapText="1"/>
    </xf>
    <xf numFmtId="0" fontId="14" fillId="0" borderId="20" xfId="0" applyFont="1" applyBorder="1" applyAlignment="1">
      <alignment wrapText="1"/>
    </xf>
    <xf numFmtId="0" fontId="14" fillId="0" borderId="20" xfId="0" applyFont="1" applyBorder="1"/>
    <xf numFmtId="0" fontId="22" fillId="10" borderId="2" xfId="0" applyFont="1" applyFill="1" applyBorder="1"/>
    <xf numFmtId="0" fontId="22" fillId="0" borderId="7" xfId="0" applyFont="1" applyBorder="1"/>
    <xf numFmtId="0" fontId="22" fillId="11" borderId="11" xfId="0" applyFont="1" applyFill="1" applyBorder="1" applyAlignment="1">
      <alignment wrapText="1"/>
    </xf>
    <xf numFmtId="0" fontId="22" fillId="0" borderId="22" xfId="0" applyFont="1" applyBorder="1" applyAlignment="1">
      <alignment wrapText="1"/>
    </xf>
    <xf numFmtId="0" fontId="24" fillId="0" borderId="11" xfId="0" applyFont="1" applyBorder="1" applyAlignment="1">
      <alignment wrapText="1"/>
    </xf>
    <xf numFmtId="0" fontId="22" fillId="0" borderId="17" xfId="0" applyFont="1" applyBorder="1" applyAlignment="1">
      <alignment horizontal="center"/>
    </xf>
    <xf numFmtId="0" fontId="22" fillId="0" borderId="18" xfId="0" applyFont="1" applyBorder="1" applyAlignment="1">
      <alignment horizontal="center"/>
    </xf>
    <xf numFmtId="0" fontId="3" fillId="0" borderId="14" xfId="0" applyFont="1" applyBorder="1" applyAlignment="1">
      <alignment horizontal="center" wrapText="1"/>
    </xf>
    <xf numFmtId="0" fontId="3" fillId="0" borderId="13" xfId="0" applyFont="1" applyBorder="1" applyAlignment="1">
      <alignment horizontal="center" wrapText="1"/>
    </xf>
    <xf numFmtId="0" fontId="14" fillId="0" borderId="0" xfId="0" applyFont="1" applyAlignment="1">
      <alignment horizontal="center"/>
    </xf>
    <xf numFmtId="0" fontId="83" fillId="22" borderId="25" xfId="0" applyFont="1" applyFill="1" applyBorder="1" applyAlignment="1">
      <alignment horizontal="center"/>
    </xf>
    <xf numFmtId="0" fontId="83" fillId="22" borderId="0" xfId="0" applyFont="1" applyFill="1" applyAlignment="1">
      <alignment horizontal="center"/>
    </xf>
    <xf numFmtId="0" fontId="14" fillId="0" borderId="13" xfId="0" applyFont="1" applyBorder="1" applyAlignment="1">
      <alignment horizontal="center"/>
    </xf>
    <xf numFmtId="0" fontId="14" fillId="15" borderId="11" xfId="0" applyFont="1" applyFill="1" applyBorder="1" applyAlignment="1">
      <alignment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C361"/>
  <sheetViews>
    <sheetView topLeftCell="A110" zoomScale="130" zoomScaleNormal="130" workbookViewId="0">
      <selection activeCell="F110" sqref="F110"/>
    </sheetView>
  </sheetViews>
  <sheetFormatPr defaultColWidth="9" defaultRowHeight="14.4"/>
  <cols>
    <col min="1" max="1" width="9.44140625" customWidth="1"/>
    <col min="2" max="2" width="19.109375" customWidth="1"/>
    <col min="3" max="3" width="27.44140625" customWidth="1"/>
    <col min="4" max="4" width="12.6640625" customWidth="1"/>
    <col min="5" max="5" width="8.6640625" customWidth="1"/>
    <col min="6" max="6" width="67.109375" customWidth="1"/>
    <col min="7" max="8" width="10.109375" customWidth="1"/>
    <col min="9" max="9" width="10.109375" hidden="1" customWidth="1"/>
    <col min="10" max="11" width="12.44140625" hidden="1" customWidth="1"/>
    <col min="12" max="12" width="12.6640625" hidden="1" customWidth="1"/>
    <col min="13" max="13" width="14.33203125" hidden="1" customWidth="1"/>
    <col min="14" max="14" width="38.88671875" customWidth="1"/>
    <col min="15" max="16" width="10.109375" customWidth="1"/>
    <col min="17" max="17" width="8.44140625" customWidth="1"/>
    <col min="18" max="18" width="15.6640625" customWidth="1"/>
    <col min="19" max="19" width="12.44140625" customWidth="1"/>
    <col min="20" max="20" width="12.6640625" customWidth="1"/>
    <col min="21" max="21" width="14.33203125" customWidth="1"/>
  </cols>
  <sheetData>
    <row r="2" spans="1:29">
      <c r="D2" s="823" t="s">
        <v>124</v>
      </c>
      <c r="E2" s="823"/>
      <c r="F2" s="823"/>
      <c r="G2" s="823"/>
      <c r="H2" s="823"/>
      <c r="I2" s="823"/>
      <c r="J2" s="823"/>
      <c r="K2" s="823"/>
      <c r="L2" s="823"/>
      <c r="M2" s="823"/>
    </row>
    <row r="3" spans="1:29" ht="57.6">
      <c r="B3" s="7" t="s">
        <v>125</v>
      </c>
      <c r="C3" s="7" t="s">
        <v>126</v>
      </c>
      <c r="D3" s="7" t="s">
        <v>127</v>
      </c>
      <c r="E3" s="7"/>
      <c r="F3" t="s">
        <v>128</v>
      </c>
      <c r="J3" s="8" t="s">
        <v>129</v>
      </c>
      <c r="K3" s="8"/>
      <c r="L3" s="8" t="s">
        <v>130</v>
      </c>
      <c r="M3" s="8" t="s">
        <v>131</v>
      </c>
      <c r="N3" t="s">
        <v>132</v>
      </c>
      <c r="R3" s="8" t="s">
        <v>129</v>
      </c>
      <c r="S3" s="8"/>
      <c r="T3" s="8" t="s">
        <v>130</v>
      </c>
      <c r="U3" s="8" t="s">
        <v>131</v>
      </c>
      <c r="V3" t="s">
        <v>133</v>
      </c>
      <c r="Z3" s="8" t="s">
        <v>129</v>
      </c>
      <c r="AA3" s="8"/>
      <c r="AB3" s="8" t="s">
        <v>130</v>
      </c>
      <c r="AC3" s="8" t="s">
        <v>131</v>
      </c>
    </row>
    <row r="4" spans="1:29" ht="43.2">
      <c r="A4" s="31" t="s">
        <v>134</v>
      </c>
      <c r="B4" s="32" t="s">
        <v>135</v>
      </c>
      <c r="C4" t="s">
        <v>136</v>
      </c>
      <c r="D4" t="s">
        <v>137</v>
      </c>
      <c r="E4" t="s">
        <v>138</v>
      </c>
      <c r="F4" t="s">
        <v>139</v>
      </c>
      <c r="G4" s="4">
        <v>0.01</v>
      </c>
      <c r="H4" s="4">
        <v>0.01</v>
      </c>
      <c r="I4" s="5"/>
      <c r="J4" s="36">
        <v>0.25</v>
      </c>
      <c r="K4" s="36">
        <v>0.25</v>
      </c>
      <c r="N4" t="s">
        <v>139</v>
      </c>
      <c r="O4" s="4">
        <v>0.05</v>
      </c>
      <c r="P4" s="5">
        <v>0</v>
      </c>
      <c r="Q4" s="5"/>
      <c r="R4" s="36">
        <v>0.5</v>
      </c>
      <c r="S4" s="36">
        <v>0</v>
      </c>
      <c r="V4" t="s">
        <v>139</v>
      </c>
      <c r="W4" s="4">
        <v>0.05</v>
      </c>
      <c r="X4" s="5">
        <v>0.05</v>
      </c>
      <c r="Y4" s="5"/>
      <c r="Z4" s="36">
        <v>0.5</v>
      </c>
      <c r="AA4" s="36">
        <v>0</v>
      </c>
    </row>
    <row r="5" spans="1:29">
      <c r="F5" t="s">
        <v>140</v>
      </c>
      <c r="G5" s="4">
        <v>0.03</v>
      </c>
      <c r="H5" s="4">
        <v>0.03</v>
      </c>
      <c r="I5" s="5"/>
      <c r="J5" s="7"/>
      <c r="K5" s="7"/>
      <c r="N5" t="s">
        <v>140</v>
      </c>
      <c r="O5" s="4">
        <v>0.06</v>
      </c>
      <c r="P5" s="5">
        <v>0</v>
      </c>
      <c r="Q5" s="5"/>
      <c r="R5" s="7"/>
      <c r="S5" s="7"/>
      <c r="V5" t="s">
        <v>140</v>
      </c>
      <c r="W5" s="4">
        <v>0.06</v>
      </c>
      <c r="X5" s="5">
        <v>0.05</v>
      </c>
      <c r="Y5" s="5"/>
      <c r="Z5" s="7"/>
      <c r="AA5" s="7"/>
    </row>
    <row r="6" spans="1:29">
      <c r="F6" t="s">
        <v>141</v>
      </c>
      <c r="G6" s="4">
        <v>0.05</v>
      </c>
      <c r="H6" s="4">
        <v>0</v>
      </c>
      <c r="I6" s="5"/>
      <c r="J6" s="7"/>
      <c r="K6" s="7"/>
      <c r="N6" t="s">
        <v>141</v>
      </c>
      <c r="O6" s="4">
        <v>0.02</v>
      </c>
      <c r="P6" s="5">
        <v>0</v>
      </c>
      <c r="Q6" s="5"/>
      <c r="R6" s="7"/>
      <c r="S6" s="7"/>
      <c r="V6" t="s">
        <v>141</v>
      </c>
      <c r="W6" s="4">
        <v>0.02</v>
      </c>
      <c r="X6" s="5">
        <v>0.02</v>
      </c>
      <c r="Y6" s="5"/>
      <c r="Z6" s="7"/>
      <c r="AA6" s="7"/>
    </row>
    <row r="7" spans="1:29">
      <c r="F7" t="s">
        <v>142</v>
      </c>
      <c r="G7" s="4">
        <v>0.03</v>
      </c>
      <c r="H7" s="4">
        <v>0</v>
      </c>
      <c r="I7" s="5"/>
      <c r="J7" s="7"/>
      <c r="K7" s="7"/>
      <c r="N7" t="s">
        <v>142</v>
      </c>
      <c r="O7" s="4">
        <v>0.02</v>
      </c>
      <c r="P7" s="5">
        <v>0</v>
      </c>
      <c r="Q7" s="5"/>
      <c r="R7" s="7"/>
      <c r="S7" s="7"/>
      <c r="V7" t="s">
        <v>142</v>
      </c>
      <c r="W7" s="4">
        <v>0.02</v>
      </c>
      <c r="X7" s="5">
        <v>0.02</v>
      </c>
      <c r="Y7" s="5"/>
      <c r="Z7" s="7"/>
      <c r="AA7" s="7"/>
    </row>
    <row r="8" spans="1:29">
      <c r="F8" t="s">
        <v>143</v>
      </c>
      <c r="G8" s="4">
        <v>0.03</v>
      </c>
      <c r="H8" s="4">
        <v>0</v>
      </c>
      <c r="I8" s="5"/>
      <c r="J8" s="7"/>
      <c r="K8" s="7"/>
      <c r="N8" t="s">
        <v>143</v>
      </c>
      <c r="O8" s="4">
        <v>0.02</v>
      </c>
      <c r="P8" s="5">
        <v>0</v>
      </c>
      <c r="Q8" s="5"/>
      <c r="R8" s="7"/>
      <c r="S8" s="7"/>
      <c r="V8" t="s">
        <v>143</v>
      </c>
      <c r="W8" s="4">
        <v>0.02</v>
      </c>
      <c r="X8" s="5">
        <v>0.02</v>
      </c>
      <c r="Y8" s="5"/>
      <c r="Z8" s="7"/>
      <c r="AA8" s="7"/>
    </row>
    <row r="9" spans="1:29">
      <c r="F9" t="s">
        <v>144</v>
      </c>
      <c r="G9" s="4">
        <v>0.03</v>
      </c>
      <c r="H9" s="4">
        <v>0</v>
      </c>
      <c r="I9" s="5"/>
      <c r="J9" s="7"/>
      <c r="K9" s="7"/>
      <c r="N9" t="s">
        <v>144</v>
      </c>
      <c r="O9" s="4">
        <v>0.03</v>
      </c>
      <c r="P9" s="5">
        <v>0</v>
      </c>
      <c r="Q9" s="5"/>
      <c r="R9" s="7"/>
      <c r="S9" s="7"/>
      <c r="V9" t="s">
        <v>144</v>
      </c>
      <c r="W9" s="4">
        <v>0.03</v>
      </c>
      <c r="X9" s="5">
        <v>0</v>
      </c>
      <c r="Y9" s="5"/>
      <c r="Z9" s="7"/>
      <c r="AA9" s="7"/>
    </row>
    <row r="10" spans="1:29">
      <c r="F10" t="s">
        <v>145</v>
      </c>
      <c r="G10" s="4">
        <v>0.03</v>
      </c>
      <c r="H10" s="4">
        <v>0</v>
      </c>
      <c r="I10" s="5"/>
      <c r="J10" s="7"/>
      <c r="K10" s="7"/>
      <c r="O10" s="4"/>
      <c r="P10" s="5"/>
      <c r="Q10" s="5"/>
      <c r="R10" s="7"/>
      <c r="S10" s="7"/>
      <c r="W10" s="4"/>
      <c r="X10" s="5"/>
      <c r="Y10" s="5"/>
      <c r="Z10" s="7"/>
      <c r="AA10" s="7"/>
    </row>
    <row r="11" spans="1:29">
      <c r="F11" t="s">
        <v>146</v>
      </c>
      <c r="G11" s="4">
        <v>0.01</v>
      </c>
      <c r="H11" s="4">
        <v>0</v>
      </c>
      <c r="I11" s="5"/>
      <c r="J11" s="7"/>
      <c r="K11" s="7"/>
      <c r="N11" t="s">
        <v>147</v>
      </c>
      <c r="O11" s="4">
        <v>0.4</v>
      </c>
      <c r="P11" s="5">
        <v>0</v>
      </c>
      <c r="Q11" s="5"/>
      <c r="R11" s="7"/>
      <c r="S11" s="7"/>
      <c r="V11" t="s">
        <v>147</v>
      </c>
      <c r="W11" s="4">
        <v>0.4</v>
      </c>
      <c r="X11" s="5">
        <v>0</v>
      </c>
      <c r="Y11" s="5"/>
      <c r="Z11" s="7"/>
      <c r="AA11" s="7"/>
    </row>
    <row r="12" spans="1:29">
      <c r="F12" t="s">
        <v>148</v>
      </c>
      <c r="G12" s="4">
        <v>0.03</v>
      </c>
      <c r="H12" s="4">
        <v>0</v>
      </c>
      <c r="I12" s="5"/>
      <c r="J12" s="7"/>
      <c r="K12" s="7"/>
      <c r="N12" t="s">
        <v>149</v>
      </c>
      <c r="O12" s="4">
        <v>0.15</v>
      </c>
      <c r="P12" s="5">
        <v>0</v>
      </c>
      <c r="Q12" s="5"/>
      <c r="R12" s="7"/>
      <c r="S12" s="7"/>
      <c r="V12" t="s">
        <v>149</v>
      </c>
      <c r="W12" s="4">
        <v>0.15</v>
      </c>
      <c r="X12" s="5">
        <v>0.1</v>
      </c>
      <c r="Y12" s="5"/>
      <c r="Z12" s="7"/>
      <c r="AA12" s="7"/>
    </row>
    <row r="13" spans="1:29">
      <c r="F13" t="s">
        <v>150</v>
      </c>
      <c r="G13" s="4">
        <v>0.03</v>
      </c>
      <c r="H13" s="5">
        <v>0.03</v>
      </c>
      <c r="I13" s="5"/>
      <c r="J13" s="7"/>
      <c r="K13" s="7"/>
      <c r="N13" t="s">
        <v>151</v>
      </c>
      <c r="O13" s="4"/>
      <c r="P13" s="5">
        <v>0</v>
      </c>
      <c r="Q13" s="5"/>
      <c r="R13" s="7"/>
      <c r="S13" s="7"/>
      <c r="V13" t="s">
        <v>151</v>
      </c>
      <c r="W13" s="4"/>
      <c r="X13" s="5">
        <v>0</v>
      </c>
      <c r="Y13" s="5"/>
      <c r="Z13" s="7"/>
      <c r="AA13" s="7"/>
    </row>
    <row r="14" spans="1:29">
      <c r="F14" t="s">
        <v>152</v>
      </c>
      <c r="G14" s="4">
        <v>0.2</v>
      </c>
      <c r="H14" s="5">
        <v>0</v>
      </c>
      <c r="I14" s="5"/>
      <c r="J14" s="7"/>
      <c r="K14" s="7"/>
      <c r="N14" t="s">
        <v>153</v>
      </c>
      <c r="O14" s="4"/>
      <c r="P14" s="5">
        <v>0</v>
      </c>
      <c r="Q14" s="5"/>
      <c r="R14" s="7"/>
      <c r="S14" s="7"/>
      <c r="V14" t="s">
        <v>153</v>
      </c>
      <c r="W14" s="4"/>
      <c r="X14" s="5"/>
      <c r="Y14" s="5"/>
      <c r="Z14" s="7"/>
      <c r="AA14" s="7"/>
    </row>
    <row r="15" spans="1:29">
      <c r="F15" t="s">
        <v>154</v>
      </c>
      <c r="G15" s="4">
        <v>0.1</v>
      </c>
      <c r="H15" s="5">
        <v>0</v>
      </c>
      <c r="I15" s="5"/>
      <c r="J15" s="36"/>
      <c r="K15" s="36"/>
      <c r="N15" t="s">
        <v>155</v>
      </c>
      <c r="O15" s="4">
        <v>0.05</v>
      </c>
      <c r="P15" s="5">
        <v>0</v>
      </c>
      <c r="Q15" s="5"/>
      <c r="R15" s="36">
        <v>0</v>
      </c>
      <c r="S15" s="36">
        <v>0</v>
      </c>
      <c r="V15" t="s">
        <v>155</v>
      </c>
      <c r="W15" s="4">
        <v>0.05</v>
      </c>
      <c r="X15" s="5">
        <v>0</v>
      </c>
      <c r="Y15" s="5"/>
      <c r="Z15" s="36">
        <v>0</v>
      </c>
      <c r="AA15" s="36">
        <v>0</v>
      </c>
    </row>
    <row r="16" spans="1:29">
      <c r="F16" t="s">
        <v>156</v>
      </c>
      <c r="G16" s="4">
        <v>0.13</v>
      </c>
      <c r="H16" s="5">
        <v>0</v>
      </c>
      <c r="I16" s="5"/>
      <c r="J16" s="7"/>
      <c r="K16" s="7"/>
      <c r="N16" t="s">
        <v>157</v>
      </c>
      <c r="O16" s="4">
        <v>0.05</v>
      </c>
      <c r="P16" s="5">
        <v>0</v>
      </c>
      <c r="Q16" s="5"/>
      <c r="R16" s="7"/>
      <c r="S16" s="7"/>
      <c r="V16" t="s">
        <v>157</v>
      </c>
      <c r="W16" s="4">
        <v>0.05</v>
      </c>
      <c r="X16" s="5">
        <v>0.05</v>
      </c>
      <c r="Y16" s="5"/>
      <c r="Z16" s="7"/>
      <c r="AA16" s="7"/>
    </row>
    <row r="17" spans="2:27">
      <c r="F17" t="s">
        <v>158</v>
      </c>
      <c r="G17" s="4">
        <v>0.13</v>
      </c>
      <c r="H17" s="5">
        <v>0.05</v>
      </c>
      <c r="I17" s="5"/>
      <c r="J17" s="36"/>
      <c r="K17" s="36"/>
      <c r="N17" t="s">
        <v>159</v>
      </c>
      <c r="O17" s="4">
        <v>0.05</v>
      </c>
      <c r="P17" s="5">
        <v>0.05</v>
      </c>
      <c r="Q17" s="5"/>
      <c r="R17" s="36">
        <v>0.1</v>
      </c>
      <c r="S17" s="36">
        <v>0</v>
      </c>
      <c r="V17" t="s">
        <v>159</v>
      </c>
      <c r="W17" s="4">
        <v>0.05</v>
      </c>
      <c r="X17" s="5">
        <v>0.05</v>
      </c>
      <c r="Y17" s="5"/>
      <c r="Z17" s="36">
        <v>0.1</v>
      </c>
      <c r="AA17" s="36">
        <v>0</v>
      </c>
    </row>
    <row r="18" spans="2:27">
      <c r="F18" t="s">
        <v>160</v>
      </c>
      <c r="G18" s="4">
        <v>0.05</v>
      </c>
      <c r="H18" s="5">
        <v>0</v>
      </c>
      <c r="I18" s="5"/>
      <c r="J18" s="36"/>
      <c r="K18" s="36"/>
      <c r="N18" t="s">
        <v>161</v>
      </c>
      <c r="O18" s="4">
        <v>0.1</v>
      </c>
      <c r="P18" s="5">
        <v>0.1</v>
      </c>
      <c r="Q18" s="5"/>
      <c r="R18" s="36">
        <v>1</v>
      </c>
      <c r="S18" s="36">
        <v>1</v>
      </c>
      <c r="V18" t="s">
        <v>161</v>
      </c>
      <c r="W18" s="4">
        <v>0.1</v>
      </c>
      <c r="X18" s="5">
        <v>0.1</v>
      </c>
      <c r="Y18" s="5"/>
      <c r="Z18" s="36">
        <v>1</v>
      </c>
      <c r="AA18" s="36">
        <v>1</v>
      </c>
    </row>
    <row r="19" spans="2:27">
      <c r="F19" t="s">
        <v>159</v>
      </c>
      <c r="G19" s="4">
        <v>0.05</v>
      </c>
      <c r="H19" s="4">
        <v>0.01</v>
      </c>
      <c r="I19" s="34"/>
      <c r="J19" s="37"/>
      <c r="K19" s="37"/>
      <c r="O19" s="34">
        <f>SUM(O4:O18)</f>
        <v>1</v>
      </c>
      <c r="P19" s="34">
        <f>SUM(P4:P18)</f>
        <v>0.15</v>
      </c>
      <c r="Q19" s="34"/>
      <c r="R19" s="37">
        <f>SUM(R4:R18)</f>
        <v>1.6</v>
      </c>
      <c r="S19" s="37">
        <f>SUM(S4:S18)</f>
        <v>1</v>
      </c>
      <c r="W19" s="34">
        <f>SUM(W4:W18)</f>
        <v>1</v>
      </c>
      <c r="X19" s="34">
        <f>SUM(X4:X18)</f>
        <v>0.46</v>
      </c>
      <c r="Y19" s="34"/>
      <c r="Z19" s="37">
        <f>SUM(Z4:Z18)</f>
        <v>1.6</v>
      </c>
      <c r="AA19" s="37">
        <f>SUM(AA4:AA18)</f>
        <v>1</v>
      </c>
    </row>
    <row r="20" spans="2:27">
      <c r="F20" t="s">
        <v>162</v>
      </c>
      <c r="G20" s="4">
        <v>0.01</v>
      </c>
      <c r="H20" s="4">
        <v>0</v>
      </c>
      <c r="I20" s="34"/>
      <c r="J20" s="37"/>
      <c r="K20" s="37"/>
      <c r="O20" s="34"/>
      <c r="P20" s="34"/>
      <c r="Q20" s="34"/>
      <c r="R20" s="37"/>
      <c r="S20" s="37"/>
      <c r="W20" s="34"/>
      <c r="X20" s="34"/>
      <c r="Y20" s="34"/>
      <c r="Z20" s="37"/>
      <c r="AA20" s="37"/>
    </row>
    <row r="21" spans="2:27">
      <c r="F21" t="s">
        <v>163</v>
      </c>
      <c r="G21" s="4">
        <v>0.05</v>
      </c>
      <c r="H21" s="4">
        <v>0</v>
      </c>
      <c r="I21" s="34"/>
      <c r="J21" s="37"/>
      <c r="K21" s="37"/>
      <c r="O21" s="34"/>
      <c r="P21" s="34"/>
      <c r="Q21" s="34"/>
      <c r="R21" s="37"/>
      <c r="S21" s="37"/>
      <c r="W21" s="34"/>
      <c r="X21" s="34"/>
      <c r="Y21" s="34"/>
      <c r="Z21" s="37"/>
      <c r="AA21" s="37"/>
    </row>
    <row r="22" spans="2:27">
      <c r="F22" t="s">
        <v>164</v>
      </c>
      <c r="G22" s="6">
        <v>0</v>
      </c>
      <c r="H22" s="4">
        <v>0</v>
      </c>
      <c r="I22" s="34"/>
      <c r="K22" s="38"/>
      <c r="P22" s="34">
        <f>+O19-P19</f>
        <v>0.85</v>
      </c>
      <c r="Q22" s="34"/>
      <c r="S22" s="38">
        <f>+(R19-S19)/R19</f>
        <v>0.375</v>
      </c>
      <c r="X22" s="34">
        <f>+W19-X19</f>
        <v>0.54</v>
      </c>
      <c r="Y22" s="34"/>
      <c r="AA22" s="38">
        <f>+(Z19-AA19)/Z19</f>
        <v>0.375</v>
      </c>
    </row>
    <row r="23" spans="2:27">
      <c r="G23" s="33">
        <f>SUM(G4:G22)</f>
        <v>1</v>
      </c>
      <c r="H23" s="34">
        <f>SUM(H4:H22)</f>
        <v>0.13</v>
      </c>
      <c r="I23" s="34"/>
      <c r="K23" s="38"/>
      <c r="P23" s="34"/>
      <c r="Q23" s="34"/>
      <c r="S23" s="38"/>
      <c r="X23" s="34"/>
      <c r="Y23" s="34"/>
      <c r="AA23" s="38"/>
    </row>
    <row r="24" spans="2:27">
      <c r="G24" s="6"/>
      <c r="H24" s="34">
        <f>G23-H23</f>
        <v>0.87</v>
      </c>
      <c r="I24" s="34"/>
      <c r="K24" s="38"/>
      <c r="P24" s="34"/>
      <c r="Q24" s="34"/>
      <c r="S24" s="38"/>
      <c r="X24" s="34"/>
      <c r="Y24" s="34"/>
      <c r="AA24" s="38"/>
    </row>
    <row r="25" spans="2:27">
      <c r="G25" s="6"/>
      <c r="H25" s="4"/>
      <c r="I25" s="34"/>
      <c r="K25" s="38"/>
      <c r="P25" s="34"/>
      <c r="Q25" s="34"/>
      <c r="S25" s="38"/>
      <c r="X25" s="34"/>
      <c r="Y25" s="34"/>
      <c r="AA25" s="38"/>
    </row>
    <row r="26" spans="2:27">
      <c r="H26" s="34"/>
      <c r="I26" s="34"/>
      <c r="K26" s="38"/>
      <c r="P26" s="34"/>
      <c r="Q26" s="34"/>
      <c r="S26" s="38"/>
      <c r="X26" s="34"/>
      <c r="Y26" s="34"/>
      <c r="AA26" s="38"/>
    </row>
    <row r="27" spans="2:27">
      <c r="B27" s="32" t="s">
        <v>165</v>
      </c>
      <c r="C27" t="s">
        <v>166</v>
      </c>
      <c r="F27" t="s">
        <v>139</v>
      </c>
      <c r="G27" s="4">
        <v>0.01</v>
      </c>
      <c r="H27" s="4">
        <v>0.01</v>
      </c>
      <c r="I27" s="5"/>
      <c r="J27" s="36">
        <v>0.25</v>
      </c>
      <c r="K27" s="36">
        <v>0.25</v>
      </c>
      <c r="N27" t="s">
        <v>139</v>
      </c>
      <c r="O27" s="4">
        <v>0.05</v>
      </c>
      <c r="P27" s="5">
        <v>0</v>
      </c>
      <c r="Q27" s="34"/>
      <c r="S27" s="38"/>
      <c r="X27" s="34"/>
      <c r="Y27" s="34"/>
      <c r="AA27" s="38"/>
    </row>
    <row r="28" spans="2:27">
      <c r="F28" t="s">
        <v>140</v>
      </c>
      <c r="G28" s="4">
        <v>0.03</v>
      </c>
      <c r="H28" s="4">
        <v>0.03</v>
      </c>
      <c r="I28" s="5"/>
      <c r="J28" s="7"/>
      <c r="K28" s="7"/>
      <c r="N28" t="s">
        <v>140</v>
      </c>
      <c r="O28" s="4">
        <v>0.06</v>
      </c>
      <c r="P28" s="5">
        <v>0</v>
      </c>
      <c r="Q28" s="34"/>
      <c r="S28" s="38"/>
      <c r="X28" s="34"/>
      <c r="Y28" s="34"/>
      <c r="AA28" s="38"/>
    </row>
    <row r="29" spans="2:27">
      <c r="F29" t="s">
        <v>167</v>
      </c>
      <c r="G29" s="4">
        <v>0.05</v>
      </c>
      <c r="H29" s="4">
        <v>0.05</v>
      </c>
      <c r="I29" s="5"/>
      <c r="J29" s="7"/>
      <c r="K29" s="7"/>
      <c r="N29" t="s">
        <v>141</v>
      </c>
      <c r="O29" s="4">
        <v>0.02</v>
      </c>
      <c r="P29" s="5">
        <v>0</v>
      </c>
      <c r="Q29" s="34"/>
      <c r="S29" s="38"/>
      <c r="X29" s="34"/>
      <c r="Y29" s="34"/>
      <c r="AA29" s="38"/>
    </row>
    <row r="30" spans="2:27">
      <c r="F30" t="s">
        <v>168</v>
      </c>
      <c r="G30" s="4">
        <v>0.05</v>
      </c>
      <c r="H30" s="4">
        <v>0.05</v>
      </c>
      <c r="I30" s="5"/>
      <c r="J30" s="7"/>
      <c r="K30" s="7"/>
      <c r="N30" t="s">
        <v>142</v>
      </c>
      <c r="O30" s="4">
        <v>0.02</v>
      </c>
      <c r="P30" s="5">
        <v>0</v>
      </c>
      <c r="Q30" s="34"/>
      <c r="S30" s="38"/>
      <c r="X30" s="34"/>
      <c r="Y30" s="34"/>
      <c r="AA30" s="38"/>
    </row>
    <row r="31" spans="2:27">
      <c r="F31" t="s">
        <v>169</v>
      </c>
      <c r="G31" s="4">
        <v>0.05</v>
      </c>
      <c r="H31" s="4">
        <v>0.05</v>
      </c>
      <c r="I31" s="5"/>
      <c r="J31" s="7"/>
      <c r="K31" s="7"/>
      <c r="N31" t="s">
        <v>143</v>
      </c>
      <c r="O31" s="4">
        <v>0.02</v>
      </c>
      <c r="P31" s="5">
        <v>0</v>
      </c>
      <c r="Q31" s="34"/>
      <c r="S31" s="38"/>
      <c r="X31" s="34"/>
      <c r="Y31" s="34"/>
      <c r="AA31" s="38"/>
    </row>
    <row r="32" spans="2:27">
      <c r="F32" t="s">
        <v>144</v>
      </c>
      <c r="G32" s="4">
        <v>0.01</v>
      </c>
      <c r="H32" s="4">
        <v>0.01</v>
      </c>
      <c r="I32" s="5"/>
      <c r="J32" s="7"/>
      <c r="K32" s="7"/>
      <c r="N32" t="s">
        <v>144</v>
      </c>
      <c r="O32" s="4">
        <v>0.03</v>
      </c>
      <c r="P32" s="5">
        <v>0</v>
      </c>
      <c r="Q32" s="34"/>
      <c r="S32" s="38"/>
      <c r="X32" s="34"/>
      <c r="Y32" s="34"/>
      <c r="AA32" s="38"/>
    </row>
    <row r="33" spans="6:27">
      <c r="F33" t="s">
        <v>145</v>
      </c>
      <c r="G33" s="4">
        <v>0.05</v>
      </c>
      <c r="H33" s="4">
        <v>0.05</v>
      </c>
      <c r="I33" s="5"/>
      <c r="J33" s="7"/>
      <c r="K33" s="7"/>
      <c r="N33" t="s">
        <v>170</v>
      </c>
      <c r="O33" s="4">
        <v>0.55000000000000004</v>
      </c>
      <c r="P33" s="5">
        <v>0</v>
      </c>
      <c r="Q33" s="34"/>
      <c r="S33" s="38"/>
      <c r="X33" s="34"/>
      <c r="Y33" s="34"/>
      <c r="AA33" s="38"/>
    </row>
    <row r="34" spans="6:27">
      <c r="F34" t="s">
        <v>146</v>
      </c>
      <c r="G34" s="4">
        <v>0.01</v>
      </c>
      <c r="H34" s="4">
        <v>0.01</v>
      </c>
      <c r="I34" s="5"/>
      <c r="J34" s="7"/>
      <c r="K34" s="7"/>
      <c r="O34" s="4"/>
      <c r="P34" s="5"/>
      <c r="Q34" s="34"/>
      <c r="S34" s="38"/>
      <c r="X34" s="34"/>
      <c r="Y34" s="34"/>
      <c r="AA34" s="38"/>
    </row>
    <row r="35" spans="6:27">
      <c r="F35" t="s">
        <v>148</v>
      </c>
      <c r="G35" s="4">
        <v>0.03</v>
      </c>
      <c r="H35" s="5">
        <v>0.03</v>
      </c>
      <c r="I35" s="5"/>
      <c r="J35" s="7"/>
      <c r="K35" s="7"/>
      <c r="O35" s="4"/>
      <c r="P35" s="5"/>
      <c r="Q35" s="34"/>
      <c r="S35" s="38"/>
      <c r="X35" s="34"/>
      <c r="Y35" s="34"/>
      <c r="AA35" s="38"/>
    </row>
    <row r="36" spans="6:27">
      <c r="F36" t="s">
        <v>171</v>
      </c>
      <c r="G36" s="4">
        <v>0.03</v>
      </c>
      <c r="H36" s="5">
        <v>0</v>
      </c>
      <c r="I36" s="5"/>
      <c r="J36" s="7"/>
      <c r="K36" s="7"/>
      <c r="O36" s="4"/>
      <c r="P36" s="5"/>
      <c r="Q36" s="34"/>
      <c r="S36" s="38"/>
      <c r="X36" s="34"/>
      <c r="Y36" s="34"/>
      <c r="AA36" s="38"/>
    </row>
    <row r="37" spans="6:27">
      <c r="F37" t="s">
        <v>172</v>
      </c>
      <c r="G37" s="4">
        <v>0.19</v>
      </c>
      <c r="H37" s="5">
        <v>0</v>
      </c>
      <c r="I37" s="5"/>
      <c r="J37" s="7"/>
      <c r="K37" s="7"/>
      <c r="O37" s="4"/>
      <c r="P37" s="5"/>
      <c r="Q37" s="34"/>
      <c r="S37" s="38"/>
      <c r="X37" s="34"/>
      <c r="Y37" s="34"/>
      <c r="AA37" s="38"/>
    </row>
    <row r="38" spans="6:27">
      <c r="F38" t="s">
        <v>173</v>
      </c>
      <c r="G38" s="4">
        <v>0.05</v>
      </c>
      <c r="H38" s="5">
        <v>0</v>
      </c>
      <c r="I38" s="5"/>
      <c r="J38" s="7"/>
      <c r="K38" s="7"/>
      <c r="O38" s="4"/>
      <c r="P38" s="5"/>
      <c r="Q38" s="34"/>
      <c r="S38" s="38"/>
      <c r="X38" s="34"/>
      <c r="Y38" s="34"/>
      <c r="AA38" s="38"/>
    </row>
    <row r="39" spans="6:27">
      <c r="F39" t="s">
        <v>154</v>
      </c>
      <c r="G39" s="4">
        <v>0.05</v>
      </c>
      <c r="H39" s="5">
        <v>0</v>
      </c>
      <c r="I39" s="5"/>
      <c r="J39" s="7"/>
      <c r="K39" s="7"/>
      <c r="O39" s="4"/>
      <c r="P39" s="5"/>
      <c r="Q39" s="34"/>
      <c r="S39" s="38"/>
      <c r="X39" s="34"/>
      <c r="Y39" s="34"/>
      <c r="AA39" s="38"/>
    </row>
    <row r="40" spans="6:27">
      <c r="F40" t="s">
        <v>156</v>
      </c>
      <c r="G40" s="4">
        <v>0.1</v>
      </c>
      <c r="H40" s="5">
        <v>0</v>
      </c>
      <c r="I40" s="5"/>
      <c r="J40" s="7"/>
      <c r="K40" s="7"/>
      <c r="O40" s="4"/>
      <c r="P40" s="5">
        <v>0</v>
      </c>
      <c r="Q40" s="34"/>
      <c r="S40" s="38"/>
      <c r="X40" s="34"/>
      <c r="Y40" s="34"/>
      <c r="AA40" s="38"/>
    </row>
    <row r="41" spans="6:27">
      <c r="F41" t="s">
        <v>158</v>
      </c>
      <c r="G41" s="4">
        <v>0.05</v>
      </c>
      <c r="H41" s="5">
        <v>0</v>
      </c>
      <c r="I41" s="5"/>
      <c r="J41" s="7"/>
      <c r="K41" s="7"/>
      <c r="N41" t="s">
        <v>153</v>
      </c>
      <c r="O41" s="4"/>
      <c r="P41" s="5">
        <v>0</v>
      </c>
      <c r="Q41" s="34"/>
      <c r="S41" s="38"/>
      <c r="X41" s="34"/>
      <c r="Y41" s="34"/>
      <c r="AA41" s="38"/>
    </row>
    <row r="42" spans="6:27">
      <c r="F42" t="s">
        <v>174</v>
      </c>
      <c r="G42" s="4">
        <v>0</v>
      </c>
      <c r="H42" s="5">
        <v>0.1</v>
      </c>
      <c r="I42" s="5"/>
      <c r="J42" s="7"/>
      <c r="K42" s="7"/>
      <c r="O42" s="4"/>
      <c r="P42" s="5"/>
      <c r="Q42" s="34"/>
      <c r="S42" s="38"/>
      <c r="X42" s="34"/>
      <c r="Y42" s="34"/>
      <c r="AA42" s="38"/>
    </row>
    <row r="43" spans="6:27">
      <c r="F43" t="s">
        <v>175</v>
      </c>
      <c r="G43" s="4">
        <v>0.02</v>
      </c>
      <c r="H43" s="5">
        <v>0</v>
      </c>
      <c r="I43" s="5"/>
      <c r="J43" s="7"/>
      <c r="K43" s="7"/>
      <c r="N43" t="s">
        <v>157</v>
      </c>
      <c r="O43" s="4">
        <v>0.05</v>
      </c>
      <c r="P43" s="5">
        <v>0</v>
      </c>
      <c r="Q43" s="34"/>
      <c r="S43" s="38"/>
      <c r="X43" s="34"/>
      <c r="Y43" s="34"/>
      <c r="AA43" s="38"/>
    </row>
    <row r="44" spans="6:27">
      <c r="F44" t="s">
        <v>176</v>
      </c>
      <c r="G44" s="4">
        <v>0.02</v>
      </c>
      <c r="H44" s="5">
        <v>0</v>
      </c>
      <c r="I44" s="5"/>
      <c r="J44" s="7"/>
      <c r="K44" s="7"/>
      <c r="O44" s="4"/>
      <c r="P44" s="5"/>
      <c r="Q44" s="34"/>
      <c r="S44" s="38"/>
      <c r="X44" s="34"/>
      <c r="Y44" s="34"/>
      <c r="AA44" s="38"/>
    </row>
    <row r="45" spans="6:27">
      <c r="F45" t="s">
        <v>177</v>
      </c>
      <c r="G45" s="4">
        <v>0.05</v>
      </c>
      <c r="H45" s="5">
        <v>0.01</v>
      </c>
      <c r="I45" s="5"/>
      <c r="J45" s="7"/>
      <c r="K45" s="7"/>
      <c r="O45" s="4"/>
      <c r="P45" s="5"/>
      <c r="Q45" s="34"/>
      <c r="S45" s="38"/>
      <c r="X45" s="34"/>
      <c r="Y45" s="34"/>
      <c r="AA45" s="38"/>
    </row>
    <row r="46" spans="6:27">
      <c r="F46" t="s">
        <v>178</v>
      </c>
      <c r="G46" s="4">
        <v>0.05</v>
      </c>
      <c r="H46" s="5">
        <v>0</v>
      </c>
      <c r="I46" s="5"/>
      <c r="J46" s="36"/>
      <c r="K46" s="36"/>
      <c r="N46" t="s">
        <v>159</v>
      </c>
      <c r="O46" s="4">
        <v>0.05</v>
      </c>
      <c r="P46" s="5">
        <v>0.05</v>
      </c>
      <c r="Q46" s="34"/>
      <c r="S46" s="38"/>
      <c r="X46" s="34"/>
      <c r="Y46" s="34"/>
      <c r="AA46" s="38"/>
    </row>
    <row r="47" spans="6:27">
      <c r="F47" t="s">
        <v>162</v>
      </c>
      <c r="G47" s="4">
        <v>0.05</v>
      </c>
      <c r="H47" s="5">
        <v>0</v>
      </c>
      <c r="I47" s="5"/>
      <c r="J47" s="36"/>
      <c r="K47" s="36"/>
      <c r="O47" s="4"/>
      <c r="P47" s="5"/>
      <c r="Q47" s="34"/>
      <c r="S47" s="38"/>
      <c r="X47" s="34"/>
      <c r="Y47" s="34"/>
      <c r="AA47" s="38"/>
    </row>
    <row r="48" spans="6:27">
      <c r="F48" t="s">
        <v>179</v>
      </c>
      <c r="G48" s="4">
        <v>0.05</v>
      </c>
      <c r="H48" s="5">
        <v>0</v>
      </c>
      <c r="I48" s="5"/>
      <c r="J48" s="36"/>
      <c r="K48" s="36"/>
      <c r="O48" s="4"/>
      <c r="P48" s="5"/>
      <c r="Q48" s="34"/>
      <c r="S48" s="38"/>
      <c r="X48" s="34"/>
      <c r="Y48" s="34"/>
      <c r="AA48" s="38"/>
    </row>
    <row r="49" spans="1:28">
      <c r="F49" t="s">
        <v>164</v>
      </c>
      <c r="G49" s="4">
        <v>0</v>
      </c>
      <c r="H49" s="5">
        <v>0</v>
      </c>
      <c r="I49" s="5"/>
      <c r="J49" s="36"/>
      <c r="K49" s="36"/>
      <c r="O49" s="4"/>
      <c r="P49" s="5"/>
      <c r="Q49" s="34"/>
      <c r="S49" s="38"/>
      <c r="X49" s="34"/>
      <c r="Y49" s="34"/>
      <c r="AA49" s="38"/>
    </row>
    <row r="50" spans="1:28">
      <c r="G50" s="33">
        <f>SUM(G27:G49)</f>
        <v>1</v>
      </c>
      <c r="H50" s="34">
        <f>SUM(H27:H49)</f>
        <v>0.4</v>
      </c>
      <c r="I50" s="34"/>
      <c r="K50" s="38"/>
      <c r="P50" s="34"/>
      <c r="Q50" s="34"/>
      <c r="S50" s="38"/>
      <c r="X50" s="34"/>
      <c r="Y50" s="34"/>
      <c r="AA50" s="38"/>
    </row>
    <row r="51" spans="1:28">
      <c r="H51" s="33">
        <f>G50-H50</f>
        <v>0.6</v>
      </c>
    </row>
    <row r="52" spans="1:28" ht="57.6">
      <c r="B52" s="7" t="s">
        <v>125</v>
      </c>
      <c r="C52" s="7" t="s">
        <v>126</v>
      </c>
      <c r="D52" s="7" t="s">
        <v>127</v>
      </c>
      <c r="E52" s="7"/>
      <c r="F52" t="s">
        <v>128</v>
      </c>
      <c r="J52" s="8" t="s">
        <v>129</v>
      </c>
      <c r="K52" s="8"/>
      <c r="L52" s="8" t="s">
        <v>130</v>
      </c>
      <c r="M52" s="8" t="s">
        <v>131</v>
      </c>
      <c r="N52" t="s">
        <v>132</v>
      </c>
      <c r="R52" s="8" t="s">
        <v>129</v>
      </c>
      <c r="S52" s="8"/>
      <c r="T52" s="8" t="s">
        <v>130</v>
      </c>
      <c r="U52" s="8" t="s">
        <v>131</v>
      </c>
      <c r="V52" t="s">
        <v>133</v>
      </c>
      <c r="Z52" s="8" t="s">
        <v>129</v>
      </c>
      <c r="AA52" s="8"/>
      <c r="AB52" s="8" t="s">
        <v>130</v>
      </c>
    </row>
    <row r="53" spans="1:28" ht="43.2">
      <c r="A53" s="31" t="s">
        <v>134</v>
      </c>
      <c r="B53" s="32" t="s">
        <v>180</v>
      </c>
      <c r="C53" t="s">
        <v>181</v>
      </c>
      <c r="D53" t="s">
        <v>137</v>
      </c>
      <c r="E53" t="s">
        <v>138</v>
      </c>
      <c r="F53" t="s">
        <v>182</v>
      </c>
      <c r="G53" s="4">
        <v>0.2</v>
      </c>
      <c r="H53" s="5">
        <v>0</v>
      </c>
      <c r="I53" s="5"/>
      <c r="J53" s="36">
        <v>0.25</v>
      </c>
      <c r="K53" s="36">
        <v>0</v>
      </c>
      <c r="N53" t="s">
        <v>139</v>
      </c>
      <c r="O53" s="4">
        <v>0.05</v>
      </c>
      <c r="P53" s="5">
        <v>0</v>
      </c>
      <c r="Q53" s="5"/>
      <c r="R53" s="36">
        <v>0.5</v>
      </c>
      <c r="S53" s="36">
        <v>0</v>
      </c>
      <c r="V53" t="s">
        <v>139</v>
      </c>
      <c r="W53" s="4">
        <v>0.05</v>
      </c>
      <c r="X53" s="5">
        <v>0.05</v>
      </c>
      <c r="Y53" s="5"/>
      <c r="Z53" s="36">
        <v>0.5</v>
      </c>
      <c r="AA53" s="36">
        <v>0</v>
      </c>
    </row>
    <row r="54" spans="1:28">
      <c r="F54" t="s">
        <v>183</v>
      </c>
      <c r="G54" s="4">
        <v>0.2</v>
      </c>
      <c r="H54" s="5">
        <v>0</v>
      </c>
      <c r="I54" s="5"/>
      <c r="J54" s="7"/>
      <c r="K54" s="7"/>
      <c r="N54" t="s">
        <v>140</v>
      </c>
      <c r="O54" s="4">
        <v>0.06</v>
      </c>
      <c r="P54" s="5">
        <v>0</v>
      </c>
      <c r="Q54" s="5"/>
      <c r="R54" s="7"/>
      <c r="S54" s="7"/>
      <c r="V54" t="s">
        <v>140</v>
      </c>
      <c r="W54" s="4">
        <v>0.06</v>
      </c>
      <c r="X54" s="5">
        <v>0.05</v>
      </c>
      <c r="Y54" s="5"/>
      <c r="Z54" s="7"/>
      <c r="AA54" s="7"/>
    </row>
    <row r="55" spans="1:28">
      <c r="F55" s="35" t="s">
        <v>141</v>
      </c>
      <c r="G55" s="4">
        <v>0.02</v>
      </c>
      <c r="H55" s="5">
        <v>0</v>
      </c>
      <c r="I55" s="5"/>
      <c r="J55" s="7"/>
      <c r="K55" s="7"/>
      <c r="N55" s="35" t="s">
        <v>141</v>
      </c>
      <c r="O55" s="4">
        <v>0.02</v>
      </c>
      <c r="P55" s="5">
        <v>0</v>
      </c>
      <c r="Q55" s="5"/>
      <c r="R55" s="7"/>
      <c r="S55" s="7"/>
      <c r="V55" t="s">
        <v>141</v>
      </c>
      <c r="W55" s="4">
        <v>0.02</v>
      </c>
      <c r="X55" s="5">
        <v>0.02</v>
      </c>
      <c r="Y55" s="5"/>
      <c r="Z55" s="7"/>
      <c r="AA55" s="7"/>
    </row>
    <row r="56" spans="1:28">
      <c r="F56" s="35" t="s">
        <v>142</v>
      </c>
      <c r="G56" s="4">
        <v>0.02</v>
      </c>
      <c r="H56" s="5">
        <v>0</v>
      </c>
      <c r="I56" s="5"/>
      <c r="J56" s="7"/>
      <c r="K56" s="7"/>
      <c r="N56" s="35" t="s">
        <v>142</v>
      </c>
      <c r="O56" s="4">
        <v>0.02</v>
      </c>
      <c r="P56" s="5">
        <v>0</v>
      </c>
      <c r="Q56" s="5"/>
      <c r="R56" s="7"/>
      <c r="S56" s="7"/>
      <c r="V56" t="s">
        <v>142</v>
      </c>
      <c r="W56" s="4">
        <v>0.02</v>
      </c>
      <c r="X56" s="5">
        <v>0.02</v>
      </c>
      <c r="Y56" s="5"/>
      <c r="Z56" s="7"/>
      <c r="AA56" s="7"/>
    </row>
    <row r="57" spans="1:28">
      <c r="F57" s="35" t="s">
        <v>143</v>
      </c>
      <c r="G57" s="4">
        <v>0.02</v>
      </c>
      <c r="H57" s="5">
        <v>0</v>
      </c>
      <c r="I57" s="5"/>
      <c r="J57" s="7"/>
      <c r="K57" s="7"/>
      <c r="N57" s="35" t="s">
        <v>143</v>
      </c>
      <c r="O57" s="4">
        <v>0.02</v>
      </c>
      <c r="P57" s="5">
        <v>0</v>
      </c>
      <c r="Q57" s="5"/>
      <c r="R57" s="7"/>
      <c r="S57" s="7"/>
      <c r="V57" t="s">
        <v>143</v>
      </c>
      <c r="W57" s="4">
        <v>0.02</v>
      </c>
      <c r="X57" s="5">
        <v>0.02</v>
      </c>
      <c r="Y57" s="5"/>
      <c r="Z57" s="7"/>
      <c r="AA57" s="7"/>
    </row>
    <row r="58" spans="1:28">
      <c r="F58" t="s">
        <v>144</v>
      </c>
      <c r="G58" s="4">
        <v>0.03</v>
      </c>
      <c r="H58" s="5">
        <v>0</v>
      </c>
      <c r="I58" s="5"/>
      <c r="J58" s="7"/>
      <c r="K58" s="7"/>
      <c r="N58" t="s">
        <v>144</v>
      </c>
      <c r="O58" s="4">
        <v>0.03</v>
      </c>
      <c r="P58" s="5">
        <v>0</v>
      </c>
      <c r="Q58" s="5"/>
      <c r="R58" s="7"/>
      <c r="S58" s="7"/>
      <c r="V58" t="s">
        <v>144</v>
      </c>
      <c r="W58" s="4">
        <v>0.03</v>
      </c>
      <c r="X58" s="5">
        <v>0</v>
      </c>
      <c r="Y58" s="5"/>
      <c r="Z58" s="7"/>
      <c r="AA58" s="7"/>
    </row>
    <row r="59" spans="1:28">
      <c r="F59" t="s">
        <v>184</v>
      </c>
      <c r="G59" s="4">
        <v>0.2</v>
      </c>
      <c r="H59" s="5">
        <v>0</v>
      </c>
      <c r="I59" s="5"/>
      <c r="J59" s="7"/>
      <c r="K59" s="7"/>
      <c r="N59" t="s">
        <v>147</v>
      </c>
      <c r="O59" s="4">
        <v>0.4</v>
      </c>
      <c r="P59" s="5">
        <v>0</v>
      </c>
      <c r="Q59" s="5"/>
      <c r="R59" s="7"/>
      <c r="S59" s="7"/>
      <c r="V59" t="s">
        <v>147</v>
      </c>
      <c r="W59" s="4">
        <v>0.4</v>
      </c>
      <c r="X59" s="5">
        <v>0</v>
      </c>
      <c r="Y59" s="5"/>
      <c r="Z59" s="7"/>
      <c r="AA59" s="7"/>
    </row>
    <row r="60" spans="1:28">
      <c r="F60" t="s">
        <v>149</v>
      </c>
      <c r="G60" s="4">
        <v>0.16</v>
      </c>
      <c r="H60" s="5">
        <v>0</v>
      </c>
      <c r="I60" s="5"/>
      <c r="J60" s="7"/>
      <c r="K60" s="7"/>
      <c r="N60" t="s">
        <v>149</v>
      </c>
      <c r="O60" s="4">
        <v>0.15</v>
      </c>
      <c r="P60" s="5">
        <v>0</v>
      </c>
      <c r="Q60" s="5"/>
      <c r="R60" s="7"/>
      <c r="S60" s="7"/>
      <c r="V60" t="s">
        <v>149</v>
      </c>
      <c r="W60" s="4">
        <v>0.15</v>
      </c>
      <c r="X60" s="5">
        <v>0.1</v>
      </c>
      <c r="Y60" s="5"/>
      <c r="Z60" s="7"/>
      <c r="AA60" s="7"/>
    </row>
    <row r="61" spans="1:28">
      <c r="F61" t="s">
        <v>151</v>
      </c>
      <c r="G61" s="4"/>
      <c r="H61" s="5"/>
      <c r="I61" s="5"/>
      <c r="J61" s="7"/>
      <c r="K61" s="7"/>
      <c r="N61" t="s">
        <v>151</v>
      </c>
      <c r="O61" s="4"/>
      <c r="P61" s="5">
        <v>0</v>
      </c>
      <c r="Q61" s="5"/>
      <c r="R61" s="7"/>
      <c r="S61" s="7"/>
      <c r="V61" t="s">
        <v>151</v>
      </c>
      <c r="W61" s="4"/>
      <c r="X61" s="5">
        <v>0</v>
      </c>
      <c r="Y61" s="5"/>
      <c r="Z61" s="7"/>
      <c r="AA61" s="7"/>
    </row>
    <row r="62" spans="1:28">
      <c r="F62" t="s">
        <v>153</v>
      </c>
      <c r="G62" s="4"/>
      <c r="H62" s="5"/>
      <c r="I62" s="5"/>
      <c r="J62" s="7"/>
      <c r="K62" s="7"/>
      <c r="N62" t="s">
        <v>153</v>
      </c>
      <c r="O62" s="4"/>
      <c r="P62" s="5">
        <v>0</v>
      </c>
      <c r="Q62" s="5"/>
      <c r="R62" s="7"/>
      <c r="S62" s="7"/>
      <c r="V62" t="s">
        <v>153</v>
      </c>
      <c r="W62" s="4"/>
      <c r="X62" s="5"/>
      <c r="Y62" s="5"/>
      <c r="Z62" s="7"/>
      <c r="AA62" s="7"/>
    </row>
    <row r="63" spans="1:28">
      <c r="F63" t="s">
        <v>185</v>
      </c>
      <c r="G63" s="4">
        <v>0.05</v>
      </c>
      <c r="H63" s="5">
        <v>0</v>
      </c>
      <c r="I63" s="5"/>
      <c r="J63" s="36">
        <v>0.05</v>
      </c>
      <c r="K63" s="36">
        <v>0</v>
      </c>
      <c r="N63" t="s">
        <v>155</v>
      </c>
      <c r="O63" s="4">
        <v>0.05</v>
      </c>
      <c r="P63" s="5">
        <v>0</v>
      </c>
      <c r="Q63" s="5"/>
      <c r="R63" s="36">
        <v>0</v>
      </c>
      <c r="S63" s="36">
        <v>0</v>
      </c>
      <c r="V63" t="s">
        <v>155</v>
      </c>
      <c r="W63" s="4">
        <v>0.05</v>
      </c>
      <c r="X63" s="5">
        <v>0</v>
      </c>
      <c r="Y63" s="5"/>
      <c r="Z63" s="36">
        <v>0</v>
      </c>
      <c r="AA63" s="36">
        <v>0</v>
      </c>
    </row>
    <row r="64" spans="1:28">
      <c r="G64" s="4">
        <v>0</v>
      </c>
      <c r="H64" s="5">
        <v>0</v>
      </c>
      <c r="I64" s="5"/>
      <c r="J64" s="7"/>
      <c r="K64" s="7"/>
      <c r="N64" t="s">
        <v>157</v>
      </c>
      <c r="O64" s="4">
        <v>0.05</v>
      </c>
      <c r="P64" s="5">
        <v>0</v>
      </c>
      <c r="Q64" s="5"/>
      <c r="R64" s="7"/>
      <c r="S64" s="7"/>
      <c r="V64" t="s">
        <v>157</v>
      </c>
      <c r="W64" s="4">
        <v>0.05</v>
      </c>
      <c r="X64" s="5">
        <v>0.05</v>
      </c>
      <c r="Y64" s="5"/>
      <c r="Z64" s="7"/>
      <c r="AA64" s="7"/>
    </row>
    <row r="65" spans="1:28">
      <c r="G65" s="4">
        <v>0</v>
      </c>
      <c r="H65" s="5">
        <v>0</v>
      </c>
      <c r="I65" s="5"/>
      <c r="J65" s="36">
        <v>0</v>
      </c>
      <c r="K65" s="36">
        <v>0</v>
      </c>
      <c r="N65" t="s">
        <v>159</v>
      </c>
      <c r="O65" s="4">
        <v>0.05</v>
      </c>
      <c r="P65" s="5">
        <v>0.05</v>
      </c>
      <c r="Q65" s="5"/>
      <c r="R65" s="36">
        <v>0.1</v>
      </c>
      <c r="S65" s="36">
        <v>0</v>
      </c>
      <c r="V65" t="s">
        <v>159</v>
      </c>
      <c r="W65" s="4">
        <v>0.05</v>
      </c>
      <c r="X65" s="5">
        <v>0.05</v>
      </c>
      <c r="Y65" s="5"/>
      <c r="Z65" s="36">
        <v>0.1</v>
      </c>
      <c r="AA65" s="36">
        <v>0</v>
      </c>
    </row>
    <row r="66" spans="1:28">
      <c r="F66" t="s">
        <v>160</v>
      </c>
      <c r="G66" s="4">
        <v>0.1</v>
      </c>
      <c r="H66" s="5">
        <v>0</v>
      </c>
      <c r="I66" s="5"/>
      <c r="J66" s="36">
        <v>2</v>
      </c>
      <c r="K66" s="36">
        <v>2</v>
      </c>
      <c r="N66" t="s">
        <v>161</v>
      </c>
      <c r="O66" s="4">
        <v>0.1</v>
      </c>
      <c r="P66" s="5">
        <v>0.1</v>
      </c>
      <c r="Q66" s="5"/>
      <c r="R66" s="36">
        <v>1</v>
      </c>
      <c r="S66" s="36">
        <v>1</v>
      </c>
      <c r="V66" t="s">
        <v>161</v>
      </c>
      <c r="W66" s="4">
        <v>0.1</v>
      </c>
      <c r="X66" s="5">
        <v>0.1</v>
      </c>
      <c r="Y66" s="5"/>
      <c r="Z66" s="36">
        <v>1</v>
      </c>
      <c r="AA66" s="36">
        <v>1</v>
      </c>
    </row>
    <row r="67" spans="1:28">
      <c r="G67" s="34">
        <f>SUM(G53:G66)</f>
        <v>1</v>
      </c>
      <c r="H67" s="34">
        <f>SUM(H53:H66)</f>
        <v>0</v>
      </c>
      <c r="I67" s="34"/>
      <c r="J67" s="37">
        <f>SUM(J53:J66)</f>
        <v>2.2999999999999998</v>
      </c>
      <c r="K67" s="37">
        <f>SUM(K53:K66)</f>
        <v>2</v>
      </c>
      <c r="O67" s="34">
        <f>SUM(O53:O66)</f>
        <v>1</v>
      </c>
      <c r="P67" s="34">
        <f>SUM(P53:P66)</f>
        <v>0.15</v>
      </c>
      <c r="Q67" s="34"/>
      <c r="R67" s="37">
        <f>SUM(R53:R66)</f>
        <v>1.6</v>
      </c>
      <c r="S67" s="37">
        <f>SUM(S53:S66)</f>
        <v>1</v>
      </c>
      <c r="W67" s="34">
        <f>SUM(W53:W66)</f>
        <v>1</v>
      </c>
      <c r="X67" s="34">
        <f>SUM(X53:X66)</f>
        <v>0.46</v>
      </c>
      <c r="Y67" s="34"/>
      <c r="Z67" s="37">
        <f>SUM(Z53:Z66)</f>
        <v>1.6</v>
      </c>
      <c r="AA67" s="37">
        <f>SUM(AA53:AA66)</f>
        <v>1</v>
      </c>
    </row>
    <row r="68" spans="1:28">
      <c r="H68" s="34">
        <f>+G67-H67</f>
        <v>1</v>
      </c>
      <c r="I68" s="34"/>
      <c r="K68" s="38">
        <f>+(J67-K67)/J67</f>
        <v>0.13043478260869601</v>
      </c>
      <c r="P68" s="34">
        <f>+O67-P67</f>
        <v>0.85</v>
      </c>
      <c r="Q68" s="34"/>
      <c r="S68" s="38">
        <f>+(R67-S67)/R67</f>
        <v>0.375</v>
      </c>
      <c r="X68" s="34">
        <f>+W67-X67</f>
        <v>0.54</v>
      </c>
      <c r="Y68" s="34"/>
      <c r="AA68" s="38">
        <f>+(Z67-AA67)/Z67</f>
        <v>0.375</v>
      </c>
    </row>
    <row r="70" spans="1:28" ht="57.6">
      <c r="B70" s="7" t="s">
        <v>125</v>
      </c>
      <c r="C70" s="7" t="s">
        <v>126</v>
      </c>
      <c r="D70" s="7" t="s">
        <v>127</v>
      </c>
      <c r="E70" s="7"/>
      <c r="F70" t="s">
        <v>128</v>
      </c>
      <c r="J70" s="8" t="s">
        <v>129</v>
      </c>
      <c r="K70" s="8"/>
      <c r="L70" s="8" t="s">
        <v>130</v>
      </c>
      <c r="M70" s="8" t="s">
        <v>131</v>
      </c>
      <c r="N70" t="s">
        <v>132</v>
      </c>
      <c r="R70" s="8" t="s">
        <v>129</v>
      </c>
      <c r="S70" s="8"/>
      <c r="T70" s="8" t="s">
        <v>130</v>
      </c>
      <c r="U70" s="8" t="s">
        <v>131</v>
      </c>
      <c r="V70" t="s">
        <v>133</v>
      </c>
      <c r="Z70" s="8" t="s">
        <v>129</v>
      </c>
      <c r="AA70" s="8"/>
      <c r="AB70" s="8" t="s">
        <v>130</v>
      </c>
    </row>
    <row r="71" spans="1:28" ht="72">
      <c r="A71" s="31" t="s">
        <v>186</v>
      </c>
      <c r="B71" s="32" t="s">
        <v>187</v>
      </c>
      <c r="C71" s="32" t="s">
        <v>18</v>
      </c>
      <c r="D71" t="s">
        <v>137</v>
      </c>
      <c r="E71" t="s">
        <v>138</v>
      </c>
      <c r="F71" t="s">
        <v>188</v>
      </c>
      <c r="G71" s="4">
        <v>0.05</v>
      </c>
      <c r="H71" s="5">
        <v>0</v>
      </c>
      <c r="I71" s="5"/>
      <c r="J71" s="36">
        <v>0.25</v>
      </c>
      <c r="K71" s="36">
        <v>0</v>
      </c>
      <c r="N71" t="s">
        <v>139</v>
      </c>
      <c r="O71" s="4">
        <v>0.05</v>
      </c>
      <c r="P71" s="5">
        <v>0</v>
      </c>
      <c r="Q71" s="5"/>
      <c r="R71" s="36">
        <v>0.5</v>
      </c>
      <c r="S71" s="36">
        <v>0</v>
      </c>
      <c r="V71" t="s">
        <v>139</v>
      </c>
      <c r="W71" s="4">
        <v>0.05</v>
      </c>
      <c r="X71" s="5">
        <v>0.05</v>
      </c>
      <c r="Y71" s="5"/>
      <c r="Z71" s="36">
        <v>0.5</v>
      </c>
      <c r="AA71" s="36">
        <v>0</v>
      </c>
    </row>
    <row r="72" spans="1:28">
      <c r="F72" t="s">
        <v>189</v>
      </c>
      <c r="G72" s="4">
        <v>0.1</v>
      </c>
      <c r="H72" s="5">
        <v>0</v>
      </c>
      <c r="I72" s="5"/>
      <c r="J72" s="7"/>
      <c r="K72" s="7"/>
      <c r="N72" t="s">
        <v>140</v>
      </c>
      <c r="O72" s="4">
        <v>0.06</v>
      </c>
      <c r="P72" s="5">
        <v>0</v>
      </c>
      <c r="Q72" s="5"/>
      <c r="R72" s="7"/>
      <c r="S72" s="7"/>
      <c r="V72" t="s">
        <v>140</v>
      </c>
      <c r="W72" s="4">
        <v>0.06</v>
      </c>
      <c r="X72" s="5">
        <v>0.05</v>
      </c>
      <c r="Y72" s="5"/>
      <c r="Z72" s="7"/>
      <c r="AA72" s="7"/>
    </row>
    <row r="73" spans="1:28">
      <c r="F73" t="s">
        <v>190</v>
      </c>
      <c r="G73" s="4">
        <v>0.05</v>
      </c>
      <c r="H73" s="5">
        <v>0</v>
      </c>
      <c r="I73" s="5"/>
      <c r="J73" s="7"/>
      <c r="K73" s="7"/>
      <c r="N73" s="35" t="s">
        <v>141</v>
      </c>
      <c r="O73" s="4">
        <v>0.02</v>
      </c>
      <c r="P73" s="5">
        <v>0</v>
      </c>
      <c r="Q73" s="5"/>
      <c r="R73" s="7"/>
      <c r="S73" s="7"/>
      <c r="V73" t="s">
        <v>141</v>
      </c>
      <c r="W73" s="4">
        <v>0.02</v>
      </c>
      <c r="X73" s="5">
        <v>0.02</v>
      </c>
      <c r="Y73" s="5"/>
      <c r="Z73" s="7"/>
      <c r="AA73" s="7"/>
    </row>
    <row r="74" spans="1:28">
      <c r="F74" t="s">
        <v>191</v>
      </c>
      <c r="G74" s="4">
        <v>0.25</v>
      </c>
      <c r="H74" s="5"/>
      <c r="I74" s="5"/>
      <c r="J74" s="7"/>
      <c r="K74" s="7"/>
      <c r="N74" s="35"/>
      <c r="O74" s="4"/>
      <c r="P74" s="5"/>
      <c r="Q74" s="5"/>
      <c r="R74" s="7"/>
      <c r="S74" s="7"/>
      <c r="W74" s="4"/>
      <c r="X74" s="5"/>
      <c r="Y74" s="5"/>
      <c r="Z74" s="7"/>
      <c r="AA74" s="7"/>
    </row>
    <row r="75" spans="1:28">
      <c r="F75" t="s">
        <v>192</v>
      </c>
      <c r="G75" s="4">
        <v>0.1</v>
      </c>
      <c r="H75" s="5">
        <v>0</v>
      </c>
      <c r="I75" s="5"/>
      <c r="J75" s="7"/>
      <c r="K75" s="7"/>
      <c r="N75" s="35" t="s">
        <v>142</v>
      </c>
      <c r="O75" s="4">
        <v>0.02</v>
      </c>
      <c r="P75" s="5">
        <v>0</v>
      </c>
      <c r="Q75" s="5"/>
      <c r="R75" s="7"/>
      <c r="S75" s="7"/>
      <c r="V75" t="s">
        <v>142</v>
      </c>
      <c r="W75" s="4">
        <v>0.02</v>
      </c>
      <c r="X75" s="5">
        <v>0.02</v>
      </c>
      <c r="Y75" s="5"/>
      <c r="Z75" s="7"/>
      <c r="AA75" s="7"/>
    </row>
    <row r="76" spans="1:28">
      <c r="F76" t="s">
        <v>193</v>
      </c>
      <c r="G76" s="4">
        <v>0.05</v>
      </c>
      <c r="H76" s="5">
        <v>0</v>
      </c>
      <c r="I76" s="5"/>
      <c r="J76" s="7"/>
      <c r="K76" s="7"/>
      <c r="N76" s="35" t="s">
        <v>143</v>
      </c>
      <c r="O76" s="4">
        <v>0.02</v>
      </c>
      <c r="P76" s="5">
        <v>0</v>
      </c>
      <c r="Q76" s="5"/>
      <c r="R76" s="7"/>
      <c r="S76" s="7"/>
      <c r="V76" t="s">
        <v>143</v>
      </c>
      <c r="W76" s="4">
        <v>0.02</v>
      </c>
      <c r="X76" s="5">
        <v>0.02</v>
      </c>
      <c r="Y76" s="5"/>
      <c r="Z76" s="7"/>
      <c r="AA76" s="7"/>
    </row>
    <row r="77" spans="1:28">
      <c r="F77" t="s">
        <v>194</v>
      </c>
      <c r="G77" s="4">
        <v>0.2</v>
      </c>
      <c r="H77" s="5">
        <v>0</v>
      </c>
      <c r="I77" s="5"/>
      <c r="J77" s="7"/>
      <c r="K77" s="7"/>
      <c r="N77" t="s">
        <v>144</v>
      </c>
      <c r="O77" s="4">
        <v>0.03</v>
      </c>
      <c r="P77" s="5">
        <v>0</v>
      </c>
      <c r="Q77" s="5"/>
      <c r="R77" s="7"/>
      <c r="S77" s="7"/>
      <c r="V77" t="s">
        <v>144</v>
      </c>
      <c r="W77" s="4">
        <v>0.03</v>
      </c>
      <c r="X77" s="5">
        <v>0</v>
      </c>
      <c r="Y77" s="5"/>
      <c r="Z77" s="7"/>
      <c r="AA77" s="7"/>
    </row>
    <row r="78" spans="1:28">
      <c r="F78" t="s">
        <v>195</v>
      </c>
      <c r="G78" s="4">
        <v>0.2</v>
      </c>
      <c r="H78" s="5">
        <v>0</v>
      </c>
      <c r="I78" s="5"/>
      <c r="J78" s="7"/>
      <c r="K78" s="7"/>
      <c r="N78" t="s">
        <v>147</v>
      </c>
      <c r="O78" s="4">
        <v>0.4</v>
      </c>
      <c r="P78" s="5">
        <v>0</v>
      </c>
      <c r="Q78" s="5"/>
      <c r="R78" s="7"/>
      <c r="S78" s="7"/>
      <c r="V78" t="s">
        <v>147</v>
      </c>
      <c r="W78" s="4">
        <v>0.4</v>
      </c>
      <c r="X78" s="5">
        <v>0</v>
      </c>
      <c r="Y78" s="5"/>
      <c r="Z78" s="7"/>
      <c r="AA78" s="7"/>
    </row>
    <row r="79" spans="1:28">
      <c r="G79" s="34">
        <f>SUM(G71:G78)</f>
        <v>1</v>
      </c>
      <c r="H79" s="34">
        <f>SUM(H71:H78)</f>
        <v>0</v>
      </c>
      <c r="I79" s="34"/>
      <c r="J79" s="37">
        <f>SUM(J71:J78)</f>
        <v>0.25</v>
      </c>
      <c r="K79" s="37">
        <f>SUM(K71:K78)</f>
        <v>0</v>
      </c>
      <c r="O79" s="34">
        <f>SUM(O71:O78)</f>
        <v>0.6</v>
      </c>
      <c r="P79" s="34">
        <f>SUM(P71:P78)</f>
        <v>0</v>
      </c>
      <c r="Q79" s="34"/>
      <c r="R79" s="37">
        <f>SUM(R71:R78)</f>
        <v>0.5</v>
      </c>
      <c r="S79" s="37">
        <f>SUM(S71:S78)</f>
        <v>0</v>
      </c>
      <c r="W79" s="34">
        <f>SUM(W71:W78)</f>
        <v>0.6</v>
      </c>
      <c r="X79" s="34">
        <f>SUM(X71:X78)</f>
        <v>0.16</v>
      </c>
      <c r="Y79" s="34"/>
      <c r="Z79" s="37">
        <f>SUM(Z71:Z78)</f>
        <v>0.5</v>
      </c>
      <c r="AA79" s="37">
        <f>SUM(AA71:AA78)</f>
        <v>0</v>
      </c>
    </row>
    <row r="80" spans="1:28">
      <c r="H80" s="34">
        <f>+G79-H79</f>
        <v>1</v>
      </c>
      <c r="I80" s="34"/>
      <c r="K80" s="38">
        <f>+(J79-K79)/J79</f>
        <v>1</v>
      </c>
      <c r="P80" s="34">
        <f>+O79-P79</f>
        <v>0.6</v>
      </c>
      <c r="Q80" s="34"/>
      <c r="S80" s="38">
        <f>+(R79-S79)/R79</f>
        <v>1</v>
      </c>
      <c r="X80" s="34">
        <f>+W79-X79</f>
        <v>0.44</v>
      </c>
      <c r="Y80" s="34"/>
      <c r="AA80" s="38">
        <f>+(Z79-AA79)/Z79</f>
        <v>1</v>
      </c>
    </row>
    <row r="81" spans="1:28" ht="57.6">
      <c r="B81" s="7" t="s">
        <v>125</v>
      </c>
      <c r="C81" s="7" t="s">
        <v>126</v>
      </c>
      <c r="D81" s="7" t="s">
        <v>127</v>
      </c>
      <c r="E81" s="7"/>
      <c r="F81" t="s">
        <v>128</v>
      </c>
      <c r="J81" s="8" t="s">
        <v>129</v>
      </c>
      <c r="K81" s="8"/>
      <c r="L81" s="8" t="s">
        <v>130</v>
      </c>
      <c r="M81" s="8" t="s">
        <v>131</v>
      </c>
      <c r="N81" t="s">
        <v>132</v>
      </c>
      <c r="R81" s="8" t="s">
        <v>129</v>
      </c>
      <c r="S81" s="8"/>
      <c r="T81" s="8" t="s">
        <v>130</v>
      </c>
      <c r="U81" s="8" t="s">
        <v>131</v>
      </c>
      <c r="V81" t="s">
        <v>133</v>
      </c>
      <c r="Z81" s="8" t="s">
        <v>129</v>
      </c>
      <c r="AA81" s="8"/>
      <c r="AB81" s="8" t="s">
        <v>130</v>
      </c>
    </row>
    <row r="82" spans="1:28" ht="72">
      <c r="A82" s="31" t="s">
        <v>196</v>
      </c>
      <c r="B82" s="32" t="s">
        <v>180</v>
      </c>
      <c r="C82" s="32" t="s">
        <v>18</v>
      </c>
      <c r="D82" t="s">
        <v>137</v>
      </c>
      <c r="E82" t="s">
        <v>138</v>
      </c>
      <c r="F82" t="s">
        <v>197</v>
      </c>
      <c r="G82" s="4">
        <v>0.05</v>
      </c>
      <c r="H82" s="5">
        <v>0</v>
      </c>
      <c r="I82" s="5"/>
      <c r="J82" s="36">
        <v>0.25</v>
      </c>
      <c r="K82" s="36">
        <v>0</v>
      </c>
      <c r="N82" t="s">
        <v>139</v>
      </c>
      <c r="O82" s="4">
        <v>0.05</v>
      </c>
      <c r="P82" s="5">
        <v>0</v>
      </c>
      <c r="Q82" s="5"/>
      <c r="R82" s="36">
        <v>0.5</v>
      </c>
      <c r="S82" s="36">
        <v>0</v>
      </c>
      <c r="V82" t="s">
        <v>139</v>
      </c>
      <c r="W82" s="4">
        <v>0.05</v>
      </c>
      <c r="X82" s="5">
        <v>0.05</v>
      </c>
      <c r="Y82" s="5"/>
      <c r="Z82" s="36">
        <v>0.5</v>
      </c>
      <c r="AA82" s="36">
        <v>0</v>
      </c>
    </row>
    <row r="83" spans="1:28">
      <c r="F83" t="s">
        <v>198</v>
      </c>
      <c r="G83" s="4">
        <v>0.1</v>
      </c>
      <c r="H83" s="5">
        <v>0</v>
      </c>
      <c r="I83" s="5"/>
      <c r="J83" s="7"/>
      <c r="K83" s="7"/>
      <c r="N83" t="s">
        <v>140</v>
      </c>
      <c r="O83" s="4">
        <v>0.06</v>
      </c>
      <c r="P83" s="5">
        <v>0</v>
      </c>
      <c r="Q83" s="5"/>
      <c r="R83" s="7"/>
      <c r="S83" s="7"/>
      <c r="V83" t="s">
        <v>140</v>
      </c>
      <c r="W83" s="4">
        <v>0.06</v>
      </c>
      <c r="X83" s="5">
        <v>0.05</v>
      </c>
      <c r="Y83" s="5"/>
      <c r="Z83" s="7"/>
      <c r="AA83" s="7"/>
    </row>
    <row r="84" spans="1:28">
      <c r="F84" t="s">
        <v>193</v>
      </c>
      <c r="G84" s="4">
        <v>0.3</v>
      </c>
      <c r="H84" s="5">
        <v>0</v>
      </c>
      <c r="I84" s="5"/>
      <c r="J84" s="7"/>
      <c r="K84" s="7"/>
      <c r="N84" s="35" t="s">
        <v>143</v>
      </c>
      <c r="O84" s="4">
        <v>0.02</v>
      </c>
      <c r="P84" s="5">
        <v>0</v>
      </c>
      <c r="Q84" s="5"/>
      <c r="R84" s="7"/>
      <c r="S84" s="7"/>
      <c r="V84" t="s">
        <v>143</v>
      </c>
      <c r="W84" s="4">
        <v>0.02</v>
      </c>
      <c r="X84" s="5">
        <v>0.02</v>
      </c>
      <c r="Y84" s="5"/>
      <c r="Z84" s="7"/>
      <c r="AA84" s="7"/>
    </row>
    <row r="85" spans="1:28">
      <c r="F85" t="s">
        <v>194</v>
      </c>
      <c r="G85" s="4">
        <v>0.4</v>
      </c>
      <c r="H85" s="5">
        <v>0</v>
      </c>
      <c r="I85" s="5"/>
      <c r="J85" s="7"/>
      <c r="K85" s="7"/>
      <c r="N85" t="s">
        <v>144</v>
      </c>
      <c r="O85" s="4">
        <v>0.03</v>
      </c>
      <c r="P85" s="5">
        <v>0</v>
      </c>
      <c r="Q85" s="5"/>
      <c r="R85" s="7"/>
      <c r="S85" s="7"/>
      <c r="V85" t="s">
        <v>144</v>
      </c>
      <c r="W85" s="4">
        <v>0.03</v>
      </c>
      <c r="X85" s="5">
        <v>0</v>
      </c>
      <c r="Y85" s="5"/>
      <c r="Z85" s="7"/>
      <c r="AA85" s="7"/>
    </row>
    <row r="86" spans="1:28">
      <c r="F86" t="s">
        <v>199</v>
      </c>
      <c r="G86" s="4">
        <v>0.15</v>
      </c>
      <c r="H86" s="5">
        <v>0</v>
      </c>
      <c r="I86" s="5"/>
      <c r="J86" s="7"/>
      <c r="K86" s="7"/>
      <c r="N86" t="s">
        <v>147</v>
      </c>
      <c r="O86" s="4">
        <v>0.4</v>
      </c>
      <c r="P86" s="5">
        <v>0</v>
      </c>
      <c r="Q86" s="5"/>
      <c r="R86" s="7"/>
      <c r="S86" s="7"/>
      <c r="V86" t="s">
        <v>147</v>
      </c>
      <c r="W86" s="4">
        <v>0.4</v>
      </c>
      <c r="X86" s="5">
        <v>0</v>
      </c>
      <c r="Y86" s="5"/>
      <c r="Z86" s="7"/>
      <c r="AA86" s="7"/>
    </row>
    <row r="87" spans="1:28">
      <c r="G87" s="34">
        <f>SUM(G82:G86)</f>
        <v>1</v>
      </c>
      <c r="H87" s="34">
        <f>SUM(H82:H86)</f>
        <v>0</v>
      </c>
      <c r="I87" s="34"/>
      <c r="J87" s="37">
        <f>SUM(J82:J86)</f>
        <v>0.25</v>
      </c>
      <c r="K87" s="37">
        <f>SUM(K82:K86)</f>
        <v>0</v>
      </c>
      <c r="O87" s="34">
        <f>SUM(O82:O86)</f>
        <v>0.56000000000000005</v>
      </c>
      <c r="P87" s="34">
        <f>SUM(P82:P86)</f>
        <v>0</v>
      </c>
      <c r="Q87" s="34"/>
      <c r="R87" s="37">
        <f>SUM(R82:R86)</f>
        <v>0.5</v>
      </c>
      <c r="S87" s="37">
        <f>SUM(S82:S86)</f>
        <v>0</v>
      </c>
      <c r="W87" s="34">
        <f>SUM(W82:W86)</f>
        <v>0.56000000000000005</v>
      </c>
      <c r="X87" s="34">
        <f>SUM(X82:X86)</f>
        <v>0.12</v>
      </c>
      <c r="Y87" s="34"/>
      <c r="Z87" s="37">
        <f>SUM(Z82:Z86)</f>
        <v>0.5</v>
      </c>
      <c r="AA87" s="37">
        <f>SUM(AA82:AA86)</f>
        <v>0</v>
      </c>
    </row>
    <row r="88" spans="1:28" ht="57.6">
      <c r="A88" s="31" t="s">
        <v>200</v>
      </c>
      <c r="C88" s="32" t="s">
        <v>201</v>
      </c>
      <c r="D88" t="s">
        <v>137</v>
      </c>
      <c r="E88" t="s">
        <v>138</v>
      </c>
      <c r="F88" t="s">
        <v>188</v>
      </c>
      <c r="G88" s="4">
        <v>0.05</v>
      </c>
      <c r="H88" s="5">
        <v>0</v>
      </c>
      <c r="I88" s="5"/>
      <c r="J88" s="36">
        <v>0.25</v>
      </c>
      <c r="K88" s="36">
        <v>0</v>
      </c>
      <c r="N88" t="s">
        <v>139</v>
      </c>
      <c r="O88" s="4">
        <v>0.05</v>
      </c>
      <c r="P88" s="5">
        <v>0</v>
      </c>
      <c r="Q88" s="5"/>
      <c r="R88" s="36">
        <v>0.5</v>
      </c>
      <c r="S88" s="36">
        <v>0</v>
      </c>
      <c r="V88" t="s">
        <v>139</v>
      </c>
      <c r="W88" s="4">
        <v>0.05</v>
      </c>
      <c r="X88" s="5">
        <v>0.05</v>
      </c>
      <c r="Y88" s="5"/>
      <c r="Z88" s="36">
        <v>0.5</v>
      </c>
      <c r="AA88" s="36">
        <v>0</v>
      </c>
    </row>
    <row r="89" spans="1:28">
      <c r="F89" t="s">
        <v>189</v>
      </c>
      <c r="G89" s="4">
        <v>0.1</v>
      </c>
      <c r="H89" s="5">
        <v>0</v>
      </c>
      <c r="I89" s="5"/>
      <c r="J89" s="7"/>
      <c r="K89" s="7"/>
      <c r="N89" t="s">
        <v>140</v>
      </c>
      <c r="O89" s="4">
        <v>0.06</v>
      </c>
      <c r="P89" s="5">
        <v>0</v>
      </c>
      <c r="Q89" s="5"/>
      <c r="R89" s="7"/>
      <c r="S89" s="7"/>
      <c r="V89" t="s">
        <v>140</v>
      </c>
      <c r="W89" s="4">
        <v>0.06</v>
      </c>
      <c r="X89" s="5">
        <v>0.05</v>
      </c>
      <c r="Y89" s="5"/>
      <c r="Z89" s="7"/>
      <c r="AA89" s="7"/>
    </row>
    <row r="90" spans="1:28">
      <c r="F90" t="s">
        <v>202</v>
      </c>
      <c r="G90" s="4">
        <v>0.05</v>
      </c>
      <c r="H90" s="5">
        <v>0.05</v>
      </c>
      <c r="I90" s="5"/>
      <c r="J90" s="7"/>
      <c r="K90" s="7"/>
      <c r="N90" s="35" t="s">
        <v>141</v>
      </c>
      <c r="O90" s="4">
        <v>0.02</v>
      </c>
      <c r="P90" s="5">
        <v>0</v>
      </c>
      <c r="Q90" s="5"/>
      <c r="R90" s="7"/>
      <c r="S90" s="7"/>
      <c r="V90" t="s">
        <v>141</v>
      </c>
      <c r="W90" s="4">
        <v>0.02</v>
      </c>
      <c r="X90" s="5">
        <v>0.02</v>
      </c>
      <c r="Y90" s="5"/>
      <c r="Z90" s="7"/>
      <c r="AA90" s="7"/>
    </row>
    <row r="91" spans="1:28">
      <c r="F91" t="s">
        <v>203</v>
      </c>
      <c r="G91" s="4">
        <v>0.25</v>
      </c>
      <c r="H91" s="5">
        <v>0.25</v>
      </c>
      <c r="I91" s="5"/>
      <c r="J91" s="7"/>
      <c r="K91" s="7"/>
      <c r="N91" s="35"/>
      <c r="O91" s="4"/>
      <c r="P91" s="5"/>
      <c r="Q91" s="5"/>
      <c r="R91" s="7"/>
      <c r="S91" s="7"/>
      <c r="W91" s="4"/>
      <c r="X91" s="5"/>
      <c r="Y91" s="5"/>
      <c r="Z91" s="7"/>
      <c r="AA91" s="7"/>
    </row>
    <row r="92" spans="1:28">
      <c r="F92" t="s">
        <v>192</v>
      </c>
      <c r="G92" s="4">
        <v>0.1</v>
      </c>
      <c r="H92" s="5">
        <v>0.1</v>
      </c>
      <c r="I92" s="5"/>
      <c r="J92" s="7"/>
      <c r="K92" s="7"/>
      <c r="N92" s="35" t="s">
        <v>142</v>
      </c>
      <c r="O92" s="4">
        <v>0.02</v>
      </c>
      <c r="P92" s="5">
        <v>0</v>
      </c>
      <c r="Q92" s="5"/>
      <c r="R92" s="7"/>
      <c r="S92" s="7"/>
      <c r="V92" t="s">
        <v>142</v>
      </c>
      <c r="W92" s="4">
        <v>0.02</v>
      </c>
      <c r="X92" s="5">
        <v>0.02</v>
      </c>
      <c r="Y92" s="5"/>
      <c r="Z92" s="7"/>
      <c r="AA92" s="7"/>
    </row>
    <row r="93" spans="1:28">
      <c r="F93" t="s">
        <v>193</v>
      </c>
      <c r="G93" s="4">
        <v>0.05</v>
      </c>
      <c r="H93" s="5">
        <v>0</v>
      </c>
      <c r="I93" s="5"/>
      <c r="J93" s="7"/>
      <c r="K93" s="7"/>
      <c r="N93" s="35" t="s">
        <v>143</v>
      </c>
      <c r="O93" s="4">
        <v>0.02</v>
      </c>
      <c r="P93" s="5">
        <v>0</v>
      </c>
      <c r="Q93" s="5"/>
      <c r="R93" s="7"/>
      <c r="S93" s="7"/>
      <c r="V93" t="s">
        <v>143</v>
      </c>
      <c r="W93" s="4">
        <v>0.02</v>
      </c>
      <c r="X93" s="5">
        <v>0.02</v>
      </c>
      <c r="Y93" s="5"/>
      <c r="Z93" s="7"/>
      <c r="AA93" s="7"/>
    </row>
    <row r="94" spans="1:28">
      <c r="F94" t="s">
        <v>194</v>
      </c>
      <c r="G94" s="4">
        <v>0.2</v>
      </c>
      <c r="H94" s="5">
        <v>0.2</v>
      </c>
      <c r="I94" s="5"/>
      <c r="J94" s="7"/>
      <c r="K94" s="7"/>
      <c r="N94" t="s">
        <v>144</v>
      </c>
      <c r="O94" s="4">
        <v>0.03</v>
      </c>
      <c r="P94" s="5">
        <v>0</v>
      </c>
      <c r="Q94" s="5"/>
      <c r="R94" s="7"/>
      <c r="S94" s="7"/>
      <c r="V94" t="s">
        <v>144</v>
      </c>
      <c r="W94" s="4">
        <v>0.03</v>
      </c>
      <c r="X94" s="5">
        <v>0</v>
      </c>
      <c r="Y94" s="5"/>
      <c r="Z94" s="7"/>
      <c r="AA94" s="7"/>
    </row>
    <row r="95" spans="1:28">
      <c r="F95" t="s">
        <v>195</v>
      </c>
      <c r="G95" s="4">
        <v>0.2</v>
      </c>
      <c r="H95" s="5">
        <v>0</v>
      </c>
      <c r="I95" s="5"/>
      <c r="J95" s="7"/>
      <c r="K95" s="7"/>
      <c r="N95" t="s">
        <v>147</v>
      </c>
      <c r="O95" s="4">
        <v>0.4</v>
      </c>
      <c r="P95" s="5">
        <v>0</v>
      </c>
      <c r="Q95" s="5"/>
      <c r="R95" s="7"/>
      <c r="S95" s="7"/>
      <c r="V95" t="s">
        <v>147</v>
      </c>
      <c r="W95" s="4">
        <v>0.4</v>
      </c>
      <c r="X95" s="5">
        <v>0</v>
      </c>
      <c r="Y95" s="5"/>
      <c r="Z95" s="7"/>
      <c r="AA95" s="7"/>
    </row>
    <row r="96" spans="1:28">
      <c r="G96" s="34">
        <f>SUM(G88:G95)</f>
        <v>1</v>
      </c>
      <c r="H96" s="34">
        <f>SUM(H88:H95)</f>
        <v>0.6</v>
      </c>
      <c r="I96" s="34"/>
      <c r="J96" s="37">
        <f>SUM(J88:J95)</f>
        <v>0.25</v>
      </c>
      <c r="K96" s="37">
        <f>SUM(K88:K95)</f>
        <v>0</v>
      </c>
      <c r="O96" s="34">
        <f>SUM(O88:O95)</f>
        <v>0.6</v>
      </c>
      <c r="P96" s="34">
        <f>SUM(P88:P95)</f>
        <v>0</v>
      </c>
      <c r="Q96" s="34"/>
      <c r="R96" s="37">
        <f>SUM(R88:R95)</f>
        <v>0.5</v>
      </c>
      <c r="S96" s="37">
        <f>SUM(S88:S95)</f>
        <v>0</v>
      </c>
      <c r="W96" s="34">
        <f>SUM(W88:W95)</f>
        <v>0.6</v>
      </c>
      <c r="X96" s="34">
        <f>SUM(X88:X95)</f>
        <v>0.16</v>
      </c>
      <c r="Y96" s="34"/>
      <c r="Z96" s="37">
        <f>SUM(Z88:Z95)</f>
        <v>0.5</v>
      </c>
      <c r="AA96" s="37">
        <f>SUM(AA88:AA95)</f>
        <v>0</v>
      </c>
    </row>
    <row r="97" spans="1:27" ht="43.2">
      <c r="A97" s="31" t="s">
        <v>204</v>
      </c>
      <c r="C97" s="32" t="s">
        <v>17</v>
      </c>
      <c r="D97" t="s">
        <v>137</v>
      </c>
      <c r="E97" t="s">
        <v>138</v>
      </c>
      <c r="F97" t="s">
        <v>205</v>
      </c>
      <c r="G97" s="4">
        <v>0.05</v>
      </c>
      <c r="H97" s="5">
        <v>0</v>
      </c>
      <c r="I97" s="5"/>
      <c r="J97" s="36">
        <v>0.25</v>
      </c>
      <c r="K97" s="36">
        <v>0</v>
      </c>
      <c r="N97" t="s">
        <v>139</v>
      </c>
      <c r="O97" s="4">
        <v>0.05</v>
      </c>
      <c r="P97" s="5">
        <v>0</v>
      </c>
      <c r="Q97" s="5"/>
      <c r="R97" s="36">
        <v>0.5</v>
      </c>
      <c r="S97" s="36">
        <v>0</v>
      </c>
      <c r="V97" t="s">
        <v>139</v>
      </c>
      <c r="W97" s="4">
        <v>0.05</v>
      </c>
      <c r="X97" s="5">
        <v>0.05</v>
      </c>
      <c r="Y97" s="5"/>
      <c r="Z97" s="36">
        <v>0.5</v>
      </c>
      <c r="AA97" s="36">
        <v>0</v>
      </c>
    </row>
    <row r="98" spans="1:27">
      <c r="F98" t="s">
        <v>206</v>
      </c>
      <c r="G98" s="4">
        <v>0.1</v>
      </c>
      <c r="H98" s="5">
        <v>0</v>
      </c>
      <c r="I98" s="5"/>
      <c r="J98" s="7"/>
      <c r="K98" s="7"/>
      <c r="N98" t="s">
        <v>140</v>
      </c>
      <c r="O98" s="4">
        <v>0.06</v>
      </c>
      <c r="P98" s="5">
        <v>0</v>
      </c>
      <c r="Q98" s="5"/>
      <c r="R98" s="7"/>
      <c r="S98" s="7"/>
      <c r="V98" t="s">
        <v>140</v>
      </c>
      <c r="W98" s="4">
        <v>0.06</v>
      </c>
      <c r="X98" s="5">
        <v>0.05</v>
      </c>
      <c r="Y98" s="5"/>
      <c r="Z98" s="7"/>
      <c r="AA98" s="7"/>
    </row>
    <row r="99" spans="1:27">
      <c r="F99" t="s">
        <v>207</v>
      </c>
      <c r="G99" s="4">
        <v>0.5</v>
      </c>
      <c r="H99" s="5">
        <v>0.05</v>
      </c>
      <c r="I99" s="5"/>
      <c r="J99" s="7"/>
      <c r="K99" s="7"/>
      <c r="N99" s="35" t="s">
        <v>141</v>
      </c>
      <c r="O99" s="4">
        <v>0.02</v>
      </c>
      <c r="P99" s="5">
        <v>0</v>
      </c>
      <c r="Q99" s="5"/>
      <c r="R99" s="7"/>
      <c r="S99" s="7"/>
      <c r="V99" t="s">
        <v>141</v>
      </c>
      <c r="W99" s="4">
        <v>0.02</v>
      </c>
      <c r="X99" s="5">
        <v>0.02</v>
      </c>
      <c r="Y99" s="5"/>
      <c r="Z99" s="7"/>
      <c r="AA99" s="7"/>
    </row>
    <row r="100" spans="1:27">
      <c r="F100" t="s">
        <v>208</v>
      </c>
      <c r="G100" s="4">
        <v>0.3</v>
      </c>
      <c r="H100" s="5">
        <v>0.1</v>
      </c>
      <c r="I100" s="5"/>
      <c r="J100" s="7"/>
      <c r="K100" s="7"/>
      <c r="N100" s="35" t="s">
        <v>142</v>
      </c>
      <c r="O100" s="4">
        <v>0.02</v>
      </c>
      <c r="P100" s="5">
        <v>0</v>
      </c>
      <c r="Q100" s="5"/>
      <c r="R100" s="7"/>
      <c r="S100" s="7"/>
      <c r="V100" t="s">
        <v>142</v>
      </c>
      <c r="W100" s="4">
        <v>0.02</v>
      </c>
      <c r="X100" s="5">
        <v>0.02</v>
      </c>
      <c r="Y100" s="5"/>
      <c r="Z100" s="7"/>
      <c r="AA100" s="7"/>
    </row>
    <row r="101" spans="1:27">
      <c r="F101" t="s">
        <v>209</v>
      </c>
      <c r="G101" s="4">
        <v>0.05</v>
      </c>
      <c r="H101" s="5">
        <v>0</v>
      </c>
      <c r="I101" s="5"/>
      <c r="J101" s="7"/>
      <c r="K101" s="7"/>
      <c r="N101" t="s">
        <v>147</v>
      </c>
      <c r="O101" s="4">
        <v>0.4</v>
      </c>
      <c r="P101" s="5">
        <v>0</v>
      </c>
      <c r="Q101" s="5"/>
      <c r="R101" s="7"/>
      <c r="S101" s="7"/>
      <c r="V101" t="s">
        <v>147</v>
      </c>
      <c r="W101" s="4">
        <v>0.4</v>
      </c>
      <c r="X101" s="5">
        <v>0</v>
      </c>
      <c r="Y101" s="5"/>
      <c r="Z101" s="7"/>
      <c r="AA101" s="7"/>
    </row>
    <row r="102" spans="1:27">
      <c r="G102" s="34">
        <f>SUM(G97:G101)</f>
        <v>1</v>
      </c>
      <c r="H102" s="34">
        <f>SUM(H97:H101)</f>
        <v>0.15</v>
      </c>
      <c r="I102" s="34"/>
      <c r="J102" s="37">
        <f>SUM(J97:J101)</f>
        <v>0.25</v>
      </c>
      <c r="K102" s="37">
        <f>SUM(K97:K101)</f>
        <v>0</v>
      </c>
      <c r="O102" s="34">
        <f>SUM(O97:O101)</f>
        <v>0.55000000000000004</v>
      </c>
      <c r="P102" s="34">
        <f>SUM(P97:P101)</f>
        <v>0</v>
      </c>
      <c r="Q102" s="34"/>
      <c r="R102" s="37">
        <f>SUM(R97:R101)</f>
        <v>0.5</v>
      </c>
      <c r="S102" s="37">
        <f>SUM(S97:S101)</f>
        <v>0</v>
      </c>
      <c r="W102" s="34">
        <f>SUM(W97:W101)</f>
        <v>0.55000000000000004</v>
      </c>
      <c r="X102" s="34">
        <f>SUM(X97:X101)</f>
        <v>0.14000000000000001</v>
      </c>
      <c r="Y102" s="34"/>
      <c r="Z102" s="37">
        <f>SUM(Z97:Z101)</f>
        <v>0.5</v>
      </c>
      <c r="AA102" s="37">
        <f>SUM(AA97:AA101)</f>
        <v>0</v>
      </c>
    </row>
    <row r="103" spans="1:27">
      <c r="H103" s="34">
        <f>+G102-H102</f>
        <v>0.85</v>
      </c>
      <c r="I103" s="34"/>
      <c r="K103" s="38">
        <f>+(J102-K102)/J102</f>
        <v>1</v>
      </c>
      <c r="P103" s="34">
        <f>+O102-P102</f>
        <v>0.55000000000000004</v>
      </c>
      <c r="Q103" s="34"/>
      <c r="S103" s="38">
        <f>+(R102-S102)/R102</f>
        <v>1</v>
      </c>
      <c r="X103" s="34">
        <f>+W102-X102</f>
        <v>0.41</v>
      </c>
      <c r="Y103" s="34"/>
      <c r="AA103" s="38">
        <f>+(Z102-AA102)/Z102</f>
        <v>1</v>
      </c>
    </row>
    <row r="105" spans="1:27" ht="57.6">
      <c r="A105" s="31" t="s">
        <v>210</v>
      </c>
      <c r="C105" s="32" t="s">
        <v>17</v>
      </c>
      <c r="D105" t="s">
        <v>137</v>
      </c>
      <c r="E105" t="s">
        <v>138</v>
      </c>
      <c r="F105" t="s">
        <v>205</v>
      </c>
      <c r="G105" s="4">
        <v>0.05</v>
      </c>
      <c r="H105" s="5">
        <v>0</v>
      </c>
      <c r="I105" s="5"/>
      <c r="J105" s="36">
        <v>0.25</v>
      </c>
      <c r="K105" s="36">
        <v>0</v>
      </c>
      <c r="N105" t="s">
        <v>211</v>
      </c>
      <c r="O105" s="4">
        <v>0.05</v>
      </c>
      <c r="P105" s="5">
        <v>0.05</v>
      </c>
      <c r="Q105" s="5"/>
      <c r="R105" s="36">
        <v>0.5</v>
      </c>
      <c r="S105" s="36">
        <v>0</v>
      </c>
      <c r="V105" t="s">
        <v>139</v>
      </c>
      <c r="W105" s="4">
        <v>0.05</v>
      </c>
      <c r="X105" s="5">
        <v>0.05</v>
      </c>
      <c r="Y105" s="5"/>
      <c r="Z105" s="36">
        <v>0.5</v>
      </c>
      <c r="AA105" s="36">
        <v>0</v>
      </c>
    </row>
    <row r="106" spans="1:27">
      <c r="F106" t="s">
        <v>206</v>
      </c>
      <c r="G106" s="4">
        <v>0.1</v>
      </c>
      <c r="H106" s="5">
        <v>0</v>
      </c>
      <c r="I106" s="5"/>
      <c r="J106" s="7"/>
      <c r="K106" s="7"/>
      <c r="N106" t="s">
        <v>206</v>
      </c>
      <c r="O106" s="4">
        <v>0.1</v>
      </c>
      <c r="P106" s="5">
        <v>0</v>
      </c>
      <c r="Q106" s="5"/>
      <c r="R106" s="7"/>
      <c r="S106" s="7"/>
      <c r="V106" t="s">
        <v>140</v>
      </c>
      <c r="W106" s="4">
        <v>0.06</v>
      </c>
      <c r="X106" s="5">
        <v>0.05</v>
      </c>
      <c r="Y106" s="5"/>
      <c r="Z106" s="7"/>
      <c r="AA106" s="7"/>
    </row>
    <row r="107" spans="1:27">
      <c r="F107" t="s">
        <v>207</v>
      </c>
      <c r="G107" s="4">
        <v>0.5</v>
      </c>
      <c r="H107" s="5">
        <v>0</v>
      </c>
      <c r="I107" s="5"/>
      <c r="J107" s="7"/>
      <c r="K107" s="7"/>
      <c r="N107" t="s">
        <v>207</v>
      </c>
      <c r="O107" s="4">
        <v>0.5</v>
      </c>
      <c r="P107" s="5">
        <v>0.5</v>
      </c>
      <c r="Q107" s="5"/>
      <c r="R107" s="7"/>
      <c r="S107" s="7"/>
      <c r="V107" t="s">
        <v>141</v>
      </c>
      <c r="W107" s="4">
        <v>0.02</v>
      </c>
      <c r="X107" s="5">
        <v>0.02</v>
      </c>
      <c r="Y107" s="5"/>
      <c r="Z107" s="7"/>
      <c r="AA107" s="7"/>
    </row>
    <row r="108" spans="1:27">
      <c r="F108" t="s">
        <v>208</v>
      </c>
      <c r="G108" s="4">
        <v>0.3</v>
      </c>
      <c r="H108" s="5">
        <v>0.1</v>
      </c>
      <c r="I108" s="5"/>
      <c r="J108" s="7"/>
      <c r="K108" s="7"/>
      <c r="N108" t="s">
        <v>212</v>
      </c>
      <c r="O108" s="4">
        <v>0.3</v>
      </c>
      <c r="P108" s="5">
        <v>0.3</v>
      </c>
      <c r="Q108" s="5"/>
      <c r="R108" s="7"/>
      <c r="S108" s="7"/>
      <c r="V108" t="s">
        <v>142</v>
      </c>
      <c r="W108" s="4">
        <v>0.02</v>
      </c>
      <c r="X108" s="5">
        <v>0.02</v>
      </c>
      <c r="Y108" s="5"/>
      <c r="Z108" s="7"/>
      <c r="AA108" s="7"/>
    </row>
    <row r="109" spans="1:27">
      <c r="F109" t="s">
        <v>209</v>
      </c>
      <c r="G109" s="4">
        <v>0.05</v>
      </c>
      <c r="H109" s="5">
        <v>0</v>
      </c>
      <c r="I109" s="5"/>
      <c r="J109" s="7"/>
      <c r="K109" s="7"/>
      <c r="N109" t="s">
        <v>209</v>
      </c>
      <c r="O109" s="4">
        <v>0.05</v>
      </c>
      <c r="P109" s="5">
        <v>0</v>
      </c>
      <c r="Q109" s="5"/>
      <c r="R109" s="7"/>
      <c r="S109" s="7"/>
      <c r="V109" t="s">
        <v>147</v>
      </c>
      <c r="W109" s="4">
        <v>0.4</v>
      </c>
      <c r="X109" s="5">
        <v>0</v>
      </c>
      <c r="Y109" s="5"/>
      <c r="Z109" s="7"/>
      <c r="AA109" s="7"/>
    </row>
    <row r="110" spans="1:27" ht="43.2">
      <c r="A110" s="31" t="s">
        <v>213</v>
      </c>
      <c r="B110" s="32" t="s">
        <v>214</v>
      </c>
      <c r="C110" s="32" t="s">
        <v>215</v>
      </c>
      <c r="D110" t="s">
        <v>137</v>
      </c>
      <c r="E110" t="s">
        <v>138</v>
      </c>
      <c r="F110" t="s">
        <v>216</v>
      </c>
      <c r="G110" s="4">
        <v>0.05</v>
      </c>
      <c r="H110" s="5">
        <v>0</v>
      </c>
      <c r="I110" s="5"/>
      <c r="J110" s="36">
        <v>0.25</v>
      </c>
      <c r="K110" s="36">
        <v>0.25</v>
      </c>
      <c r="N110" t="s">
        <v>216</v>
      </c>
      <c r="O110" s="4">
        <v>0.05</v>
      </c>
      <c r="P110" s="5">
        <v>0</v>
      </c>
      <c r="Q110" s="5"/>
      <c r="R110" s="36">
        <v>0.5</v>
      </c>
      <c r="S110" s="36">
        <v>0</v>
      </c>
      <c r="V110" t="s">
        <v>139</v>
      </c>
      <c r="W110" s="4">
        <v>0.05</v>
      </c>
      <c r="X110" s="5">
        <v>0.05</v>
      </c>
      <c r="Y110" s="5"/>
      <c r="Z110" s="36">
        <v>0.5</v>
      </c>
      <c r="AA110" s="36">
        <v>0</v>
      </c>
    </row>
    <row r="111" spans="1:27">
      <c r="F111" t="s">
        <v>189</v>
      </c>
      <c r="G111" s="4">
        <v>0.06</v>
      </c>
      <c r="H111" s="5">
        <v>0</v>
      </c>
      <c r="I111" s="5"/>
      <c r="J111" s="7"/>
      <c r="K111" s="7"/>
      <c r="N111" t="s">
        <v>189</v>
      </c>
      <c r="O111" s="4">
        <v>0.06</v>
      </c>
      <c r="P111" s="5">
        <v>0</v>
      </c>
      <c r="Q111" s="5"/>
      <c r="R111" s="7"/>
      <c r="S111" s="7"/>
      <c r="V111" t="s">
        <v>140</v>
      </c>
      <c r="W111" s="4">
        <v>0.06</v>
      </c>
      <c r="X111" s="5">
        <v>0.05</v>
      </c>
      <c r="Y111" s="5"/>
      <c r="Z111" s="7"/>
      <c r="AA111" s="7"/>
    </row>
    <row r="112" spans="1:27">
      <c r="F112" t="s">
        <v>217</v>
      </c>
      <c r="G112" s="4">
        <v>0.05</v>
      </c>
      <c r="H112" s="5">
        <v>0</v>
      </c>
      <c r="I112" s="5"/>
      <c r="J112" s="7"/>
      <c r="K112" s="7"/>
      <c r="N112" t="s">
        <v>217</v>
      </c>
      <c r="O112" s="4">
        <v>0.05</v>
      </c>
      <c r="P112" s="5">
        <v>0</v>
      </c>
      <c r="Q112" s="5"/>
      <c r="R112" s="7"/>
      <c r="S112" s="7"/>
      <c r="V112" t="s">
        <v>141</v>
      </c>
      <c r="W112" s="4">
        <v>0.02</v>
      </c>
      <c r="X112" s="5">
        <v>0.02</v>
      </c>
      <c r="Y112" s="5"/>
      <c r="Z112" s="7"/>
      <c r="AA112" s="7"/>
    </row>
    <row r="113" spans="1:27">
      <c r="F113" t="s">
        <v>218</v>
      </c>
      <c r="G113" s="4">
        <v>0.05</v>
      </c>
      <c r="H113" s="5">
        <v>0</v>
      </c>
      <c r="I113" s="5"/>
      <c r="J113" s="7"/>
      <c r="K113" s="7"/>
      <c r="N113" t="s">
        <v>218</v>
      </c>
      <c r="O113" s="4">
        <v>0.05</v>
      </c>
      <c r="P113" s="5">
        <v>0</v>
      </c>
      <c r="Q113" s="5"/>
      <c r="R113" s="7"/>
      <c r="S113" s="7"/>
      <c r="V113" t="s">
        <v>142</v>
      </c>
      <c r="W113" s="4">
        <v>0.02</v>
      </c>
      <c r="X113" s="5">
        <v>0.02</v>
      </c>
      <c r="Y113" s="5"/>
      <c r="Z113" s="7"/>
      <c r="AA113" s="7"/>
    </row>
    <row r="114" spans="1:27">
      <c r="F114" t="s">
        <v>219</v>
      </c>
      <c r="G114" s="4">
        <v>0.03</v>
      </c>
      <c r="H114" s="5">
        <v>0</v>
      </c>
      <c r="I114" s="5"/>
      <c r="J114" s="7"/>
      <c r="K114" s="7"/>
      <c r="N114" t="s">
        <v>219</v>
      </c>
      <c r="O114" s="4">
        <v>0.03</v>
      </c>
      <c r="P114" s="5">
        <v>0</v>
      </c>
      <c r="Q114" s="5"/>
      <c r="R114" s="7"/>
      <c r="S114" s="7"/>
      <c r="W114" s="4"/>
      <c r="X114" s="5"/>
      <c r="Y114" s="5"/>
      <c r="Z114" s="7"/>
      <c r="AA114" s="7"/>
    </row>
    <row r="115" spans="1:27">
      <c r="F115" t="s">
        <v>220</v>
      </c>
      <c r="G115" s="4">
        <v>0.02</v>
      </c>
      <c r="H115" s="5">
        <v>0</v>
      </c>
      <c r="I115" s="5"/>
      <c r="J115" s="7"/>
      <c r="K115" s="7"/>
      <c r="N115" t="s">
        <v>220</v>
      </c>
      <c r="O115" s="4">
        <v>0.02</v>
      </c>
      <c r="P115" s="5">
        <v>0</v>
      </c>
      <c r="Q115" s="5"/>
      <c r="R115" s="7"/>
      <c r="S115" s="7"/>
      <c r="V115" t="s">
        <v>143</v>
      </c>
      <c r="W115" s="4">
        <v>0.02</v>
      </c>
      <c r="X115" s="5">
        <v>0.02</v>
      </c>
      <c r="Y115" s="5"/>
      <c r="Z115" s="7"/>
      <c r="AA115" s="7"/>
    </row>
    <row r="116" spans="1:27">
      <c r="F116" t="s">
        <v>221</v>
      </c>
      <c r="G116" s="4">
        <v>0.35</v>
      </c>
      <c r="H116" s="5">
        <v>0</v>
      </c>
      <c r="I116" s="5"/>
      <c r="J116" s="7"/>
      <c r="K116" s="7"/>
      <c r="N116" t="s">
        <v>221</v>
      </c>
      <c r="O116" s="4">
        <v>0.35</v>
      </c>
      <c r="P116" s="5">
        <v>0</v>
      </c>
      <c r="Q116" s="5"/>
      <c r="R116" s="7"/>
      <c r="S116" s="7"/>
      <c r="V116" t="s">
        <v>144</v>
      </c>
      <c r="W116" s="4">
        <v>0.03</v>
      </c>
      <c r="X116" s="5">
        <v>0</v>
      </c>
      <c r="Y116" s="5"/>
      <c r="Z116" s="7"/>
      <c r="AA116" s="7"/>
    </row>
    <row r="117" spans="1:27">
      <c r="F117" t="s">
        <v>222</v>
      </c>
      <c r="G117" s="4">
        <v>0.02</v>
      </c>
      <c r="H117" s="5">
        <v>0</v>
      </c>
      <c r="I117" s="5"/>
      <c r="J117" s="7"/>
      <c r="K117" s="7"/>
      <c r="N117" t="s">
        <v>222</v>
      </c>
      <c r="O117" s="4">
        <v>0.02</v>
      </c>
      <c r="P117" s="5">
        <v>0</v>
      </c>
      <c r="Q117" s="5"/>
      <c r="R117" s="7"/>
      <c r="S117" s="7"/>
      <c r="V117" t="s">
        <v>147</v>
      </c>
      <c r="W117" s="4">
        <v>0.4</v>
      </c>
      <c r="X117" s="5">
        <v>0</v>
      </c>
      <c r="Y117" s="5"/>
      <c r="Z117" s="7"/>
      <c r="AA117" s="7"/>
    </row>
    <row r="118" spans="1:27">
      <c r="F118" t="s">
        <v>223</v>
      </c>
      <c r="G118" s="4">
        <v>0.35</v>
      </c>
      <c r="H118" s="5">
        <v>0</v>
      </c>
      <c r="I118" s="5"/>
      <c r="J118" s="7"/>
      <c r="K118" s="7"/>
      <c r="N118" t="s">
        <v>223</v>
      </c>
      <c r="O118" s="4">
        <v>0.35</v>
      </c>
      <c r="P118" s="5">
        <v>0</v>
      </c>
      <c r="Q118" s="5"/>
      <c r="R118" s="7"/>
      <c r="S118" s="7"/>
      <c r="V118" t="s">
        <v>149</v>
      </c>
      <c r="W118" s="4">
        <v>0.15</v>
      </c>
      <c r="X118" s="5">
        <v>0.1</v>
      </c>
      <c r="Y118" s="5"/>
      <c r="Z118" s="7"/>
      <c r="AA118" s="7"/>
    </row>
    <row r="119" spans="1:27">
      <c r="F119" t="s">
        <v>224</v>
      </c>
      <c r="G119" s="4">
        <v>0.02</v>
      </c>
      <c r="H119" s="5">
        <v>0</v>
      </c>
      <c r="I119" s="5"/>
      <c r="J119" s="7"/>
      <c r="K119" s="7"/>
      <c r="N119" t="s">
        <v>224</v>
      </c>
      <c r="O119" s="4">
        <v>0.02</v>
      </c>
      <c r="P119" s="5">
        <v>0</v>
      </c>
      <c r="Q119" s="5"/>
      <c r="R119" s="7"/>
      <c r="S119" s="7"/>
      <c r="V119" t="s">
        <v>151</v>
      </c>
      <c r="W119" s="4"/>
      <c r="X119" s="5">
        <v>0</v>
      </c>
      <c r="Y119" s="5"/>
      <c r="Z119" s="7"/>
      <c r="AA119" s="7"/>
    </row>
    <row r="120" spans="1:27">
      <c r="G120" s="34">
        <f>SUM(G110:G119)</f>
        <v>1</v>
      </c>
      <c r="H120" s="34">
        <f>SUM(H110:H119)</f>
        <v>0</v>
      </c>
      <c r="I120" s="5"/>
      <c r="J120" s="7"/>
      <c r="K120" s="7"/>
      <c r="O120" s="34">
        <f>SUM(O110:O119)</f>
        <v>1</v>
      </c>
      <c r="P120" s="34">
        <f>SUM(P110:P119)</f>
        <v>0</v>
      </c>
      <c r="Q120" s="5"/>
      <c r="R120" s="7"/>
      <c r="S120" s="7"/>
      <c r="V120" t="s">
        <v>153</v>
      </c>
      <c r="W120" s="4"/>
      <c r="X120" s="5"/>
      <c r="Y120" s="5"/>
      <c r="Z120" s="7"/>
      <c r="AA120" s="7"/>
    </row>
    <row r="121" spans="1:27">
      <c r="H121" s="34"/>
      <c r="I121" s="5"/>
      <c r="J121" s="36"/>
      <c r="K121" s="36"/>
      <c r="P121" s="34"/>
      <c r="Q121" s="5"/>
      <c r="R121" s="36">
        <v>0</v>
      </c>
      <c r="S121" s="36">
        <v>0</v>
      </c>
      <c r="V121" t="s">
        <v>155</v>
      </c>
      <c r="W121" s="4">
        <v>0.05</v>
      </c>
      <c r="X121" s="5">
        <v>0</v>
      </c>
      <c r="Y121" s="5"/>
      <c r="Z121" s="36">
        <v>0</v>
      </c>
      <c r="AA121" s="36">
        <v>0</v>
      </c>
    </row>
    <row r="122" spans="1:27" ht="43.2">
      <c r="A122" s="31" t="s">
        <v>225</v>
      </c>
      <c r="B122" s="32"/>
      <c r="C122" s="32" t="s">
        <v>20</v>
      </c>
      <c r="D122" t="s">
        <v>137</v>
      </c>
      <c r="E122" t="s">
        <v>138</v>
      </c>
      <c r="F122" t="s">
        <v>226</v>
      </c>
      <c r="G122" s="4">
        <v>0.05</v>
      </c>
      <c r="H122" s="5">
        <v>0.05</v>
      </c>
      <c r="I122" s="5"/>
      <c r="J122" s="7"/>
      <c r="K122" s="7"/>
      <c r="N122" t="s">
        <v>226</v>
      </c>
      <c r="O122" s="4">
        <v>0.05</v>
      </c>
      <c r="P122" s="5">
        <v>0</v>
      </c>
      <c r="Q122" s="5"/>
      <c r="R122" s="7"/>
      <c r="S122" s="7"/>
      <c r="V122" t="s">
        <v>157</v>
      </c>
      <c r="W122" s="4">
        <v>0.05</v>
      </c>
      <c r="X122" s="5">
        <v>0.05</v>
      </c>
      <c r="Y122" s="5"/>
      <c r="Z122" s="7"/>
      <c r="AA122" s="7"/>
    </row>
    <row r="123" spans="1:27">
      <c r="F123" t="s">
        <v>189</v>
      </c>
      <c r="G123" s="4">
        <v>0.06</v>
      </c>
      <c r="H123" s="5">
        <v>0.05</v>
      </c>
      <c r="I123" s="5"/>
      <c r="J123" s="36"/>
      <c r="K123" s="36"/>
      <c r="N123" t="s">
        <v>189</v>
      </c>
      <c r="O123" s="4">
        <v>0.06</v>
      </c>
      <c r="P123" s="5">
        <v>0</v>
      </c>
      <c r="Q123" s="5"/>
      <c r="R123" s="36">
        <v>0.1</v>
      </c>
      <c r="S123" s="36">
        <v>0</v>
      </c>
      <c r="V123" t="s">
        <v>159</v>
      </c>
      <c r="W123" s="4">
        <v>0.05</v>
      </c>
      <c r="X123" s="5">
        <v>0.05</v>
      </c>
      <c r="Y123" s="5"/>
      <c r="Z123" s="36">
        <v>0.1</v>
      </c>
      <c r="AA123" s="36">
        <v>0</v>
      </c>
    </row>
    <row r="124" spans="1:27">
      <c r="F124" t="s">
        <v>227</v>
      </c>
      <c r="G124" s="4">
        <v>0.05</v>
      </c>
      <c r="H124" s="5">
        <v>0.02</v>
      </c>
      <c r="I124" s="5"/>
      <c r="J124" s="36"/>
      <c r="K124" s="36"/>
      <c r="N124" t="s">
        <v>227</v>
      </c>
      <c r="O124" s="4">
        <v>0.05</v>
      </c>
      <c r="P124" s="5">
        <v>0</v>
      </c>
      <c r="Q124" s="5"/>
      <c r="R124" s="36">
        <v>1</v>
      </c>
      <c r="S124" s="36">
        <v>1</v>
      </c>
      <c r="V124" t="s">
        <v>161</v>
      </c>
      <c r="W124" s="4">
        <v>0.1</v>
      </c>
      <c r="X124" s="5">
        <v>0.1</v>
      </c>
      <c r="Y124" s="5"/>
      <c r="Z124" s="36">
        <v>1</v>
      </c>
      <c r="AA124" s="36">
        <v>1</v>
      </c>
    </row>
    <row r="125" spans="1:27">
      <c r="F125" t="s">
        <v>218</v>
      </c>
      <c r="G125" s="4">
        <v>0.05</v>
      </c>
      <c r="H125" s="5">
        <v>0.02</v>
      </c>
      <c r="I125" s="34"/>
      <c r="J125" s="37"/>
      <c r="K125" s="37"/>
      <c r="N125" t="s">
        <v>218</v>
      </c>
      <c r="O125" s="4">
        <v>0.05</v>
      </c>
      <c r="P125" s="5">
        <v>0</v>
      </c>
      <c r="Q125" s="34"/>
      <c r="R125" s="37">
        <f>SUM(R110:R124)</f>
        <v>1.6</v>
      </c>
      <c r="S125" s="37">
        <f>SUM(S110:S124)</f>
        <v>1</v>
      </c>
      <c r="W125" s="34">
        <f>SUM(W110:W124)</f>
        <v>1</v>
      </c>
      <c r="X125" s="34">
        <f>SUM(X110:X124)</f>
        <v>0.46</v>
      </c>
      <c r="Y125" s="34"/>
      <c r="Z125" s="37">
        <f>SUM(Z110:Z124)</f>
        <v>1.6</v>
      </c>
      <c r="AA125" s="37">
        <f>SUM(AA110:AA124)</f>
        <v>1</v>
      </c>
    </row>
    <row r="126" spans="1:27">
      <c r="F126" t="s">
        <v>219</v>
      </c>
      <c r="G126" s="4">
        <v>0.03</v>
      </c>
      <c r="H126" s="5"/>
      <c r="I126" s="34"/>
      <c r="K126" s="38"/>
      <c r="N126" t="s">
        <v>219</v>
      </c>
      <c r="O126" s="4">
        <v>0.03</v>
      </c>
      <c r="P126" s="5">
        <v>0</v>
      </c>
      <c r="Q126" s="34"/>
      <c r="S126" s="38">
        <f>+(R125-S125)/R125</f>
        <v>0.375</v>
      </c>
      <c r="X126" s="34">
        <f>+W125-X125</f>
        <v>0.54</v>
      </c>
      <c r="Y126" s="34"/>
      <c r="AA126" s="38">
        <f>+(Z125-AA125)/Z125</f>
        <v>0.375</v>
      </c>
    </row>
    <row r="127" spans="1:27">
      <c r="F127" t="s">
        <v>220</v>
      </c>
      <c r="G127" s="4">
        <v>0.02</v>
      </c>
      <c r="H127" s="5">
        <v>0.02</v>
      </c>
      <c r="N127" t="s">
        <v>220</v>
      </c>
      <c r="O127" s="4">
        <v>0.02</v>
      </c>
      <c r="P127" s="5">
        <v>0</v>
      </c>
    </row>
    <row r="128" spans="1:27">
      <c r="F128" t="s">
        <v>221</v>
      </c>
      <c r="G128" s="4">
        <v>0.35</v>
      </c>
      <c r="H128" s="5">
        <v>0</v>
      </c>
      <c r="N128" t="s">
        <v>221</v>
      </c>
      <c r="O128" s="4">
        <v>0.35</v>
      </c>
      <c r="P128" s="5">
        <v>0</v>
      </c>
    </row>
    <row r="129" spans="3:16">
      <c r="F129" t="s">
        <v>222</v>
      </c>
      <c r="G129" s="4">
        <v>0.02</v>
      </c>
      <c r="H129" s="5">
        <v>0</v>
      </c>
      <c r="N129" t="s">
        <v>222</v>
      </c>
      <c r="O129" s="4">
        <v>0.02</v>
      </c>
      <c r="P129" s="5">
        <v>0</v>
      </c>
    </row>
    <row r="130" spans="3:16">
      <c r="F130" t="s">
        <v>223</v>
      </c>
      <c r="G130" s="4">
        <v>0.35</v>
      </c>
      <c r="H130" s="5">
        <v>0.15</v>
      </c>
      <c r="N130" t="s">
        <v>223</v>
      </c>
      <c r="O130" s="4">
        <v>0.35</v>
      </c>
      <c r="P130" s="5">
        <v>0</v>
      </c>
    </row>
    <row r="131" spans="3:16">
      <c r="F131" t="s">
        <v>224</v>
      </c>
      <c r="G131" s="4">
        <v>0.02</v>
      </c>
      <c r="H131" s="5"/>
      <c r="N131" t="s">
        <v>224</v>
      </c>
      <c r="O131" s="4">
        <v>0.02</v>
      </c>
      <c r="P131" s="5">
        <v>0</v>
      </c>
    </row>
    <row r="132" spans="3:16">
      <c r="G132" s="34">
        <f>SUM(G122:G131)</f>
        <v>1</v>
      </c>
      <c r="H132" s="34">
        <v>0.41</v>
      </c>
      <c r="O132" s="34">
        <f>SUM(O122:O131)</f>
        <v>1</v>
      </c>
      <c r="P132" s="34">
        <f>SUM(P122:P131)</f>
        <v>0</v>
      </c>
    </row>
    <row r="133" spans="3:16">
      <c r="H133" s="34">
        <v>0.59</v>
      </c>
      <c r="P133" s="34"/>
    </row>
    <row r="135" spans="3:16">
      <c r="C135" s="32" t="s">
        <v>228</v>
      </c>
      <c r="D135" t="s">
        <v>137</v>
      </c>
      <c r="E135" t="s">
        <v>138</v>
      </c>
      <c r="F135" t="s">
        <v>229</v>
      </c>
      <c r="G135" s="4">
        <v>0.05</v>
      </c>
      <c r="H135" s="5">
        <v>0</v>
      </c>
      <c r="M135" t="s">
        <v>138</v>
      </c>
      <c r="N135" t="s">
        <v>229</v>
      </c>
      <c r="O135" s="4">
        <v>0.05</v>
      </c>
      <c r="P135" s="5">
        <v>0</v>
      </c>
    </row>
    <row r="136" spans="3:16">
      <c r="F136" t="s">
        <v>189</v>
      </c>
      <c r="G136" s="4">
        <v>0.06</v>
      </c>
      <c r="H136" s="5">
        <v>0</v>
      </c>
      <c r="N136" t="s">
        <v>189</v>
      </c>
      <c r="O136" s="4">
        <v>0.06</v>
      </c>
      <c r="P136" s="5">
        <v>0</v>
      </c>
    </row>
    <row r="137" spans="3:16">
      <c r="F137" t="s">
        <v>227</v>
      </c>
      <c r="G137" s="4">
        <v>0.05</v>
      </c>
      <c r="H137" s="5">
        <v>0</v>
      </c>
      <c r="N137" t="s">
        <v>227</v>
      </c>
      <c r="O137" s="4">
        <v>0.05</v>
      </c>
      <c r="P137" s="5">
        <v>0</v>
      </c>
    </row>
    <row r="138" spans="3:16">
      <c r="F138" t="s">
        <v>218</v>
      </c>
      <c r="G138" s="4">
        <v>0.05</v>
      </c>
      <c r="H138" s="5">
        <v>0</v>
      </c>
      <c r="N138" t="s">
        <v>218</v>
      </c>
      <c r="O138" s="4">
        <v>0.05</v>
      </c>
      <c r="P138" s="5">
        <v>0</v>
      </c>
    </row>
    <row r="139" spans="3:16">
      <c r="F139" t="s">
        <v>230</v>
      </c>
      <c r="G139" s="4">
        <v>0.03</v>
      </c>
      <c r="H139" s="5">
        <v>0</v>
      </c>
      <c r="N139" t="s">
        <v>219</v>
      </c>
      <c r="O139" s="4">
        <v>0.03</v>
      </c>
      <c r="P139" s="5">
        <v>0</v>
      </c>
    </row>
    <row r="140" spans="3:16">
      <c r="F140" t="s">
        <v>220</v>
      </c>
      <c r="G140" s="4">
        <v>0.02</v>
      </c>
      <c r="H140" s="5">
        <v>0</v>
      </c>
      <c r="N140" t="s">
        <v>220</v>
      </c>
      <c r="O140" s="4">
        <v>0.02</v>
      </c>
      <c r="P140" s="5">
        <v>0</v>
      </c>
    </row>
    <row r="141" spans="3:16">
      <c r="F141" t="s">
        <v>221</v>
      </c>
      <c r="G141" s="4">
        <v>0.35</v>
      </c>
      <c r="H141" s="5">
        <v>0</v>
      </c>
      <c r="N141" t="s">
        <v>221</v>
      </c>
      <c r="O141" s="4">
        <v>0.35</v>
      </c>
      <c r="P141" s="5">
        <v>0</v>
      </c>
    </row>
    <row r="142" spans="3:16">
      <c r="F142" t="s">
        <v>222</v>
      </c>
      <c r="G142" s="4">
        <v>0.02</v>
      </c>
      <c r="H142" s="5">
        <v>0</v>
      </c>
      <c r="N142" t="s">
        <v>222</v>
      </c>
      <c r="O142" s="4">
        <v>0.02</v>
      </c>
      <c r="P142" s="5">
        <v>0</v>
      </c>
    </row>
    <row r="143" spans="3:16">
      <c r="F143" t="s">
        <v>223</v>
      </c>
      <c r="G143" s="4">
        <v>0.35</v>
      </c>
      <c r="H143" s="5">
        <v>0</v>
      </c>
      <c r="N143" t="s">
        <v>223</v>
      </c>
      <c r="O143" s="4">
        <v>0.35</v>
      </c>
      <c r="P143" s="5">
        <v>0</v>
      </c>
    </row>
    <row r="144" spans="3:16">
      <c r="F144" t="s">
        <v>231</v>
      </c>
      <c r="G144" s="4">
        <v>0.02</v>
      </c>
      <c r="H144" s="5">
        <v>0</v>
      </c>
      <c r="N144" t="s">
        <v>224</v>
      </c>
      <c r="O144" s="4">
        <v>0.02</v>
      </c>
      <c r="P144" s="5">
        <v>0</v>
      </c>
    </row>
    <row r="145" spans="3:16">
      <c r="G145" s="34">
        <f>SUM(G135:G144)</f>
        <v>1</v>
      </c>
      <c r="H145" s="34">
        <f>SUM(H135:H144)</f>
        <v>0</v>
      </c>
      <c r="O145" s="34">
        <f>SUM(O135:O144)</f>
        <v>1</v>
      </c>
      <c r="P145" s="34">
        <f>SUM(P135:P144)</f>
        <v>0</v>
      </c>
    </row>
    <row r="146" spans="3:16">
      <c r="H146" s="34"/>
      <c r="P146" s="34"/>
    </row>
    <row r="147" spans="3:16">
      <c r="C147" s="32" t="s">
        <v>232</v>
      </c>
      <c r="D147" t="s">
        <v>137</v>
      </c>
      <c r="E147" t="s">
        <v>138</v>
      </c>
      <c r="F147" t="s">
        <v>226</v>
      </c>
      <c r="G147" s="4">
        <v>0.05</v>
      </c>
      <c r="H147" s="5">
        <v>0.05</v>
      </c>
      <c r="K147" t="s">
        <v>232</v>
      </c>
      <c r="L147" t="s">
        <v>137</v>
      </c>
      <c r="M147" t="s">
        <v>138</v>
      </c>
      <c r="N147" t="s">
        <v>226</v>
      </c>
      <c r="O147" s="4">
        <v>0.05</v>
      </c>
      <c r="P147" s="5">
        <v>0.05</v>
      </c>
    </row>
    <row r="148" spans="3:16">
      <c r="F148" t="s">
        <v>189</v>
      </c>
      <c r="G148" s="4">
        <v>0.06</v>
      </c>
      <c r="H148" s="5">
        <v>0.05</v>
      </c>
      <c r="N148" t="s">
        <v>189</v>
      </c>
      <c r="O148" s="4">
        <v>0.06</v>
      </c>
      <c r="P148" s="5">
        <v>0.05</v>
      </c>
    </row>
    <row r="149" spans="3:16">
      <c r="F149" t="s">
        <v>233</v>
      </c>
      <c r="G149" s="4">
        <v>0.05</v>
      </c>
      <c r="H149" s="5">
        <v>0.02</v>
      </c>
      <c r="N149" t="s">
        <v>233</v>
      </c>
      <c r="O149" s="4">
        <v>0.05</v>
      </c>
      <c r="P149" s="5">
        <v>0.02</v>
      </c>
    </row>
    <row r="150" spans="3:16">
      <c r="F150" t="s">
        <v>218</v>
      </c>
      <c r="G150" s="4">
        <v>0.05</v>
      </c>
      <c r="H150" s="5">
        <v>0.02</v>
      </c>
      <c r="N150" t="s">
        <v>218</v>
      </c>
      <c r="O150" s="4">
        <v>0.05</v>
      </c>
      <c r="P150" s="5">
        <v>0.02</v>
      </c>
    </row>
    <row r="151" spans="3:16">
      <c r="F151" t="s">
        <v>230</v>
      </c>
      <c r="G151" s="4">
        <v>0.03</v>
      </c>
      <c r="H151" s="5"/>
      <c r="N151" t="s">
        <v>230</v>
      </c>
      <c r="O151" s="4">
        <v>0.03</v>
      </c>
      <c r="P151" s="5"/>
    </row>
    <row r="152" spans="3:16">
      <c r="F152" t="s">
        <v>220</v>
      </c>
      <c r="G152" s="4">
        <v>0.02</v>
      </c>
      <c r="H152" s="5">
        <v>0.02</v>
      </c>
      <c r="N152" t="s">
        <v>220</v>
      </c>
      <c r="O152" s="4">
        <v>0.02</v>
      </c>
      <c r="P152" s="5">
        <v>0.02</v>
      </c>
    </row>
    <row r="153" spans="3:16">
      <c r="F153" t="s">
        <v>221</v>
      </c>
      <c r="G153" s="4">
        <v>0.35</v>
      </c>
      <c r="H153" s="5">
        <v>0</v>
      </c>
      <c r="N153" t="s">
        <v>221</v>
      </c>
      <c r="O153" s="4">
        <v>0.35</v>
      </c>
      <c r="P153" s="5">
        <v>0</v>
      </c>
    </row>
    <row r="154" spans="3:16">
      <c r="F154" t="s">
        <v>222</v>
      </c>
      <c r="G154" s="4">
        <v>0.02</v>
      </c>
      <c r="H154" s="5">
        <v>0</v>
      </c>
      <c r="N154" t="s">
        <v>222</v>
      </c>
      <c r="O154" s="4">
        <v>0.02</v>
      </c>
      <c r="P154" s="5">
        <v>0</v>
      </c>
    </row>
    <row r="155" spans="3:16">
      <c r="F155" t="s">
        <v>223</v>
      </c>
      <c r="G155" s="4">
        <v>0.35</v>
      </c>
      <c r="H155" s="5">
        <v>0.15</v>
      </c>
      <c r="N155" t="s">
        <v>223</v>
      </c>
      <c r="O155" s="4">
        <v>0.35</v>
      </c>
      <c r="P155" s="5">
        <v>0.15</v>
      </c>
    </row>
    <row r="156" spans="3:16">
      <c r="F156" t="s">
        <v>231</v>
      </c>
      <c r="G156" s="4">
        <v>0.02</v>
      </c>
      <c r="H156" s="5"/>
      <c r="N156" t="s">
        <v>231</v>
      </c>
      <c r="O156" s="4">
        <v>0.02</v>
      </c>
      <c r="P156" s="5"/>
    </row>
    <row r="157" spans="3:16">
      <c r="G157" s="34">
        <f>SUM(G147:G156)</f>
        <v>1</v>
      </c>
      <c r="H157" s="34">
        <v>0.41</v>
      </c>
      <c r="O157" s="34">
        <f>SUM(O147:O156)</f>
        <v>1</v>
      </c>
      <c r="P157" s="34">
        <v>0.41</v>
      </c>
    </row>
    <row r="158" spans="3:16">
      <c r="H158" s="34">
        <v>0.59</v>
      </c>
      <c r="P158" s="34">
        <v>0.59</v>
      </c>
    </row>
    <row r="160" spans="3:16" ht="15.6">
      <c r="C160" s="39" t="s">
        <v>234</v>
      </c>
      <c r="F160" t="s">
        <v>235</v>
      </c>
      <c r="G160" s="6">
        <v>0.05</v>
      </c>
      <c r="H160" s="6">
        <v>0</v>
      </c>
      <c r="N160" t="s">
        <v>235</v>
      </c>
      <c r="O160" s="6">
        <v>0.05</v>
      </c>
      <c r="P160" s="6">
        <v>0</v>
      </c>
    </row>
    <row r="161" spans="6:16">
      <c r="F161" t="s">
        <v>236</v>
      </c>
      <c r="G161" s="6">
        <v>0.05</v>
      </c>
      <c r="H161" s="6">
        <v>0</v>
      </c>
      <c r="N161" t="s">
        <v>236</v>
      </c>
      <c r="O161" s="6">
        <v>0.05</v>
      </c>
      <c r="P161" s="6">
        <v>0</v>
      </c>
    </row>
    <row r="162" spans="6:16">
      <c r="F162" t="s">
        <v>237</v>
      </c>
      <c r="G162" s="6">
        <v>0.05</v>
      </c>
      <c r="H162" s="6">
        <v>0</v>
      </c>
      <c r="N162" t="s">
        <v>237</v>
      </c>
      <c r="O162" s="6">
        <v>0.05</v>
      </c>
      <c r="P162" s="6">
        <v>0</v>
      </c>
    </row>
    <row r="163" spans="6:16">
      <c r="F163" t="s">
        <v>238</v>
      </c>
      <c r="G163" s="6">
        <v>0.05</v>
      </c>
      <c r="H163" s="6">
        <v>0</v>
      </c>
      <c r="N163" t="s">
        <v>238</v>
      </c>
      <c r="O163" s="6">
        <v>0.05</v>
      </c>
      <c r="P163" s="6">
        <v>0</v>
      </c>
    </row>
    <row r="164" spans="6:16">
      <c r="F164" t="s">
        <v>239</v>
      </c>
      <c r="G164" s="6">
        <v>0.05</v>
      </c>
      <c r="H164" s="6">
        <v>0</v>
      </c>
      <c r="N164" t="s">
        <v>239</v>
      </c>
      <c r="O164" s="6">
        <v>0.05</v>
      </c>
      <c r="P164" s="6">
        <v>0</v>
      </c>
    </row>
    <row r="165" spans="6:16">
      <c r="F165" t="s">
        <v>240</v>
      </c>
      <c r="N165" t="s">
        <v>240</v>
      </c>
      <c r="P165" s="6">
        <v>0</v>
      </c>
    </row>
    <row r="166" spans="6:16">
      <c r="F166" t="s">
        <v>241</v>
      </c>
      <c r="G166" s="6">
        <v>0</v>
      </c>
      <c r="H166" s="6">
        <v>0.03</v>
      </c>
      <c r="N166" t="s">
        <v>241</v>
      </c>
      <c r="O166" s="6">
        <v>0</v>
      </c>
      <c r="P166" s="6">
        <v>0</v>
      </c>
    </row>
    <row r="167" spans="6:16">
      <c r="F167" t="s">
        <v>242</v>
      </c>
      <c r="N167" t="s">
        <v>242</v>
      </c>
      <c r="P167" s="6">
        <v>0</v>
      </c>
    </row>
    <row r="168" spans="6:16">
      <c r="F168" t="s">
        <v>243</v>
      </c>
      <c r="N168" t="s">
        <v>243</v>
      </c>
      <c r="P168" s="6">
        <v>0</v>
      </c>
    </row>
    <row r="169" spans="6:16">
      <c r="F169" t="s">
        <v>244</v>
      </c>
      <c r="G169" s="6">
        <v>0.3</v>
      </c>
      <c r="H169" s="6">
        <v>0.3</v>
      </c>
      <c r="N169" t="s">
        <v>244</v>
      </c>
      <c r="O169" s="6">
        <v>0.3</v>
      </c>
      <c r="P169" s="6">
        <v>0</v>
      </c>
    </row>
    <row r="170" spans="6:16">
      <c r="F170" t="s">
        <v>245</v>
      </c>
      <c r="G170" s="6">
        <v>0.15</v>
      </c>
      <c r="H170" s="6">
        <v>0.15</v>
      </c>
      <c r="N170" t="s">
        <v>245</v>
      </c>
      <c r="O170" s="6">
        <v>0.15</v>
      </c>
      <c r="P170" s="6">
        <v>0</v>
      </c>
    </row>
    <row r="171" spans="6:16">
      <c r="F171" t="s">
        <v>246</v>
      </c>
      <c r="G171" s="6">
        <v>0</v>
      </c>
      <c r="H171" s="6">
        <v>0</v>
      </c>
      <c r="N171" t="s">
        <v>246</v>
      </c>
      <c r="O171" s="6">
        <v>0</v>
      </c>
      <c r="P171" s="6">
        <v>0</v>
      </c>
    </row>
    <row r="172" spans="6:16">
      <c r="F172" t="s">
        <v>247</v>
      </c>
      <c r="G172" s="6">
        <v>0</v>
      </c>
      <c r="H172" s="6">
        <v>0</v>
      </c>
      <c r="N172" t="s">
        <v>247</v>
      </c>
      <c r="O172" s="6">
        <v>0</v>
      </c>
      <c r="P172" s="6">
        <v>0</v>
      </c>
    </row>
    <row r="173" spans="6:16">
      <c r="F173" t="s">
        <v>248</v>
      </c>
      <c r="G173" s="6">
        <v>0.3</v>
      </c>
      <c r="H173" s="6">
        <v>0.3</v>
      </c>
      <c r="N173" t="s">
        <v>248</v>
      </c>
      <c r="O173" s="6">
        <v>0.3</v>
      </c>
      <c r="P173" s="6">
        <v>0.3</v>
      </c>
    </row>
    <row r="174" spans="6:16">
      <c r="F174" t="s">
        <v>249</v>
      </c>
      <c r="G174" s="6">
        <v>0</v>
      </c>
      <c r="H174" s="6">
        <v>0</v>
      </c>
      <c r="N174" t="s">
        <v>249</v>
      </c>
      <c r="O174" s="6">
        <v>0</v>
      </c>
      <c r="P174" s="6">
        <v>0</v>
      </c>
    </row>
    <row r="175" spans="6:16">
      <c r="F175" t="s">
        <v>250</v>
      </c>
      <c r="G175" s="6">
        <v>0</v>
      </c>
      <c r="H175" s="6">
        <v>0</v>
      </c>
      <c r="N175" t="s">
        <v>250</v>
      </c>
      <c r="O175" s="6">
        <v>0</v>
      </c>
      <c r="P175" s="6">
        <v>0</v>
      </c>
    </row>
    <row r="176" spans="6:16">
      <c r="G176" s="33">
        <f>SUM(G160:G175)</f>
        <v>1</v>
      </c>
      <c r="H176" s="33">
        <f>SUM(H160:H175)</f>
        <v>0.78</v>
      </c>
      <c r="O176" s="33">
        <f>SUM(O160:O175)</f>
        <v>1</v>
      </c>
      <c r="P176" s="33">
        <f>SUM(P160:P175)</f>
        <v>0.3</v>
      </c>
    </row>
    <row r="177" spans="3:16">
      <c r="P177" s="33">
        <v>0.7</v>
      </c>
    </row>
    <row r="178" spans="3:16">
      <c r="C178" s="32" t="s">
        <v>251</v>
      </c>
      <c r="F178" t="s">
        <v>252</v>
      </c>
      <c r="G178" s="6">
        <v>0.3</v>
      </c>
      <c r="H178" s="6">
        <v>0</v>
      </c>
      <c r="N178" t="s">
        <v>252</v>
      </c>
      <c r="O178" s="6">
        <v>0.3</v>
      </c>
      <c r="P178" s="6">
        <v>0</v>
      </c>
    </row>
    <row r="179" spans="3:16">
      <c r="F179" t="s">
        <v>253</v>
      </c>
      <c r="G179" s="6">
        <v>0.2</v>
      </c>
      <c r="H179" s="6">
        <v>0</v>
      </c>
      <c r="N179" t="s">
        <v>253</v>
      </c>
      <c r="O179" s="6">
        <v>0.2</v>
      </c>
      <c r="P179" s="6">
        <v>0</v>
      </c>
    </row>
    <row r="180" spans="3:16">
      <c r="F180" t="s">
        <v>254</v>
      </c>
      <c r="G180" s="6">
        <v>0.3</v>
      </c>
      <c r="H180" s="6">
        <v>0</v>
      </c>
      <c r="N180" t="s">
        <v>254</v>
      </c>
      <c r="O180" s="6">
        <v>0.3</v>
      </c>
      <c r="P180" s="6">
        <v>0</v>
      </c>
    </row>
    <row r="181" spans="3:16">
      <c r="F181" t="s">
        <v>255</v>
      </c>
      <c r="G181" s="6">
        <v>0.2</v>
      </c>
      <c r="H181" s="6">
        <v>0.2</v>
      </c>
      <c r="N181" t="s">
        <v>255</v>
      </c>
      <c r="O181" s="6">
        <v>0.2</v>
      </c>
      <c r="P181" s="6">
        <v>0.2</v>
      </c>
    </row>
    <row r="182" spans="3:16">
      <c r="G182" s="33">
        <f>SUM(G178:G181)</f>
        <v>1</v>
      </c>
      <c r="H182" s="6">
        <f>SUM(H178:H181)</f>
        <v>0.2</v>
      </c>
      <c r="O182" s="33">
        <f>SUM(O178:O181)</f>
        <v>1</v>
      </c>
      <c r="P182" s="6">
        <f>SUM(P178:P181)</f>
        <v>0.2</v>
      </c>
    </row>
    <row r="183" spans="3:16">
      <c r="G183" s="33"/>
      <c r="H183" s="6">
        <f>G182-H182</f>
        <v>0.8</v>
      </c>
    </row>
    <row r="184" spans="3:16">
      <c r="G184" s="33"/>
      <c r="H184" s="6"/>
    </row>
    <row r="185" spans="3:16">
      <c r="C185" s="32" t="s">
        <v>256</v>
      </c>
      <c r="F185" t="s">
        <v>257</v>
      </c>
      <c r="G185" s="6">
        <v>0.2</v>
      </c>
      <c r="H185" s="6">
        <v>0</v>
      </c>
    </row>
    <row r="186" spans="3:16">
      <c r="F186" t="s">
        <v>258</v>
      </c>
      <c r="G186" s="6">
        <v>0.35</v>
      </c>
      <c r="H186" s="6">
        <v>0</v>
      </c>
    </row>
    <row r="187" spans="3:16">
      <c r="F187" t="s">
        <v>259</v>
      </c>
      <c r="G187" s="6">
        <v>0.25</v>
      </c>
      <c r="H187" s="6">
        <v>0</v>
      </c>
    </row>
    <row r="188" spans="3:16">
      <c r="F188" t="s">
        <v>231</v>
      </c>
      <c r="G188" s="6">
        <v>0.1</v>
      </c>
      <c r="H188" s="6">
        <v>0</v>
      </c>
    </row>
    <row r="189" spans="3:16">
      <c r="F189" t="s">
        <v>260</v>
      </c>
      <c r="G189" s="6">
        <v>0</v>
      </c>
      <c r="H189" s="6">
        <v>0</v>
      </c>
    </row>
    <row r="190" spans="3:16">
      <c r="G190" s="33">
        <f>SUM(G185:G189)</f>
        <v>0.9</v>
      </c>
      <c r="H190" s="6">
        <f>SUM(H185:H188)</f>
        <v>0</v>
      </c>
    </row>
    <row r="193" spans="3:16">
      <c r="C193" s="32" t="s">
        <v>11</v>
      </c>
      <c r="F193" t="s">
        <v>261</v>
      </c>
      <c r="G193" s="6">
        <v>0.3</v>
      </c>
      <c r="H193" s="6">
        <v>0</v>
      </c>
      <c r="N193" t="s">
        <v>261</v>
      </c>
      <c r="O193" s="6">
        <v>0.3</v>
      </c>
      <c r="P193" s="6">
        <v>0.3</v>
      </c>
    </row>
    <row r="194" spans="3:16">
      <c r="F194" t="s">
        <v>236</v>
      </c>
      <c r="G194" s="6">
        <v>0.2</v>
      </c>
      <c r="H194" s="6">
        <v>0</v>
      </c>
      <c r="N194" t="s">
        <v>236</v>
      </c>
      <c r="O194" s="6">
        <v>0.2</v>
      </c>
    </row>
    <row r="195" spans="3:16">
      <c r="F195" t="s">
        <v>262</v>
      </c>
      <c r="G195" s="6">
        <v>0.1</v>
      </c>
      <c r="H195" s="6">
        <v>0</v>
      </c>
      <c r="N195" t="s">
        <v>262</v>
      </c>
      <c r="O195" s="6">
        <v>0.1</v>
      </c>
    </row>
    <row r="196" spans="3:16">
      <c r="F196" t="s">
        <v>263</v>
      </c>
      <c r="G196" s="6">
        <v>0.15</v>
      </c>
      <c r="H196" s="6">
        <v>0</v>
      </c>
      <c r="N196" t="s">
        <v>263</v>
      </c>
      <c r="O196" s="6">
        <v>0.15</v>
      </c>
    </row>
    <row r="197" spans="3:16">
      <c r="F197" t="s">
        <v>264</v>
      </c>
      <c r="G197" s="6">
        <v>0.25</v>
      </c>
      <c r="H197" s="6">
        <v>0.25</v>
      </c>
      <c r="N197" t="s">
        <v>264</v>
      </c>
      <c r="O197" s="6">
        <v>0.25</v>
      </c>
    </row>
    <row r="198" spans="3:16">
      <c r="G198" s="33">
        <f>SUM(G193:G197)</f>
        <v>1</v>
      </c>
      <c r="H198" s="33">
        <f>SUM(H193:H197)</f>
        <v>0.25</v>
      </c>
      <c r="O198" s="33">
        <f>SUM(O193:O197)</f>
        <v>1</v>
      </c>
    </row>
    <row r="199" spans="3:16">
      <c r="H199" s="33">
        <f>G198-H198</f>
        <v>0.75</v>
      </c>
    </row>
    <row r="202" spans="3:16">
      <c r="C202" s="32" t="s">
        <v>12</v>
      </c>
      <c r="F202" t="s">
        <v>261</v>
      </c>
      <c r="G202" s="6">
        <v>0.15</v>
      </c>
    </row>
    <row r="203" spans="3:16">
      <c r="F203" t="s">
        <v>236</v>
      </c>
      <c r="G203" s="6">
        <v>0.1</v>
      </c>
    </row>
    <row r="204" spans="3:16">
      <c r="F204" t="s">
        <v>262</v>
      </c>
      <c r="G204" s="6">
        <v>0.1</v>
      </c>
    </row>
    <row r="205" spans="3:16">
      <c r="F205" t="s">
        <v>263</v>
      </c>
      <c r="G205" s="6">
        <v>0.15</v>
      </c>
    </row>
    <row r="206" spans="3:16" s="30" customFormat="1">
      <c r="F206" s="30" t="s">
        <v>265</v>
      </c>
      <c r="G206" s="40">
        <v>0.35</v>
      </c>
    </row>
    <row r="207" spans="3:16">
      <c r="F207" t="s">
        <v>266</v>
      </c>
      <c r="G207" s="6">
        <v>0.15</v>
      </c>
    </row>
    <row r="208" spans="3:16">
      <c r="G208" s="33">
        <f>SUM(G202:G207)</f>
        <v>1</v>
      </c>
    </row>
    <row r="209" spans="3:16">
      <c r="G209" s="33"/>
    </row>
    <row r="210" spans="3:16">
      <c r="G210" s="33"/>
    </row>
    <row r="211" spans="3:16">
      <c r="C211" s="32" t="s">
        <v>267</v>
      </c>
      <c r="F211" t="s">
        <v>268</v>
      </c>
      <c r="G211" s="6">
        <v>0.05</v>
      </c>
      <c r="H211" s="6">
        <v>0.05</v>
      </c>
      <c r="N211" t="s">
        <v>268</v>
      </c>
      <c r="O211" s="6">
        <v>0.05</v>
      </c>
      <c r="P211" s="6">
        <v>0</v>
      </c>
    </row>
    <row r="212" spans="3:16">
      <c r="F212" t="s">
        <v>269</v>
      </c>
      <c r="G212" s="6">
        <v>0.05</v>
      </c>
      <c r="H212" s="6">
        <v>0.05</v>
      </c>
      <c r="N212" t="s">
        <v>269</v>
      </c>
      <c r="O212" s="6">
        <v>0.05</v>
      </c>
      <c r="P212" s="6">
        <v>0.05</v>
      </c>
    </row>
    <row r="213" spans="3:16">
      <c r="F213" t="s">
        <v>270</v>
      </c>
      <c r="G213" s="6">
        <v>0.05</v>
      </c>
      <c r="H213" s="6">
        <v>0.05</v>
      </c>
      <c r="N213" t="s">
        <v>270</v>
      </c>
      <c r="O213" s="6">
        <v>0.05</v>
      </c>
      <c r="P213" s="6">
        <v>0</v>
      </c>
    </row>
    <row r="214" spans="3:16">
      <c r="F214" t="s">
        <v>271</v>
      </c>
      <c r="G214" s="6">
        <v>0.1</v>
      </c>
      <c r="H214" s="6">
        <v>0.1</v>
      </c>
      <c r="N214" t="s">
        <v>271</v>
      </c>
      <c r="O214" s="6">
        <v>0.1</v>
      </c>
      <c r="P214" s="6">
        <v>0</v>
      </c>
    </row>
    <row r="215" spans="3:16">
      <c r="F215" t="s">
        <v>272</v>
      </c>
      <c r="G215" s="6">
        <v>0.05</v>
      </c>
      <c r="H215" s="6">
        <v>0.05</v>
      </c>
      <c r="N215" t="s">
        <v>272</v>
      </c>
      <c r="O215" s="6">
        <v>0.05</v>
      </c>
      <c r="P215" s="6">
        <v>0</v>
      </c>
    </row>
    <row r="216" spans="3:16">
      <c r="F216" t="s">
        <v>273</v>
      </c>
      <c r="G216" s="6">
        <v>0.1</v>
      </c>
      <c r="H216" s="6">
        <v>0.1</v>
      </c>
      <c r="N216" t="s">
        <v>273</v>
      </c>
      <c r="O216" s="6">
        <v>0.1</v>
      </c>
      <c r="P216" s="6">
        <v>0</v>
      </c>
    </row>
    <row r="217" spans="3:16">
      <c r="F217" t="s">
        <v>274</v>
      </c>
      <c r="G217" s="6">
        <v>0.05</v>
      </c>
      <c r="H217" s="6">
        <v>0.05</v>
      </c>
      <c r="N217" t="s">
        <v>274</v>
      </c>
      <c r="O217" s="6">
        <v>0.05</v>
      </c>
      <c r="P217" s="6">
        <v>0</v>
      </c>
    </row>
    <row r="218" spans="3:16">
      <c r="F218" t="s">
        <v>275</v>
      </c>
      <c r="G218" s="6">
        <v>0.05</v>
      </c>
      <c r="H218" s="6">
        <v>0.05</v>
      </c>
      <c r="N218" t="s">
        <v>276</v>
      </c>
      <c r="O218" s="6">
        <v>0.05</v>
      </c>
      <c r="P218" s="6">
        <v>0.02</v>
      </c>
    </row>
    <row r="219" spans="3:16">
      <c r="F219" t="s">
        <v>277</v>
      </c>
      <c r="G219" s="6">
        <v>0.05</v>
      </c>
      <c r="H219" s="6">
        <v>0.05</v>
      </c>
      <c r="N219" t="s">
        <v>277</v>
      </c>
      <c r="O219" s="6">
        <v>0.05</v>
      </c>
      <c r="P219" s="6">
        <v>0</v>
      </c>
    </row>
    <row r="220" spans="3:16">
      <c r="F220" t="s">
        <v>278</v>
      </c>
      <c r="G220" s="6">
        <v>0.14000000000000001</v>
      </c>
      <c r="H220" s="6">
        <v>0.14000000000000001</v>
      </c>
      <c r="N220" t="s">
        <v>278</v>
      </c>
      <c r="O220" s="6">
        <v>0.14000000000000001</v>
      </c>
      <c r="P220" s="6">
        <v>0</v>
      </c>
    </row>
    <row r="221" spans="3:16">
      <c r="F221" t="s">
        <v>279</v>
      </c>
      <c r="G221" s="6">
        <v>0.05</v>
      </c>
      <c r="H221" s="6">
        <v>0.05</v>
      </c>
      <c r="N221" t="s">
        <v>279</v>
      </c>
      <c r="O221" s="6">
        <v>0.05</v>
      </c>
      <c r="P221" s="6">
        <v>0</v>
      </c>
    </row>
    <row r="222" spans="3:16">
      <c r="F222" t="s">
        <v>280</v>
      </c>
      <c r="G222" s="6">
        <v>0.05</v>
      </c>
      <c r="H222" s="6">
        <v>0.05</v>
      </c>
      <c r="N222" t="s">
        <v>280</v>
      </c>
      <c r="O222" s="6">
        <v>0.05</v>
      </c>
      <c r="P222" s="6">
        <v>0</v>
      </c>
    </row>
    <row r="223" spans="3:16">
      <c r="F223" t="s">
        <v>281</v>
      </c>
      <c r="G223" s="6">
        <v>0.01</v>
      </c>
      <c r="H223" s="6">
        <v>0.01</v>
      </c>
      <c r="N223" t="s">
        <v>281</v>
      </c>
      <c r="O223" s="6">
        <v>0.01</v>
      </c>
      <c r="P223" s="6">
        <v>0</v>
      </c>
    </row>
    <row r="224" spans="3:16">
      <c r="F224" t="s">
        <v>282</v>
      </c>
      <c r="G224" s="6">
        <v>0.1</v>
      </c>
      <c r="H224" s="6">
        <v>0.02</v>
      </c>
      <c r="N224" t="s">
        <v>282</v>
      </c>
      <c r="O224" s="6">
        <v>0.1</v>
      </c>
      <c r="P224" s="6">
        <v>0</v>
      </c>
    </row>
    <row r="225" spans="3:16">
      <c r="F225" t="s">
        <v>283</v>
      </c>
      <c r="G225" s="6">
        <v>0.1</v>
      </c>
      <c r="H225" s="6">
        <v>0.1</v>
      </c>
      <c r="N225" t="s">
        <v>283</v>
      </c>
      <c r="O225" s="6">
        <v>0.1</v>
      </c>
      <c r="P225" s="6">
        <v>0</v>
      </c>
    </row>
    <row r="226" spans="3:16">
      <c r="F226" t="s">
        <v>284</v>
      </c>
      <c r="G226" s="6"/>
      <c r="H226" s="6"/>
      <c r="O226" s="6"/>
      <c r="P226" s="6"/>
    </row>
    <row r="227" spans="3:16">
      <c r="G227" s="33">
        <f>SUM(G211:G225)</f>
        <v>1</v>
      </c>
      <c r="H227" s="33">
        <f>SUM(H211:H225)</f>
        <v>0.92</v>
      </c>
      <c r="O227" s="33">
        <f>SUM(O211:O225)</f>
        <v>1</v>
      </c>
      <c r="P227" s="33">
        <f>SUM(P211:P226)</f>
        <v>7.0000000000000007E-2</v>
      </c>
    </row>
    <row r="228" spans="3:16">
      <c r="H228" s="33">
        <f>G227-H227</f>
        <v>8.0000000000000099E-2</v>
      </c>
      <c r="P228" s="33">
        <f>O227-P227</f>
        <v>0.93</v>
      </c>
    </row>
    <row r="230" spans="3:16">
      <c r="C230" s="32" t="s">
        <v>285</v>
      </c>
      <c r="F230" t="s">
        <v>268</v>
      </c>
      <c r="G230" s="6">
        <v>0.05</v>
      </c>
      <c r="H230" s="6">
        <v>0.05</v>
      </c>
      <c r="N230" t="s">
        <v>268</v>
      </c>
      <c r="O230" s="6">
        <v>0.05</v>
      </c>
      <c r="P230" s="6">
        <v>0</v>
      </c>
    </row>
    <row r="231" spans="3:16">
      <c r="F231" t="s">
        <v>269</v>
      </c>
      <c r="G231" s="6">
        <v>0.05</v>
      </c>
      <c r="H231" s="6">
        <v>0.05</v>
      </c>
      <c r="N231" t="s">
        <v>269</v>
      </c>
      <c r="O231" s="6">
        <v>0.05</v>
      </c>
      <c r="P231" s="6">
        <v>0.05</v>
      </c>
    </row>
    <row r="232" spans="3:16">
      <c r="F232" t="s">
        <v>270</v>
      </c>
      <c r="G232" s="6">
        <v>0.05</v>
      </c>
      <c r="H232" s="6">
        <v>0.05</v>
      </c>
      <c r="N232" t="s">
        <v>270</v>
      </c>
      <c r="O232" s="6">
        <v>0.05</v>
      </c>
      <c r="P232" s="6">
        <v>0</v>
      </c>
    </row>
    <row r="233" spans="3:16">
      <c r="F233" t="s">
        <v>271</v>
      </c>
      <c r="G233" s="6">
        <v>0.1</v>
      </c>
      <c r="H233" s="6">
        <v>0.1</v>
      </c>
      <c r="N233" t="s">
        <v>271</v>
      </c>
      <c r="O233" s="6">
        <v>0.1</v>
      </c>
      <c r="P233" s="6">
        <v>0</v>
      </c>
    </row>
    <row r="234" spans="3:16">
      <c r="F234" t="s">
        <v>272</v>
      </c>
      <c r="G234" s="6">
        <v>0.05</v>
      </c>
      <c r="H234" s="6">
        <v>0.05</v>
      </c>
      <c r="N234" t="s">
        <v>272</v>
      </c>
      <c r="O234" s="6">
        <v>0.05</v>
      </c>
      <c r="P234" s="6">
        <v>0</v>
      </c>
    </row>
    <row r="235" spans="3:16">
      <c r="F235" t="s">
        <v>273</v>
      </c>
      <c r="G235" s="6">
        <v>0.1</v>
      </c>
      <c r="H235" s="6">
        <v>0.1</v>
      </c>
      <c r="N235" t="s">
        <v>273</v>
      </c>
      <c r="O235" s="6">
        <v>0.1</v>
      </c>
      <c r="P235" s="6">
        <v>0</v>
      </c>
    </row>
    <row r="236" spans="3:16">
      <c r="F236" t="s">
        <v>274</v>
      </c>
      <c r="G236" s="6">
        <v>0.05</v>
      </c>
      <c r="H236" s="6">
        <v>0.05</v>
      </c>
      <c r="N236" t="s">
        <v>274</v>
      </c>
      <c r="O236" s="6">
        <v>0.05</v>
      </c>
      <c r="P236" s="6">
        <v>0</v>
      </c>
    </row>
    <row r="237" spans="3:16">
      <c r="F237" t="s">
        <v>275</v>
      </c>
      <c r="G237" s="6">
        <v>0.05</v>
      </c>
      <c r="H237" s="6">
        <v>0.05</v>
      </c>
      <c r="N237" t="s">
        <v>275</v>
      </c>
      <c r="O237" s="6">
        <v>0.05</v>
      </c>
      <c r="P237" s="6">
        <v>0.02</v>
      </c>
    </row>
    <row r="238" spans="3:16">
      <c r="F238" t="s">
        <v>277</v>
      </c>
      <c r="G238" s="6">
        <v>0.05</v>
      </c>
      <c r="H238" s="6">
        <v>0.05</v>
      </c>
      <c r="N238" t="s">
        <v>277</v>
      </c>
      <c r="O238" s="6">
        <v>0.05</v>
      </c>
      <c r="P238" s="6">
        <v>0</v>
      </c>
    </row>
    <row r="239" spans="3:16">
      <c r="F239" t="s">
        <v>278</v>
      </c>
      <c r="G239" s="6">
        <v>0.14000000000000001</v>
      </c>
      <c r="H239" s="6">
        <v>0.14000000000000001</v>
      </c>
      <c r="N239" t="s">
        <v>278</v>
      </c>
      <c r="O239" s="6">
        <v>0.14000000000000001</v>
      </c>
      <c r="P239" s="6">
        <v>0</v>
      </c>
    </row>
    <row r="240" spans="3:16">
      <c r="F240" t="s">
        <v>279</v>
      </c>
      <c r="G240" s="6">
        <v>0.1</v>
      </c>
      <c r="H240" s="6">
        <v>0.05</v>
      </c>
      <c r="N240" t="s">
        <v>279</v>
      </c>
      <c r="O240" s="6">
        <v>0.1</v>
      </c>
      <c r="P240" s="6">
        <v>0</v>
      </c>
    </row>
    <row r="241" spans="3:16">
      <c r="F241" t="s">
        <v>286</v>
      </c>
      <c r="G241" s="6">
        <v>0.02</v>
      </c>
      <c r="H241" s="6">
        <v>0.05</v>
      </c>
      <c r="N241" t="s">
        <v>286</v>
      </c>
      <c r="O241" s="6">
        <v>0.02</v>
      </c>
      <c r="P241" s="6">
        <v>0</v>
      </c>
    </row>
    <row r="242" spans="3:16">
      <c r="F242" t="s">
        <v>287</v>
      </c>
      <c r="G242" s="6">
        <v>0.01</v>
      </c>
      <c r="H242" s="6">
        <v>0.01</v>
      </c>
      <c r="N242" t="s">
        <v>287</v>
      </c>
      <c r="O242" s="6">
        <v>0.01</v>
      </c>
      <c r="P242" s="6">
        <v>0</v>
      </c>
    </row>
    <row r="243" spans="3:16">
      <c r="F243" t="s">
        <v>281</v>
      </c>
      <c r="G243" s="6">
        <v>0</v>
      </c>
      <c r="H243" s="6">
        <v>0.02</v>
      </c>
      <c r="N243" t="s">
        <v>281</v>
      </c>
      <c r="O243" s="6">
        <v>0</v>
      </c>
      <c r="P243" s="6">
        <v>0</v>
      </c>
    </row>
    <row r="244" spans="3:16">
      <c r="F244" t="s">
        <v>282</v>
      </c>
      <c r="G244" s="6">
        <v>0.1</v>
      </c>
      <c r="H244" s="6">
        <v>0.1</v>
      </c>
      <c r="N244" t="s">
        <v>282</v>
      </c>
      <c r="O244" s="6">
        <v>0.1</v>
      </c>
      <c r="P244" s="6">
        <v>0</v>
      </c>
    </row>
    <row r="245" spans="3:16">
      <c r="F245" t="s">
        <v>283</v>
      </c>
      <c r="G245" s="6">
        <v>7.6095238095238105E-2</v>
      </c>
      <c r="H245" s="6">
        <v>5.7047619047619097E-2</v>
      </c>
      <c r="N245" t="s">
        <v>283</v>
      </c>
      <c r="O245" s="6">
        <v>7.6095238095238105E-2</v>
      </c>
      <c r="P245" s="6">
        <v>0</v>
      </c>
    </row>
    <row r="246" spans="3:16">
      <c r="G246" s="33">
        <f>SUM(G230:G245)</f>
        <v>0.99609523809523803</v>
      </c>
      <c r="H246" s="33">
        <f>SUM(H230:H245)</f>
        <v>0.97704761904761905</v>
      </c>
      <c r="O246" s="33">
        <f>SUM(O230:O245)</f>
        <v>0.99609523809523803</v>
      </c>
      <c r="P246" s="33">
        <f>SUM(P230:P245)</f>
        <v>7.0000000000000007E-2</v>
      </c>
    </row>
    <row r="247" spans="3:16">
      <c r="H247" s="33">
        <f>G246-H246</f>
        <v>1.90476190476189E-2</v>
      </c>
      <c r="P247" s="33">
        <f>O246-P246</f>
        <v>0.92609523809523797</v>
      </c>
    </row>
    <row r="250" spans="3:16">
      <c r="C250" t="s">
        <v>288</v>
      </c>
    </row>
    <row r="254" spans="3:16">
      <c r="C254" s="32" t="s">
        <v>289</v>
      </c>
      <c r="F254" t="s">
        <v>290</v>
      </c>
      <c r="G254" s="6">
        <v>0.05</v>
      </c>
      <c r="H254" s="6">
        <v>0.05</v>
      </c>
      <c r="N254" t="s">
        <v>290</v>
      </c>
      <c r="O254" s="6">
        <v>0.1</v>
      </c>
      <c r="P254" s="6">
        <v>0.05</v>
      </c>
    </row>
    <row r="255" spans="3:16">
      <c r="F255" t="s">
        <v>291</v>
      </c>
      <c r="G255" s="6">
        <v>0.15</v>
      </c>
      <c r="H255" s="6">
        <v>0.05</v>
      </c>
      <c r="N255" t="s">
        <v>291</v>
      </c>
      <c r="O255" s="6">
        <v>0.2</v>
      </c>
      <c r="P255" s="6">
        <v>0.05</v>
      </c>
    </row>
    <row r="256" spans="3:16">
      <c r="F256" t="s">
        <v>292</v>
      </c>
      <c r="G256" s="6">
        <v>0.25</v>
      </c>
      <c r="H256" s="6">
        <v>0.05</v>
      </c>
      <c r="N256" t="s">
        <v>292</v>
      </c>
      <c r="O256" s="6">
        <v>0.3</v>
      </c>
      <c r="P256" s="6">
        <v>0.05</v>
      </c>
    </row>
    <row r="257" spans="3:16">
      <c r="F257" t="s">
        <v>293</v>
      </c>
      <c r="G257" s="6">
        <v>0.05</v>
      </c>
      <c r="H257" s="6">
        <v>0.1</v>
      </c>
      <c r="N257" t="s">
        <v>293</v>
      </c>
      <c r="O257" s="6">
        <v>0.1</v>
      </c>
      <c r="P257" s="6">
        <v>0.1</v>
      </c>
    </row>
    <row r="258" spans="3:16">
      <c r="F258" t="s">
        <v>294</v>
      </c>
      <c r="G258" s="6">
        <v>0.05</v>
      </c>
      <c r="H258" s="6">
        <v>0.05</v>
      </c>
      <c r="N258" t="s">
        <v>294</v>
      </c>
      <c r="O258" s="6">
        <v>0.05</v>
      </c>
      <c r="P258" s="6">
        <v>0.05</v>
      </c>
    </row>
    <row r="259" spans="3:16">
      <c r="F259" t="s">
        <v>295</v>
      </c>
      <c r="G259" s="6">
        <v>0.05</v>
      </c>
      <c r="H259" s="6">
        <v>0.1</v>
      </c>
      <c r="N259" t="s">
        <v>295</v>
      </c>
      <c r="O259" s="6">
        <v>0.05</v>
      </c>
      <c r="P259" s="6">
        <v>0.1</v>
      </c>
    </row>
    <row r="260" spans="3:16">
      <c r="F260" t="s">
        <v>296</v>
      </c>
      <c r="G260" s="6">
        <v>0.05</v>
      </c>
      <c r="H260" s="6">
        <v>0.05</v>
      </c>
      <c r="N260" t="s">
        <v>296</v>
      </c>
      <c r="O260" s="6">
        <v>0.05</v>
      </c>
      <c r="P260" s="6">
        <v>0.05</v>
      </c>
    </row>
    <row r="261" spans="3:16">
      <c r="F261" t="s">
        <v>297</v>
      </c>
      <c r="G261" s="6">
        <v>0.05</v>
      </c>
      <c r="H261" s="6">
        <v>0.05</v>
      </c>
      <c r="N261" t="s">
        <v>297</v>
      </c>
      <c r="O261" s="6">
        <v>0.05</v>
      </c>
      <c r="P261" s="6">
        <v>0.05</v>
      </c>
    </row>
    <row r="262" spans="3:16">
      <c r="F262" t="s">
        <v>298</v>
      </c>
      <c r="G262" s="6">
        <v>7.0000000000000007E-2</v>
      </c>
      <c r="H262" s="6">
        <v>0.05</v>
      </c>
      <c r="N262" t="s">
        <v>298</v>
      </c>
      <c r="O262" s="6">
        <v>0.1</v>
      </c>
      <c r="P262" s="6">
        <v>0.05</v>
      </c>
    </row>
    <row r="263" spans="3:16">
      <c r="F263" t="s">
        <v>299</v>
      </c>
      <c r="G263" s="6">
        <v>0.1</v>
      </c>
      <c r="H263" s="6">
        <v>0.14000000000000001</v>
      </c>
      <c r="N263" t="s">
        <v>299</v>
      </c>
      <c r="O263" s="6">
        <v>0.14000000000000001</v>
      </c>
      <c r="P263" s="6">
        <v>0.14000000000000001</v>
      </c>
    </row>
    <row r="264" spans="3:16">
      <c r="F264" t="s">
        <v>300</v>
      </c>
      <c r="G264" s="6">
        <v>0.1</v>
      </c>
      <c r="H264" s="6">
        <v>0.05</v>
      </c>
      <c r="N264" t="s">
        <v>300</v>
      </c>
      <c r="O264" s="6">
        <v>0.1</v>
      </c>
      <c r="P264" s="6">
        <v>0.05</v>
      </c>
    </row>
    <row r="265" spans="3:16">
      <c r="F265" t="s">
        <v>301</v>
      </c>
      <c r="G265" s="6">
        <v>0.02</v>
      </c>
      <c r="H265" s="6">
        <v>0.05</v>
      </c>
      <c r="N265" t="s">
        <v>301</v>
      </c>
      <c r="O265" s="6">
        <v>0.02</v>
      </c>
      <c r="P265" s="6">
        <v>0.05</v>
      </c>
    </row>
    <row r="266" spans="3:16">
      <c r="F266" t="s">
        <v>302</v>
      </c>
      <c r="G266" s="6">
        <v>0.01</v>
      </c>
      <c r="H266" s="6">
        <v>0.01</v>
      </c>
      <c r="N266" t="s">
        <v>302</v>
      </c>
      <c r="O266" s="6">
        <v>0.01</v>
      </c>
      <c r="P266" s="6">
        <v>0.01</v>
      </c>
    </row>
    <row r="267" spans="3:16">
      <c r="F267" t="s">
        <v>303</v>
      </c>
      <c r="G267" s="6">
        <v>0</v>
      </c>
      <c r="H267" s="6">
        <v>0.02</v>
      </c>
      <c r="N267" t="s">
        <v>303</v>
      </c>
      <c r="O267" s="6">
        <v>0</v>
      </c>
      <c r="P267" s="6">
        <v>0.02</v>
      </c>
    </row>
    <row r="268" spans="3:16">
      <c r="G268" s="33">
        <f>SUM(G254:G267)</f>
        <v>1</v>
      </c>
      <c r="H268" s="6">
        <f>SUM(H254:H267)</f>
        <v>0.82</v>
      </c>
    </row>
    <row r="269" spans="3:16">
      <c r="G269" s="6"/>
    </row>
    <row r="270" spans="3:16">
      <c r="C270" s="32" t="s">
        <v>304</v>
      </c>
      <c r="F270" t="s">
        <v>305</v>
      </c>
      <c r="G270" s="6">
        <v>0.05</v>
      </c>
      <c r="H270" s="6">
        <v>0.05</v>
      </c>
      <c r="N270" t="s">
        <v>305</v>
      </c>
      <c r="O270" s="6">
        <v>0.05</v>
      </c>
      <c r="P270" s="6">
        <v>0</v>
      </c>
    </row>
    <row r="271" spans="3:16">
      <c r="F271" t="s">
        <v>306</v>
      </c>
      <c r="G271" s="6">
        <v>7.0000000000000007E-2</v>
      </c>
      <c r="H271" s="6">
        <v>0.05</v>
      </c>
      <c r="N271" t="s">
        <v>306</v>
      </c>
      <c r="O271" s="6">
        <v>7.0000000000000007E-2</v>
      </c>
      <c r="P271" s="6">
        <v>7.0000000000000007E-2</v>
      </c>
    </row>
    <row r="272" spans="3:16">
      <c r="F272" t="s">
        <v>307</v>
      </c>
      <c r="G272" s="6">
        <v>0.3</v>
      </c>
      <c r="H272" s="6">
        <v>0.05</v>
      </c>
      <c r="N272" t="s">
        <v>307</v>
      </c>
      <c r="O272" s="6">
        <v>0.3</v>
      </c>
      <c r="P272" s="6">
        <v>0.2</v>
      </c>
    </row>
    <row r="273" spans="3:16">
      <c r="F273" t="s">
        <v>308</v>
      </c>
      <c r="G273" s="6">
        <v>0.05</v>
      </c>
      <c r="H273" s="6">
        <v>0.1</v>
      </c>
      <c r="N273" t="s">
        <v>308</v>
      </c>
      <c r="O273" s="6">
        <v>0.05</v>
      </c>
      <c r="P273" s="6">
        <v>0.02</v>
      </c>
    </row>
    <row r="274" spans="3:16">
      <c r="F274" t="s">
        <v>309</v>
      </c>
      <c r="G274" s="6">
        <v>0.05</v>
      </c>
      <c r="H274" s="6">
        <v>0.05</v>
      </c>
      <c r="N274" t="s">
        <v>309</v>
      </c>
      <c r="O274" s="6">
        <v>0.05</v>
      </c>
      <c r="P274" s="6">
        <v>0.02</v>
      </c>
    </row>
    <row r="275" spans="3:16">
      <c r="F275" t="s">
        <v>310</v>
      </c>
      <c r="G275" s="6">
        <v>0.1</v>
      </c>
      <c r="H275" s="6">
        <v>0.1</v>
      </c>
      <c r="N275" t="s">
        <v>310</v>
      </c>
      <c r="O275" s="6">
        <v>0.1</v>
      </c>
      <c r="P275" s="6">
        <v>0.05</v>
      </c>
    </row>
    <row r="276" spans="3:16">
      <c r="F276" t="s">
        <v>311</v>
      </c>
      <c r="G276" s="6">
        <v>0.1</v>
      </c>
      <c r="H276" s="6">
        <v>0.05</v>
      </c>
      <c r="N276" t="s">
        <v>311</v>
      </c>
      <c r="O276" s="6">
        <v>0.1</v>
      </c>
      <c r="P276" s="6">
        <v>0.1</v>
      </c>
    </row>
    <row r="277" spans="3:16">
      <c r="F277" t="s">
        <v>312</v>
      </c>
      <c r="G277" s="6">
        <v>0.05</v>
      </c>
      <c r="H277" s="6">
        <v>0.05</v>
      </c>
      <c r="N277" t="s">
        <v>312</v>
      </c>
      <c r="O277" s="6">
        <v>0.05</v>
      </c>
      <c r="P277" s="6">
        <v>0</v>
      </c>
    </row>
    <row r="278" spans="3:16">
      <c r="F278" t="s">
        <v>313</v>
      </c>
      <c r="G278" s="6">
        <v>0.05</v>
      </c>
      <c r="H278" s="6">
        <v>0.05</v>
      </c>
      <c r="N278" t="s">
        <v>313</v>
      </c>
      <c r="O278" s="6">
        <v>0.05</v>
      </c>
      <c r="P278" s="6">
        <v>0.05</v>
      </c>
    </row>
    <row r="279" spans="3:16">
      <c r="F279" t="s">
        <v>314</v>
      </c>
      <c r="G279" s="6">
        <v>0.05</v>
      </c>
      <c r="H279" s="6">
        <v>0.14000000000000001</v>
      </c>
      <c r="N279" t="s">
        <v>314</v>
      </c>
      <c r="O279" s="6">
        <v>0.05</v>
      </c>
      <c r="P279" s="6">
        <v>0.05</v>
      </c>
    </row>
    <row r="280" spans="3:16">
      <c r="F280" t="s">
        <v>315</v>
      </c>
      <c r="G280" s="6">
        <v>0.05</v>
      </c>
      <c r="H280" s="6">
        <v>0.05</v>
      </c>
      <c r="N280" t="s">
        <v>315</v>
      </c>
      <c r="O280" s="6">
        <v>0.05</v>
      </c>
      <c r="P280" s="6">
        <v>0.05</v>
      </c>
    </row>
    <row r="281" spans="3:16">
      <c r="F281" t="s">
        <v>316</v>
      </c>
      <c r="G281" s="6">
        <v>0.02</v>
      </c>
      <c r="H281" s="6">
        <v>0.05</v>
      </c>
      <c r="N281" t="s">
        <v>316</v>
      </c>
      <c r="O281" s="6">
        <v>0.02</v>
      </c>
      <c r="P281" s="6">
        <v>0.02</v>
      </c>
    </row>
    <row r="282" spans="3:16">
      <c r="F282" t="s">
        <v>317</v>
      </c>
      <c r="G282" s="6">
        <v>0.01</v>
      </c>
      <c r="H282" s="6">
        <v>0.01</v>
      </c>
      <c r="N282" t="s">
        <v>317</v>
      </c>
      <c r="O282" s="6">
        <v>0.01</v>
      </c>
      <c r="P282" s="6">
        <v>0.01</v>
      </c>
    </row>
    <row r="283" spans="3:16">
      <c r="F283" t="s">
        <v>318</v>
      </c>
      <c r="G283" s="6">
        <v>0.02</v>
      </c>
      <c r="H283" s="6">
        <v>0.02</v>
      </c>
      <c r="N283" t="s">
        <v>318</v>
      </c>
      <c r="O283" s="6">
        <v>0.02</v>
      </c>
      <c r="P283" s="6">
        <v>0.02</v>
      </c>
    </row>
    <row r="284" spans="3:16">
      <c r="F284" t="s">
        <v>319</v>
      </c>
      <c r="G284" s="6">
        <v>0.03</v>
      </c>
      <c r="H284" s="6">
        <v>0</v>
      </c>
      <c r="N284" t="s">
        <v>319</v>
      </c>
      <c r="O284" s="6">
        <v>0.03</v>
      </c>
      <c r="P284" s="6">
        <v>0.03</v>
      </c>
    </row>
    <row r="285" spans="3:16">
      <c r="G285" s="33">
        <f>SUM(G270:G284)</f>
        <v>1</v>
      </c>
      <c r="H285" s="6">
        <f>SUM(H270:H284)</f>
        <v>0.82</v>
      </c>
      <c r="O285" s="33">
        <f>SUM(O270:O284)</f>
        <v>1</v>
      </c>
      <c r="P285" s="6">
        <f>SUM(P270:P284)</f>
        <v>0.69</v>
      </c>
    </row>
    <row r="286" spans="3:16">
      <c r="H286" s="6">
        <f>G285-H285</f>
        <v>0.18</v>
      </c>
    </row>
    <row r="288" spans="3:16">
      <c r="C288" s="32" t="s">
        <v>320</v>
      </c>
      <c r="D288" t="s">
        <v>321</v>
      </c>
      <c r="F288" t="s">
        <v>322</v>
      </c>
      <c r="G288" s="4">
        <v>0.02</v>
      </c>
      <c r="H288" s="5">
        <v>0.02</v>
      </c>
    </row>
    <row r="289" spans="3:8">
      <c r="F289" t="s">
        <v>323</v>
      </c>
      <c r="G289" s="4">
        <v>0.05</v>
      </c>
      <c r="H289" s="5">
        <v>0.05</v>
      </c>
    </row>
    <row r="290" spans="3:8">
      <c r="F290" s="50" t="s">
        <v>324</v>
      </c>
      <c r="G290" s="4">
        <v>0.17</v>
      </c>
      <c r="H290" s="5">
        <v>0</v>
      </c>
    </row>
    <row r="291" spans="3:8">
      <c r="F291" t="s">
        <v>156</v>
      </c>
      <c r="G291" s="4">
        <v>0.25</v>
      </c>
      <c r="H291" s="5">
        <v>0</v>
      </c>
    </row>
    <row r="292" spans="3:8">
      <c r="F292" t="s">
        <v>158</v>
      </c>
      <c r="G292" s="4">
        <v>0.1</v>
      </c>
      <c r="H292" s="5">
        <v>0</v>
      </c>
    </row>
    <row r="293" spans="3:8">
      <c r="F293" t="s">
        <v>325</v>
      </c>
      <c r="G293" s="4">
        <v>0.05</v>
      </c>
      <c r="H293" s="5">
        <v>0</v>
      </c>
    </row>
    <row r="294" spans="3:8">
      <c r="F294" t="s">
        <v>160</v>
      </c>
      <c r="G294" s="4">
        <v>0.05</v>
      </c>
      <c r="H294" s="5">
        <v>0</v>
      </c>
    </row>
    <row r="295" spans="3:8">
      <c r="F295" t="s">
        <v>159</v>
      </c>
      <c r="G295" s="4">
        <v>0.16</v>
      </c>
      <c r="H295" s="5">
        <v>0</v>
      </c>
    </row>
    <row r="296" spans="3:8">
      <c r="F296" t="s">
        <v>162</v>
      </c>
      <c r="G296" s="4">
        <v>0.05</v>
      </c>
      <c r="H296" s="5">
        <v>0</v>
      </c>
    </row>
    <row r="297" spans="3:8">
      <c r="F297" t="s">
        <v>163</v>
      </c>
      <c r="G297" s="4">
        <v>0.05</v>
      </c>
      <c r="H297" s="5">
        <v>0</v>
      </c>
    </row>
    <row r="298" spans="3:8">
      <c r="F298" t="s">
        <v>164</v>
      </c>
      <c r="G298" s="4">
        <v>0.05</v>
      </c>
      <c r="H298" s="5">
        <v>0</v>
      </c>
    </row>
    <row r="299" spans="3:8">
      <c r="G299" s="34">
        <f>SUM(G288:G298)</f>
        <v>1</v>
      </c>
      <c r="H299" s="41">
        <f>SUM(H288:H298)</f>
        <v>7.0000000000000007E-2</v>
      </c>
    </row>
    <row r="300" spans="3:8">
      <c r="G300" s="4"/>
      <c r="H300" s="42">
        <f>G299-H299</f>
        <v>0.93</v>
      </c>
    </row>
    <row r="301" spans="3:8">
      <c r="G301" s="4"/>
      <c r="H301" s="5"/>
    </row>
    <row r="302" spans="3:8">
      <c r="C302" s="32" t="s">
        <v>326</v>
      </c>
      <c r="F302" t="s">
        <v>322</v>
      </c>
      <c r="G302" s="4">
        <v>0.1</v>
      </c>
      <c r="H302" s="5">
        <v>0.1</v>
      </c>
    </row>
    <row r="303" spans="3:8">
      <c r="F303" t="s">
        <v>327</v>
      </c>
      <c r="G303" s="4">
        <v>0.1</v>
      </c>
      <c r="H303" s="5">
        <v>0.1</v>
      </c>
    </row>
    <row r="304" spans="3:8">
      <c r="F304" t="s">
        <v>328</v>
      </c>
      <c r="G304" s="6">
        <v>0.4</v>
      </c>
      <c r="H304" s="34">
        <v>0.4</v>
      </c>
    </row>
    <row r="305" spans="3:8">
      <c r="F305" t="s">
        <v>329</v>
      </c>
      <c r="G305" s="6">
        <v>0.4</v>
      </c>
      <c r="H305" s="6">
        <v>0.4</v>
      </c>
    </row>
    <row r="306" spans="3:8">
      <c r="G306" s="33">
        <f>SUM(G302:G305)</f>
        <v>1</v>
      </c>
      <c r="H306" s="43">
        <f>SUM(H302:H305)</f>
        <v>1</v>
      </c>
    </row>
    <row r="309" spans="3:8">
      <c r="C309" s="32" t="s">
        <v>330</v>
      </c>
      <c r="F309" t="s">
        <v>331</v>
      </c>
      <c r="G309" s="4">
        <v>0.1</v>
      </c>
      <c r="H309" s="5">
        <v>0.1</v>
      </c>
    </row>
    <row r="310" spans="3:8">
      <c r="F310" t="s">
        <v>332</v>
      </c>
      <c r="G310" s="4">
        <v>0.1</v>
      </c>
      <c r="H310" s="5">
        <v>0.1</v>
      </c>
    </row>
    <row r="311" spans="3:8">
      <c r="F311" t="s">
        <v>333</v>
      </c>
      <c r="G311" s="6">
        <v>0.4</v>
      </c>
      <c r="H311" s="34">
        <v>0.4</v>
      </c>
    </row>
    <row r="312" spans="3:8">
      <c r="F312" t="s">
        <v>329</v>
      </c>
      <c r="G312" s="6">
        <v>0.4</v>
      </c>
      <c r="H312" s="6">
        <v>0.4</v>
      </c>
    </row>
    <row r="313" spans="3:8">
      <c r="G313" s="33">
        <f>SUM(G309:G312)</f>
        <v>1</v>
      </c>
      <c r="H313" s="43">
        <f>SUM(H309:H312)</f>
        <v>1</v>
      </c>
    </row>
    <row r="315" spans="3:8">
      <c r="C315" s="32" t="s">
        <v>334</v>
      </c>
      <c r="F315" t="s">
        <v>331</v>
      </c>
      <c r="G315" s="4">
        <v>0.1</v>
      </c>
      <c r="H315" s="5">
        <v>0.1</v>
      </c>
    </row>
    <row r="316" spans="3:8">
      <c r="F316" t="s">
        <v>332</v>
      </c>
      <c r="G316" s="4">
        <v>0.1</v>
      </c>
      <c r="H316" s="5">
        <v>0.1</v>
      </c>
    </row>
    <row r="317" spans="3:8">
      <c r="F317" t="s">
        <v>335</v>
      </c>
      <c r="G317" s="6">
        <v>0.4</v>
      </c>
      <c r="H317" s="34">
        <v>0.4</v>
      </c>
    </row>
    <row r="318" spans="3:8">
      <c r="F318" t="s">
        <v>329</v>
      </c>
      <c r="G318" s="6">
        <v>0.4</v>
      </c>
      <c r="H318" s="6">
        <v>0.4</v>
      </c>
    </row>
    <row r="319" spans="3:8">
      <c r="G319" s="33">
        <f>SUM(G315:G318)</f>
        <v>1</v>
      </c>
      <c r="H319" s="43">
        <f>SUM(H315:H318)</f>
        <v>1</v>
      </c>
    </row>
    <row r="322" spans="3:8">
      <c r="C322" s="32" t="s">
        <v>336</v>
      </c>
      <c r="F322" t="s">
        <v>337</v>
      </c>
      <c r="G322" s="4">
        <v>0.1</v>
      </c>
      <c r="H322" s="5">
        <v>0.1</v>
      </c>
    </row>
    <row r="323" spans="3:8">
      <c r="F323" t="s">
        <v>332</v>
      </c>
      <c r="G323" s="4">
        <v>0.1</v>
      </c>
      <c r="H323" s="5">
        <v>0.1</v>
      </c>
    </row>
    <row r="324" spans="3:8">
      <c r="F324" t="s">
        <v>338</v>
      </c>
      <c r="G324" s="6">
        <v>0.8</v>
      </c>
      <c r="H324" s="34">
        <v>0.8</v>
      </c>
    </row>
    <row r="325" spans="3:8">
      <c r="G325" s="33">
        <f>SUM(G321:G324)</f>
        <v>1</v>
      </c>
      <c r="H325" s="6">
        <f>SUM(H322:H324)</f>
        <v>1</v>
      </c>
    </row>
    <row r="326" spans="3:8">
      <c r="G326" s="33"/>
      <c r="H326" s="43"/>
    </row>
    <row r="327" spans="3:8">
      <c r="C327" s="32" t="s">
        <v>339</v>
      </c>
      <c r="F327" t="s">
        <v>337</v>
      </c>
      <c r="G327" s="4">
        <v>0.1</v>
      </c>
      <c r="H327" s="5">
        <v>0.1</v>
      </c>
    </row>
    <row r="328" spans="3:8">
      <c r="F328" t="s">
        <v>332</v>
      </c>
      <c r="G328" s="4">
        <v>0.1</v>
      </c>
      <c r="H328" s="5">
        <v>0.1</v>
      </c>
    </row>
    <row r="329" spans="3:8">
      <c r="F329" t="s">
        <v>340</v>
      </c>
      <c r="G329" s="6">
        <v>0.8</v>
      </c>
      <c r="H329" s="34">
        <v>0.8</v>
      </c>
    </row>
    <row r="330" spans="3:8">
      <c r="G330" s="33">
        <f>SUM(G326:G329)</f>
        <v>1</v>
      </c>
      <c r="H330" s="6">
        <f>SUM(H327:H329)</f>
        <v>1</v>
      </c>
    </row>
    <row r="332" spans="3:8">
      <c r="C332" s="32" t="s">
        <v>341</v>
      </c>
      <c r="F332" t="s">
        <v>337</v>
      </c>
      <c r="G332" s="4">
        <v>0.1</v>
      </c>
      <c r="H332" s="5">
        <v>0.1</v>
      </c>
    </row>
    <row r="333" spans="3:8">
      <c r="F333" t="s">
        <v>332</v>
      </c>
      <c r="G333" s="4">
        <v>0.1</v>
      </c>
      <c r="H333" s="5">
        <v>0.1</v>
      </c>
    </row>
    <row r="334" spans="3:8">
      <c r="F334" t="s">
        <v>342</v>
      </c>
      <c r="G334" s="6">
        <v>0.8</v>
      </c>
      <c r="H334" s="34">
        <v>0.8</v>
      </c>
    </row>
    <row r="335" spans="3:8">
      <c r="F335" t="s">
        <v>329</v>
      </c>
      <c r="G335" s="33">
        <f>SUM(G331:G334)</f>
        <v>1</v>
      </c>
      <c r="H335" s="6">
        <f>SUM(H332:H334)</f>
        <v>1</v>
      </c>
    </row>
    <row r="338" spans="3:8">
      <c r="C338" s="32" t="s">
        <v>334</v>
      </c>
      <c r="F338" t="s">
        <v>337</v>
      </c>
      <c r="G338" s="4">
        <v>0.1</v>
      </c>
      <c r="H338" s="6">
        <v>0</v>
      </c>
    </row>
    <row r="339" spans="3:8">
      <c r="F339" t="s">
        <v>332</v>
      </c>
      <c r="G339" s="4">
        <v>0.1</v>
      </c>
      <c r="H339" s="6">
        <v>0</v>
      </c>
    </row>
    <row r="340" spans="3:8">
      <c r="F340" t="s">
        <v>343</v>
      </c>
      <c r="G340" s="6">
        <v>0.8</v>
      </c>
      <c r="H340" s="6">
        <v>0</v>
      </c>
    </row>
    <row r="341" spans="3:8">
      <c r="F341" t="s">
        <v>329</v>
      </c>
      <c r="G341" s="33">
        <f>SUM(G337:G340)</f>
        <v>1</v>
      </c>
      <c r="H341" s="6">
        <v>0</v>
      </c>
    </row>
    <row r="344" spans="3:8">
      <c r="C344" s="32" t="s">
        <v>4</v>
      </c>
      <c r="F344" t="s">
        <v>344</v>
      </c>
      <c r="G344" s="4">
        <v>0.1</v>
      </c>
      <c r="H344" s="5">
        <v>0.1</v>
      </c>
    </row>
    <row r="345" spans="3:8">
      <c r="F345" t="s">
        <v>332</v>
      </c>
      <c r="G345" s="4">
        <v>0.1</v>
      </c>
      <c r="H345" s="5">
        <v>0.1</v>
      </c>
    </row>
    <row r="346" spans="3:8">
      <c r="F346" t="s">
        <v>345</v>
      </c>
      <c r="G346" s="6">
        <v>0.8</v>
      </c>
      <c r="H346" s="34">
        <v>0.8</v>
      </c>
    </row>
    <row r="347" spans="3:8">
      <c r="F347" t="s">
        <v>329</v>
      </c>
      <c r="G347" s="33">
        <f>SUM(G343:G346)</f>
        <v>1</v>
      </c>
      <c r="H347" s="6">
        <f>SUM(H344:H346)</f>
        <v>1</v>
      </c>
    </row>
    <row r="350" spans="3:8">
      <c r="C350" s="32" t="s">
        <v>5</v>
      </c>
      <c r="F350" t="s">
        <v>337</v>
      </c>
      <c r="G350" s="4">
        <v>0.1</v>
      </c>
      <c r="H350" s="5">
        <v>0.1</v>
      </c>
    </row>
    <row r="351" spans="3:8">
      <c r="F351" t="s">
        <v>332</v>
      </c>
      <c r="G351" s="4">
        <v>0.1</v>
      </c>
      <c r="H351" s="5">
        <v>0.1</v>
      </c>
    </row>
    <row r="352" spans="3:8">
      <c r="F352" t="s">
        <v>346</v>
      </c>
      <c r="G352" s="6">
        <v>0.8</v>
      </c>
      <c r="H352" s="34">
        <v>0.8</v>
      </c>
    </row>
    <row r="353" spans="3:8">
      <c r="F353" t="s">
        <v>329</v>
      </c>
      <c r="G353" s="33">
        <f>SUM(G349:G352)</f>
        <v>1</v>
      </c>
      <c r="H353" s="6">
        <f>SUM(H350:H352)</f>
        <v>1</v>
      </c>
    </row>
    <row r="357" spans="3:8">
      <c r="C357" s="32" t="s">
        <v>6</v>
      </c>
      <c r="F357" t="s">
        <v>337</v>
      </c>
      <c r="G357" s="4">
        <v>0.1</v>
      </c>
      <c r="H357" s="5">
        <v>0.1</v>
      </c>
    </row>
    <row r="358" spans="3:8">
      <c r="F358" t="s">
        <v>332</v>
      </c>
      <c r="G358" s="4">
        <v>0.1</v>
      </c>
      <c r="H358" s="5">
        <v>0.1</v>
      </c>
    </row>
    <row r="359" spans="3:8">
      <c r="F359" t="s">
        <v>347</v>
      </c>
      <c r="G359" s="4">
        <v>0.2</v>
      </c>
      <c r="H359" s="5">
        <v>0.2</v>
      </c>
    </row>
    <row r="360" spans="3:8">
      <c r="F360" t="s">
        <v>348</v>
      </c>
      <c r="G360" s="6">
        <v>0.6</v>
      </c>
      <c r="H360" s="34">
        <v>0.6</v>
      </c>
    </row>
    <row r="361" spans="3:8">
      <c r="F361" t="s">
        <v>329</v>
      </c>
      <c r="G361" s="33">
        <f>SUM(G356:G360)</f>
        <v>1</v>
      </c>
      <c r="H361" s="6">
        <f>SUM(H357:H360)</f>
        <v>1</v>
      </c>
    </row>
  </sheetData>
  <mergeCells count="1">
    <mergeCell ref="D2:M2"/>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55AD7-BCCE-4AB1-87D2-21F01666676B}">
  <dimension ref="B1:EH7579"/>
  <sheetViews>
    <sheetView tabSelected="1" topLeftCell="A65" zoomScale="110" zoomScaleNormal="110" workbookViewId="0">
      <selection activeCell="C82" sqref="C82"/>
    </sheetView>
  </sheetViews>
  <sheetFormatPr defaultRowHeight="14.4"/>
  <cols>
    <col min="3" max="3" width="78" customWidth="1"/>
    <col min="4" max="4" width="22.44140625" bestFit="1" customWidth="1"/>
    <col min="5" max="6" width="14.44140625" bestFit="1" customWidth="1"/>
    <col min="7" max="7" width="19.6640625" customWidth="1"/>
    <col min="9" max="9" width="9.21875" customWidth="1"/>
    <col min="10" max="11" width="11.109375" customWidth="1"/>
    <col min="13" max="14" width="12" customWidth="1"/>
    <col min="15" max="15" width="10.6640625" customWidth="1"/>
    <col min="16" max="16" width="12.44140625" customWidth="1"/>
    <col min="30" max="30" width="9" style="87"/>
    <col min="36" max="36" width="9" style="391"/>
  </cols>
  <sheetData>
    <row r="1" spans="2:138" s="375" customFormat="1" ht="13.5" customHeight="1">
      <c r="H1" s="824" t="s">
        <v>1037</v>
      </c>
      <c r="I1" s="825"/>
      <c r="J1" s="825"/>
      <c r="K1" s="825"/>
      <c r="L1" s="825"/>
      <c r="M1" s="825"/>
      <c r="N1" s="825"/>
      <c r="O1" s="825"/>
      <c r="P1" s="825"/>
      <c r="Q1" s="825"/>
      <c r="R1" s="825"/>
      <c r="S1" s="825"/>
      <c r="T1" s="825"/>
      <c r="U1" s="825"/>
      <c r="V1" s="825"/>
      <c r="W1" s="825"/>
      <c r="X1" s="825"/>
      <c r="Y1" s="825"/>
      <c r="Z1" s="825"/>
      <c r="AA1" s="825"/>
      <c r="AB1" s="826"/>
      <c r="AC1" s="376"/>
      <c r="AD1" s="842" t="s">
        <v>349</v>
      </c>
      <c r="AE1" s="843"/>
      <c r="AF1" s="843"/>
      <c r="AG1" s="843"/>
      <c r="AH1" s="843"/>
      <c r="AI1" s="843"/>
      <c r="AJ1" s="843"/>
      <c r="AK1" s="843"/>
      <c r="AL1" s="843"/>
      <c r="AM1" s="843"/>
      <c r="AN1" s="843"/>
      <c r="AO1" s="843"/>
      <c r="AP1" s="843"/>
      <c r="AQ1" s="843"/>
      <c r="AR1" s="843"/>
      <c r="AS1" s="843"/>
      <c r="AT1" s="843"/>
      <c r="AU1" s="843"/>
      <c r="AV1" s="843"/>
      <c r="AW1" s="843"/>
      <c r="AX1" s="843"/>
      <c r="AY1" s="843"/>
      <c r="AZ1" s="843"/>
      <c r="BA1" s="843"/>
      <c r="BB1" s="843"/>
      <c r="BC1" s="843"/>
      <c r="BD1" s="843"/>
      <c r="BE1" s="843"/>
      <c r="BF1" s="843"/>
      <c r="BG1" s="843"/>
      <c r="BH1" s="843"/>
      <c r="BI1" s="843"/>
      <c r="BJ1" s="843"/>
      <c r="BK1" s="843"/>
      <c r="BL1" s="843"/>
      <c r="BM1" s="843"/>
      <c r="BN1" s="843"/>
      <c r="BO1" s="843"/>
      <c r="BP1" s="843"/>
      <c r="BQ1" s="843"/>
      <c r="BR1" s="843"/>
      <c r="BS1" s="843"/>
      <c r="BT1" s="843"/>
      <c r="BU1" s="843"/>
      <c r="BV1" s="843"/>
      <c r="BW1" s="843"/>
      <c r="BX1" s="843"/>
      <c r="BY1" s="846"/>
      <c r="BZ1" s="378"/>
      <c r="CA1" s="842"/>
      <c r="CB1" s="843"/>
      <c r="CC1" s="843"/>
      <c r="CD1" s="843"/>
      <c r="CE1" s="843"/>
      <c r="CF1" s="843"/>
      <c r="CG1" s="843"/>
      <c r="CH1" s="843"/>
      <c r="CI1" s="843"/>
      <c r="CJ1" s="843"/>
      <c r="CK1" s="843"/>
      <c r="CL1" s="843"/>
      <c r="CM1" s="843"/>
      <c r="CN1" s="843"/>
      <c r="CO1" s="843"/>
      <c r="CP1" s="843"/>
      <c r="CQ1" s="843"/>
      <c r="CR1" s="843"/>
      <c r="CS1" s="843"/>
      <c r="CT1" s="843"/>
      <c r="CU1" s="843"/>
      <c r="CV1" s="843"/>
      <c r="CW1" s="843"/>
      <c r="CX1" s="843"/>
      <c r="CY1" s="843"/>
      <c r="CZ1" s="843"/>
      <c r="DA1" s="843"/>
      <c r="DB1" s="843"/>
      <c r="DC1" s="843"/>
      <c r="DD1" s="843"/>
      <c r="DE1" s="843"/>
      <c r="DF1" s="843"/>
      <c r="DG1" s="843"/>
      <c r="DH1" s="843"/>
      <c r="DI1" s="843"/>
      <c r="DJ1" s="843"/>
      <c r="DK1" s="843"/>
      <c r="DL1" s="843"/>
      <c r="DM1" s="844"/>
      <c r="DN1" s="844"/>
      <c r="DO1" s="844"/>
      <c r="DP1" s="844"/>
      <c r="DQ1" s="844"/>
      <c r="DR1" s="844"/>
      <c r="DS1" s="844"/>
      <c r="DT1" s="844"/>
      <c r="DU1" s="845"/>
    </row>
    <row r="2" spans="2:138" s="1" customFormat="1">
      <c r="C2" s="579" t="s">
        <v>1038</v>
      </c>
      <c r="D2" s="177">
        <f>COUNTIF(B:B,"R") + COUNTIF(B:B,"M")</f>
        <v>257</v>
      </c>
      <c r="H2" s="835" t="s">
        <v>1039</v>
      </c>
      <c r="I2" s="835"/>
      <c r="J2" s="835"/>
      <c r="K2" s="836"/>
      <c r="L2" s="836"/>
      <c r="M2" s="836"/>
      <c r="N2" s="836"/>
      <c r="O2" s="836"/>
      <c r="P2" s="836"/>
      <c r="Q2" s="836"/>
      <c r="R2" s="836"/>
      <c r="S2" s="836"/>
      <c r="T2" s="836"/>
      <c r="U2" s="836"/>
      <c r="V2" s="836"/>
      <c r="W2" s="836"/>
      <c r="X2" s="836"/>
      <c r="Y2" s="836"/>
      <c r="Z2" s="102"/>
      <c r="AA2" s="102"/>
      <c r="AB2" s="102"/>
      <c r="AC2" s="44"/>
      <c r="AD2" s="102"/>
      <c r="AE2" s="102" t="s">
        <v>716</v>
      </c>
      <c r="AF2" s="94"/>
      <c r="AG2" s="94"/>
      <c r="AH2" s="94"/>
      <c r="AI2" s="406"/>
      <c r="AJ2" s="94"/>
      <c r="AK2" s="94"/>
      <c r="AL2" s="94"/>
      <c r="AM2" s="94"/>
      <c r="AN2" s="102"/>
      <c r="AO2" s="102"/>
      <c r="AP2" s="102"/>
      <c r="AQ2" s="102"/>
      <c r="AR2" s="102"/>
      <c r="AS2" s="102"/>
      <c r="AT2" s="102"/>
      <c r="AU2" s="102"/>
      <c r="AV2" s="102"/>
      <c r="AW2" s="102"/>
      <c r="AX2" s="102"/>
      <c r="AY2" s="102"/>
      <c r="AZ2" s="102"/>
      <c r="BA2" s="102"/>
      <c r="BB2" s="102"/>
      <c r="BC2" s="102"/>
      <c r="BD2" s="102"/>
      <c r="BE2" s="102"/>
      <c r="BF2" s="102"/>
      <c r="BG2" s="102"/>
      <c r="BH2" s="102"/>
      <c r="BI2" s="102"/>
      <c r="BJ2" s="102"/>
      <c r="BK2" s="102"/>
      <c r="BL2" s="102"/>
      <c r="BM2" s="102"/>
      <c r="BN2" s="102"/>
      <c r="BO2" s="102"/>
      <c r="BP2" s="102"/>
      <c r="BQ2" s="102"/>
      <c r="BR2" s="102"/>
      <c r="BS2" s="102"/>
      <c r="BT2" s="102"/>
      <c r="BU2" s="102"/>
      <c r="BV2" s="102"/>
      <c r="BW2" s="102"/>
      <c r="BX2" s="102"/>
      <c r="BY2" s="102"/>
      <c r="BZ2" s="44"/>
      <c r="CA2" s="102"/>
      <c r="CB2" s="102" t="s">
        <v>716</v>
      </c>
      <c r="CC2" s="102"/>
      <c r="CD2" s="102"/>
      <c r="CE2" s="102"/>
      <c r="CF2" s="102"/>
      <c r="CG2" s="102"/>
      <c r="CH2" s="102"/>
      <c r="CI2" s="102"/>
      <c r="CJ2" s="102"/>
      <c r="CK2" s="102"/>
      <c r="CL2" s="102"/>
      <c r="CM2" s="102"/>
      <c r="CN2" s="827" t="s">
        <v>716</v>
      </c>
      <c r="CO2" s="828"/>
      <c r="CP2" s="828"/>
      <c r="CQ2" s="828"/>
      <c r="CR2" s="828"/>
      <c r="CS2" s="928"/>
      <c r="CT2" s="102"/>
      <c r="CU2" s="827" t="s">
        <v>1040</v>
      </c>
      <c r="CV2" s="828"/>
      <c r="CW2" s="828"/>
      <c r="CX2" s="828"/>
      <c r="CY2" s="828"/>
      <c r="CZ2" s="928"/>
      <c r="DA2" s="827" t="s">
        <v>1041</v>
      </c>
      <c r="DB2" s="828"/>
      <c r="DC2" s="828"/>
      <c r="DD2" s="828"/>
      <c r="DE2" s="828"/>
      <c r="DF2" s="828"/>
      <c r="DG2" s="828"/>
      <c r="DH2" s="828"/>
      <c r="DI2" s="828"/>
      <c r="DJ2" s="828"/>
      <c r="DK2" s="828"/>
      <c r="DL2" s="828"/>
      <c r="DM2" s="835" t="s">
        <v>1042</v>
      </c>
      <c r="DN2" s="835"/>
      <c r="DO2" s="835"/>
      <c r="DP2" s="835"/>
      <c r="DQ2" s="835"/>
      <c r="DR2" s="835"/>
      <c r="DS2" s="835"/>
      <c r="DT2" s="835"/>
      <c r="DU2" s="835"/>
      <c r="DV2" s="341"/>
      <c r="DW2" s="102"/>
      <c r="DX2" s="102"/>
      <c r="DY2" s="102"/>
      <c r="DZ2" s="102"/>
      <c r="EA2" s="102"/>
      <c r="EB2" s="102"/>
      <c r="EC2" s="102"/>
      <c r="ED2" s="102"/>
      <c r="EE2" s="102"/>
      <c r="EF2" s="102"/>
      <c r="EG2" s="102"/>
      <c r="EH2" s="102"/>
    </row>
    <row r="3" spans="2:138" s="379" customFormat="1" ht="13.5" customHeight="1">
      <c r="C3" s="580" t="s">
        <v>1043</v>
      </c>
      <c r="D3" s="177">
        <f>COUNTIF(B:B,"R")</f>
        <v>211</v>
      </c>
      <c r="E3" s="580" t="s">
        <v>1044</v>
      </c>
      <c r="F3" s="177">
        <f>COUNTIF(B:B,"M")</f>
        <v>46</v>
      </c>
      <c r="H3" s="833" t="s">
        <v>1045</v>
      </c>
      <c r="I3" s="833"/>
      <c r="J3" s="833"/>
      <c r="K3" s="833" t="s">
        <v>1046</v>
      </c>
      <c r="L3" s="834"/>
      <c r="M3" s="834"/>
      <c r="N3" s="834" t="s">
        <v>350</v>
      </c>
      <c r="O3" s="834"/>
      <c r="P3" s="834"/>
      <c r="Q3" s="832" t="s">
        <v>351</v>
      </c>
      <c r="R3" s="832"/>
      <c r="S3" s="832"/>
      <c r="T3" s="834" t="s">
        <v>352</v>
      </c>
      <c r="U3" s="834"/>
      <c r="V3" s="834"/>
      <c r="W3" s="834" t="s">
        <v>1047</v>
      </c>
      <c r="X3" s="834"/>
      <c r="Y3" s="834"/>
      <c r="Z3" s="832" t="s">
        <v>1048</v>
      </c>
      <c r="AA3" s="832"/>
      <c r="AB3" s="832"/>
      <c r="AC3" s="380"/>
      <c r="AD3" s="834" t="s">
        <v>1049</v>
      </c>
      <c r="AE3" s="834"/>
      <c r="AF3" s="833"/>
      <c r="AG3" s="833" t="s">
        <v>1050</v>
      </c>
      <c r="AH3" s="833"/>
      <c r="AI3" s="833"/>
      <c r="AJ3" s="833" t="s">
        <v>1051</v>
      </c>
      <c r="AK3" s="833"/>
      <c r="AL3" s="833"/>
      <c r="AM3" s="833" t="s">
        <v>1052</v>
      </c>
      <c r="AN3" s="834"/>
      <c r="AO3" s="834"/>
      <c r="AP3" s="834" t="s">
        <v>1053</v>
      </c>
      <c r="AQ3" s="834"/>
      <c r="AR3" s="834"/>
      <c r="AS3" s="834" t="s">
        <v>1054</v>
      </c>
      <c r="AT3" s="834"/>
      <c r="AU3" s="834"/>
      <c r="AV3" s="834" t="s">
        <v>1055</v>
      </c>
      <c r="AW3" s="834"/>
      <c r="AX3" s="834"/>
      <c r="AY3" s="834" t="s">
        <v>1056</v>
      </c>
      <c r="AZ3" s="834"/>
      <c r="BA3" s="834"/>
      <c r="BB3" s="832" t="s">
        <v>1057</v>
      </c>
      <c r="BC3" s="832"/>
      <c r="BD3" s="832"/>
      <c r="BE3" s="834" t="s">
        <v>1058</v>
      </c>
      <c r="BF3" s="834"/>
      <c r="BG3" s="834"/>
      <c r="BH3" s="834" t="s">
        <v>1059</v>
      </c>
      <c r="BI3" s="834"/>
      <c r="BJ3" s="834"/>
      <c r="BK3" s="834" t="s">
        <v>1060</v>
      </c>
      <c r="BL3" s="834"/>
      <c r="BM3" s="834"/>
      <c r="BN3" s="834" t="s">
        <v>1061</v>
      </c>
      <c r="BO3" s="834"/>
      <c r="BP3" s="834"/>
      <c r="BQ3" s="381"/>
      <c r="BR3" s="929" t="s">
        <v>1062</v>
      </c>
      <c r="BS3" s="929"/>
      <c r="BT3" s="381"/>
      <c r="BU3" s="929" t="s">
        <v>1063</v>
      </c>
      <c r="BV3" s="929"/>
      <c r="BW3" s="834" t="s">
        <v>1064</v>
      </c>
      <c r="BX3" s="834"/>
      <c r="BY3" s="834"/>
      <c r="BZ3" s="378"/>
      <c r="CA3" s="842" t="s">
        <v>1065</v>
      </c>
      <c r="CB3" s="843"/>
      <c r="CC3" s="846"/>
      <c r="CD3" s="842" t="s">
        <v>1066</v>
      </c>
      <c r="CE3" s="843"/>
      <c r="CF3" s="846"/>
      <c r="CG3" s="842" t="s">
        <v>1067</v>
      </c>
      <c r="CH3" s="843"/>
      <c r="CI3" s="846"/>
      <c r="CJ3" s="842" t="s">
        <v>1068</v>
      </c>
      <c r="CK3" s="843"/>
      <c r="CL3" s="846"/>
      <c r="CM3" s="383"/>
      <c r="CN3" s="834" t="s">
        <v>1069</v>
      </c>
      <c r="CO3" s="834"/>
      <c r="CP3" s="834"/>
      <c r="CQ3" s="834" t="s">
        <v>1070</v>
      </c>
      <c r="CR3" s="834"/>
      <c r="CS3" s="834"/>
      <c r="CT3" s="382"/>
      <c r="CU3" s="834" t="s">
        <v>1071</v>
      </c>
      <c r="CV3" s="834"/>
      <c r="CW3" s="834"/>
      <c r="CX3" s="834" t="s">
        <v>1072</v>
      </c>
      <c r="CY3" s="834"/>
      <c r="CZ3" s="834"/>
      <c r="DA3" s="834" t="s">
        <v>1073</v>
      </c>
      <c r="DB3" s="834"/>
      <c r="DC3" s="834"/>
      <c r="DD3" s="834" t="s">
        <v>1074</v>
      </c>
      <c r="DE3" s="834"/>
      <c r="DF3" s="834"/>
      <c r="DG3" s="834" t="s">
        <v>1075</v>
      </c>
      <c r="DH3" s="834"/>
      <c r="DI3" s="834"/>
      <c r="DJ3" s="834"/>
      <c r="DK3" s="834"/>
      <c r="DL3" s="842"/>
      <c r="DM3" s="847" t="s">
        <v>1076</v>
      </c>
      <c r="DN3" s="847"/>
      <c r="DO3" s="847"/>
      <c r="DP3" s="847" t="s">
        <v>1077</v>
      </c>
      <c r="DQ3" s="847"/>
      <c r="DR3" s="847"/>
      <c r="DS3" s="860" t="s">
        <v>1078</v>
      </c>
      <c r="DT3" s="860"/>
      <c r="DU3" s="860"/>
      <c r="DV3" s="447"/>
      <c r="DW3" s="377"/>
      <c r="DX3" s="377"/>
      <c r="DY3" s="377"/>
      <c r="DZ3" s="381"/>
      <c r="EA3" s="381"/>
      <c r="EB3" s="381"/>
      <c r="EC3" s="381"/>
      <c r="ED3" s="381"/>
      <c r="EE3" s="381"/>
      <c r="EF3" s="377"/>
      <c r="EG3" s="377"/>
      <c r="EH3" s="377"/>
    </row>
    <row r="4" spans="2:138" s="1" customFormat="1" ht="28.8">
      <c r="B4" s="493" t="s">
        <v>1079</v>
      </c>
      <c r="C4" s="468" t="s">
        <v>356</v>
      </c>
      <c r="D4" s="385" t="s">
        <v>353</v>
      </c>
      <c r="E4" s="385" t="s">
        <v>354</v>
      </c>
      <c r="F4" s="385" t="s">
        <v>355</v>
      </c>
      <c r="H4" s="386" t="s">
        <v>353</v>
      </c>
      <c r="I4" s="386" t="s">
        <v>354</v>
      </c>
      <c r="J4" s="386" t="s">
        <v>355</v>
      </c>
      <c r="K4" s="386" t="s">
        <v>353</v>
      </c>
      <c r="L4" s="386" t="s">
        <v>354</v>
      </c>
      <c r="M4" s="386" t="s">
        <v>355</v>
      </c>
      <c r="N4" s="386" t="s">
        <v>353</v>
      </c>
      <c r="O4" s="386" t="s">
        <v>354</v>
      </c>
      <c r="P4" s="386" t="s">
        <v>355</v>
      </c>
      <c r="Q4" s="386" t="s">
        <v>353</v>
      </c>
      <c r="R4" s="386" t="s">
        <v>354</v>
      </c>
      <c r="S4" s="386" t="s">
        <v>355</v>
      </c>
      <c r="T4" s="386" t="s">
        <v>353</v>
      </c>
      <c r="U4" s="386" t="s">
        <v>354</v>
      </c>
      <c r="V4" s="386" t="s">
        <v>355</v>
      </c>
      <c r="W4" s="386" t="s">
        <v>353</v>
      </c>
      <c r="X4" s="386" t="s">
        <v>354</v>
      </c>
      <c r="Y4" s="386" t="s">
        <v>355</v>
      </c>
      <c r="Z4" s="386" t="s">
        <v>353</v>
      </c>
      <c r="AA4" s="386" t="s">
        <v>354</v>
      </c>
      <c r="AB4" s="386" t="s">
        <v>355</v>
      </c>
      <c r="AC4" s="44"/>
      <c r="AD4" s="386" t="s">
        <v>353</v>
      </c>
      <c r="AE4" s="386" t="s">
        <v>354</v>
      </c>
      <c r="AF4" s="386" t="s">
        <v>355</v>
      </c>
      <c r="AG4" s="386" t="s">
        <v>353</v>
      </c>
      <c r="AH4" s="386" t="s">
        <v>354</v>
      </c>
      <c r="AI4" s="402" t="s">
        <v>355</v>
      </c>
      <c r="AJ4" s="386" t="s">
        <v>353</v>
      </c>
      <c r="AK4" s="386" t="s">
        <v>354</v>
      </c>
      <c r="AL4" s="386" t="s">
        <v>355</v>
      </c>
      <c r="AM4" s="386" t="s">
        <v>353</v>
      </c>
      <c r="AN4" s="386" t="s">
        <v>354</v>
      </c>
      <c r="AO4" s="386" t="s">
        <v>355</v>
      </c>
      <c r="AP4" s="386" t="s">
        <v>353</v>
      </c>
      <c r="AQ4" s="386" t="s">
        <v>354</v>
      </c>
      <c r="AR4" s="386" t="s">
        <v>355</v>
      </c>
      <c r="AS4" s="386" t="s">
        <v>353</v>
      </c>
      <c r="AT4" s="386" t="s">
        <v>354</v>
      </c>
      <c r="AU4" s="386" t="s">
        <v>355</v>
      </c>
      <c r="AV4" s="386" t="s">
        <v>353</v>
      </c>
      <c r="AW4" s="386" t="s">
        <v>354</v>
      </c>
      <c r="AX4" s="386" t="s">
        <v>355</v>
      </c>
      <c r="AY4" s="386" t="s">
        <v>353</v>
      </c>
      <c r="AZ4" s="386" t="s">
        <v>354</v>
      </c>
      <c r="BA4" s="386" t="s">
        <v>355</v>
      </c>
      <c r="BB4" s="386" t="s">
        <v>353</v>
      </c>
      <c r="BC4" s="386" t="s">
        <v>354</v>
      </c>
      <c r="BD4" s="386" t="s">
        <v>355</v>
      </c>
      <c r="BE4" s="386" t="s">
        <v>353</v>
      </c>
      <c r="BF4" s="386" t="s">
        <v>354</v>
      </c>
      <c r="BG4" s="386" t="s">
        <v>355</v>
      </c>
      <c r="BH4" s="386" t="s">
        <v>353</v>
      </c>
      <c r="BI4" s="386" t="s">
        <v>354</v>
      </c>
      <c r="BJ4" s="386" t="s">
        <v>355</v>
      </c>
      <c r="BK4" s="386" t="s">
        <v>353</v>
      </c>
      <c r="BL4" s="386" t="s">
        <v>354</v>
      </c>
      <c r="BM4" s="386" t="s">
        <v>355</v>
      </c>
      <c r="BN4" s="386" t="s">
        <v>353</v>
      </c>
      <c r="BO4" s="386" t="s">
        <v>354</v>
      </c>
      <c r="BP4" s="386" t="s">
        <v>355</v>
      </c>
      <c r="BQ4" s="386" t="s">
        <v>353</v>
      </c>
      <c r="BR4" s="386" t="s">
        <v>354</v>
      </c>
      <c r="BS4" s="386" t="s">
        <v>355</v>
      </c>
      <c r="BT4" s="386" t="s">
        <v>353</v>
      </c>
      <c r="BU4" s="386" t="s">
        <v>354</v>
      </c>
      <c r="BV4" s="386" t="s">
        <v>355</v>
      </c>
      <c r="BW4" s="386" t="s">
        <v>353</v>
      </c>
      <c r="BX4" s="386" t="s">
        <v>354</v>
      </c>
      <c r="BY4" s="386" t="s">
        <v>355</v>
      </c>
      <c r="BZ4" s="387"/>
      <c r="CA4" s="388" t="s">
        <v>353</v>
      </c>
      <c r="CB4" s="388" t="s">
        <v>354</v>
      </c>
      <c r="CC4" s="388" t="s">
        <v>355</v>
      </c>
      <c r="CD4" s="388" t="s">
        <v>353</v>
      </c>
      <c r="CE4" s="388" t="s">
        <v>354</v>
      </c>
      <c r="CF4" s="388" t="s">
        <v>355</v>
      </c>
      <c r="CG4" s="388" t="s">
        <v>353</v>
      </c>
      <c r="CH4" s="388" t="s">
        <v>354</v>
      </c>
      <c r="CI4" s="388" t="s">
        <v>355</v>
      </c>
      <c r="CJ4" s="388" t="s">
        <v>353</v>
      </c>
      <c r="CK4" s="388" t="s">
        <v>354</v>
      </c>
      <c r="CL4" s="388" t="s">
        <v>355</v>
      </c>
      <c r="CM4" s="389"/>
      <c r="CN4" s="388" t="s">
        <v>353</v>
      </c>
      <c r="CO4" s="388" t="s">
        <v>354</v>
      </c>
      <c r="CP4" s="388" t="s">
        <v>355</v>
      </c>
      <c r="CQ4" s="388" t="s">
        <v>353</v>
      </c>
      <c r="CR4" s="388" t="s">
        <v>354</v>
      </c>
      <c r="CS4" s="388" t="s">
        <v>355</v>
      </c>
      <c r="CT4" s="390"/>
      <c r="CU4" s="388" t="s">
        <v>353</v>
      </c>
      <c r="CV4" s="388" t="s">
        <v>354</v>
      </c>
      <c r="CW4" s="388" t="s">
        <v>355</v>
      </c>
      <c r="CX4" s="388" t="s">
        <v>353</v>
      </c>
      <c r="CY4" s="388" t="s">
        <v>354</v>
      </c>
      <c r="CZ4" s="388" t="s">
        <v>355</v>
      </c>
      <c r="DA4" s="388" t="s">
        <v>353</v>
      </c>
      <c r="DB4" s="388" t="s">
        <v>354</v>
      </c>
      <c r="DC4" s="388" t="s">
        <v>355</v>
      </c>
      <c r="DD4" s="388" t="s">
        <v>353</v>
      </c>
      <c r="DE4" s="388" t="s">
        <v>354</v>
      </c>
      <c r="DF4" s="388" t="s">
        <v>355</v>
      </c>
      <c r="DG4" s="388" t="s">
        <v>353</v>
      </c>
      <c r="DH4" s="388" t="s">
        <v>354</v>
      </c>
      <c r="DI4" s="388" t="s">
        <v>355</v>
      </c>
      <c r="DJ4" s="388"/>
      <c r="DK4" s="388"/>
      <c r="DL4" s="389"/>
      <c r="DM4" s="351" t="s">
        <v>353</v>
      </c>
      <c r="DN4" s="93" t="s">
        <v>1080</v>
      </c>
      <c r="DO4" s="94" t="s">
        <v>1081</v>
      </c>
      <c r="DP4" s="351" t="s">
        <v>353</v>
      </c>
      <c r="DQ4" s="93" t="s">
        <v>1080</v>
      </c>
      <c r="DR4" s="94" t="s">
        <v>1081</v>
      </c>
      <c r="DS4" s="351" t="s">
        <v>353</v>
      </c>
      <c r="DT4" s="93" t="s">
        <v>1080</v>
      </c>
      <c r="DU4" s="94" t="s">
        <v>1081</v>
      </c>
      <c r="DV4" s="448"/>
      <c r="DW4" s="386"/>
      <c r="DX4" s="386"/>
      <c r="DY4" s="386"/>
      <c r="DZ4" s="386"/>
      <c r="EA4" s="386"/>
      <c r="EB4" s="386"/>
      <c r="EC4" s="386"/>
      <c r="ED4" s="386"/>
      <c r="EE4" s="386"/>
      <c r="EF4" s="386"/>
      <c r="EG4" s="386"/>
      <c r="EH4" s="386"/>
    </row>
    <row r="5" spans="2:138" s="87" customFormat="1" ht="28.8">
      <c r="C5" s="497" t="s">
        <v>1082</v>
      </c>
      <c r="D5" s="499">
        <v>0.01</v>
      </c>
      <c r="E5" s="500">
        <v>0.01</v>
      </c>
      <c r="F5" s="499">
        <v>0</v>
      </c>
      <c r="H5" s="125">
        <f>D5</f>
        <v>0.01</v>
      </c>
      <c r="I5" s="125">
        <f t="shared" ref="I5:J5" si="0">E5</f>
        <v>0.01</v>
      </c>
      <c r="J5" s="125">
        <f t="shared" si="0"/>
        <v>0</v>
      </c>
      <c r="K5" s="98"/>
      <c r="L5" s="120" t="s">
        <v>716</v>
      </c>
      <c r="M5" s="120" t="s">
        <v>716</v>
      </c>
      <c r="N5" s="120"/>
      <c r="O5" s="104">
        <f>D5</f>
        <v>0.01</v>
      </c>
      <c r="P5" s="98">
        <f>E5</f>
        <v>0.01</v>
      </c>
      <c r="Q5" s="120" t="s">
        <v>716</v>
      </c>
      <c r="R5" s="120" t="s">
        <v>716</v>
      </c>
      <c r="S5" s="120" t="s">
        <v>716</v>
      </c>
      <c r="T5" s="120"/>
      <c r="U5" s="120" t="s">
        <v>716</v>
      </c>
      <c r="V5" s="120" t="s">
        <v>716</v>
      </c>
      <c r="W5" s="120"/>
      <c r="X5" s="120" t="s">
        <v>716</v>
      </c>
      <c r="Y5" s="120" t="s">
        <v>716</v>
      </c>
      <c r="Z5" s="104">
        <f>D5</f>
        <v>0.01</v>
      </c>
      <c r="AA5" s="104">
        <f t="shared" ref="AA5:AB5" si="1">E5</f>
        <v>0.01</v>
      </c>
      <c r="AB5" s="104">
        <f t="shared" si="1"/>
        <v>0</v>
      </c>
      <c r="AC5" s="120"/>
      <c r="AD5" s="120"/>
      <c r="AE5" s="120" t="s">
        <v>716</v>
      </c>
      <c r="AF5" s="120" t="s">
        <v>716</v>
      </c>
      <c r="AH5" s="120" t="s">
        <v>716</v>
      </c>
      <c r="AI5" s="350" t="s">
        <v>716</v>
      </c>
      <c r="AJ5" s="120"/>
      <c r="AK5" s="120" t="s">
        <v>716</v>
      </c>
      <c r="AL5" s="120" t="s">
        <v>716</v>
      </c>
      <c r="AM5" s="120"/>
      <c r="AN5" s="120" t="s">
        <v>716</v>
      </c>
      <c r="AO5" s="120" t="s">
        <v>716</v>
      </c>
      <c r="AP5" s="120"/>
      <c r="AQ5" s="120" t="s">
        <v>716</v>
      </c>
      <c r="AR5" s="120" t="s">
        <v>716</v>
      </c>
      <c r="AS5" s="120"/>
      <c r="AT5" s="120" t="s">
        <v>716</v>
      </c>
      <c r="AU5" s="120" t="s">
        <v>716</v>
      </c>
      <c r="AV5" s="120"/>
      <c r="AW5" s="120" t="s">
        <v>716</v>
      </c>
      <c r="AX5" s="120" t="s">
        <v>716</v>
      </c>
      <c r="AY5" s="120"/>
      <c r="AZ5" s="120" t="s">
        <v>716</v>
      </c>
      <c r="BA5" s="120" t="s">
        <v>716</v>
      </c>
      <c r="BB5" s="120"/>
      <c r="BC5" s="120" t="s">
        <v>716</v>
      </c>
      <c r="BD5" s="120" t="s">
        <v>716</v>
      </c>
      <c r="BE5" s="120"/>
      <c r="BF5" s="120" t="s">
        <v>716</v>
      </c>
      <c r="BG5" s="120" t="s">
        <v>716</v>
      </c>
      <c r="BH5" s="120"/>
      <c r="BI5" s="120" t="s">
        <v>716</v>
      </c>
      <c r="BJ5" s="120" t="s">
        <v>716</v>
      </c>
      <c r="BK5" s="120"/>
      <c r="BL5" s="120" t="s">
        <v>716</v>
      </c>
      <c r="BM5" s="120" t="s">
        <v>716</v>
      </c>
      <c r="BN5" s="120"/>
      <c r="BO5" s="120" t="s">
        <v>716</v>
      </c>
      <c r="BP5" s="120" t="s">
        <v>716</v>
      </c>
      <c r="BQ5" s="120"/>
      <c r="BR5" s="120" t="s">
        <v>716</v>
      </c>
      <c r="BS5" s="120" t="s">
        <v>716</v>
      </c>
      <c r="BT5" s="120"/>
      <c r="BU5" s="120" t="s">
        <v>716</v>
      </c>
      <c r="BV5" s="120" t="s">
        <v>716</v>
      </c>
      <c r="BW5" s="120"/>
      <c r="BX5" s="120" t="s">
        <v>716</v>
      </c>
      <c r="BY5" s="120" t="s">
        <v>716</v>
      </c>
      <c r="BZ5" s="120"/>
      <c r="CA5" s="104"/>
      <c r="CB5" s="104"/>
      <c r="CC5" s="104"/>
      <c r="CD5" s="125"/>
      <c r="CE5" s="125"/>
      <c r="CF5" s="125"/>
      <c r="CN5" s="120"/>
      <c r="CO5" s="120"/>
      <c r="DM5" s="142"/>
      <c r="DN5" s="142"/>
      <c r="DO5" s="142"/>
      <c r="DP5" s="142"/>
      <c r="DQ5" s="142"/>
      <c r="DR5" s="142"/>
      <c r="DS5" s="142"/>
      <c r="DT5" s="142"/>
      <c r="DU5" s="142"/>
    </row>
    <row r="6" spans="2:138" s="87" customFormat="1" ht="28.8">
      <c r="C6" s="497" t="s">
        <v>1083</v>
      </c>
      <c r="D6" s="499">
        <v>0.05</v>
      </c>
      <c r="E6" s="500">
        <v>0.05</v>
      </c>
      <c r="F6" s="499">
        <v>0</v>
      </c>
      <c r="H6" s="125">
        <f>D6</f>
        <v>0.05</v>
      </c>
      <c r="I6" s="125">
        <f t="shared" ref="I6:J6" si="2">E6</f>
        <v>0.05</v>
      </c>
      <c r="J6" s="125">
        <f t="shared" si="2"/>
        <v>0</v>
      </c>
      <c r="K6" s="104"/>
      <c r="L6" s="120" t="s">
        <v>716</v>
      </c>
      <c r="M6" s="120" t="s">
        <v>716</v>
      </c>
      <c r="N6" s="104">
        <f>D6</f>
        <v>0.05</v>
      </c>
      <c r="O6" s="104">
        <f t="shared" ref="O6:P6" si="3">E6</f>
        <v>0.05</v>
      </c>
      <c r="P6" s="104">
        <f t="shared" si="3"/>
        <v>0</v>
      </c>
      <c r="Q6" s="120" t="s">
        <v>716</v>
      </c>
      <c r="R6" s="120" t="s">
        <v>716</v>
      </c>
      <c r="S6" s="120" t="s">
        <v>716</v>
      </c>
      <c r="T6" s="120"/>
      <c r="U6" s="120" t="s">
        <v>716</v>
      </c>
      <c r="V6" s="120" t="s">
        <v>716</v>
      </c>
      <c r="W6" s="120"/>
      <c r="X6" s="120" t="s">
        <v>716</v>
      </c>
      <c r="Y6" s="120" t="s">
        <v>716</v>
      </c>
      <c r="Z6" s="120"/>
      <c r="AA6" s="120"/>
      <c r="AB6" s="120"/>
      <c r="AC6" s="120"/>
      <c r="AD6" s="120"/>
      <c r="AE6" s="120" t="s">
        <v>716</v>
      </c>
      <c r="AF6" s="120" t="s">
        <v>716</v>
      </c>
      <c r="AG6" s="120"/>
      <c r="AH6" s="120" t="s">
        <v>716</v>
      </c>
      <c r="AI6" s="350" t="s">
        <v>716</v>
      </c>
      <c r="AJ6" s="120"/>
      <c r="AK6" s="120" t="s">
        <v>716</v>
      </c>
      <c r="AL6" s="120" t="s">
        <v>716</v>
      </c>
      <c r="AM6" s="120"/>
      <c r="AN6" s="120" t="s">
        <v>716</v>
      </c>
      <c r="AO6" s="120" t="s">
        <v>716</v>
      </c>
      <c r="AP6" s="120"/>
      <c r="AQ6" s="120" t="s">
        <v>716</v>
      </c>
      <c r="AR6" s="120" t="s">
        <v>716</v>
      </c>
      <c r="AS6" s="120"/>
      <c r="AT6" s="120" t="s">
        <v>716</v>
      </c>
      <c r="AU6" s="120" t="s">
        <v>716</v>
      </c>
      <c r="AV6" s="120"/>
      <c r="AW6" s="120" t="s">
        <v>716</v>
      </c>
      <c r="AX6" s="120" t="s">
        <v>716</v>
      </c>
      <c r="AY6" s="120"/>
      <c r="AZ6" s="120" t="s">
        <v>716</v>
      </c>
      <c r="BA6" s="120" t="s">
        <v>716</v>
      </c>
      <c r="BB6" s="120"/>
      <c r="BC6" s="120" t="s">
        <v>716</v>
      </c>
      <c r="BD6" s="120" t="s">
        <v>716</v>
      </c>
      <c r="BE6" s="120"/>
      <c r="BF6" s="120" t="s">
        <v>716</v>
      </c>
      <c r="BG6" s="120" t="s">
        <v>716</v>
      </c>
      <c r="BH6" s="120"/>
      <c r="BI6" s="120" t="s">
        <v>716</v>
      </c>
      <c r="BJ6" s="120" t="s">
        <v>716</v>
      </c>
      <c r="BK6" s="120"/>
      <c r="BL6" s="120" t="s">
        <v>716</v>
      </c>
      <c r="BM6" s="120" t="s">
        <v>716</v>
      </c>
      <c r="BN6" s="120"/>
      <c r="BO6" s="120" t="s">
        <v>716</v>
      </c>
      <c r="BP6" s="120" t="s">
        <v>716</v>
      </c>
      <c r="BQ6" s="120"/>
      <c r="BR6" s="120" t="s">
        <v>716</v>
      </c>
      <c r="BS6" s="120" t="s">
        <v>716</v>
      </c>
      <c r="BT6" s="120"/>
      <c r="BU6" s="120" t="s">
        <v>716</v>
      </c>
      <c r="BV6" s="120" t="s">
        <v>716</v>
      </c>
      <c r="BW6" s="120"/>
      <c r="BX6" s="120" t="s">
        <v>716</v>
      </c>
      <c r="BY6" s="120" t="s">
        <v>716</v>
      </c>
      <c r="BZ6" s="120"/>
      <c r="CA6" s="120"/>
      <c r="CB6" s="120"/>
    </row>
    <row r="7" spans="2:138" s="87" customFormat="1" ht="28.8">
      <c r="C7" s="497" t="s">
        <v>1084</v>
      </c>
      <c r="D7" s="499"/>
      <c r="E7" s="500"/>
      <c r="F7" s="499"/>
      <c r="H7" s="125"/>
      <c r="I7" s="125"/>
      <c r="J7" s="125"/>
      <c r="K7" s="104"/>
      <c r="L7" s="120"/>
      <c r="M7" s="120"/>
      <c r="N7" s="104"/>
      <c r="O7" s="104"/>
      <c r="P7" s="104"/>
      <c r="Q7" s="120"/>
      <c r="R7" s="120"/>
      <c r="S7" s="120"/>
      <c r="T7" s="120"/>
      <c r="U7" s="120"/>
      <c r="V7" s="120"/>
      <c r="W7" s="120"/>
      <c r="X7" s="120"/>
      <c r="Y7" s="120"/>
      <c r="Z7" s="120"/>
      <c r="AA7" s="120"/>
      <c r="AB7" s="120"/>
      <c r="AC7" s="120"/>
      <c r="AD7" s="120"/>
      <c r="AE7" s="120"/>
      <c r="AF7" s="120"/>
      <c r="AG7" s="120"/>
      <c r="AH7" s="120"/>
      <c r="AI7" s="35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c r="BY7" s="120"/>
      <c r="BZ7" s="120"/>
      <c r="CA7" s="120"/>
      <c r="CB7" s="120"/>
    </row>
    <row r="8" spans="2:138" s="87" customFormat="1" ht="28.8">
      <c r="C8" s="497" t="s">
        <v>1085</v>
      </c>
      <c r="D8" s="499">
        <v>0.03</v>
      </c>
      <c r="E8" s="500">
        <v>0.03</v>
      </c>
      <c r="F8" s="499">
        <v>0</v>
      </c>
      <c r="I8" s="120" t="s">
        <v>716</v>
      </c>
      <c r="J8" s="120" t="s">
        <v>716</v>
      </c>
      <c r="K8" s="104">
        <f>D8</f>
        <v>0.03</v>
      </c>
      <c r="L8" s="104">
        <f t="shared" ref="L8:M9" si="4">E8</f>
        <v>0.03</v>
      </c>
      <c r="M8" s="104">
        <f t="shared" si="4"/>
        <v>0</v>
      </c>
      <c r="N8" s="104"/>
      <c r="O8" s="120" t="s">
        <v>716</v>
      </c>
      <c r="P8" s="120" t="s">
        <v>716</v>
      </c>
      <c r="Q8" s="120" t="s">
        <v>716</v>
      </c>
      <c r="R8" s="120" t="s">
        <v>716</v>
      </c>
      <c r="S8" s="120" t="s">
        <v>716</v>
      </c>
      <c r="T8" s="120"/>
      <c r="U8" s="120" t="s">
        <v>716</v>
      </c>
      <c r="V8" s="120" t="s">
        <v>716</v>
      </c>
      <c r="W8" s="120"/>
      <c r="X8" s="120" t="s">
        <v>716</v>
      </c>
      <c r="Y8" s="120" t="s">
        <v>716</v>
      </c>
      <c r="Z8" s="120"/>
      <c r="AA8" s="120"/>
      <c r="AB8" s="120"/>
      <c r="AC8" s="120"/>
      <c r="AD8" s="120"/>
      <c r="AE8" s="120" t="s">
        <v>716</v>
      </c>
      <c r="AF8" s="120" t="s">
        <v>716</v>
      </c>
      <c r="AG8" s="120"/>
      <c r="AH8" s="120" t="s">
        <v>716</v>
      </c>
      <c r="AI8" s="350" t="s">
        <v>716</v>
      </c>
      <c r="AJ8" s="120"/>
      <c r="AK8" s="120" t="s">
        <v>716</v>
      </c>
      <c r="AL8" s="120" t="s">
        <v>716</v>
      </c>
      <c r="AM8" s="120"/>
      <c r="AN8" s="120" t="s">
        <v>716</v>
      </c>
      <c r="AO8" s="120" t="s">
        <v>716</v>
      </c>
      <c r="AP8" s="120"/>
      <c r="AQ8" s="120" t="s">
        <v>716</v>
      </c>
      <c r="AR8" s="120" t="s">
        <v>716</v>
      </c>
      <c r="AS8" s="120"/>
      <c r="AT8" s="120" t="s">
        <v>716</v>
      </c>
      <c r="AU8" s="120" t="s">
        <v>716</v>
      </c>
      <c r="AV8" s="120"/>
      <c r="AW8" s="120" t="s">
        <v>716</v>
      </c>
      <c r="AX8" s="120" t="s">
        <v>716</v>
      </c>
      <c r="AY8" s="120"/>
      <c r="AZ8" s="120" t="s">
        <v>716</v>
      </c>
      <c r="BA8" s="120" t="s">
        <v>716</v>
      </c>
      <c r="BB8" s="120"/>
      <c r="BC8" s="120" t="s">
        <v>716</v>
      </c>
      <c r="BD8" s="120" t="s">
        <v>716</v>
      </c>
      <c r="BE8" s="120"/>
      <c r="BF8" s="120" t="s">
        <v>716</v>
      </c>
      <c r="BG8" s="120" t="s">
        <v>716</v>
      </c>
      <c r="BH8" s="120"/>
      <c r="BI8" s="120" t="s">
        <v>716</v>
      </c>
      <c r="BJ8" s="120" t="s">
        <v>716</v>
      </c>
      <c r="BK8" s="120"/>
      <c r="BL8" s="120" t="s">
        <v>716</v>
      </c>
      <c r="BM8" s="120" t="s">
        <v>716</v>
      </c>
      <c r="BN8" s="120"/>
      <c r="BO8" s="120" t="s">
        <v>716</v>
      </c>
      <c r="BP8" s="120" t="s">
        <v>716</v>
      </c>
      <c r="BQ8" s="120"/>
      <c r="BR8" s="120" t="s">
        <v>716</v>
      </c>
      <c r="BS8" s="120" t="s">
        <v>716</v>
      </c>
      <c r="BT8" s="120"/>
      <c r="BU8" s="120" t="s">
        <v>716</v>
      </c>
      <c r="BV8" s="120" t="s">
        <v>716</v>
      </c>
      <c r="BW8" s="120"/>
      <c r="BX8" s="120" t="s">
        <v>716</v>
      </c>
      <c r="BY8" s="120" t="s">
        <v>716</v>
      </c>
      <c r="BZ8" s="120"/>
      <c r="CA8" s="120"/>
      <c r="CB8" s="120"/>
    </row>
    <row r="9" spans="2:138" s="87" customFormat="1">
      <c r="C9" s="497" t="s">
        <v>1086</v>
      </c>
      <c r="D9" s="499">
        <v>0.03</v>
      </c>
      <c r="E9" s="500">
        <v>0.03</v>
      </c>
      <c r="F9" s="499">
        <v>0</v>
      </c>
      <c r="I9" s="120" t="s">
        <v>716</v>
      </c>
      <c r="J9" s="120" t="s">
        <v>716</v>
      </c>
      <c r="K9" s="104">
        <f>D9</f>
        <v>0.03</v>
      </c>
      <c r="L9" s="104">
        <f t="shared" si="4"/>
        <v>0.03</v>
      </c>
      <c r="M9" s="104">
        <f t="shared" si="4"/>
        <v>0</v>
      </c>
      <c r="N9" s="104"/>
      <c r="O9" s="120" t="s">
        <v>716</v>
      </c>
      <c r="P9" s="120" t="s">
        <v>716</v>
      </c>
      <c r="Q9" s="120" t="s">
        <v>716</v>
      </c>
      <c r="R9" s="120" t="s">
        <v>716</v>
      </c>
      <c r="S9" s="120" t="s">
        <v>716</v>
      </c>
      <c r="T9" s="120"/>
      <c r="U9" s="120" t="s">
        <v>716</v>
      </c>
      <c r="V9" s="120" t="s">
        <v>716</v>
      </c>
      <c r="W9" s="120"/>
      <c r="X9" s="120" t="s">
        <v>716</v>
      </c>
      <c r="Y9" s="120" t="s">
        <v>716</v>
      </c>
      <c r="Z9" s="120"/>
      <c r="AA9" s="120"/>
      <c r="AB9" s="120"/>
      <c r="AC9" s="120"/>
      <c r="AD9" s="120"/>
      <c r="AE9" s="120" t="s">
        <v>716</v>
      </c>
      <c r="AF9" s="120" t="s">
        <v>716</v>
      </c>
      <c r="AG9" s="120"/>
      <c r="AH9" s="120" t="s">
        <v>716</v>
      </c>
      <c r="AI9" s="350" t="s">
        <v>716</v>
      </c>
      <c r="AJ9" s="120"/>
      <c r="AK9" s="120" t="s">
        <v>716</v>
      </c>
      <c r="AL9" s="120" t="s">
        <v>716</v>
      </c>
      <c r="AM9" s="120"/>
      <c r="AN9" s="120" t="s">
        <v>716</v>
      </c>
      <c r="AO9" s="120" t="s">
        <v>716</v>
      </c>
      <c r="AP9" s="120"/>
      <c r="AQ9" s="120" t="s">
        <v>716</v>
      </c>
      <c r="AR9" s="120" t="s">
        <v>716</v>
      </c>
      <c r="AS9" s="120"/>
      <c r="AT9" s="120" t="s">
        <v>716</v>
      </c>
      <c r="AU9" s="120" t="s">
        <v>716</v>
      </c>
      <c r="AV9" s="120"/>
      <c r="AW9" s="120" t="s">
        <v>716</v>
      </c>
      <c r="AX9" s="120" t="s">
        <v>716</v>
      </c>
      <c r="AY9" s="120"/>
      <c r="AZ9" s="120" t="s">
        <v>716</v>
      </c>
      <c r="BA9" s="120" t="s">
        <v>716</v>
      </c>
      <c r="BB9" s="120"/>
      <c r="BC9" s="120" t="s">
        <v>716</v>
      </c>
      <c r="BD9" s="120" t="s">
        <v>716</v>
      </c>
      <c r="BE9" s="120"/>
      <c r="BF9" s="120" t="s">
        <v>716</v>
      </c>
      <c r="BG9" s="120" t="s">
        <v>716</v>
      </c>
      <c r="BH9" s="120"/>
      <c r="BI9" s="120" t="s">
        <v>716</v>
      </c>
      <c r="BJ9" s="120" t="s">
        <v>716</v>
      </c>
      <c r="BK9" s="120"/>
      <c r="BL9" s="120" t="s">
        <v>716</v>
      </c>
      <c r="BM9" s="120" t="s">
        <v>716</v>
      </c>
      <c r="BN9" s="120"/>
      <c r="BO9" s="120" t="s">
        <v>716</v>
      </c>
      <c r="BP9" s="120" t="s">
        <v>716</v>
      </c>
      <c r="BQ9" s="120"/>
      <c r="BR9" s="120" t="s">
        <v>716</v>
      </c>
      <c r="BS9" s="120" t="s">
        <v>716</v>
      </c>
      <c r="BT9" s="120"/>
      <c r="BU9" s="120" t="s">
        <v>716</v>
      </c>
      <c r="BV9" s="120" t="s">
        <v>716</v>
      </c>
      <c r="BW9" s="120"/>
      <c r="BX9" s="120" t="s">
        <v>716</v>
      </c>
      <c r="BY9" s="120" t="s">
        <v>716</v>
      </c>
      <c r="BZ9" s="120"/>
      <c r="CA9" s="120"/>
      <c r="CB9" s="120"/>
    </row>
    <row r="10" spans="2:138" s="460" customFormat="1">
      <c r="C10" s="498" t="s">
        <v>357</v>
      </c>
      <c r="D10" s="501">
        <v>0</v>
      </c>
      <c r="E10" s="502">
        <v>0.03</v>
      </c>
      <c r="F10" s="501">
        <v>0.03</v>
      </c>
      <c r="H10" s="461">
        <f>D10</f>
        <v>0</v>
      </c>
      <c r="I10" s="461">
        <f t="shared" ref="I10:J10" si="5">E10</f>
        <v>0.03</v>
      </c>
      <c r="J10" s="461">
        <f t="shared" si="5"/>
        <v>0.03</v>
      </c>
      <c r="K10" s="462"/>
      <c r="L10" s="463" t="s">
        <v>716</v>
      </c>
      <c r="M10" s="463" t="s">
        <v>716</v>
      </c>
      <c r="N10" s="463"/>
      <c r="O10" s="463" t="s">
        <v>716</v>
      </c>
      <c r="P10" s="463" t="s">
        <v>716</v>
      </c>
      <c r="Q10" s="463" t="s">
        <v>716</v>
      </c>
      <c r="R10" s="463" t="s">
        <v>716</v>
      </c>
      <c r="S10" s="463" t="s">
        <v>716</v>
      </c>
      <c r="T10" s="463"/>
      <c r="U10" s="463" t="s">
        <v>716</v>
      </c>
      <c r="V10" s="463" t="s">
        <v>716</v>
      </c>
      <c r="W10" s="463"/>
      <c r="X10" s="463" t="s">
        <v>716</v>
      </c>
      <c r="Y10" s="463" t="s">
        <v>716</v>
      </c>
      <c r="Z10" s="463"/>
      <c r="AA10" s="463"/>
      <c r="AB10" s="463"/>
      <c r="AC10" s="463"/>
      <c r="AD10" s="463"/>
      <c r="AE10" s="463" t="s">
        <v>716</v>
      </c>
      <c r="AF10" s="463" t="s">
        <v>716</v>
      </c>
      <c r="AG10" s="463"/>
      <c r="AH10" s="463" t="s">
        <v>716</v>
      </c>
      <c r="AI10" s="464" t="s">
        <v>716</v>
      </c>
      <c r="AJ10" s="463"/>
      <c r="AK10" s="463" t="s">
        <v>716</v>
      </c>
      <c r="AL10" s="463" t="s">
        <v>716</v>
      </c>
      <c r="AM10" s="463"/>
      <c r="AN10" s="463" t="s">
        <v>716</v>
      </c>
      <c r="AO10" s="463" t="s">
        <v>716</v>
      </c>
      <c r="AP10" s="463"/>
      <c r="AQ10" s="463" t="s">
        <v>716</v>
      </c>
      <c r="AR10" s="463" t="s">
        <v>716</v>
      </c>
      <c r="AS10" s="463"/>
      <c r="AT10" s="463" t="s">
        <v>716</v>
      </c>
      <c r="AU10" s="463" t="s">
        <v>716</v>
      </c>
      <c r="AV10" s="463"/>
      <c r="AW10" s="463" t="s">
        <v>716</v>
      </c>
      <c r="AX10" s="463" t="s">
        <v>716</v>
      </c>
      <c r="AY10" s="463"/>
      <c r="AZ10" s="463" t="s">
        <v>716</v>
      </c>
      <c r="BA10" s="463" t="s">
        <v>716</v>
      </c>
      <c r="BB10" s="463"/>
      <c r="BC10" s="463" t="s">
        <v>716</v>
      </c>
      <c r="BD10" s="463" t="s">
        <v>716</v>
      </c>
      <c r="BE10" s="463"/>
      <c r="BF10" s="463" t="s">
        <v>716</v>
      </c>
      <c r="BG10" s="463" t="s">
        <v>716</v>
      </c>
      <c r="BH10" s="463"/>
      <c r="BI10" s="463" t="s">
        <v>716</v>
      </c>
      <c r="BJ10" s="463" t="s">
        <v>716</v>
      </c>
      <c r="BK10" s="463"/>
      <c r="BL10" s="463" t="s">
        <v>716</v>
      </c>
      <c r="BM10" s="463" t="s">
        <v>716</v>
      </c>
      <c r="BN10" s="463"/>
      <c r="BO10" s="463" t="s">
        <v>716</v>
      </c>
      <c r="BP10" s="463" t="s">
        <v>716</v>
      </c>
      <c r="BQ10" s="463"/>
      <c r="BR10" s="463" t="s">
        <v>716</v>
      </c>
      <c r="BS10" s="463" t="s">
        <v>716</v>
      </c>
      <c r="BT10" s="463"/>
      <c r="BU10" s="463" t="s">
        <v>716</v>
      </c>
      <c r="BV10" s="463" t="s">
        <v>716</v>
      </c>
      <c r="BW10" s="462"/>
      <c r="BX10" s="462" t="s">
        <v>716</v>
      </c>
      <c r="BY10" s="462" t="s">
        <v>716</v>
      </c>
      <c r="BZ10" s="463"/>
      <c r="CA10" s="463"/>
      <c r="CB10" s="463"/>
    </row>
    <row r="11" spans="2:138" s="87" customFormat="1">
      <c r="C11" s="497" t="s">
        <v>358</v>
      </c>
      <c r="D11" s="499">
        <v>0</v>
      </c>
      <c r="E11" s="500">
        <v>0.03</v>
      </c>
      <c r="F11" s="499">
        <v>0</v>
      </c>
      <c r="I11" s="120" t="s">
        <v>716</v>
      </c>
      <c r="J11" s="120" t="s">
        <v>716</v>
      </c>
      <c r="K11" s="120"/>
      <c r="L11" s="120" t="s">
        <v>716</v>
      </c>
      <c r="M11" s="120" t="s">
        <v>716</v>
      </c>
      <c r="N11" s="104">
        <f>D11</f>
        <v>0</v>
      </c>
      <c r="O11" s="104">
        <f t="shared" ref="O11:P11" si="6">E11</f>
        <v>0.03</v>
      </c>
      <c r="P11" s="104">
        <f t="shared" si="6"/>
        <v>0</v>
      </c>
      <c r="Q11" s="120" t="s">
        <v>716</v>
      </c>
      <c r="R11" s="120" t="s">
        <v>716</v>
      </c>
      <c r="S11" s="120" t="s">
        <v>716</v>
      </c>
      <c r="T11" s="120"/>
      <c r="U11" s="120" t="s">
        <v>716</v>
      </c>
      <c r="V11" s="120" t="s">
        <v>716</v>
      </c>
      <c r="W11" s="120"/>
      <c r="X11" s="120" t="s">
        <v>716</v>
      </c>
      <c r="Y11" s="120" t="s">
        <v>716</v>
      </c>
      <c r="Z11" s="120"/>
      <c r="AA11" s="120"/>
      <c r="AB11" s="120"/>
      <c r="AC11" s="120"/>
      <c r="AD11" s="120"/>
      <c r="AE11" s="120" t="s">
        <v>716</v>
      </c>
      <c r="AF11" s="120" t="s">
        <v>716</v>
      </c>
      <c r="AG11" s="120"/>
      <c r="AH11" s="120" t="s">
        <v>716</v>
      </c>
      <c r="AI11" s="350" t="s">
        <v>716</v>
      </c>
      <c r="AJ11" s="120"/>
      <c r="AK11" s="120" t="s">
        <v>716</v>
      </c>
      <c r="AL11" s="120" t="s">
        <v>716</v>
      </c>
      <c r="AM11" s="120"/>
      <c r="AN11" s="120" t="s">
        <v>716</v>
      </c>
      <c r="AO11" s="120" t="s">
        <v>716</v>
      </c>
      <c r="AP11" s="120"/>
      <c r="AQ11" s="120" t="s">
        <v>716</v>
      </c>
      <c r="AR11" s="120" t="s">
        <v>716</v>
      </c>
      <c r="AS11" s="120"/>
      <c r="AT11" s="120" t="s">
        <v>716</v>
      </c>
      <c r="AU11" s="120" t="s">
        <v>716</v>
      </c>
      <c r="AV11" s="120"/>
      <c r="AW11" s="120" t="s">
        <v>716</v>
      </c>
      <c r="AX11" s="120" t="s">
        <v>716</v>
      </c>
      <c r="AY11" s="120"/>
      <c r="AZ11" s="120" t="s">
        <v>716</v>
      </c>
      <c r="BA11" s="120" t="s">
        <v>716</v>
      </c>
      <c r="BB11" s="120"/>
      <c r="BC11" s="120" t="s">
        <v>716</v>
      </c>
      <c r="BD11" s="120" t="s">
        <v>716</v>
      </c>
      <c r="BE11" s="120"/>
      <c r="BF11" s="120" t="s">
        <v>716</v>
      </c>
      <c r="BG11" s="120" t="s">
        <v>716</v>
      </c>
      <c r="BH11" s="120"/>
      <c r="BI11" s="120" t="s">
        <v>716</v>
      </c>
      <c r="BJ11" s="120" t="s">
        <v>716</v>
      </c>
      <c r="BK11" s="120"/>
      <c r="BL11" s="120" t="s">
        <v>716</v>
      </c>
      <c r="BM11" s="120" t="s">
        <v>716</v>
      </c>
      <c r="BN11" s="120"/>
      <c r="BO11" s="120" t="s">
        <v>716</v>
      </c>
      <c r="BP11" s="120" t="s">
        <v>716</v>
      </c>
      <c r="BQ11" s="120"/>
      <c r="BR11" s="120" t="s">
        <v>716</v>
      </c>
      <c r="BS11" s="120" t="s">
        <v>716</v>
      </c>
      <c r="BT11" s="120"/>
      <c r="BU11" s="120" t="s">
        <v>716</v>
      </c>
      <c r="BV11" s="120" t="s">
        <v>716</v>
      </c>
      <c r="BW11" s="104"/>
      <c r="BX11" s="104" t="s">
        <v>716</v>
      </c>
      <c r="BY11" s="104" t="s">
        <v>716</v>
      </c>
      <c r="BZ11" s="120"/>
      <c r="CA11" s="120"/>
      <c r="CB11" s="120"/>
    </row>
    <row r="12" spans="2:138" s="87" customFormat="1">
      <c r="C12" s="497" t="s">
        <v>1087</v>
      </c>
      <c r="D12" s="499">
        <v>0</v>
      </c>
      <c r="E12" s="500">
        <v>0.01</v>
      </c>
      <c r="F12" s="499">
        <v>0</v>
      </c>
      <c r="I12" s="104">
        <v>0.01</v>
      </c>
      <c r="J12" s="104">
        <v>0</v>
      </c>
      <c r="K12" s="104"/>
      <c r="L12" s="120" t="s">
        <v>716</v>
      </c>
      <c r="M12" s="120" t="s">
        <v>716</v>
      </c>
      <c r="N12" s="120"/>
      <c r="O12" s="104">
        <f>E12</f>
        <v>0.01</v>
      </c>
      <c r="P12" s="104">
        <f>F12</f>
        <v>0</v>
      </c>
      <c r="Q12" s="104">
        <f>F12</f>
        <v>0</v>
      </c>
      <c r="R12" s="120" t="s">
        <v>716</v>
      </c>
      <c r="S12" s="120" t="s">
        <v>716</v>
      </c>
      <c r="T12" s="120"/>
      <c r="U12" s="120" t="s">
        <v>716</v>
      </c>
      <c r="V12" s="120" t="s">
        <v>716</v>
      </c>
      <c r="W12" s="120"/>
      <c r="X12" s="120" t="s">
        <v>716</v>
      </c>
      <c r="Y12" s="120" t="s">
        <v>716</v>
      </c>
      <c r="Z12" s="120"/>
      <c r="AA12" s="120"/>
      <c r="AB12" s="120"/>
      <c r="AC12" s="120"/>
      <c r="AD12" s="120"/>
      <c r="AE12" s="120" t="s">
        <v>716</v>
      </c>
      <c r="AF12" s="120" t="s">
        <v>716</v>
      </c>
      <c r="AG12" s="120"/>
      <c r="AH12" s="120" t="s">
        <v>716</v>
      </c>
      <c r="AI12" s="350" t="s">
        <v>716</v>
      </c>
      <c r="AJ12" s="120"/>
      <c r="AK12" s="120" t="s">
        <v>716</v>
      </c>
      <c r="AL12" s="120" t="s">
        <v>716</v>
      </c>
      <c r="AM12" s="120"/>
      <c r="AN12" s="120" t="s">
        <v>716</v>
      </c>
      <c r="AO12" s="120" t="s">
        <v>716</v>
      </c>
      <c r="AP12" s="120"/>
      <c r="AQ12" s="120" t="s">
        <v>716</v>
      </c>
      <c r="AR12" s="120" t="s">
        <v>716</v>
      </c>
      <c r="AS12" s="120"/>
      <c r="AT12" s="120" t="s">
        <v>716</v>
      </c>
      <c r="AU12" s="120" t="s">
        <v>716</v>
      </c>
      <c r="AV12" s="120"/>
      <c r="AW12" s="120" t="s">
        <v>716</v>
      </c>
      <c r="AX12" s="120" t="s">
        <v>716</v>
      </c>
      <c r="AY12" s="120"/>
      <c r="AZ12" s="120" t="s">
        <v>716</v>
      </c>
      <c r="BA12" s="120" t="s">
        <v>716</v>
      </c>
      <c r="BB12" s="120"/>
      <c r="BC12" s="120" t="s">
        <v>716</v>
      </c>
      <c r="BD12" s="120" t="s">
        <v>716</v>
      </c>
      <c r="BE12" s="120"/>
      <c r="BF12" s="120" t="s">
        <v>716</v>
      </c>
      <c r="BG12" s="120" t="s">
        <v>716</v>
      </c>
      <c r="BH12" s="120"/>
      <c r="BI12" s="120" t="s">
        <v>716</v>
      </c>
      <c r="BJ12" s="120" t="s">
        <v>716</v>
      </c>
      <c r="BK12" s="120"/>
      <c r="BL12" s="120" t="s">
        <v>716</v>
      </c>
      <c r="BM12" s="120" t="s">
        <v>716</v>
      </c>
      <c r="BN12" s="120"/>
      <c r="BO12" s="120" t="s">
        <v>716</v>
      </c>
      <c r="BP12" s="120" t="s">
        <v>716</v>
      </c>
      <c r="BQ12" s="120"/>
      <c r="BR12" s="120" t="s">
        <v>716</v>
      </c>
      <c r="BS12" s="120" t="s">
        <v>716</v>
      </c>
      <c r="BT12" s="120"/>
      <c r="BU12" s="120" t="s">
        <v>716</v>
      </c>
      <c r="BV12" s="120" t="s">
        <v>716</v>
      </c>
      <c r="BW12" s="104"/>
      <c r="BX12" s="104" t="s">
        <v>716</v>
      </c>
      <c r="BY12" s="104" t="s">
        <v>716</v>
      </c>
      <c r="BZ12" s="120"/>
      <c r="CA12" s="120"/>
      <c r="CB12" s="120"/>
    </row>
    <row r="13" spans="2:138" s="87" customFormat="1">
      <c r="C13" s="497" t="s">
        <v>1088</v>
      </c>
      <c r="D13" s="499">
        <v>0</v>
      </c>
      <c r="E13" s="500">
        <v>0</v>
      </c>
      <c r="F13" s="499">
        <v>0</v>
      </c>
      <c r="H13" s="125">
        <f>D13</f>
        <v>0</v>
      </c>
      <c r="I13" s="125">
        <f t="shared" ref="I13:J13" si="7">E13</f>
        <v>0</v>
      </c>
      <c r="J13" s="125">
        <f t="shared" si="7"/>
        <v>0</v>
      </c>
      <c r="K13" s="120"/>
      <c r="L13" s="120" t="s">
        <v>716</v>
      </c>
      <c r="M13" s="120" t="s">
        <v>716</v>
      </c>
      <c r="N13" s="120"/>
      <c r="O13" s="120" t="s">
        <v>716</v>
      </c>
      <c r="P13" s="120" t="s">
        <v>716</v>
      </c>
      <c r="Q13" s="120" t="s">
        <v>716</v>
      </c>
      <c r="R13" s="120" t="s">
        <v>716</v>
      </c>
      <c r="S13" s="120" t="s">
        <v>716</v>
      </c>
      <c r="T13" s="120"/>
      <c r="U13" s="120" t="s">
        <v>716</v>
      </c>
      <c r="V13" s="120" t="s">
        <v>716</v>
      </c>
      <c r="W13" s="120"/>
      <c r="X13" s="120" t="s">
        <v>716</v>
      </c>
      <c r="Y13" s="120" t="s">
        <v>716</v>
      </c>
      <c r="Z13" s="120"/>
      <c r="AA13" s="120"/>
      <c r="AB13" s="120"/>
      <c r="AC13" s="120"/>
      <c r="AD13" s="120"/>
      <c r="AE13" s="120" t="s">
        <v>716</v>
      </c>
      <c r="AF13" s="120" t="s">
        <v>716</v>
      </c>
      <c r="AG13" s="120"/>
      <c r="AH13" s="120" t="s">
        <v>716</v>
      </c>
      <c r="AI13" s="350" t="s">
        <v>716</v>
      </c>
      <c r="AJ13" s="120"/>
      <c r="AK13" s="120" t="s">
        <v>716</v>
      </c>
      <c r="AL13" s="120" t="s">
        <v>716</v>
      </c>
      <c r="AM13" s="120"/>
      <c r="AN13" s="120" t="s">
        <v>716</v>
      </c>
      <c r="AO13" s="120" t="s">
        <v>716</v>
      </c>
      <c r="AP13" s="120"/>
      <c r="AQ13" s="120" t="s">
        <v>716</v>
      </c>
      <c r="AR13" s="120" t="s">
        <v>716</v>
      </c>
      <c r="AS13" s="120"/>
      <c r="AT13" s="120" t="s">
        <v>716</v>
      </c>
      <c r="AU13" s="120" t="s">
        <v>716</v>
      </c>
      <c r="AV13" s="120"/>
      <c r="AW13" s="120" t="s">
        <v>716</v>
      </c>
      <c r="AX13" s="120" t="s">
        <v>716</v>
      </c>
      <c r="AY13" s="120"/>
      <c r="AZ13" s="120" t="s">
        <v>716</v>
      </c>
      <c r="BA13" s="120" t="s">
        <v>716</v>
      </c>
      <c r="BB13" s="120"/>
      <c r="BC13" s="120" t="s">
        <v>716</v>
      </c>
      <c r="BD13" s="120" t="s">
        <v>716</v>
      </c>
      <c r="BE13" s="120"/>
      <c r="BF13" s="120" t="s">
        <v>716</v>
      </c>
      <c r="BG13" s="120" t="s">
        <v>716</v>
      </c>
      <c r="BH13" s="120"/>
      <c r="BI13" s="120" t="s">
        <v>716</v>
      </c>
      <c r="BJ13" s="120" t="s">
        <v>716</v>
      </c>
      <c r="BK13" s="120"/>
      <c r="BL13" s="120" t="s">
        <v>716</v>
      </c>
      <c r="BM13" s="120" t="s">
        <v>716</v>
      </c>
      <c r="BN13" s="120"/>
      <c r="BO13" s="120" t="s">
        <v>716</v>
      </c>
      <c r="BP13" s="120" t="s">
        <v>716</v>
      </c>
      <c r="BQ13" s="120"/>
      <c r="BR13" s="120" t="s">
        <v>716</v>
      </c>
      <c r="BS13" s="120" t="s">
        <v>716</v>
      </c>
      <c r="BT13" s="120"/>
      <c r="BU13" s="120" t="s">
        <v>716</v>
      </c>
      <c r="BV13" s="120" t="s">
        <v>716</v>
      </c>
      <c r="BW13" s="104"/>
      <c r="BX13" s="104" t="s">
        <v>716</v>
      </c>
      <c r="BY13" s="104" t="s">
        <v>716</v>
      </c>
      <c r="BZ13" s="120"/>
      <c r="CA13" s="120"/>
      <c r="CB13" s="120"/>
    </row>
    <row r="14" spans="2:138" s="87" customFormat="1">
      <c r="C14" s="481"/>
      <c r="D14" s="499">
        <v>0</v>
      </c>
      <c r="E14" s="500">
        <v>0</v>
      </c>
      <c r="F14" s="499">
        <v>0</v>
      </c>
      <c r="I14" s="120" t="s">
        <v>716</v>
      </c>
      <c r="J14" s="120" t="s">
        <v>716</v>
      </c>
      <c r="K14" s="120"/>
      <c r="L14" s="120" t="s">
        <v>716</v>
      </c>
      <c r="M14" s="120" t="s">
        <v>716</v>
      </c>
      <c r="N14" s="120"/>
      <c r="O14" s="120" t="s">
        <v>716</v>
      </c>
      <c r="P14" s="120" t="s">
        <v>716</v>
      </c>
      <c r="Q14" s="120" t="s">
        <v>716</v>
      </c>
      <c r="R14" s="120" t="s">
        <v>716</v>
      </c>
      <c r="S14" s="120" t="s">
        <v>716</v>
      </c>
      <c r="T14" s="120"/>
      <c r="U14" s="120" t="s">
        <v>716</v>
      </c>
      <c r="V14" s="120" t="s">
        <v>716</v>
      </c>
      <c r="W14" s="120"/>
      <c r="X14" s="120" t="s">
        <v>716</v>
      </c>
      <c r="Y14" s="120" t="s">
        <v>716</v>
      </c>
      <c r="Z14" s="120"/>
      <c r="AA14" s="120"/>
      <c r="AB14" s="120"/>
      <c r="AC14" s="120"/>
      <c r="AD14" s="120"/>
      <c r="AE14" s="120" t="s">
        <v>716</v>
      </c>
      <c r="AF14" s="120" t="s">
        <v>716</v>
      </c>
      <c r="AG14" s="120"/>
      <c r="AH14" s="120" t="s">
        <v>716</v>
      </c>
      <c r="AI14" s="350" t="s">
        <v>716</v>
      </c>
      <c r="AJ14" s="120"/>
      <c r="AK14" s="120" t="s">
        <v>716</v>
      </c>
      <c r="AL14" s="120" t="s">
        <v>716</v>
      </c>
      <c r="AM14" s="120"/>
      <c r="AN14" s="120" t="s">
        <v>716</v>
      </c>
      <c r="AO14" s="120" t="s">
        <v>716</v>
      </c>
      <c r="AP14" s="120"/>
      <c r="AQ14" s="120" t="s">
        <v>716</v>
      </c>
      <c r="AR14" s="120" t="s">
        <v>716</v>
      </c>
      <c r="AS14" s="120"/>
      <c r="AT14" s="120" t="s">
        <v>716</v>
      </c>
      <c r="AU14" s="120" t="s">
        <v>716</v>
      </c>
      <c r="AV14" s="120"/>
      <c r="AW14" s="120" t="s">
        <v>716</v>
      </c>
      <c r="AX14" s="120" t="s">
        <v>716</v>
      </c>
      <c r="AY14" s="120"/>
      <c r="AZ14" s="120" t="s">
        <v>716</v>
      </c>
      <c r="BA14" s="120" t="s">
        <v>716</v>
      </c>
      <c r="BB14" s="120"/>
      <c r="BC14" s="120" t="s">
        <v>716</v>
      </c>
      <c r="BD14" s="120" t="s">
        <v>716</v>
      </c>
      <c r="BE14" s="120"/>
      <c r="BF14" s="120" t="s">
        <v>716</v>
      </c>
      <c r="BG14" s="120" t="s">
        <v>716</v>
      </c>
      <c r="BH14" s="120"/>
      <c r="BI14" s="120" t="s">
        <v>716</v>
      </c>
      <c r="BJ14" s="120" t="s">
        <v>716</v>
      </c>
      <c r="BK14" s="120"/>
      <c r="BL14" s="120" t="s">
        <v>716</v>
      </c>
      <c r="BM14" s="120" t="s">
        <v>716</v>
      </c>
      <c r="BN14" s="120"/>
      <c r="BO14" s="120" t="s">
        <v>716</v>
      </c>
      <c r="BP14" s="120" t="s">
        <v>716</v>
      </c>
      <c r="BQ14" s="120"/>
      <c r="BR14" s="120" t="s">
        <v>716</v>
      </c>
      <c r="BS14" s="120" t="s">
        <v>716</v>
      </c>
      <c r="BT14" s="120"/>
      <c r="BU14" s="120" t="s">
        <v>716</v>
      </c>
      <c r="BV14" s="120" t="s">
        <v>716</v>
      </c>
      <c r="BW14" s="104"/>
      <c r="BX14" s="104" t="s">
        <v>716</v>
      </c>
      <c r="BY14" s="104" t="s">
        <v>716</v>
      </c>
      <c r="BZ14" s="120"/>
      <c r="CA14" s="120"/>
      <c r="CB14" s="120"/>
    </row>
    <row r="15" spans="2:138" s="351" customFormat="1">
      <c r="C15" s="480"/>
      <c r="D15" s="384">
        <f>SUM(D5:D14)</f>
        <v>0.12</v>
      </c>
      <c r="E15" s="384">
        <f>SUM(E5:E14)</f>
        <v>0.19</v>
      </c>
      <c r="F15" s="384">
        <f>SUM(F5:F14)</f>
        <v>0.03</v>
      </c>
      <c r="H15" s="139">
        <f>SUM(H5:H14)</f>
        <v>6.0000000000000005E-2</v>
      </c>
      <c r="I15" s="139">
        <f>SUM(I5:I14)</f>
        <v>9.9999999999999992E-2</v>
      </c>
      <c r="J15" s="139">
        <f>SUM(J5:J14)</f>
        <v>0.03</v>
      </c>
      <c r="K15" s="139">
        <f>SUM(K5:K14)</f>
        <v>0.06</v>
      </c>
      <c r="L15" s="139">
        <f>SUM(L8:L14)</f>
        <v>0.06</v>
      </c>
      <c r="M15" s="139">
        <f>SUM(M8:M14)</f>
        <v>0</v>
      </c>
      <c r="N15" s="139">
        <f>SUM(N6:N14)</f>
        <v>0.05</v>
      </c>
      <c r="O15" s="139">
        <f>SUM(O5:O14)</f>
        <v>9.9999999999999992E-2</v>
      </c>
      <c r="P15" s="139">
        <f>SUM(P5:P14)</f>
        <v>0.01</v>
      </c>
      <c r="Q15" s="139" t="s">
        <v>284</v>
      </c>
      <c r="R15" s="139">
        <f>SUM(R5:R14)</f>
        <v>0</v>
      </c>
      <c r="S15" s="139">
        <f ca="1">SUM(S5:S15)</f>
        <v>0</v>
      </c>
      <c r="T15" s="139">
        <f>SUM(T10:T14)</f>
        <v>0</v>
      </c>
      <c r="U15" s="139">
        <f>SUM(U10:U14)</f>
        <v>0</v>
      </c>
      <c r="V15" s="139">
        <f>SUM(V10:V14)</f>
        <v>0</v>
      </c>
      <c r="Z15" s="139">
        <f>SUM(Z5:Z14)</f>
        <v>0.01</v>
      </c>
      <c r="AA15" s="139">
        <f>SUM(AA5:AA14)</f>
        <v>0.01</v>
      </c>
      <c r="AB15" s="139">
        <f>SUM(AB5:AB14)</f>
        <v>0</v>
      </c>
      <c r="AD15" s="139">
        <f>SUM(AD5:AD14)</f>
        <v>0</v>
      </c>
      <c r="AE15" s="139">
        <f>SUM(AE10:AE14)</f>
        <v>0</v>
      </c>
      <c r="AF15" s="139">
        <f>SUM(AF10:AF14)</f>
        <v>0</v>
      </c>
      <c r="AI15" s="356"/>
      <c r="BE15" s="139">
        <f>SUM(BE5:BE14)</f>
        <v>0</v>
      </c>
      <c r="BF15" s="139">
        <f>SUM(BF10:BF14)</f>
        <v>0</v>
      </c>
      <c r="BG15" s="139">
        <f>SUM(BG10:BG14)</f>
        <v>0</v>
      </c>
      <c r="BW15" s="139">
        <f>SUM(BW10:BW14)</f>
        <v>0</v>
      </c>
      <c r="BX15" s="139">
        <f>SUM(BX10:BX14)</f>
        <v>0</v>
      </c>
      <c r="BY15" s="139">
        <f>SUM(BY10:BY14)</f>
        <v>0</v>
      </c>
    </row>
    <row r="16" spans="2:138" s="87" customFormat="1">
      <c r="D16" s="88"/>
      <c r="E16" s="184">
        <f>D15-E15</f>
        <v>-7.0000000000000007E-2</v>
      </c>
      <c r="F16" s="184">
        <f>E15-F15</f>
        <v>0.16</v>
      </c>
      <c r="Z16" s="125"/>
      <c r="AI16" s="134"/>
    </row>
    <row r="17" spans="2:101" s="87" customFormat="1">
      <c r="C17" s="89" t="s">
        <v>1089</v>
      </c>
      <c r="D17" s="88">
        <v>30</v>
      </c>
      <c r="E17" s="88"/>
      <c r="F17" s="184"/>
      <c r="H17" s="351">
        <f t="shared" ref="H17:M17" si="8">+H15*$D17</f>
        <v>1.8</v>
      </c>
      <c r="I17" s="351">
        <f t="shared" si="8"/>
        <v>2.9999999999999996</v>
      </c>
      <c r="J17" s="351">
        <f t="shared" si="8"/>
        <v>0.89999999999999991</v>
      </c>
      <c r="K17" s="351">
        <f t="shared" si="8"/>
        <v>1.7999999999999998</v>
      </c>
      <c r="L17" s="351">
        <f t="shared" si="8"/>
        <v>1.7999999999999998</v>
      </c>
      <c r="M17" s="351">
        <f t="shared" si="8"/>
        <v>0</v>
      </c>
      <c r="N17" s="351">
        <f>+N15*D17</f>
        <v>1.5</v>
      </c>
      <c r="O17" s="351">
        <f>+O15*D17</f>
        <v>2.9999999999999996</v>
      </c>
      <c r="P17" s="351">
        <f>+P15*D17</f>
        <v>0.3</v>
      </c>
      <c r="Q17" s="351"/>
      <c r="R17" s="351">
        <f>R15*$D17</f>
        <v>0</v>
      </c>
      <c r="S17" s="351">
        <f ca="1">+S15*$D17</f>
        <v>0</v>
      </c>
      <c r="T17" s="351">
        <f>+T15*D17</f>
        <v>0</v>
      </c>
      <c r="U17" s="351">
        <f>+U15*D17</f>
        <v>0</v>
      </c>
      <c r="V17" s="351">
        <f>+V15*D17</f>
        <v>0</v>
      </c>
      <c r="W17" s="351"/>
      <c r="Z17" s="351">
        <f>+Z15*D17</f>
        <v>0.3</v>
      </c>
      <c r="AA17" s="351">
        <f>+AA15*D17</f>
        <v>0.3</v>
      </c>
      <c r="AB17" s="351">
        <f>+AB15*D17</f>
        <v>0</v>
      </c>
      <c r="AC17" s="351"/>
      <c r="AD17" s="351">
        <f>+AD15*D17</f>
        <v>0</v>
      </c>
      <c r="AE17" s="351">
        <f>+AE15*D17</f>
        <v>0</v>
      </c>
      <c r="AF17" s="351">
        <f>+AF15*D17</f>
        <v>0</v>
      </c>
      <c r="AG17" s="351"/>
      <c r="AH17" s="351"/>
      <c r="AI17" s="356"/>
      <c r="AJ17" s="351"/>
      <c r="AK17" s="351"/>
      <c r="AL17" s="351"/>
      <c r="AM17" s="351"/>
      <c r="AN17" s="351"/>
      <c r="AO17" s="351"/>
      <c r="AP17" s="351"/>
      <c r="AQ17" s="351"/>
      <c r="AR17" s="351"/>
      <c r="AS17" s="351"/>
      <c r="AT17" s="351"/>
      <c r="AU17" s="351"/>
      <c r="AV17" s="351"/>
      <c r="AW17" s="351"/>
      <c r="AX17" s="351"/>
      <c r="AY17" s="351"/>
      <c r="AZ17" s="351"/>
      <c r="BA17" s="351"/>
      <c r="BB17" s="351"/>
      <c r="BC17" s="351"/>
      <c r="BD17" s="351"/>
      <c r="BE17" s="351">
        <f>+BE15*D17</f>
        <v>0</v>
      </c>
      <c r="BF17" s="351">
        <f>BF15*D17</f>
        <v>0</v>
      </c>
      <c r="BG17" s="351">
        <f>+BG15*D17</f>
        <v>0</v>
      </c>
    </row>
    <row r="18" spans="2:101" s="87" customFormat="1">
      <c r="C18" s="87" t="s">
        <v>1034</v>
      </c>
      <c r="D18" s="88"/>
      <c r="E18" s="88"/>
      <c r="F18" s="88"/>
      <c r="AI18" s="134"/>
    </row>
    <row r="19" spans="2:101" s="87" customFormat="1">
      <c r="C19" s="87" t="s">
        <v>1035</v>
      </c>
      <c r="D19" s="88"/>
      <c r="E19" s="88"/>
      <c r="F19" s="88"/>
      <c r="H19" s="87">
        <v>1000</v>
      </c>
      <c r="I19" s="87">
        <v>1000</v>
      </c>
      <c r="J19" s="87">
        <v>1000</v>
      </c>
      <c r="K19" s="87">
        <v>1000</v>
      </c>
      <c r="L19" s="87">
        <v>1000</v>
      </c>
      <c r="M19" s="87">
        <v>1000</v>
      </c>
      <c r="N19" s="87">
        <v>1000</v>
      </c>
      <c r="O19" s="87">
        <v>1000</v>
      </c>
      <c r="P19" s="87">
        <v>1000</v>
      </c>
      <c r="AI19" s="134"/>
    </row>
    <row r="20" spans="2:101" s="87" customFormat="1">
      <c r="C20" s="87" t="s">
        <v>1036</v>
      </c>
      <c r="D20" s="88"/>
      <c r="E20" s="88"/>
      <c r="F20" s="88"/>
      <c r="H20" s="87">
        <v>1000</v>
      </c>
      <c r="I20" s="87">
        <v>1000</v>
      </c>
      <c r="J20" s="87">
        <v>1000</v>
      </c>
      <c r="K20" s="87">
        <v>1000</v>
      </c>
      <c r="L20" s="87">
        <v>1000</v>
      </c>
      <c r="M20" s="87">
        <v>1000</v>
      </c>
      <c r="N20" s="87">
        <v>1000</v>
      </c>
      <c r="O20" s="87">
        <v>1000</v>
      </c>
      <c r="P20" s="87">
        <v>1000</v>
      </c>
      <c r="AI20" s="134"/>
    </row>
    <row r="21" spans="2:101" s="87" customFormat="1">
      <c r="C21" s="87" t="s">
        <v>360</v>
      </c>
      <c r="D21" s="88">
        <v>4</v>
      </c>
      <c r="E21" s="88"/>
      <c r="F21" s="88"/>
      <c r="AI21" s="134"/>
    </row>
    <row r="22" spans="2:101" s="87" customFormat="1">
      <c r="C22" s="87" t="s">
        <v>361</v>
      </c>
      <c r="D22" s="88"/>
      <c r="E22" s="88"/>
      <c r="F22" s="88"/>
      <c r="H22" s="87">
        <v>1000</v>
      </c>
      <c r="I22" s="87">
        <v>1000</v>
      </c>
      <c r="J22" s="87">
        <v>1000</v>
      </c>
      <c r="K22" s="87">
        <v>1000</v>
      </c>
      <c r="L22" s="87">
        <v>1000</v>
      </c>
      <c r="M22" s="87">
        <v>1000</v>
      </c>
      <c r="N22" s="87">
        <v>1000</v>
      </c>
      <c r="O22" s="87">
        <v>1000</v>
      </c>
      <c r="P22" s="87">
        <v>1000</v>
      </c>
      <c r="AI22" s="134"/>
    </row>
    <row r="23" spans="2:101" s="87" customFormat="1">
      <c r="C23" s="87" t="s">
        <v>362</v>
      </c>
      <c r="D23" s="88">
        <v>1500</v>
      </c>
      <c r="E23" s="88"/>
      <c r="F23" s="88"/>
      <c r="I23" s="87">
        <f>+(H17-I17)*I22</f>
        <v>-1199.9999999999995</v>
      </c>
      <c r="J23" s="87">
        <f>+(I17-J17)*J22</f>
        <v>2099.9999999999995</v>
      </c>
      <c r="L23" s="87">
        <f>+(K17-L17)*L22</f>
        <v>0</v>
      </c>
      <c r="M23" s="87">
        <f>+(L17-M17)*M22</f>
        <v>1799.9999999999998</v>
      </c>
      <c r="O23" s="87">
        <f>+(N17-O17)*O22</f>
        <v>-1499.9999999999995</v>
      </c>
      <c r="P23" s="87">
        <f>+(O17-P17)*P22</f>
        <v>2699.9999999999995</v>
      </c>
      <c r="R23" s="87">
        <f>+(Q17-R17)*$D23</f>
        <v>0</v>
      </c>
      <c r="S23" s="354">
        <f ca="1">(+R17-S17)*$D23</f>
        <v>0</v>
      </c>
      <c r="AI23" s="134"/>
    </row>
    <row r="24" spans="2:101" s="87" customFormat="1">
      <c r="C24" s="87" t="s">
        <v>363</v>
      </c>
      <c r="D24" s="88">
        <v>8</v>
      </c>
      <c r="E24" s="88">
        <v>22</v>
      </c>
      <c r="F24" s="88"/>
      <c r="I24" s="355">
        <f>+I23/60/$D24/$E24</f>
        <v>-0.11363636363636359</v>
      </c>
      <c r="J24" s="355">
        <f>+J22/60/$D24/$E24</f>
        <v>9.469696969696971E-2</v>
      </c>
      <c r="L24" s="355">
        <f>+L23/60/$D24/$E24</f>
        <v>0</v>
      </c>
      <c r="M24" s="355">
        <f>+M22/60/$D24/$E24</f>
        <v>9.469696969696971E-2</v>
      </c>
      <c r="O24" s="355">
        <f>+O23/60/$D24/$E24</f>
        <v>-0.1420454545454545</v>
      </c>
      <c r="P24" s="355">
        <f>+P22/60/$D24/$E24</f>
        <v>9.469696969696971E-2</v>
      </c>
      <c r="R24" s="87">
        <f>+R23/60/$D24/$E24</f>
        <v>0</v>
      </c>
      <c r="AI24" s="134"/>
    </row>
    <row r="25" spans="2:101" s="407" customFormat="1">
      <c r="D25" s="408"/>
      <c r="E25" s="408"/>
      <c r="F25" s="408"/>
      <c r="AI25" s="409"/>
    </row>
    <row r="26" spans="2:101" s="87" customFormat="1">
      <c r="D26" s="88"/>
      <c r="E26" s="88"/>
      <c r="F26" s="88"/>
    </row>
    <row r="27" spans="2:101" s="142" customFormat="1" ht="13.5" customHeight="1">
      <c r="D27" s="414"/>
      <c r="E27" s="414"/>
      <c r="F27" s="414"/>
      <c r="I27" s="894"/>
      <c r="J27" s="894"/>
      <c r="K27" s="146"/>
      <c r="L27" s="894"/>
      <c r="M27" s="894"/>
      <c r="N27" s="146"/>
      <c r="O27" s="894"/>
      <c r="P27" s="894"/>
      <c r="Q27" s="146"/>
      <c r="R27" s="903"/>
      <c r="S27" s="903"/>
      <c r="T27" s="147"/>
      <c r="U27" s="894"/>
      <c r="V27" s="894"/>
      <c r="W27" s="146"/>
      <c r="X27" s="894"/>
      <c r="Y27" s="894"/>
      <c r="AE27" s="894"/>
      <c r="AF27" s="894"/>
      <c r="AG27" s="146"/>
      <c r="AH27" s="894"/>
      <c r="AI27" s="894"/>
      <c r="AJ27" s="146"/>
      <c r="AK27" s="894"/>
      <c r="AL27" s="894"/>
      <c r="AM27" s="146"/>
      <c r="AN27" s="894"/>
      <c r="AO27" s="894"/>
      <c r="AP27" s="146"/>
      <c r="AQ27" s="894"/>
      <c r="AR27" s="894"/>
      <c r="AS27" s="146"/>
      <c r="AT27" s="894"/>
      <c r="AU27" s="894"/>
      <c r="AV27" s="146"/>
      <c r="AW27" s="894"/>
      <c r="AX27" s="894"/>
      <c r="AY27" s="146"/>
      <c r="AZ27" s="894"/>
      <c r="BA27" s="894"/>
      <c r="BB27" s="146"/>
      <c r="BC27" s="903"/>
      <c r="BD27" s="903"/>
      <c r="BE27" s="147"/>
      <c r="BF27" s="894"/>
      <c r="BG27" s="894"/>
      <c r="BH27" s="415"/>
      <c r="BI27" s="838"/>
      <c r="BJ27" s="838"/>
      <c r="BK27" s="415"/>
      <c r="BL27" s="838"/>
      <c r="BM27" s="838"/>
      <c r="BN27" s="415"/>
      <c r="BO27" s="838"/>
      <c r="BP27" s="838"/>
      <c r="BQ27" s="415"/>
      <c r="BR27" s="838"/>
      <c r="BS27" s="838"/>
      <c r="BT27" s="415"/>
      <c r="BU27" s="838"/>
      <c r="BV27" s="838"/>
      <c r="BW27" s="415"/>
      <c r="BX27" s="894"/>
      <c r="BY27" s="894"/>
      <c r="BZ27" s="146"/>
      <c r="CA27" s="894"/>
      <c r="CB27" s="894"/>
    </row>
    <row r="28" spans="2:101">
      <c r="B28" s="9" t="s">
        <v>1079</v>
      </c>
      <c r="C28" s="547" t="s">
        <v>364</v>
      </c>
      <c r="D28" s="410" t="s">
        <v>353</v>
      </c>
      <c r="E28" s="410" t="s">
        <v>354</v>
      </c>
      <c r="F28" s="410" t="s">
        <v>355</v>
      </c>
      <c r="H28" s="410"/>
      <c r="I28" s="411"/>
      <c r="J28" s="410"/>
      <c r="K28" s="412"/>
      <c r="L28" s="412"/>
      <c r="M28" s="412"/>
      <c r="N28" s="412"/>
      <c r="O28" s="412"/>
      <c r="P28" s="412"/>
      <c r="Q28" s="412"/>
      <c r="R28" s="412"/>
      <c r="S28" s="412"/>
      <c r="T28" s="412"/>
      <c r="U28" s="412"/>
      <c r="V28" s="412"/>
      <c r="W28" s="412"/>
      <c r="X28" s="412"/>
      <c r="Y28" s="413"/>
      <c r="Z28" s="142"/>
      <c r="AA28" s="154"/>
      <c r="AB28" s="142"/>
      <c r="AD28" s="371"/>
      <c r="AE28" s="412"/>
      <c r="AF28" s="412"/>
      <c r="AG28" s="412"/>
      <c r="AH28" s="412"/>
      <c r="AI28" s="413"/>
      <c r="AJ28" s="412"/>
      <c r="AK28" s="412"/>
      <c r="AL28" s="412"/>
      <c r="AM28" s="412"/>
      <c r="AN28" s="412"/>
      <c r="AO28" s="412"/>
      <c r="AP28" s="412"/>
      <c r="AQ28" s="412"/>
      <c r="AR28" s="412"/>
      <c r="AS28" s="412"/>
      <c r="AT28" s="412"/>
      <c r="AU28" s="412"/>
      <c r="AV28" s="412"/>
      <c r="AW28" s="412"/>
      <c r="AX28" s="412"/>
      <c r="AY28" s="412"/>
      <c r="AZ28" s="412"/>
      <c r="BA28" s="412"/>
      <c r="BB28" s="412"/>
      <c r="BC28" s="412"/>
      <c r="BD28" s="412"/>
      <c r="BE28" s="412"/>
      <c r="BF28" s="412"/>
      <c r="BG28" s="412"/>
      <c r="BH28" s="412"/>
      <c r="BI28" s="412"/>
      <c r="BJ28" s="412"/>
      <c r="BK28" s="412"/>
      <c r="BL28" s="412"/>
      <c r="BM28" s="412"/>
      <c r="BN28" s="412"/>
      <c r="BO28" s="412"/>
      <c r="BP28" s="412"/>
      <c r="BQ28" s="412"/>
      <c r="BR28" s="412"/>
      <c r="BS28" s="412"/>
      <c r="BT28" s="412"/>
      <c r="BU28" s="412"/>
      <c r="BV28" s="412"/>
      <c r="BW28" s="412"/>
      <c r="BX28" s="153"/>
      <c r="BY28" s="412"/>
      <c r="BZ28" s="64"/>
      <c r="CA28" s="64"/>
      <c r="CB28" s="64"/>
      <c r="CD28" s="6"/>
      <c r="CF28" s="6"/>
    </row>
    <row r="29" spans="2:101" ht="28.8">
      <c r="B29">
        <v>1</v>
      </c>
      <c r="C29" s="491" t="s">
        <v>1090</v>
      </c>
      <c r="D29" s="494">
        <v>0.01</v>
      </c>
      <c r="E29" s="495">
        <v>0.01</v>
      </c>
      <c r="F29" s="496">
        <v>0</v>
      </c>
      <c r="H29" s="125">
        <f>D29</f>
        <v>0.01</v>
      </c>
      <c r="I29" s="125">
        <f t="shared" ref="I29:J30" si="9">E29</f>
        <v>0.01</v>
      </c>
      <c r="J29" s="125">
        <f t="shared" si="9"/>
        <v>0</v>
      </c>
      <c r="K29" s="126"/>
      <c r="L29" s="125"/>
      <c r="M29" s="125"/>
      <c r="N29" s="125">
        <f>D29</f>
        <v>0.01</v>
      </c>
      <c r="O29" s="125">
        <f t="shared" ref="O29:P30" si="10">E29</f>
        <v>0.01</v>
      </c>
      <c r="P29" s="125">
        <f t="shared" si="10"/>
        <v>0</v>
      </c>
      <c r="Q29" s="126"/>
      <c r="R29" s="125"/>
      <c r="S29" s="125"/>
      <c r="T29" s="125">
        <f>D29</f>
        <v>0.01</v>
      </c>
      <c r="U29" s="125">
        <f t="shared" ref="U29:V30" si="11">E29</f>
        <v>0.01</v>
      </c>
      <c r="V29" s="125">
        <f t="shared" si="11"/>
        <v>0</v>
      </c>
      <c r="W29" s="125">
        <f>D29</f>
        <v>0.01</v>
      </c>
      <c r="X29" s="125">
        <f t="shared" ref="X29:Y30" si="12">E29</f>
        <v>0.01</v>
      </c>
      <c r="Y29" s="125">
        <f t="shared" si="12"/>
        <v>0</v>
      </c>
      <c r="Z29" s="125">
        <f>D29</f>
        <v>0.01</v>
      </c>
      <c r="AA29" s="125">
        <f t="shared" ref="AA29:AB30" si="13">E29</f>
        <v>0.01</v>
      </c>
      <c r="AB29" s="125">
        <f t="shared" si="13"/>
        <v>0</v>
      </c>
      <c r="AD29" s="132"/>
      <c r="AE29" s="125"/>
      <c r="AF29" s="125"/>
      <c r="AG29" s="125"/>
      <c r="AH29" s="87"/>
      <c r="AI29" s="134"/>
      <c r="AJ29" s="87"/>
      <c r="AK29" s="87"/>
      <c r="AL29" s="87"/>
      <c r="AM29" s="87"/>
      <c r="AN29" s="87"/>
      <c r="AO29" s="87"/>
      <c r="AP29" s="87"/>
      <c r="AQ29" s="87"/>
      <c r="AR29" s="87"/>
      <c r="AS29" s="87"/>
      <c r="AT29" s="87"/>
      <c r="AU29" s="87"/>
      <c r="AV29" s="87"/>
      <c r="AW29" s="87"/>
      <c r="AX29" s="87"/>
      <c r="AY29" s="87"/>
      <c r="AZ29" s="87"/>
      <c r="BA29" s="87"/>
      <c r="BB29" s="87"/>
      <c r="BC29" s="87"/>
      <c r="BD29" s="87"/>
      <c r="BE29" s="87"/>
      <c r="BF29" s="125"/>
      <c r="BG29" s="125"/>
      <c r="BH29" s="87"/>
      <c r="BI29" s="87"/>
      <c r="BJ29" s="87"/>
      <c r="BK29" s="87"/>
      <c r="BL29" s="87"/>
      <c r="BM29" s="87"/>
      <c r="BN29" s="87"/>
      <c r="BO29" s="87"/>
      <c r="BP29" s="87"/>
      <c r="BQ29" s="87"/>
      <c r="BR29" s="87"/>
      <c r="BS29" s="87"/>
      <c r="BT29" s="87"/>
      <c r="BU29" s="87"/>
      <c r="BV29" s="87"/>
      <c r="BW29" s="125"/>
      <c r="BX29" s="125"/>
      <c r="BY29" s="87"/>
      <c r="CA29" s="6">
        <f t="shared" ref="CA29:CA34" si="14">D29</f>
        <v>0.01</v>
      </c>
      <c r="CB29" s="6">
        <f t="shared" ref="CB29:CC34" si="15">E29</f>
        <v>0.01</v>
      </c>
      <c r="CC29" s="6">
        <f t="shared" si="15"/>
        <v>0</v>
      </c>
      <c r="CD29" s="6">
        <f>D29</f>
        <v>0.01</v>
      </c>
      <c r="CE29" s="6">
        <f t="shared" ref="CE29:CF30" si="16">E29</f>
        <v>0.01</v>
      </c>
      <c r="CF29" s="6">
        <f t="shared" si="16"/>
        <v>0</v>
      </c>
      <c r="CG29" s="6">
        <f>D29</f>
        <v>0.01</v>
      </c>
      <c r="CH29" s="6">
        <f t="shared" ref="CH29:CI30" si="17">E29</f>
        <v>0.01</v>
      </c>
      <c r="CI29" s="6">
        <f t="shared" si="17"/>
        <v>0</v>
      </c>
      <c r="CJ29" s="6">
        <f>CG29</f>
        <v>0.01</v>
      </c>
      <c r="CK29" s="6">
        <f t="shared" ref="CK29:CL29" si="18">CH29</f>
        <v>0.01</v>
      </c>
      <c r="CL29" s="6">
        <f t="shared" si="18"/>
        <v>0</v>
      </c>
      <c r="CN29" s="6"/>
      <c r="CO29" s="6"/>
      <c r="CP29" s="6"/>
      <c r="CQ29" s="6"/>
      <c r="CR29" s="6"/>
      <c r="CS29" s="6"/>
      <c r="CU29" s="6"/>
      <c r="CV29" s="6"/>
      <c r="CW29" s="6"/>
    </row>
    <row r="30" spans="2:101" ht="28.8">
      <c r="B30">
        <v>2</v>
      </c>
      <c r="C30" s="497" t="s">
        <v>1091</v>
      </c>
      <c r="D30" s="494">
        <v>0.1</v>
      </c>
      <c r="E30" s="495">
        <v>0.1</v>
      </c>
      <c r="F30" s="496">
        <v>0</v>
      </c>
      <c r="H30" s="154">
        <f>D30</f>
        <v>0.1</v>
      </c>
      <c r="I30" s="154">
        <f t="shared" si="9"/>
        <v>0.1</v>
      </c>
      <c r="J30" s="154">
        <f t="shared" si="9"/>
        <v>0</v>
      </c>
      <c r="K30" s="126"/>
      <c r="L30" s="125"/>
      <c r="M30" s="125"/>
      <c r="N30" s="125">
        <f>D30</f>
        <v>0.1</v>
      </c>
      <c r="O30" s="125">
        <f t="shared" si="10"/>
        <v>0.1</v>
      </c>
      <c r="P30" s="125">
        <f t="shared" si="10"/>
        <v>0</v>
      </c>
      <c r="Q30" s="126"/>
      <c r="R30" s="125"/>
      <c r="S30" s="125"/>
      <c r="T30" s="125">
        <f>D30</f>
        <v>0.1</v>
      </c>
      <c r="U30" s="125">
        <f t="shared" si="11"/>
        <v>0.1</v>
      </c>
      <c r="V30" s="125">
        <f t="shared" si="11"/>
        <v>0</v>
      </c>
      <c r="W30" s="125">
        <f>D30</f>
        <v>0.1</v>
      </c>
      <c r="X30" s="125">
        <f t="shared" si="12"/>
        <v>0.1</v>
      </c>
      <c r="Y30" s="125">
        <f t="shared" si="12"/>
        <v>0</v>
      </c>
      <c r="Z30" s="125">
        <f>D30</f>
        <v>0.1</v>
      </c>
      <c r="AA30" s="125">
        <f t="shared" si="13"/>
        <v>0.1</v>
      </c>
      <c r="AB30" s="125">
        <f t="shared" si="13"/>
        <v>0</v>
      </c>
      <c r="AD30" s="132"/>
      <c r="AE30" s="125"/>
      <c r="AF30" s="125"/>
      <c r="AG30" s="125"/>
      <c r="AH30" s="87"/>
      <c r="AI30" s="134"/>
      <c r="AJ30" s="87"/>
      <c r="AK30" s="87"/>
      <c r="AL30" s="87"/>
      <c r="AM30" s="87"/>
      <c r="AN30" s="87"/>
      <c r="AO30" s="87"/>
      <c r="AP30" s="87"/>
      <c r="AQ30" s="87"/>
      <c r="AR30" s="87"/>
      <c r="AS30" s="87"/>
      <c r="AT30" s="87"/>
      <c r="AU30" s="87"/>
      <c r="AV30" s="87"/>
      <c r="AW30" s="87"/>
      <c r="AX30" s="87"/>
      <c r="AY30" s="87"/>
      <c r="AZ30" s="87"/>
      <c r="BA30" s="87"/>
      <c r="BB30" s="87"/>
      <c r="BC30" s="87"/>
      <c r="BD30" s="87"/>
      <c r="BE30" s="87"/>
      <c r="BF30" s="125"/>
      <c r="BG30" s="125"/>
      <c r="BH30" s="87"/>
      <c r="BI30" s="87"/>
      <c r="BJ30" s="87"/>
      <c r="BK30" s="87"/>
      <c r="BL30" s="87"/>
      <c r="BM30" s="87"/>
      <c r="BN30" s="87"/>
      <c r="BO30" s="87"/>
      <c r="BP30" s="87"/>
      <c r="BQ30" s="87"/>
      <c r="BR30" s="87"/>
      <c r="BS30" s="87"/>
      <c r="BT30" s="87"/>
      <c r="BU30" s="87"/>
      <c r="BV30" s="87"/>
      <c r="BW30" s="125"/>
      <c r="BX30" s="125"/>
      <c r="BY30" s="87"/>
      <c r="CA30" s="6">
        <f t="shared" si="14"/>
        <v>0.1</v>
      </c>
      <c r="CB30" s="6">
        <f t="shared" si="15"/>
        <v>0.1</v>
      </c>
      <c r="CC30" s="6">
        <f t="shared" si="15"/>
        <v>0</v>
      </c>
      <c r="CD30" s="6">
        <f>D30</f>
        <v>0.1</v>
      </c>
      <c r="CE30" s="6">
        <f t="shared" si="16"/>
        <v>0.1</v>
      </c>
      <c r="CF30" s="6">
        <f t="shared" si="16"/>
        <v>0</v>
      </c>
      <c r="CG30" s="6">
        <f>D30</f>
        <v>0.1</v>
      </c>
      <c r="CH30" s="6">
        <f t="shared" si="17"/>
        <v>0.1</v>
      </c>
      <c r="CI30" s="6">
        <f t="shared" si="17"/>
        <v>0</v>
      </c>
      <c r="CJ30" s="6">
        <f>D30</f>
        <v>0.1</v>
      </c>
      <c r="CK30" s="6">
        <f t="shared" ref="CK30:CL30" si="19">E30</f>
        <v>0.1</v>
      </c>
      <c r="CL30" s="6">
        <f t="shared" si="19"/>
        <v>0</v>
      </c>
      <c r="CN30" s="6"/>
      <c r="CO30" s="6"/>
      <c r="CP30" s="6"/>
      <c r="CQ30" s="6"/>
      <c r="CR30" s="6"/>
      <c r="CS30" s="6"/>
      <c r="CU30" s="6"/>
      <c r="CV30" s="6"/>
      <c r="CW30" s="6"/>
    </row>
    <row r="31" spans="2:101" ht="28.8">
      <c r="B31">
        <v>3</v>
      </c>
      <c r="C31" s="497" t="s">
        <v>1085</v>
      </c>
      <c r="D31" s="494">
        <v>0.03</v>
      </c>
      <c r="E31" s="495">
        <v>0.03</v>
      </c>
      <c r="F31" s="496">
        <v>0</v>
      </c>
      <c r="H31" s="87"/>
      <c r="I31" s="125"/>
      <c r="J31" s="125"/>
      <c r="K31" s="126">
        <f>D31</f>
        <v>0.03</v>
      </c>
      <c r="L31" s="126">
        <f t="shared" ref="L31:M33" si="20">E31</f>
        <v>0.03</v>
      </c>
      <c r="M31" s="126">
        <f t="shared" si="20"/>
        <v>0</v>
      </c>
      <c r="N31" s="125"/>
      <c r="O31" s="125"/>
      <c r="P31" s="125"/>
      <c r="Q31" s="125"/>
      <c r="R31" s="125"/>
      <c r="S31" s="125"/>
      <c r="T31" s="125"/>
      <c r="U31" s="125"/>
      <c r="V31" s="125"/>
      <c r="W31" s="125"/>
      <c r="X31" s="125"/>
      <c r="Y31" s="132"/>
      <c r="Z31" s="87"/>
      <c r="AA31" s="125"/>
      <c r="AB31" s="87"/>
      <c r="AD31" s="132"/>
      <c r="AE31" s="125"/>
      <c r="AF31" s="125"/>
      <c r="AG31" s="125"/>
      <c r="AH31" s="87"/>
      <c r="AI31" s="134"/>
      <c r="AJ31" s="87"/>
      <c r="AK31" s="87"/>
      <c r="AL31" s="87"/>
      <c r="AM31" s="87"/>
      <c r="AN31" s="87"/>
      <c r="AO31" s="87"/>
      <c r="AP31" s="87"/>
      <c r="AQ31" s="87"/>
      <c r="AR31" s="87"/>
      <c r="AS31" s="87"/>
      <c r="AT31" s="87"/>
      <c r="AU31" s="87"/>
      <c r="AV31" s="87"/>
      <c r="AW31" s="87"/>
      <c r="AX31" s="87"/>
      <c r="AY31" s="87"/>
      <c r="AZ31" s="87"/>
      <c r="BA31" s="87"/>
      <c r="BB31" s="87"/>
      <c r="BC31" s="87"/>
      <c r="BD31" s="87"/>
      <c r="BE31" s="87"/>
      <c r="BF31" s="125"/>
      <c r="BG31" s="125"/>
      <c r="BH31" s="87"/>
      <c r="BI31" s="87"/>
      <c r="BJ31" s="87"/>
      <c r="BK31" s="87"/>
      <c r="BL31" s="87"/>
      <c r="BM31" s="87"/>
      <c r="BN31" s="87"/>
      <c r="BO31" s="87"/>
      <c r="BP31" s="87"/>
      <c r="BQ31" s="87"/>
      <c r="BR31" s="87"/>
      <c r="BS31" s="87"/>
      <c r="BT31" s="87"/>
      <c r="BU31" s="87"/>
      <c r="BV31" s="87"/>
      <c r="BW31" s="125"/>
      <c r="BX31" s="125"/>
      <c r="BY31" s="87"/>
      <c r="CA31" s="6">
        <f t="shared" si="14"/>
        <v>0.03</v>
      </c>
      <c r="CB31" s="6">
        <f t="shared" si="15"/>
        <v>0.03</v>
      </c>
      <c r="CC31" s="6">
        <f t="shared" si="15"/>
        <v>0</v>
      </c>
      <c r="CD31" s="6"/>
      <c r="CF31" s="6"/>
      <c r="CI31" s="6"/>
      <c r="CN31" s="6"/>
      <c r="CO31" s="6"/>
      <c r="CP31" s="6"/>
      <c r="CQ31" s="6"/>
      <c r="CR31" s="6"/>
      <c r="CS31" s="6"/>
      <c r="CU31" s="6"/>
      <c r="CV31" s="6"/>
      <c r="CW31" s="6"/>
    </row>
    <row r="32" spans="2:101">
      <c r="B32">
        <v>4</v>
      </c>
      <c r="C32" s="497" t="s">
        <v>1092</v>
      </c>
      <c r="D32" s="494">
        <v>0.03</v>
      </c>
      <c r="E32" s="495">
        <v>0.03</v>
      </c>
      <c r="F32" s="496">
        <v>0</v>
      </c>
      <c r="H32" s="87"/>
      <c r="I32" s="125"/>
      <c r="J32" s="125"/>
      <c r="K32" s="126">
        <f>D32</f>
        <v>0.03</v>
      </c>
      <c r="L32" s="126">
        <f t="shared" si="20"/>
        <v>0.03</v>
      </c>
      <c r="M32" s="126">
        <f t="shared" si="20"/>
        <v>0</v>
      </c>
      <c r="N32" s="125"/>
      <c r="O32" s="125"/>
      <c r="P32" s="125"/>
      <c r="Q32" s="125"/>
      <c r="R32" s="125"/>
      <c r="S32" s="125"/>
      <c r="T32" s="125"/>
      <c r="U32" s="125"/>
      <c r="V32" s="125"/>
      <c r="W32" s="125"/>
      <c r="X32" s="125"/>
      <c r="Y32" s="132"/>
      <c r="Z32" s="87"/>
      <c r="AA32" s="125"/>
      <c r="AB32" s="87"/>
      <c r="AD32" s="132"/>
      <c r="AE32" s="125"/>
      <c r="AF32" s="125"/>
      <c r="AG32" s="125"/>
      <c r="AH32" s="87"/>
      <c r="AI32" s="134"/>
      <c r="AJ32" s="87"/>
      <c r="AK32" s="87"/>
      <c r="AL32" s="87"/>
      <c r="AM32" s="87"/>
      <c r="AN32" s="87"/>
      <c r="AO32" s="87"/>
      <c r="AP32" s="87"/>
      <c r="AQ32" s="87"/>
      <c r="AR32" s="87"/>
      <c r="AS32" s="87"/>
      <c r="AT32" s="87"/>
      <c r="AU32" s="87"/>
      <c r="AV32" s="87"/>
      <c r="AW32" s="87"/>
      <c r="AX32" s="87"/>
      <c r="AY32" s="87"/>
      <c r="AZ32" s="87"/>
      <c r="BA32" s="87"/>
      <c r="BB32" s="87"/>
      <c r="BC32" s="87"/>
      <c r="BD32" s="87"/>
      <c r="BE32" s="87"/>
      <c r="BF32" s="125"/>
      <c r="BG32" s="125"/>
      <c r="BH32" s="87"/>
      <c r="BI32" s="87"/>
      <c r="BJ32" s="87"/>
      <c r="BK32" s="87"/>
      <c r="BL32" s="87"/>
      <c r="BM32" s="87"/>
      <c r="BN32" s="87"/>
      <c r="BO32" s="87"/>
      <c r="BP32" s="87"/>
      <c r="BQ32" s="87"/>
      <c r="BR32" s="87"/>
      <c r="BS32" s="87"/>
      <c r="BT32" s="87"/>
      <c r="BU32" s="87"/>
      <c r="BV32" s="87"/>
      <c r="BW32" s="125"/>
      <c r="BX32" s="125"/>
      <c r="BY32" s="87"/>
      <c r="CA32" s="6">
        <f t="shared" si="14"/>
        <v>0.03</v>
      </c>
      <c r="CB32" s="6">
        <f t="shared" si="15"/>
        <v>0.03</v>
      </c>
      <c r="CC32" s="6">
        <f t="shared" si="15"/>
        <v>0</v>
      </c>
      <c r="CD32" s="6"/>
      <c r="CF32" s="6"/>
      <c r="CI32" s="6"/>
      <c r="CN32" s="6"/>
      <c r="CO32" s="6"/>
      <c r="CP32" s="6"/>
      <c r="CQ32" s="6"/>
      <c r="CR32" s="6"/>
      <c r="CS32" s="6"/>
      <c r="CU32" s="6"/>
      <c r="CV32" s="6"/>
      <c r="CW32" s="6"/>
    </row>
    <row r="33" spans="2:101">
      <c r="B33">
        <v>5</v>
      </c>
      <c r="C33" s="548" t="s">
        <v>1093</v>
      </c>
      <c r="D33" s="494">
        <v>0.03</v>
      </c>
      <c r="E33" s="495">
        <v>0.03</v>
      </c>
      <c r="F33" s="496">
        <v>0</v>
      </c>
      <c r="H33" s="87"/>
      <c r="I33" s="125"/>
      <c r="J33" s="125"/>
      <c r="K33" s="126">
        <f>D33</f>
        <v>0.03</v>
      </c>
      <c r="L33" s="126">
        <f t="shared" si="20"/>
        <v>0.03</v>
      </c>
      <c r="M33" s="126">
        <f t="shared" si="20"/>
        <v>0</v>
      </c>
      <c r="N33" s="125"/>
      <c r="O33" s="125"/>
      <c r="P33" s="125"/>
      <c r="Q33" s="125"/>
      <c r="R33" s="125"/>
      <c r="S33" s="125"/>
      <c r="T33" s="125"/>
      <c r="U33" s="125"/>
      <c r="V33" s="125"/>
      <c r="W33" s="125"/>
      <c r="X33" s="125"/>
      <c r="Y33" s="132"/>
      <c r="Z33" s="87"/>
      <c r="AA33" s="125"/>
      <c r="AB33" s="87"/>
      <c r="AD33" s="132"/>
      <c r="AE33" s="125"/>
      <c r="AF33" s="125"/>
      <c r="AG33" s="125"/>
      <c r="AH33" s="87"/>
      <c r="AI33" s="134"/>
      <c r="AJ33" s="87"/>
      <c r="AK33" s="87"/>
      <c r="AL33" s="87"/>
      <c r="AM33" s="87"/>
      <c r="AN33" s="87"/>
      <c r="AO33" s="87"/>
      <c r="AP33" s="87"/>
      <c r="AQ33" s="87"/>
      <c r="AR33" s="87"/>
      <c r="AS33" s="87"/>
      <c r="AT33" s="87"/>
      <c r="AU33" s="87"/>
      <c r="AV33" s="87"/>
      <c r="AW33" s="87"/>
      <c r="AX33" s="87"/>
      <c r="AY33" s="87"/>
      <c r="AZ33" s="87"/>
      <c r="BA33" s="87"/>
      <c r="BB33" s="87"/>
      <c r="BC33" s="87"/>
      <c r="BD33" s="87"/>
      <c r="BE33" s="87"/>
      <c r="BF33" s="125"/>
      <c r="BG33" s="125"/>
      <c r="BH33" s="87"/>
      <c r="BI33" s="87"/>
      <c r="BJ33" s="87"/>
      <c r="BK33" s="87"/>
      <c r="BL33" s="87"/>
      <c r="BM33" s="87"/>
      <c r="BN33" s="87"/>
      <c r="BO33" s="87"/>
      <c r="BP33" s="87"/>
      <c r="BQ33" s="87"/>
      <c r="BR33" s="87"/>
      <c r="BS33" s="87"/>
      <c r="BT33" s="87"/>
      <c r="BU33" s="87"/>
      <c r="BV33" s="87"/>
      <c r="BW33" s="125"/>
      <c r="BX33" s="125"/>
      <c r="BY33" s="87"/>
      <c r="CA33" s="6">
        <f t="shared" si="14"/>
        <v>0.03</v>
      </c>
      <c r="CB33" s="6">
        <f t="shared" si="15"/>
        <v>0.03</v>
      </c>
      <c r="CC33" s="6">
        <f t="shared" si="15"/>
        <v>0</v>
      </c>
      <c r="CD33" s="6"/>
      <c r="CF33" s="6"/>
      <c r="CI33" s="6"/>
      <c r="CN33" s="6"/>
      <c r="CO33" s="6"/>
      <c r="CP33" s="6"/>
      <c r="CQ33" s="6"/>
      <c r="CR33" s="6"/>
      <c r="CS33" s="6"/>
      <c r="CU33" s="6"/>
      <c r="CV33" s="6"/>
      <c r="CW33" s="6"/>
    </row>
    <row r="34" spans="2:101">
      <c r="B34">
        <v>6</v>
      </c>
      <c r="C34" s="491" t="s">
        <v>1094</v>
      </c>
      <c r="D34" s="494">
        <v>0.03</v>
      </c>
      <c r="E34" s="495">
        <v>0.03</v>
      </c>
      <c r="F34" s="496">
        <v>0</v>
      </c>
      <c r="H34" s="125">
        <f>D34</f>
        <v>0.03</v>
      </c>
      <c r="I34" s="125">
        <f t="shared" ref="I34:J34" si="21">E34</f>
        <v>0.03</v>
      </c>
      <c r="J34" s="125">
        <f t="shared" si="21"/>
        <v>0</v>
      </c>
      <c r="K34" s="126"/>
      <c r="L34" s="125"/>
      <c r="M34" s="125"/>
      <c r="N34" s="125"/>
      <c r="O34" s="125"/>
      <c r="P34" s="125"/>
      <c r="Q34" s="125">
        <f>D34</f>
        <v>0.03</v>
      </c>
      <c r="R34" s="125">
        <f t="shared" ref="R34:S34" si="22">E34</f>
        <v>0.03</v>
      </c>
      <c r="S34" s="125">
        <f t="shared" si="22"/>
        <v>0</v>
      </c>
      <c r="T34" s="126">
        <f>D34</f>
        <v>0.03</v>
      </c>
      <c r="U34" s="126">
        <f t="shared" ref="U34:V34" si="23">E34</f>
        <v>0.03</v>
      </c>
      <c r="V34" s="126">
        <f t="shared" si="23"/>
        <v>0</v>
      </c>
      <c r="W34" s="126">
        <f>D34</f>
        <v>0.03</v>
      </c>
      <c r="X34" s="126">
        <f t="shared" ref="X34:Y34" si="24">E34</f>
        <v>0.03</v>
      </c>
      <c r="Y34" s="126">
        <f t="shared" si="24"/>
        <v>0</v>
      </c>
      <c r="Z34" s="87"/>
      <c r="AA34" s="125"/>
      <c r="AB34" s="87"/>
      <c r="AD34" s="132"/>
      <c r="AE34" s="125"/>
      <c r="AF34" s="125"/>
      <c r="AG34" s="125"/>
      <c r="AH34" s="87"/>
      <c r="AI34" s="134"/>
      <c r="AJ34" s="87"/>
      <c r="AK34" s="87"/>
      <c r="AL34" s="87"/>
      <c r="AM34" s="87"/>
      <c r="AN34" s="87"/>
      <c r="AO34" s="87"/>
      <c r="AP34" s="87"/>
      <c r="AQ34" s="87"/>
      <c r="AR34" s="87"/>
      <c r="AS34" s="87"/>
      <c r="AT34" s="87"/>
      <c r="AU34" s="87"/>
      <c r="AV34" s="87"/>
      <c r="AW34" s="87"/>
      <c r="AX34" s="87"/>
      <c r="AY34" s="87"/>
      <c r="AZ34" s="87"/>
      <c r="BA34" s="87"/>
      <c r="BB34" s="87"/>
      <c r="BC34" s="87"/>
      <c r="BD34" s="87"/>
      <c r="BE34" s="87"/>
      <c r="BF34" s="125"/>
      <c r="BG34" s="125"/>
      <c r="BH34" s="87"/>
      <c r="BI34" s="87"/>
      <c r="BJ34" s="87"/>
      <c r="BK34" s="87"/>
      <c r="BL34" s="87"/>
      <c r="BM34" s="87"/>
      <c r="BN34" s="87"/>
      <c r="BO34" s="87"/>
      <c r="BP34" s="87"/>
      <c r="BQ34" s="87"/>
      <c r="BR34" s="87"/>
      <c r="BS34" s="87"/>
      <c r="BT34" s="87"/>
      <c r="BU34" s="87"/>
      <c r="BV34" s="87"/>
      <c r="BW34" s="125"/>
      <c r="BX34" s="125"/>
      <c r="BY34" s="87"/>
      <c r="CA34" s="6">
        <f t="shared" si="14"/>
        <v>0.03</v>
      </c>
      <c r="CB34" s="6">
        <f t="shared" si="15"/>
        <v>0.03</v>
      </c>
      <c r="CC34" s="6">
        <f t="shared" si="15"/>
        <v>0</v>
      </c>
      <c r="CD34" s="6">
        <f>D34</f>
        <v>0.03</v>
      </c>
      <c r="CE34" s="6">
        <f t="shared" ref="CE34:CF34" si="25">E34</f>
        <v>0.03</v>
      </c>
      <c r="CF34" s="6">
        <f t="shared" si="25"/>
        <v>0</v>
      </c>
      <c r="CI34" s="6"/>
      <c r="CN34" s="6"/>
      <c r="CO34" s="6"/>
      <c r="CP34" s="6"/>
      <c r="CQ34" s="6"/>
      <c r="CR34" s="6"/>
      <c r="CS34" s="6"/>
      <c r="CU34" s="6"/>
      <c r="CV34" s="6"/>
      <c r="CW34" s="6"/>
    </row>
    <row r="35" spans="2:101">
      <c r="B35">
        <v>7</v>
      </c>
      <c r="C35" s="491" t="s">
        <v>1095</v>
      </c>
      <c r="D35" s="494">
        <v>0</v>
      </c>
      <c r="E35" s="495">
        <v>0.03</v>
      </c>
      <c r="F35" s="496">
        <v>0.03</v>
      </c>
      <c r="H35" s="125">
        <f>D35</f>
        <v>0</v>
      </c>
      <c r="I35" s="125">
        <f t="shared" ref="I35:J35" si="26">E35</f>
        <v>0.03</v>
      </c>
      <c r="J35" s="125">
        <f t="shared" si="26"/>
        <v>0.03</v>
      </c>
      <c r="K35" s="125"/>
      <c r="L35" s="125"/>
      <c r="M35" s="125"/>
      <c r="N35" s="125"/>
      <c r="O35" s="125"/>
      <c r="P35" s="125"/>
      <c r="Q35" s="125"/>
      <c r="R35" s="125"/>
      <c r="S35" s="125"/>
      <c r="T35" s="125"/>
      <c r="U35" s="125"/>
      <c r="V35" s="125"/>
      <c r="W35" s="125"/>
      <c r="X35" s="125"/>
      <c r="Y35" s="132"/>
      <c r="Z35" s="87"/>
      <c r="AA35" s="125"/>
      <c r="AB35" s="87"/>
      <c r="AD35" s="132"/>
      <c r="AE35" s="125"/>
      <c r="AF35" s="125"/>
      <c r="AG35" s="125"/>
      <c r="AH35" s="87"/>
      <c r="AI35" s="134"/>
      <c r="AJ35" s="87"/>
      <c r="AK35" s="87"/>
      <c r="AL35" s="87"/>
      <c r="AM35" s="87"/>
      <c r="AN35" s="87"/>
      <c r="AO35" s="87"/>
      <c r="AP35" s="87"/>
      <c r="AQ35" s="87"/>
      <c r="AR35" s="87"/>
      <c r="AS35" s="87"/>
      <c r="AT35" s="87"/>
      <c r="AU35" s="87"/>
      <c r="AV35" s="87"/>
      <c r="AW35" s="87"/>
      <c r="AX35" s="87"/>
      <c r="AY35" s="87"/>
      <c r="AZ35" s="87"/>
      <c r="BA35" s="87"/>
      <c r="BB35" s="87"/>
      <c r="BC35" s="87"/>
      <c r="BD35" s="87"/>
      <c r="BE35" s="87"/>
      <c r="BF35" s="125"/>
      <c r="BG35" s="125"/>
      <c r="BH35" s="87"/>
      <c r="BI35" s="87"/>
      <c r="BJ35" s="87"/>
      <c r="BK35" s="87"/>
      <c r="BL35" s="87"/>
      <c r="BM35" s="87"/>
      <c r="BN35" s="87"/>
      <c r="BO35" s="87"/>
      <c r="BP35" s="87"/>
      <c r="BQ35" s="87"/>
      <c r="BR35" s="87"/>
      <c r="BS35" s="87"/>
      <c r="BT35" s="87"/>
      <c r="BU35" s="87"/>
      <c r="BV35" s="87"/>
      <c r="BW35" s="125"/>
      <c r="BX35" s="125"/>
      <c r="BY35" s="87"/>
      <c r="CD35" s="6"/>
      <c r="CF35" s="6"/>
      <c r="CI35" s="6"/>
      <c r="CN35" s="6"/>
      <c r="CO35" s="6"/>
      <c r="CP35" s="6"/>
      <c r="CQ35" s="6"/>
      <c r="CR35" s="6"/>
      <c r="CS35" s="6"/>
      <c r="CU35" s="6"/>
      <c r="CV35" s="6"/>
      <c r="CW35" s="6"/>
    </row>
    <row r="36" spans="2:101">
      <c r="B36">
        <v>8</v>
      </c>
      <c r="C36" s="491" t="s">
        <v>1096</v>
      </c>
      <c r="D36" s="494">
        <v>0</v>
      </c>
      <c r="E36" s="495">
        <v>0.03</v>
      </c>
      <c r="F36" s="496">
        <v>0.03</v>
      </c>
      <c r="H36" s="87"/>
      <c r="I36" s="125"/>
      <c r="J36" s="125"/>
      <c r="K36" s="125"/>
      <c r="L36" s="125"/>
      <c r="M36" s="125"/>
      <c r="N36" s="125">
        <f>D36</f>
        <v>0</v>
      </c>
      <c r="O36" s="125">
        <f t="shared" ref="O36:P37" si="27">E36</f>
        <v>0.03</v>
      </c>
      <c r="P36" s="125">
        <f t="shared" si="27"/>
        <v>0.03</v>
      </c>
      <c r="Q36" s="125"/>
      <c r="R36" s="125"/>
      <c r="S36" s="125"/>
      <c r="T36" s="125"/>
      <c r="U36" s="125"/>
      <c r="V36" s="125"/>
      <c r="W36" s="125"/>
      <c r="X36" s="125"/>
      <c r="Y36" s="132"/>
      <c r="Z36" s="87"/>
      <c r="AA36" s="125"/>
      <c r="AB36" s="87"/>
      <c r="AD36" s="132"/>
      <c r="AE36" s="125"/>
      <c r="AF36" s="125"/>
      <c r="AG36" s="125"/>
      <c r="AH36" s="87"/>
      <c r="AI36" s="134"/>
      <c r="AJ36" s="87"/>
      <c r="AK36" s="87"/>
      <c r="AL36" s="87"/>
      <c r="AM36" s="87"/>
      <c r="AN36" s="87"/>
      <c r="AO36" s="87"/>
      <c r="AP36" s="87"/>
      <c r="AQ36" s="87"/>
      <c r="AR36" s="87"/>
      <c r="AS36" s="87"/>
      <c r="AT36" s="87"/>
      <c r="AU36" s="87"/>
      <c r="AV36" s="87"/>
      <c r="AW36" s="87"/>
      <c r="AX36" s="87"/>
      <c r="AY36" s="87"/>
      <c r="AZ36" s="87"/>
      <c r="BA36" s="87"/>
      <c r="BB36" s="87"/>
      <c r="BC36" s="87"/>
      <c r="BD36" s="87"/>
      <c r="BE36" s="87"/>
      <c r="BF36" s="125"/>
      <c r="BG36" s="125"/>
      <c r="BH36" s="87"/>
      <c r="BI36" s="87"/>
      <c r="BJ36" s="87"/>
      <c r="BK36" s="87"/>
      <c r="BL36" s="87"/>
      <c r="BM36" s="87"/>
      <c r="BN36" s="87"/>
      <c r="BO36" s="87"/>
      <c r="BP36" s="87"/>
      <c r="BQ36" s="87"/>
      <c r="BR36" s="87"/>
      <c r="BS36" s="87"/>
      <c r="BT36" s="87"/>
      <c r="BU36" s="87"/>
      <c r="BV36" s="87"/>
      <c r="BW36" s="125"/>
      <c r="BX36" s="125"/>
      <c r="BY36" s="87"/>
      <c r="CD36" s="6"/>
      <c r="CF36" s="6"/>
      <c r="CI36" s="6"/>
      <c r="CN36" s="6"/>
      <c r="CO36" s="6"/>
      <c r="CP36" s="6"/>
      <c r="CQ36" s="6"/>
      <c r="CR36" s="6"/>
      <c r="CS36" s="6"/>
      <c r="CU36" s="6"/>
      <c r="CV36" s="6"/>
      <c r="CW36" s="6"/>
    </row>
    <row r="37" spans="2:101">
      <c r="B37">
        <v>9</v>
      </c>
      <c r="C37" s="497" t="s">
        <v>1087</v>
      </c>
      <c r="D37" s="494">
        <v>0.02</v>
      </c>
      <c r="E37" s="495">
        <v>0.02</v>
      </c>
      <c r="F37" s="496">
        <v>0</v>
      </c>
      <c r="H37" s="125">
        <f>D37</f>
        <v>0.02</v>
      </c>
      <c r="I37" s="125">
        <f t="shared" ref="I37:J37" si="28">E37</f>
        <v>0.02</v>
      </c>
      <c r="J37" s="125">
        <f t="shared" si="28"/>
        <v>0</v>
      </c>
      <c r="K37" s="126"/>
      <c r="L37" s="125"/>
      <c r="M37" s="125"/>
      <c r="N37" s="125">
        <f>D37</f>
        <v>0.02</v>
      </c>
      <c r="O37" s="125">
        <f t="shared" si="27"/>
        <v>0.02</v>
      </c>
      <c r="P37" s="125">
        <f t="shared" si="27"/>
        <v>0</v>
      </c>
      <c r="Q37" s="126"/>
      <c r="R37" s="125"/>
      <c r="S37" s="125"/>
      <c r="T37" s="125"/>
      <c r="U37" s="125"/>
      <c r="V37" s="125"/>
      <c r="W37" s="125"/>
      <c r="X37" s="125"/>
      <c r="Y37" s="132"/>
      <c r="Z37" s="87"/>
      <c r="AA37" s="125"/>
      <c r="AB37" s="87"/>
      <c r="AD37" s="132"/>
      <c r="AE37" s="125"/>
      <c r="AF37" s="125"/>
      <c r="AG37" s="125"/>
      <c r="AH37" s="87"/>
      <c r="AI37" s="134"/>
      <c r="AJ37" s="87"/>
      <c r="AK37" s="87"/>
      <c r="AL37" s="87"/>
      <c r="AM37" s="87"/>
      <c r="AN37" s="87"/>
      <c r="AO37" s="87"/>
      <c r="AP37" s="87"/>
      <c r="AQ37" s="87"/>
      <c r="AR37" s="87"/>
      <c r="AS37" s="87"/>
      <c r="AT37" s="87"/>
      <c r="AU37" s="87"/>
      <c r="AV37" s="87"/>
      <c r="AW37" s="87"/>
      <c r="AX37" s="87"/>
      <c r="AY37" s="87"/>
      <c r="AZ37" s="87"/>
      <c r="BA37" s="87"/>
      <c r="BB37" s="87"/>
      <c r="BC37" s="87"/>
      <c r="BD37" s="87"/>
      <c r="BE37" s="87"/>
      <c r="BF37" s="125"/>
      <c r="BG37" s="125"/>
      <c r="BH37" s="87"/>
      <c r="BI37" s="87"/>
      <c r="BJ37" s="87"/>
      <c r="BK37" s="87"/>
      <c r="BL37" s="87"/>
      <c r="BM37" s="87"/>
      <c r="BN37" s="87"/>
      <c r="BO37" s="87"/>
      <c r="BP37" s="87"/>
      <c r="BQ37" s="87"/>
      <c r="BR37" s="87"/>
      <c r="BS37" s="87"/>
      <c r="BT37" s="87"/>
      <c r="BU37" s="87"/>
      <c r="BV37" s="87"/>
      <c r="BW37" s="125"/>
      <c r="BX37" s="125"/>
      <c r="BY37" s="87"/>
      <c r="CA37" s="6">
        <f>D37</f>
        <v>0.02</v>
      </c>
      <c r="CB37" s="6">
        <f t="shared" ref="CB37:CC37" si="29">E37</f>
        <v>0.02</v>
      </c>
      <c r="CC37" s="6">
        <f t="shared" si="29"/>
        <v>0</v>
      </c>
      <c r="CD37" s="6">
        <f>D37</f>
        <v>0.02</v>
      </c>
      <c r="CE37" s="6">
        <f t="shared" ref="CE37:CF37" si="30">E37</f>
        <v>0.02</v>
      </c>
      <c r="CF37" s="6">
        <f t="shared" si="30"/>
        <v>0</v>
      </c>
      <c r="CG37" s="6">
        <f>D37</f>
        <v>0.02</v>
      </c>
      <c r="CH37" s="6">
        <f t="shared" ref="CH37:CI37" si="31">E37</f>
        <v>0.02</v>
      </c>
      <c r="CI37" s="6">
        <f t="shared" si="31"/>
        <v>0</v>
      </c>
      <c r="CN37" s="6"/>
      <c r="CO37" s="6"/>
      <c r="CP37" s="6"/>
      <c r="CQ37" s="6"/>
      <c r="CR37" s="6"/>
      <c r="CS37" s="6"/>
      <c r="CU37" s="6"/>
      <c r="CV37" s="6"/>
      <c r="CW37" s="6"/>
    </row>
    <row r="38" spans="2:101" s="50" customFormat="1">
      <c r="C38" s="491"/>
      <c r="D38" s="494"/>
      <c r="E38" s="495"/>
      <c r="F38" s="494"/>
      <c r="H38" s="128"/>
      <c r="I38" s="126"/>
      <c r="J38" s="126"/>
      <c r="K38" s="126"/>
      <c r="L38" s="126"/>
      <c r="M38" s="126"/>
      <c r="N38" s="126"/>
      <c r="O38" s="126"/>
      <c r="P38" s="126"/>
      <c r="Q38" s="126"/>
      <c r="R38" s="126"/>
      <c r="S38" s="126"/>
      <c r="T38" s="126"/>
      <c r="U38" s="126"/>
      <c r="V38" s="126"/>
      <c r="W38" s="126"/>
      <c r="X38" s="126"/>
      <c r="Y38" s="353"/>
      <c r="Z38" s="128"/>
      <c r="AA38" s="126"/>
      <c r="AB38" s="128"/>
      <c r="AD38" s="353"/>
      <c r="AE38" s="126"/>
      <c r="AF38" s="126"/>
      <c r="AG38" s="126"/>
      <c r="AH38" s="128"/>
      <c r="AI38" s="404"/>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6"/>
      <c r="BG38" s="126"/>
      <c r="BH38" s="128"/>
      <c r="BI38" s="128"/>
      <c r="BJ38" s="128"/>
      <c r="BK38" s="128"/>
      <c r="BL38" s="128"/>
      <c r="BM38" s="128"/>
      <c r="BN38" s="128"/>
      <c r="BO38" s="128"/>
      <c r="BP38" s="128"/>
      <c r="BQ38" s="128"/>
      <c r="BR38" s="128"/>
      <c r="BS38" s="128"/>
      <c r="BT38" s="128"/>
      <c r="BU38" s="128"/>
      <c r="BV38" s="128"/>
      <c r="BW38" s="126"/>
      <c r="BX38" s="126"/>
      <c r="BY38" s="128"/>
      <c r="CD38" s="357"/>
      <c r="CF38" s="357"/>
      <c r="CI38" s="357"/>
      <c r="CN38" s="357">
        <f>D38</f>
        <v>0</v>
      </c>
      <c r="CO38" s="357">
        <f t="shared" ref="CO38:CP38" si="32">E38</f>
        <v>0</v>
      </c>
      <c r="CP38" s="357">
        <f t="shared" si="32"/>
        <v>0</v>
      </c>
      <c r="CQ38" s="357">
        <f>D38</f>
        <v>0</v>
      </c>
      <c r="CR38" s="357">
        <f t="shared" ref="CR38:CS38" si="33">E38</f>
        <v>0</v>
      </c>
      <c r="CS38" s="357">
        <f t="shared" si="33"/>
        <v>0</v>
      </c>
      <c r="CU38" s="357"/>
      <c r="CV38" s="357"/>
      <c r="CW38" s="357"/>
    </row>
    <row r="39" spans="2:101">
      <c r="C39" s="491"/>
      <c r="D39" s="494"/>
      <c r="E39" s="495"/>
      <c r="F39" s="494"/>
      <c r="H39" s="87"/>
      <c r="I39" s="125"/>
      <c r="J39" s="125"/>
      <c r="K39" s="125"/>
      <c r="L39" s="125"/>
      <c r="M39" s="125"/>
      <c r="N39" s="125"/>
      <c r="O39" s="125"/>
      <c r="P39" s="125"/>
      <c r="Q39" s="125"/>
      <c r="R39" s="125"/>
      <c r="S39" s="125"/>
      <c r="T39" s="125"/>
      <c r="U39" s="125"/>
      <c r="V39" s="125"/>
      <c r="W39" s="125"/>
      <c r="X39" s="125"/>
      <c r="Y39" s="132"/>
      <c r="Z39" s="87"/>
      <c r="AA39" s="125"/>
      <c r="AB39" s="87"/>
      <c r="AD39" s="132"/>
      <c r="AE39" s="125"/>
      <c r="AF39" s="125"/>
      <c r="AG39" s="125"/>
      <c r="AH39" s="87"/>
      <c r="AI39" s="134"/>
      <c r="AJ39" s="87"/>
      <c r="AK39" s="87"/>
      <c r="AL39" s="87"/>
      <c r="AM39" s="87"/>
      <c r="AN39" s="87"/>
      <c r="AO39" s="87"/>
      <c r="AP39" s="87"/>
      <c r="AQ39" s="87"/>
      <c r="AR39" s="87"/>
      <c r="AS39" s="87"/>
      <c r="AT39" s="87"/>
      <c r="AU39" s="87"/>
      <c r="AV39" s="87"/>
      <c r="AW39" s="87"/>
      <c r="AX39" s="87"/>
      <c r="AY39" s="87"/>
      <c r="AZ39" s="87"/>
      <c r="BA39" s="87"/>
      <c r="BB39" s="87"/>
      <c r="BC39" s="87"/>
      <c r="BD39" s="87"/>
      <c r="BE39" s="87"/>
      <c r="BF39" s="125"/>
      <c r="BG39" s="125"/>
      <c r="BH39" s="87"/>
      <c r="BI39" s="87"/>
      <c r="BJ39" s="87"/>
      <c r="BK39" s="87"/>
      <c r="BL39" s="87"/>
      <c r="BM39" s="87"/>
      <c r="BN39" s="87"/>
      <c r="BO39" s="87"/>
      <c r="BP39" s="87"/>
      <c r="BQ39" s="87"/>
      <c r="BR39" s="87"/>
      <c r="BS39" s="87"/>
      <c r="BT39" s="87"/>
      <c r="BU39" s="87"/>
      <c r="BV39" s="87"/>
      <c r="BW39" s="125"/>
      <c r="BX39" s="125"/>
      <c r="BY39" s="87"/>
      <c r="CD39" s="6"/>
      <c r="CF39" s="6"/>
      <c r="CI39" s="6"/>
      <c r="CN39" s="6"/>
      <c r="CO39" s="6"/>
      <c r="CP39" s="6"/>
      <c r="CQ39" s="6"/>
      <c r="CR39" s="6"/>
      <c r="CS39" s="6"/>
      <c r="CU39" s="6"/>
      <c r="CV39" s="6"/>
      <c r="CW39" s="6"/>
    </row>
    <row r="40" spans="2:101" s="1" customFormat="1">
      <c r="C40" s="11"/>
      <c r="D40" s="22">
        <f>SUM(D29:D39)</f>
        <v>0.25</v>
      </c>
      <c r="E40" s="22">
        <f>SUM(E29:E39)</f>
        <v>0.31000000000000005</v>
      </c>
      <c r="F40" s="22">
        <f>SUM(F29:F39)</f>
        <v>0.06</v>
      </c>
      <c r="H40" s="139">
        <f>SUM(H29:H39)</f>
        <v>0.16</v>
      </c>
      <c r="I40" s="139">
        <f>SUM(I29:I39)</f>
        <v>0.19</v>
      </c>
      <c r="J40" s="139">
        <f>SUM(J29:J39)</f>
        <v>0.03</v>
      </c>
      <c r="K40" s="139"/>
      <c r="L40" s="139">
        <f t="shared" ref="L40:Q40" si="34">SUM(L29:L39)</f>
        <v>0.09</v>
      </c>
      <c r="M40" s="139">
        <f t="shared" si="34"/>
        <v>0</v>
      </c>
      <c r="N40" s="139">
        <f t="shared" si="34"/>
        <v>0.13</v>
      </c>
      <c r="O40" s="139">
        <f t="shared" si="34"/>
        <v>0.16</v>
      </c>
      <c r="P40" s="139">
        <f t="shared" si="34"/>
        <v>0.03</v>
      </c>
      <c r="Q40" s="139">
        <f t="shared" si="34"/>
        <v>0.03</v>
      </c>
      <c r="R40" s="139">
        <f>SUM(R28:R39)</f>
        <v>0.03</v>
      </c>
      <c r="S40" s="139">
        <f>SUM(S29:S39)</f>
        <v>0</v>
      </c>
      <c r="T40" s="139">
        <f>SUM(T29:T39)</f>
        <v>0.14000000000000001</v>
      </c>
      <c r="U40" s="139">
        <f>SUM(U29:U39)</f>
        <v>0.14000000000000001</v>
      </c>
      <c r="V40" s="139">
        <f>SUM(V29:V39)</f>
        <v>0</v>
      </c>
      <c r="W40" s="139" t="e">
        <f>SUM(#REF!)</f>
        <v>#REF!</v>
      </c>
      <c r="X40" s="139">
        <f>SUM(X29:X39)</f>
        <v>0.14000000000000001</v>
      </c>
      <c r="Y40" s="358">
        <f>SUM(Y28:Y39)</f>
        <v>0</v>
      </c>
      <c r="Z40" s="139">
        <f>SUM(Z29:Z39)</f>
        <v>0.11</v>
      </c>
      <c r="AA40" s="139">
        <f>SUM(AA28:AA39)</f>
        <v>0.11</v>
      </c>
      <c r="AB40" s="139">
        <f>SUM(AB29:AB39)</f>
        <v>0</v>
      </c>
      <c r="AD40" s="358">
        <f>SUM(AD29:AD39)</f>
        <v>0</v>
      </c>
      <c r="AE40" s="139">
        <f>SUM(AE29:AE39)</f>
        <v>0</v>
      </c>
      <c r="AF40" s="139">
        <f>SUM(AF29:AF39)</f>
        <v>0</v>
      </c>
      <c r="AG40" s="139"/>
      <c r="AH40" s="351"/>
      <c r="AI40" s="356"/>
      <c r="AJ40" s="351"/>
      <c r="AK40" s="351"/>
      <c r="AL40" s="351"/>
      <c r="AM40" s="351"/>
      <c r="AN40" s="351"/>
      <c r="AO40" s="351"/>
      <c r="AP40" s="351"/>
      <c r="AQ40" s="351"/>
      <c r="AR40" s="351"/>
      <c r="AS40" s="351"/>
      <c r="AT40" s="351"/>
      <c r="AU40" s="351"/>
      <c r="AV40" s="351"/>
      <c r="AW40" s="351"/>
      <c r="AX40" s="351"/>
      <c r="AY40" s="351"/>
      <c r="AZ40" s="351"/>
      <c r="BA40" s="351"/>
      <c r="BB40" s="351"/>
      <c r="BC40" s="351"/>
      <c r="BD40" s="351"/>
      <c r="BE40" s="139">
        <f>SUM(BE29:BE39)</f>
        <v>0</v>
      </c>
      <c r="BF40" s="139">
        <f>SUM(BF29:BF39)</f>
        <v>0</v>
      </c>
      <c r="BG40" s="139">
        <f>SUM(BG29:BG39)</f>
        <v>0</v>
      </c>
      <c r="BH40" s="351"/>
      <c r="BI40" s="351"/>
      <c r="BJ40" s="351"/>
      <c r="BK40" s="351"/>
      <c r="BL40" s="351"/>
      <c r="BM40" s="351"/>
      <c r="BN40" s="351"/>
      <c r="BO40" s="351"/>
      <c r="BP40" s="351"/>
      <c r="BQ40" s="351"/>
      <c r="BR40" s="351"/>
      <c r="BS40" s="351"/>
      <c r="BT40" s="351"/>
      <c r="BU40" s="351"/>
      <c r="BV40" s="351"/>
      <c r="BW40" s="139">
        <f>SUM(BW29:BW39)</f>
        <v>0</v>
      </c>
      <c r="BX40" s="139">
        <f>SUM(BX29:BX39)</f>
        <v>0</v>
      </c>
      <c r="BY40" s="351">
        <f>SUM(BY29:BY39)</f>
        <v>0</v>
      </c>
      <c r="CA40" s="33">
        <f>SUM(CA29:CA39)</f>
        <v>0.25</v>
      </c>
      <c r="CB40" s="33">
        <f>SUM(CB29:CB39)</f>
        <v>0.25</v>
      </c>
      <c r="CC40" s="33">
        <f>SUM(CC29:CC39)</f>
        <v>0</v>
      </c>
      <c r="CD40" s="33">
        <f>SUM(CD28:CD39)</f>
        <v>0.16</v>
      </c>
      <c r="CE40" s="33">
        <f>SUM(CE29:CE39)</f>
        <v>0.16</v>
      </c>
      <c r="CF40" s="33">
        <f>SUM(CF28:CF39)</f>
        <v>0</v>
      </c>
      <c r="CG40" s="33">
        <f t="shared" ref="CG40:CL40" si="35">SUM(CG29:CG39)</f>
        <v>0.13</v>
      </c>
      <c r="CH40" s="33">
        <f t="shared" si="35"/>
        <v>0.13</v>
      </c>
      <c r="CI40" s="33">
        <f t="shared" si="35"/>
        <v>0</v>
      </c>
      <c r="CJ40" s="33">
        <f t="shared" si="35"/>
        <v>0.11</v>
      </c>
      <c r="CK40" s="33">
        <f t="shared" si="35"/>
        <v>0.11</v>
      </c>
      <c r="CL40" s="33">
        <f t="shared" si="35"/>
        <v>0</v>
      </c>
      <c r="CN40" s="33">
        <f t="shared" ref="CN40:CS40" si="36">SUM(CN29:CN39)</f>
        <v>0</v>
      </c>
      <c r="CO40" s="33">
        <f t="shared" si="36"/>
        <v>0</v>
      </c>
      <c r="CP40" s="33">
        <f t="shared" si="36"/>
        <v>0</v>
      </c>
      <c r="CQ40" s="33">
        <f t="shared" si="36"/>
        <v>0</v>
      </c>
      <c r="CR40" s="33">
        <f t="shared" si="36"/>
        <v>0</v>
      </c>
      <c r="CS40" s="33">
        <f t="shared" si="36"/>
        <v>0</v>
      </c>
      <c r="CU40" s="33">
        <f>SUM(CU29:CU39)</f>
        <v>0</v>
      </c>
      <c r="CV40" s="33">
        <f>SUM(CV29:CV39)</f>
        <v>0</v>
      </c>
      <c r="CW40" s="33">
        <f>SUM(CW29:CW39)</f>
        <v>0</v>
      </c>
    </row>
    <row r="41" spans="2:101">
      <c r="C41" s="11"/>
      <c r="D41" s="18"/>
      <c r="E41" s="479">
        <f>D40-E40</f>
        <v>-6.0000000000000053E-2</v>
      </c>
      <c r="F41" s="467">
        <f>E40-F40</f>
        <v>0.25000000000000006</v>
      </c>
      <c r="H41" s="87"/>
      <c r="I41" s="87"/>
      <c r="J41" s="87"/>
      <c r="K41" s="87"/>
      <c r="L41" s="87"/>
      <c r="M41" s="87"/>
      <c r="N41" s="87"/>
      <c r="O41" s="87"/>
      <c r="P41" s="87"/>
      <c r="Q41" s="87"/>
      <c r="R41" s="87"/>
      <c r="S41" s="87"/>
      <c r="T41" s="87"/>
      <c r="U41" s="87"/>
      <c r="V41" s="87"/>
      <c r="W41" s="87"/>
      <c r="X41" s="87"/>
      <c r="Y41" s="134"/>
      <c r="Z41" s="87"/>
      <c r="AA41" s="87"/>
      <c r="AB41" s="87"/>
      <c r="AD41" s="134"/>
      <c r="AE41" s="87"/>
      <c r="AF41" s="87"/>
      <c r="AG41" s="87"/>
      <c r="AH41" s="87"/>
      <c r="AI41" s="134"/>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CA41" s="6"/>
      <c r="CB41" s="6"/>
      <c r="CC41" s="6"/>
      <c r="CD41" s="6"/>
      <c r="CE41" s="6"/>
      <c r="CF41" s="6"/>
      <c r="CH41" s="6"/>
      <c r="CI41" s="6"/>
      <c r="CJ41" s="6"/>
      <c r="CK41" s="6"/>
      <c r="CL41" s="6"/>
    </row>
    <row r="42" spans="2:101">
      <c r="C42" s="11"/>
      <c r="D42" s="18"/>
      <c r="E42" s="21"/>
      <c r="F42" s="15"/>
      <c r="H42" s="87"/>
      <c r="I42" s="87"/>
      <c r="J42" s="87"/>
      <c r="K42" s="87"/>
      <c r="L42" s="87"/>
      <c r="M42" s="87"/>
      <c r="N42" s="87"/>
      <c r="O42" s="87"/>
      <c r="P42" s="87"/>
      <c r="Q42" s="87"/>
      <c r="R42" s="87"/>
      <c r="S42" s="87"/>
      <c r="T42" s="87"/>
      <c r="U42" s="87"/>
      <c r="V42" s="87"/>
      <c r="W42" s="87"/>
      <c r="X42" s="87"/>
      <c r="Y42" s="134"/>
      <c r="Z42" s="87"/>
      <c r="AA42" s="87"/>
      <c r="AB42" s="87"/>
      <c r="AD42" s="134"/>
      <c r="AE42" s="87"/>
      <c r="AF42" s="87"/>
      <c r="AG42" s="87"/>
      <c r="AH42" s="87"/>
      <c r="AI42" s="134"/>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row>
    <row r="43" spans="2:101">
      <c r="C43" s="12" t="s">
        <v>422</v>
      </c>
      <c r="D43" s="15" t="s">
        <v>1097</v>
      </c>
      <c r="E43" s="15"/>
      <c r="F43" s="18"/>
      <c r="H43" s="87"/>
      <c r="I43" s="87"/>
      <c r="J43" s="87"/>
      <c r="K43" s="87"/>
      <c r="L43" s="87"/>
      <c r="M43" s="87"/>
      <c r="N43" s="87"/>
      <c r="O43" s="87"/>
      <c r="P43" s="87"/>
      <c r="Q43" s="87"/>
      <c r="R43" s="87"/>
      <c r="S43" s="87"/>
      <c r="T43" s="87"/>
      <c r="U43" s="87"/>
      <c r="V43" s="87"/>
      <c r="W43" s="87"/>
      <c r="X43" s="87"/>
      <c r="Y43" s="134"/>
      <c r="Z43" s="87"/>
      <c r="AA43" s="87"/>
      <c r="AB43" s="87"/>
      <c r="AD43" s="134"/>
      <c r="AE43" s="87"/>
      <c r="AF43" s="87"/>
      <c r="AG43" s="87"/>
      <c r="AH43" s="87"/>
      <c r="AI43" s="134"/>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row>
    <row r="44" spans="2:101">
      <c r="C44" s="11"/>
      <c r="D44" s="15"/>
      <c r="E44" s="15"/>
      <c r="F44" s="15"/>
      <c r="H44" s="87"/>
      <c r="I44" s="87"/>
      <c r="J44" s="87"/>
      <c r="K44" s="87"/>
      <c r="L44" s="87"/>
      <c r="M44" s="87"/>
      <c r="N44" s="87"/>
      <c r="O44" s="87"/>
      <c r="P44" s="87"/>
      <c r="Q44" s="87"/>
      <c r="R44" s="87"/>
      <c r="S44" s="87"/>
      <c r="T44" s="87"/>
      <c r="U44" s="87"/>
      <c r="V44" s="87"/>
      <c r="W44" s="87"/>
      <c r="X44" s="87"/>
      <c r="Y44" s="134"/>
      <c r="Z44" s="87"/>
      <c r="AA44" s="87"/>
      <c r="AB44" s="87"/>
      <c r="AD44" s="134"/>
      <c r="AE44" s="87"/>
      <c r="AF44" s="87"/>
      <c r="AG44" s="87"/>
      <c r="AH44" s="87"/>
      <c r="AI44" s="134"/>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row>
    <row r="45" spans="2:101">
      <c r="C45" s="11" t="s">
        <v>359</v>
      </c>
      <c r="D45" s="15"/>
      <c r="E45" s="15"/>
      <c r="F45" s="15"/>
      <c r="H45" s="87"/>
      <c r="I45" s="87"/>
      <c r="J45" s="87"/>
      <c r="K45" s="87"/>
      <c r="L45" s="87"/>
      <c r="M45" s="87"/>
      <c r="N45" s="87"/>
      <c r="O45" s="87"/>
      <c r="P45" s="87"/>
      <c r="Q45" s="87"/>
      <c r="R45" s="87"/>
      <c r="S45" s="87"/>
      <c r="T45" s="87"/>
      <c r="U45" s="87"/>
      <c r="V45" s="87"/>
      <c r="W45" s="87"/>
      <c r="X45" s="87"/>
      <c r="Y45" s="134"/>
      <c r="Z45" s="87"/>
      <c r="AA45" s="87"/>
      <c r="AB45" s="87"/>
      <c r="AD45" s="134"/>
      <c r="AE45" s="87"/>
      <c r="AF45" s="87"/>
      <c r="AG45" s="87"/>
      <c r="AH45" s="87"/>
      <c r="AI45" s="134"/>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row>
    <row r="46" spans="2:101">
      <c r="C46" s="11" t="s">
        <v>360</v>
      </c>
      <c r="D46" s="15"/>
      <c r="E46" s="15"/>
      <c r="F46" s="15"/>
      <c r="H46" s="87"/>
      <c r="I46" s="87"/>
      <c r="J46" s="87"/>
      <c r="K46" s="87"/>
      <c r="L46" s="87"/>
      <c r="M46" s="87"/>
      <c r="N46" s="87"/>
      <c r="O46" s="87"/>
      <c r="P46" s="87"/>
      <c r="Q46" s="87"/>
      <c r="R46" s="87"/>
      <c r="S46" s="87"/>
      <c r="T46" s="87"/>
      <c r="U46" s="87"/>
      <c r="V46" s="87"/>
      <c r="W46" s="87"/>
      <c r="X46" s="87"/>
      <c r="Y46" s="134"/>
      <c r="Z46" s="87"/>
      <c r="AA46" s="87"/>
      <c r="AB46" s="87"/>
      <c r="AD46" s="134"/>
      <c r="AE46" s="87"/>
      <c r="AF46" s="87"/>
      <c r="AG46" s="87"/>
      <c r="AH46" s="87"/>
      <c r="AI46" s="134"/>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row>
    <row r="47" spans="2:101">
      <c r="C47" s="11" t="s">
        <v>361</v>
      </c>
      <c r="D47" s="15"/>
      <c r="E47" s="15"/>
      <c r="F47" s="15"/>
      <c r="H47" s="87"/>
      <c r="I47" s="87"/>
      <c r="J47" s="87"/>
      <c r="K47" s="87"/>
      <c r="L47" s="87"/>
      <c r="M47" s="87"/>
      <c r="N47" s="87"/>
      <c r="O47" s="87"/>
      <c r="P47" s="87"/>
      <c r="Q47" s="87"/>
      <c r="R47" s="87"/>
      <c r="S47" s="87"/>
      <c r="T47" s="87"/>
      <c r="U47" s="87"/>
      <c r="V47" s="87"/>
      <c r="W47" s="87"/>
      <c r="X47" s="87"/>
      <c r="Y47" s="134"/>
      <c r="Z47" s="87"/>
      <c r="AA47" s="87"/>
      <c r="AB47" s="87"/>
      <c r="AD47" s="134"/>
      <c r="AE47" s="87"/>
      <c r="AF47" s="87"/>
      <c r="AG47" s="87"/>
      <c r="AH47" s="87"/>
      <c r="AI47" s="134"/>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row>
    <row r="48" spans="2:101">
      <c r="C48" s="11" t="s">
        <v>362</v>
      </c>
      <c r="D48" s="15"/>
      <c r="E48" s="15"/>
      <c r="F48" s="15"/>
      <c r="H48" s="87"/>
      <c r="I48" s="87"/>
      <c r="J48" s="87"/>
      <c r="K48" s="87"/>
      <c r="L48" s="87"/>
      <c r="M48" s="87"/>
      <c r="N48" s="87"/>
      <c r="O48" s="87"/>
      <c r="P48" s="87"/>
      <c r="Q48" s="87"/>
      <c r="R48" s="87"/>
      <c r="S48" s="87"/>
      <c r="T48" s="87"/>
      <c r="U48" s="87"/>
      <c r="V48" s="87"/>
      <c r="W48" s="87"/>
      <c r="X48" s="87"/>
      <c r="Y48" s="134"/>
      <c r="Z48" s="87"/>
      <c r="AA48" s="87"/>
      <c r="AB48" s="87"/>
      <c r="AD48" s="134"/>
      <c r="AE48" s="87"/>
      <c r="AF48" s="87"/>
      <c r="AG48" s="87"/>
      <c r="AH48" s="87"/>
      <c r="AI48" s="134"/>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row>
    <row r="49" spans="2:77">
      <c r="C49" s="11" t="s">
        <v>363</v>
      </c>
      <c r="D49" s="15"/>
      <c r="E49" s="15"/>
      <c r="F49" s="15"/>
      <c r="H49" s="87"/>
      <c r="I49" s="87"/>
      <c r="J49" s="87"/>
      <c r="K49" s="87"/>
      <c r="L49" s="87"/>
      <c r="M49" s="87"/>
      <c r="N49" s="87"/>
      <c r="O49" s="87"/>
      <c r="P49" s="87"/>
      <c r="Q49" s="87"/>
      <c r="R49" s="87"/>
      <c r="S49" s="87"/>
      <c r="T49" s="87"/>
      <c r="U49" s="87"/>
      <c r="V49" s="87"/>
      <c r="W49" s="87"/>
      <c r="X49" s="87"/>
      <c r="Y49" s="134"/>
      <c r="Z49" s="87"/>
      <c r="AA49" s="87"/>
      <c r="AB49" s="87"/>
      <c r="AD49" s="134"/>
      <c r="AE49" s="87"/>
      <c r="AF49" s="87"/>
      <c r="AG49" s="87"/>
      <c r="AH49" s="87"/>
      <c r="AI49" s="134"/>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row>
    <row r="50" spans="2:77" s="100" customFormat="1">
      <c r="C50" s="109"/>
      <c r="D50" s="110"/>
      <c r="E50" s="110"/>
      <c r="F50" s="110"/>
      <c r="H50" s="332"/>
      <c r="I50" s="332"/>
      <c r="J50" s="332"/>
      <c r="K50" s="332"/>
      <c r="L50" s="332"/>
      <c r="M50" s="332"/>
      <c r="N50" s="332"/>
      <c r="O50" s="332"/>
      <c r="P50" s="332"/>
      <c r="Q50" s="332"/>
      <c r="R50" s="332"/>
      <c r="S50" s="332"/>
      <c r="T50" s="332"/>
      <c r="U50" s="332"/>
      <c r="V50" s="332"/>
      <c r="W50" s="332"/>
      <c r="X50" s="332"/>
      <c r="Y50" s="352"/>
      <c r="Z50" s="332"/>
      <c r="AA50" s="332"/>
      <c r="AB50" s="332"/>
      <c r="AD50" s="352"/>
      <c r="AE50" s="332"/>
      <c r="AF50" s="332"/>
      <c r="AG50" s="332"/>
      <c r="AH50" s="332"/>
      <c r="AI50" s="352"/>
      <c r="AJ50" s="332"/>
      <c r="AK50" s="332"/>
      <c r="AL50" s="332"/>
      <c r="AM50" s="332"/>
      <c r="AN50" s="332"/>
      <c r="AO50" s="332"/>
      <c r="AP50" s="332"/>
      <c r="AQ50" s="332"/>
      <c r="AR50" s="332"/>
      <c r="AS50" s="332"/>
      <c r="AT50" s="332"/>
      <c r="AU50" s="332"/>
      <c r="AV50" s="332"/>
      <c r="AW50" s="332"/>
      <c r="AX50" s="332"/>
      <c r="AY50" s="332"/>
      <c r="AZ50" s="332"/>
      <c r="BA50" s="332"/>
      <c r="BB50" s="332"/>
      <c r="BC50" s="332"/>
      <c r="BD50" s="332"/>
      <c r="BE50" s="332"/>
      <c r="BF50" s="332"/>
      <c r="BG50" s="332"/>
      <c r="BH50" s="332"/>
      <c r="BI50" s="332"/>
      <c r="BJ50" s="332"/>
      <c r="BK50" s="332"/>
      <c r="BL50" s="332"/>
      <c r="BM50" s="332"/>
      <c r="BN50" s="332"/>
      <c r="BO50" s="332"/>
      <c r="BP50" s="332"/>
      <c r="BQ50" s="332"/>
      <c r="BR50" s="332"/>
      <c r="BS50" s="332"/>
      <c r="BT50" s="332"/>
      <c r="BU50" s="332"/>
      <c r="BV50" s="332"/>
      <c r="BW50" s="332"/>
      <c r="BX50" s="332"/>
      <c r="BY50" s="332"/>
    </row>
    <row r="51" spans="2:77">
      <c r="C51" s="13"/>
      <c r="D51" s="52"/>
      <c r="E51" s="52"/>
      <c r="F51" s="52"/>
    </row>
    <row r="52" spans="2:77">
      <c r="B52" s="503" t="s">
        <v>1079</v>
      </c>
      <c r="C52" s="469" t="s">
        <v>0</v>
      </c>
      <c r="D52" s="16" t="s">
        <v>353</v>
      </c>
      <c r="E52" s="16" t="s">
        <v>354</v>
      </c>
      <c r="F52" s="16" t="s">
        <v>355</v>
      </c>
    </row>
    <row r="53" spans="2:77">
      <c r="C53" s="187" t="s">
        <v>367</v>
      </c>
      <c r="D53" s="15" t="s">
        <v>365</v>
      </c>
      <c r="E53" s="15" t="s">
        <v>365</v>
      </c>
      <c r="F53" s="18">
        <v>0</v>
      </c>
    </row>
    <row r="54" spans="2:77">
      <c r="C54" s="187" t="s">
        <v>368</v>
      </c>
      <c r="D54" s="15" t="s">
        <v>365</v>
      </c>
      <c r="E54" s="15" t="s">
        <v>365</v>
      </c>
      <c r="F54" s="18">
        <v>0</v>
      </c>
    </row>
    <row r="55" spans="2:77">
      <c r="C55" s="187" t="s">
        <v>369</v>
      </c>
      <c r="D55" s="15" t="s">
        <v>365</v>
      </c>
      <c r="E55" s="15" t="s">
        <v>365</v>
      </c>
      <c r="F55" s="18">
        <v>0</v>
      </c>
    </row>
    <row r="56" spans="2:77" ht="28.8">
      <c r="C56" s="187" t="s">
        <v>370</v>
      </c>
      <c r="D56" s="15" t="s">
        <v>365</v>
      </c>
      <c r="E56" s="15" t="s">
        <v>365</v>
      </c>
      <c r="F56" s="18">
        <v>0</v>
      </c>
    </row>
    <row r="57" spans="2:77">
      <c r="C57" s="187" t="s">
        <v>1098</v>
      </c>
      <c r="D57" s="15" t="s">
        <v>365</v>
      </c>
      <c r="E57" s="15" t="s">
        <v>365</v>
      </c>
      <c r="F57" s="18">
        <v>0</v>
      </c>
    </row>
    <row r="58" spans="2:77">
      <c r="C58" s="11"/>
      <c r="D58" s="18">
        <v>1</v>
      </c>
      <c r="E58" s="51">
        <v>1</v>
      </c>
      <c r="F58" s="51">
        <f>SUM(F53:F57)</f>
        <v>0</v>
      </c>
    </row>
    <row r="59" spans="2:77">
      <c r="C59" s="53"/>
      <c r="D59" s="54"/>
      <c r="E59" s="170">
        <f>D58-E58</f>
        <v>0</v>
      </c>
      <c r="F59" s="55">
        <f>E58-F58</f>
        <v>1</v>
      </c>
    </row>
    <row r="60" spans="2:77">
      <c r="C60" s="53"/>
      <c r="D60" s="54"/>
      <c r="E60" s="54"/>
      <c r="F60" s="54"/>
    </row>
    <row r="61" spans="2:77">
      <c r="C61" s="12" t="s">
        <v>366</v>
      </c>
      <c r="D61" s="54" t="s">
        <v>1099</v>
      </c>
      <c r="E61" s="54"/>
      <c r="F61" s="54"/>
    </row>
    <row r="62" spans="2:77">
      <c r="C62" s="11"/>
      <c r="D62" s="15"/>
      <c r="E62" s="15"/>
      <c r="F62" s="15"/>
    </row>
    <row r="63" spans="2:77">
      <c r="C63" s="11" t="s">
        <v>359</v>
      </c>
      <c r="D63" s="15"/>
      <c r="E63" s="15"/>
      <c r="F63" s="15"/>
    </row>
    <row r="64" spans="2:77">
      <c r="C64" s="11" t="s">
        <v>360</v>
      </c>
      <c r="D64" s="15"/>
      <c r="E64" s="15"/>
      <c r="F64" s="15"/>
    </row>
    <row r="65" spans="2:90">
      <c r="C65" s="11" t="s">
        <v>361</v>
      </c>
      <c r="D65" s="15"/>
      <c r="E65" s="15"/>
      <c r="F65" s="15"/>
    </row>
    <row r="66" spans="2:90">
      <c r="C66" s="11" t="s">
        <v>362</v>
      </c>
      <c r="D66" s="15"/>
      <c r="E66" s="15"/>
      <c r="F66" s="15"/>
    </row>
    <row r="67" spans="2:90">
      <c r="C67" s="11" t="s">
        <v>363</v>
      </c>
      <c r="D67" s="15"/>
      <c r="E67" s="15"/>
      <c r="F67" s="15"/>
    </row>
    <row r="68" spans="2:90" s="100" customFormat="1">
      <c r="C68" s="109"/>
      <c r="D68" s="110"/>
      <c r="E68" s="110"/>
      <c r="F68" s="110"/>
      <c r="AD68" s="332"/>
      <c r="AJ68" s="392"/>
    </row>
    <row r="69" spans="2:90">
      <c r="C69" s="11"/>
      <c r="D69" s="15"/>
      <c r="E69" s="15"/>
      <c r="F69" s="15"/>
    </row>
    <row r="70" spans="2:90">
      <c r="C70" s="85"/>
      <c r="D70" s="86"/>
      <c r="E70" s="86"/>
      <c r="F70" s="86"/>
      <c r="AD70" s="130"/>
    </row>
    <row r="71" spans="2:90" s="128" customFormat="1">
      <c r="D71" s="417"/>
      <c r="E71" s="417"/>
      <c r="F71" s="417"/>
      <c r="I71" s="908"/>
      <c r="J71" s="908"/>
      <c r="K71" s="908"/>
      <c r="L71" s="908"/>
      <c r="M71" s="908"/>
      <c r="N71" s="908"/>
      <c r="O71" s="908"/>
      <c r="P71" s="908"/>
      <c r="Q71" s="908"/>
      <c r="R71" s="908"/>
      <c r="S71" s="908"/>
      <c r="T71" s="908"/>
      <c r="U71" s="908"/>
      <c r="V71" s="908"/>
      <c r="W71" s="908"/>
      <c r="X71" s="908"/>
      <c r="Y71" s="908"/>
      <c r="AE71" s="418"/>
      <c r="AF71" s="418"/>
      <c r="AG71" s="418"/>
      <c r="AH71" s="418"/>
      <c r="AI71" s="418"/>
      <c r="AJ71" s="418"/>
      <c r="AK71" s="418"/>
      <c r="AL71" s="418"/>
      <c r="AM71" s="418"/>
      <c r="AN71" s="418"/>
      <c r="AO71" s="418"/>
      <c r="AP71" s="418"/>
      <c r="AQ71" s="418"/>
      <c r="AR71" s="418"/>
      <c r="AS71" s="418"/>
      <c r="AT71" s="418"/>
      <c r="AU71" s="418"/>
      <c r="AV71" s="418"/>
      <c r="AW71" s="418"/>
      <c r="AX71" s="418"/>
      <c r="AY71" s="418"/>
      <c r="AZ71" s="418"/>
      <c r="BA71" s="418"/>
      <c r="BB71" s="418"/>
      <c r="BC71" s="418"/>
      <c r="BD71" s="418"/>
      <c r="BE71" s="418"/>
      <c r="BF71" s="418"/>
      <c r="BG71" s="418"/>
      <c r="BH71" s="418"/>
      <c r="BI71" s="418"/>
      <c r="BJ71" s="418"/>
      <c r="BK71" s="418"/>
      <c r="BL71" s="418"/>
      <c r="BM71" s="418"/>
      <c r="BN71" s="418"/>
      <c r="BO71" s="418"/>
      <c r="BP71" s="418"/>
      <c r="BQ71" s="418"/>
      <c r="BR71" s="418"/>
      <c r="BS71" s="418"/>
      <c r="BT71" s="418"/>
      <c r="BU71" s="418"/>
      <c r="BV71" s="418"/>
      <c r="BW71" s="418"/>
      <c r="BX71" s="418"/>
      <c r="BY71" s="418"/>
      <c r="BZ71" s="418"/>
      <c r="CA71" s="418"/>
      <c r="CB71" s="418"/>
    </row>
    <row r="72" spans="2:90">
      <c r="C72" s="91"/>
      <c r="D72" s="416"/>
      <c r="E72" s="416"/>
      <c r="F72" s="416"/>
      <c r="I72" s="904"/>
      <c r="J72" s="904"/>
      <c r="K72" s="904"/>
      <c r="L72" s="904"/>
      <c r="M72" s="904"/>
      <c r="N72" s="904"/>
      <c r="O72" s="904"/>
      <c r="P72" s="904"/>
      <c r="Q72" s="904"/>
      <c r="R72" s="904"/>
      <c r="S72" s="904"/>
      <c r="T72" s="904"/>
      <c r="U72" s="904"/>
      <c r="V72" s="904"/>
      <c r="W72" s="904"/>
      <c r="X72" s="904"/>
      <c r="Y72" s="46"/>
      <c r="AD72" s="142"/>
      <c r="AE72" s="147"/>
      <c r="AF72" s="412"/>
      <c r="AG72" s="412"/>
      <c r="AH72" s="412"/>
      <c r="AI72" s="413"/>
      <c r="AJ72" s="412"/>
      <c r="AK72" s="412"/>
      <c r="AL72" s="412"/>
      <c r="AM72" s="412"/>
      <c r="AN72" s="412"/>
      <c r="AO72" s="412"/>
      <c r="AP72" s="412"/>
      <c r="AQ72" s="412"/>
      <c r="AR72" s="412"/>
      <c r="AS72" s="412"/>
      <c r="AT72" s="412"/>
      <c r="AU72" s="412"/>
      <c r="AV72" s="412"/>
      <c r="AW72" s="412"/>
      <c r="AX72" s="412"/>
      <c r="AY72" s="412"/>
      <c r="AZ72" s="412"/>
      <c r="BA72" s="412"/>
      <c r="BB72" s="412"/>
      <c r="BC72" s="412"/>
      <c r="BD72" s="412"/>
      <c r="BE72" s="412"/>
      <c r="BF72" s="412"/>
      <c r="BG72" s="412"/>
      <c r="BH72" s="412"/>
      <c r="BI72" s="412"/>
      <c r="BJ72" s="412"/>
      <c r="BK72" s="412"/>
      <c r="BL72" s="412"/>
      <c r="BM72" s="412"/>
      <c r="BN72" s="412"/>
      <c r="BO72" s="412"/>
      <c r="BP72" s="412"/>
      <c r="BQ72" s="412"/>
      <c r="BR72" s="412"/>
      <c r="BS72" s="412"/>
      <c r="BT72" s="412"/>
      <c r="BU72" s="412"/>
      <c r="BV72" s="412"/>
      <c r="BW72" s="412"/>
      <c r="BX72" s="412"/>
      <c r="BY72" s="412"/>
      <c r="BZ72" s="64"/>
      <c r="CA72" s="64"/>
      <c r="CB72" s="64"/>
    </row>
    <row r="73" spans="2:90" ht="15" customHeight="1">
      <c r="C73" s="11"/>
      <c r="D73" s="15"/>
      <c r="E73" s="15"/>
      <c r="F73" s="15"/>
      <c r="I73" s="905"/>
      <c r="J73" s="905"/>
      <c r="K73" s="320"/>
      <c r="L73" s="906"/>
      <c r="M73" s="906"/>
      <c r="N73" s="320"/>
      <c r="O73" s="906"/>
      <c r="P73" s="906"/>
      <c r="Q73" s="281"/>
      <c r="R73" s="907"/>
      <c r="S73" s="907"/>
      <c r="T73" s="327"/>
      <c r="U73" s="906"/>
      <c r="V73" s="906"/>
      <c r="W73" s="320"/>
      <c r="X73" s="906"/>
      <c r="Y73" s="906"/>
      <c r="AE73" s="93"/>
      <c r="AF73" s="93"/>
      <c r="AG73" s="93"/>
      <c r="AH73" s="93"/>
      <c r="AI73" s="323"/>
      <c r="AJ73" s="93"/>
      <c r="AK73" s="93"/>
      <c r="AL73" s="93"/>
      <c r="AM73" s="93"/>
      <c r="AN73" s="93"/>
      <c r="AO73" s="93"/>
      <c r="AP73" s="93"/>
      <c r="AQ73" s="93"/>
      <c r="AR73" s="93"/>
      <c r="AS73" s="93"/>
      <c r="AT73" s="93"/>
      <c r="AU73" s="93"/>
      <c r="AV73" s="93"/>
      <c r="AW73" s="93"/>
      <c r="AX73" s="93"/>
      <c r="AY73" s="93"/>
      <c r="AZ73" s="93"/>
      <c r="BA73" s="93"/>
      <c r="BB73" s="93"/>
      <c r="BC73" s="94"/>
      <c r="BD73" s="94"/>
      <c r="BE73" s="94"/>
      <c r="BF73" s="93"/>
      <c r="BG73" s="93"/>
      <c r="BH73" s="171"/>
      <c r="BI73" s="171"/>
      <c r="BJ73" s="171"/>
      <c r="BK73" s="171"/>
      <c r="BL73" s="171"/>
      <c r="BM73" s="171"/>
      <c r="BN73" s="171"/>
      <c r="BO73" s="171"/>
      <c r="BP73" s="171"/>
      <c r="BQ73" s="171"/>
      <c r="BR73" s="171"/>
      <c r="BS73" s="171"/>
      <c r="BT73" s="171"/>
      <c r="BU73" s="171"/>
      <c r="BV73" s="171"/>
      <c r="BW73" s="171"/>
      <c r="BX73" s="93"/>
      <c r="BY73" s="93"/>
      <c r="BZ73" s="370"/>
      <c r="CA73" s="897"/>
      <c r="CB73" s="897"/>
    </row>
    <row r="74" spans="2:90">
      <c r="B74" s="519" t="s">
        <v>1079</v>
      </c>
      <c r="C74" s="214" t="s">
        <v>371</v>
      </c>
      <c r="D74" s="16" t="s">
        <v>353</v>
      </c>
      <c r="E74" s="16" t="s">
        <v>354</v>
      </c>
      <c r="F74" s="16" t="s">
        <v>355</v>
      </c>
      <c r="I74" s="361"/>
      <c r="J74" s="362"/>
      <c r="K74" s="362"/>
      <c r="L74" s="362"/>
      <c r="M74" s="367"/>
      <c r="N74" s="369"/>
      <c r="O74" s="104"/>
      <c r="P74" s="368"/>
      <c r="Q74" s="367"/>
      <c r="R74" s="369"/>
      <c r="S74" s="369"/>
      <c r="T74" s="104"/>
      <c r="U74" s="368"/>
      <c r="V74" s="362"/>
      <c r="W74" s="362"/>
      <c r="X74" s="362"/>
      <c r="Y74" s="362"/>
      <c r="AD74" s="130"/>
      <c r="AE74" s="113"/>
      <c r="AF74" s="113"/>
      <c r="AG74" s="95"/>
      <c r="AH74" s="95"/>
      <c r="AI74" s="403"/>
      <c r="AJ74" s="95"/>
      <c r="AK74" s="95"/>
      <c r="AL74" s="95"/>
      <c r="AM74" s="95"/>
      <c r="AN74" s="95"/>
      <c r="AO74" s="95"/>
      <c r="AP74" s="95"/>
      <c r="AQ74" s="95"/>
      <c r="AR74" s="95"/>
      <c r="AS74" s="95"/>
      <c r="AT74" s="95"/>
      <c r="AU74" s="95"/>
      <c r="AV74" s="95"/>
      <c r="AW74" s="95"/>
      <c r="AX74" s="95"/>
      <c r="AY74" s="95"/>
      <c r="AZ74" s="95"/>
      <c r="BA74" s="95"/>
      <c r="BB74" s="95"/>
      <c r="BC74" s="95"/>
      <c r="BD74" s="95"/>
      <c r="BE74" s="113"/>
      <c r="BF74" s="113"/>
      <c r="BG74" s="113"/>
      <c r="BH74" s="95"/>
      <c r="BI74" s="95"/>
      <c r="BJ74" s="95"/>
      <c r="BK74" s="95"/>
      <c r="BL74" s="95"/>
      <c r="BM74" s="95"/>
      <c r="BN74" s="95"/>
      <c r="BO74" s="95"/>
      <c r="BP74" s="95"/>
      <c r="BQ74" s="95"/>
      <c r="BR74" s="95"/>
      <c r="BS74" s="95"/>
      <c r="BT74" s="95"/>
      <c r="BU74" s="95"/>
      <c r="BV74" s="95"/>
      <c r="BW74" s="95"/>
      <c r="BX74" s="95"/>
      <c r="BY74" s="95"/>
      <c r="BZ74" s="340"/>
      <c r="CA74" s="362"/>
      <c r="CB74" s="362"/>
    </row>
    <row r="75" spans="2:90" ht="28.8">
      <c r="C75" s="187" t="s">
        <v>1100</v>
      </c>
      <c r="D75" s="19">
        <v>0.02</v>
      </c>
      <c r="E75" s="228">
        <v>0.02</v>
      </c>
      <c r="F75" s="19">
        <v>0.01</v>
      </c>
      <c r="H75" s="132">
        <f t="shared" ref="H75:J76" si="37">D75</f>
        <v>0.02</v>
      </c>
      <c r="I75" s="132">
        <f t="shared" si="37"/>
        <v>0.02</v>
      </c>
      <c r="J75" s="125">
        <f t="shared" si="37"/>
        <v>0.01</v>
      </c>
      <c r="K75" s="365"/>
      <c r="L75" s="134"/>
      <c r="M75" s="132"/>
      <c r="N75" s="132">
        <f>D75</f>
        <v>0.02</v>
      </c>
      <c r="O75" s="132">
        <f t="shared" ref="O75:P75" si="38">E75</f>
        <v>0.02</v>
      </c>
      <c r="P75" s="125">
        <f t="shared" si="38"/>
        <v>0.01</v>
      </c>
      <c r="Q75" s="365"/>
      <c r="R75" s="132"/>
      <c r="S75" s="132"/>
      <c r="T75" s="132">
        <f t="shared" ref="T75:V76" si="39">D75</f>
        <v>0.02</v>
      </c>
      <c r="U75" s="132">
        <f t="shared" si="39"/>
        <v>0.02</v>
      </c>
      <c r="V75" s="132">
        <f t="shared" si="39"/>
        <v>0.01</v>
      </c>
      <c r="W75" s="132">
        <f t="shared" ref="W75:Y76" si="40">D75</f>
        <v>0.02</v>
      </c>
      <c r="X75" s="132">
        <f t="shared" si="40"/>
        <v>0.02</v>
      </c>
      <c r="Y75" s="125">
        <f t="shared" si="40"/>
        <v>0.01</v>
      </c>
      <c r="AD75" s="132"/>
      <c r="AE75" s="132"/>
      <c r="AF75" s="87"/>
      <c r="AG75" s="363"/>
      <c r="AH75" s="142"/>
      <c r="AI75" s="371"/>
      <c r="AJ75" s="142"/>
      <c r="AK75" s="142"/>
      <c r="AL75" s="142"/>
      <c r="AM75" s="142"/>
      <c r="AN75" s="142"/>
      <c r="AO75" s="142"/>
      <c r="AP75" s="142"/>
      <c r="AQ75" s="142"/>
      <c r="AR75" s="142"/>
      <c r="AS75" s="142"/>
      <c r="AT75" s="142"/>
      <c r="AU75" s="142"/>
      <c r="AV75" s="142"/>
      <c r="AW75" s="142"/>
      <c r="AX75" s="142"/>
      <c r="AY75" s="142"/>
      <c r="AZ75" s="142"/>
      <c r="BA75" s="142"/>
      <c r="BB75" s="142"/>
      <c r="BC75" s="142"/>
      <c r="BD75" s="371"/>
      <c r="BE75" s="132"/>
      <c r="BF75" s="132"/>
      <c r="BG75" s="125"/>
      <c r="BH75" s="363"/>
      <c r="BI75" s="142"/>
      <c r="BJ75" s="142"/>
      <c r="BK75" s="142"/>
      <c r="BL75" s="142"/>
      <c r="BM75" s="142"/>
      <c r="BN75" s="142"/>
      <c r="BO75" s="142"/>
      <c r="BP75" s="142"/>
      <c r="BQ75" s="142"/>
      <c r="BR75" s="142"/>
      <c r="BS75" s="142"/>
      <c r="BT75" s="142"/>
      <c r="BU75" s="142"/>
      <c r="BV75" s="142"/>
      <c r="BW75" s="142"/>
      <c r="BX75" s="142"/>
      <c r="BY75" s="142"/>
      <c r="CA75" s="132">
        <f>D75</f>
        <v>0.02</v>
      </c>
      <c r="CB75" s="125">
        <f>E75</f>
        <v>0.02</v>
      </c>
      <c r="CC75" s="366">
        <f t="shared" ref="CC75" si="41">F75</f>
        <v>0.01</v>
      </c>
      <c r="CD75" s="132">
        <f>D75</f>
        <v>0.02</v>
      </c>
      <c r="CE75" s="132">
        <f t="shared" ref="CE75:CF75" si="42">E75</f>
        <v>0.02</v>
      </c>
      <c r="CF75" s="132">
        <f t="shared" si="42"/>
        <v>0.01</v>
      </c>
      <c r="CG75" s="132">
        <f>D75</f>
        <v>0.02</v>
      </c>
      <c r="CH75" s="132">
        <f t="shared" ref="CH75:CI75" si="43">E75</f>
        <v>0.02</v>
      </c>
      <c r="CI75" s="132">
        <f t="shared" si="43"/>
        <v>0.01</v>
      </c>
      <c r="CJ75" s="132">
        <f t="shared" ref="CJ75:CL76" si="44">D75</f>
        <v>0.02</v>
      </c>
      <c r="CK75" s="132">
        <f t="shared" si="44"/>
        <v>0.02</v>
      </c>
      <c r="CL75" s="125">
        <f t="shared" si="44"/>
        <v>0.01</v>
      </c>
    </row>
    <row r="76" spans="2:90" ht="28.8">
      <c r="C76" s="187" t="s">
        <v>1101</v>
      </c>
      <c r="D76" s="19">
        <v>0.1</v>
      </c>
      <c r="E76" s="228">
        <v>0.1</v>
      </c>
      <c r="F76" s="19">
        <v>0.03</v>
      </c>
      <c r="H76" s="132">
        <f t="shared" si="37"/>
        <v>0.1</v>
      </c>
      <c r="I76" s="132">
        <f t="shared" si="37"/>
        <v>0.1</v>
      </c>
      <c r="J76" s="125">
        <f t="shared" si="37"/>
        <v>0.03</v>
      </c>
      <c r="K76" s="365"/>
      <c r="L76" s="134"/>
      <c r="M76" s="132"/>
      <c r="N76" s="132">
        <f>D76</f>
        <v>0.1</v>
      </c>
      <c r="O76" s="353">
        <f>E76</f>
        <v>0.1</v>
      </c>
      <c r="P76" s="126">
        <f>F76</f>
        <v>0.03</v>
      </c>
      <c r="Q76" s="365"/>
      <c r="R76" s="132"/>
      <c r="S76" s="132"/>
      <c r="T76" s="132">
        <f t="shared" si="39"/>
        <v>0.1</v>
      </c>
      <c r="U76" s="132">
        <f t="shared" si="39"/>
        <v>0.1</v>
      </c>
      <c r="V76" s="132">
        <f t="shared" si="39"/>
        <v>0.03</v>
      </c>
      <c r="W76" s="132">
        <f t="shared" si="40"/>
        <v>0.1</v>
      </c>
      <c r="X76" s="132">
        <f t="shared" si="40"/>
        <v>0.1</v>
      </c>
      <c r="Y76" s="125">
        <f t="shared" si="40"/>
        <v>0.03</v>
      </c>
      <c r="AD76" s="132"/>
      <c r="AE76" s="132"/>
      <c r="AF76" s="87"/>
      <c r="AG76" s="133"/>
      <c r="AH76" s="87"/>
      <c r="AI76" s="134"/>
      <c r="AJ76" s="87"/>
      <c r="AK76" s="87"/>
      <c r="AL76" s="87"/>
      <c r="AM76" s="87"/>
      <c r="AN76" s="87"/>
      <c r="AO76" s="87"/>
      <c r="AP76" s="87"/>
      <c r="AQ76" s="87"/>
      <c r="AR76" s="87"/>
      <c r="AS76" s="87"/>
      <c r="AT76" s="87"/>
      <c r="AU76" s="87"/>
      <c r="AV76" s="87"/>
      <c r="AW76" s="87"/>
      <c r="AX76" s="87"/>
      <c r="AY76" s="87"/>
      <c r="AZ76" s="87"/>
      <c r="BA76" s="87"/>
      <c r="BB76" s="87"/>
      <c r="BC76" s="87"/>
      <c r="BD76" s="134"/>
      <c r="BE76" s="132"/>
      <c r="BF76" s="132"/>
      <c r="BG76" s="125"/>
      <c r="BH76" s="133"/>
      <c r="BI76" s="87"/>
      <c r="BJ76" s="87"/>
      <c r="BK76" s="87"/>
      <c r="BL76" s="87"/>
      <c r="BM76" s="87"/>
      <c r="BN76" s="87"/>
      <c r="BO76" s="87"/>
      <c r="BP76" s="87"/>
      <c r="BQ76" s="87"/>
      <c r="BR76" s="87"/>
      <c r="BS76" s="87"/>
      <c r="BT76" s="87"/>
      <c r="BU76" s="87"/>
      <c r="BV76" s="87"/>
      <c r="BW76" s="87"/>
      <c r="BX76" s="87"/>
      <c r="BY76" s="87"/>
      <c r="CA76" s="132">
        <v>0.1</v>
      </c>
      <c r="CB76" s="125">
        <v>0.1</v>
      </c>
      <c r="CC76" s="366">
        <v>0.1</v>
      </c>
      <c r="CD76" s="132">
        <f>D76</f>
        <v>0.1</v>
      </c>
      <c r="CE76" s="132">
        <f>E76</f>
        <v>0.1</v>
      </c>
      <c r="CF76" s="132">
        <f>F76</f>
        <v>0.03</v>
      </c>
      <c r="CG76" s="132">
        <f>D76</f>
        <v>0.1</v>
      </c>
      <c r="CH76" s="132">
        <f>E76</f>
        <v>0.1</v>
      </c>
      <c r="CI76" s="132">
        <f>F76</f>
        <v>0.03</v>
      </c>
      <c r="CJ76" s="132">
        <f t="shared" si="44"/>
        <v>0.1</v>
      </c>
      <c r="CK76" s="132">
        <f t="shared" si="44"/>
        <v>0.1</v>
      </c>
      <c r="CL76" s="125">
        <f t="shared" si="44"/>
        <v>0.03</v>
      </c>
    </row>
    <row r="77" spans="2:90" ht="28.8">
      <c r="C77" s="187" t="s">
        <v>1102</v>
      </c>
      <c r="D77" s="19"/>
      <c r="E77" s="228"/>
      <c r="F77" s="19"/>
      <c r="H77" s="132"/>
      <c r="I77" s="132"/>
      <c r="J77" s="125"/>
      <c r="K77" s="365"/>
      <c r="L77" s="134"/>
      <c r="M77" s="132"/>
      <c r="N77" s="132"/>
      <c r="O77" s="353"/>
      <c r="P77" s="126"/>
      <c r="Q77" s="365"/>
      <c r="R77" s="132"/>
      <c r="S77" s="132"/>
      <c r="T77" s="132"/>
      <c r="U77" s="132"/>
      <c r="V77" s="132"/>
      <c r="W77" s="132"/>
      <c r="X77" s="132"/>
      <c r="Y77" s="125"/>
      <c r="AD77" s="132"/>
      <c r="AE77" s="132"/>
      <c r="AF77" s="87"/>
      <c r="AG77" s="133"/>
      <c r="AH77" s="87"/>
      <c r="AI77" s="134"/>
      <c r="AJ77" s="87"/>
      <c r="AK77" s="87"/>
      <c r="AL77" s="87"/>
      <c r="AM77" s="87"/>
      <c r="AN77" s="87"/>
      <c r="AO77" s="87"/>
      <c r="AP77" s="87"/>
      <c r="AQ77" s="87"/>
      <c r="AR77" s="87"/>
      <c r="AS77" s="87"/>
      <c r="AT77" s="87"/>
      <c r="AU77" s="87"/>
      <c r="AV77" s="87"/>
      <c r="AW77" s="87"/>
      <c r="AX77" s="87"/>
      <c r="AY77" s="87"/>
      <c r="AZ77" s="87"/>
      <c r="BA77" s="87"/>
      <c r="BB77" s="87"/>
      <c r="BC77" s="87"/>
      <c r="BD77" s="134"/>
      <c r="BE77" s="132"/>
      <c r="BF77" s="132"/>
      <c r="BG77" s="125"/>
      <c r="BH77" s="133"/>
      <c r="BI77" s="87"/>
      <c r="BJ77" s="87"/>
      <c r="BK77" s="87"/>
      <c r="BL77" s="87"/>
      <c r="BM77" s="87"/>
      <c r="BN77" s="87"/>
      <c r="BO77" s="87"/>
      <c r="BP77" s="87"/>
      <c r="BQ77" s="87"/>
      <c r="BR77" s="87"/>
      <c r="BS77" s="87"/>
      <c r="BT77" s="87"/>
      <c r="BU77" s="87"/>
      <c r="BV77" s="87"/>
      <c r="BW77" s="87"/>
      <c r="BX77" s="87"/>
      <c r="BY77" s="87"/>
      <c r="CA77" s="132"/>
      <c r="CB77" s="125"/>
      <c r="CC77" s="366"/>
      <c r="CD77" s="132"/>
      <c r="CE77" s="132"/>
      <c r="CF77" s="132"/>
      <c r="CG77" s="132"/>
      <c r="CH77" s="132"/>
      <c r="CI77" s="132"/>
      <c r="CJ77" s="132"/>
      <c r="CK77" s="132"/>
      <c r="CL77" s="125"/>
    </row>
    <row r="78" spans="2:90" s="1" customFormat="1">
      <c r="C78" s="10"/>
      <c r="D78" s="22">
        <f>SUM(D75:D77)</f>
        <v>0.12000000000000001</v>
      </c>
      <c r="E78" s="230">
        <f>SUM(E75:E77)</f>
        <v>0.12000000000000001</v>
      </c>
      <c r="F78" s="19">
        <f>SUM(F75:F77)</f>
        <v>0.04</v>
      </c>
      <c r="H78" s="358">
        <f t="shared" ref="H78:M78" si="45">SUM(H75:H77)</f>
        <v>0.12000000000000001</v>
      </c>
      <c r="I78" s="358">
        <f t="shared" si="45"/>
        <v>0.12000000000000001</v>
      </c>
      <c r="J78" s="358">
        <f t="shared" si="45"/>
        <v>0.04</v>
      </c>
      <c r="K78" s="139">
        <f t="shared" si="45"/>
        <v>0</v>
      </c>
      <c r="L78" s="374">
        <f t="shared" si="45"/>
        <v>0</v>
      </c>
      <c r="M78" s="358">
        <f t="shared" si="45"/>
        <v>0</v>
      </c>
      <c r="N78" s="358">
        <f>SUM(N74:N77)</f>
        <v>0.12000000000000001</v>
      </c>
      <c r="O78" s="358">
        <f>SUM(O74:O77)</f>
        <v>0.12000000000000001</v>
      </c>
      <c r="P78" s="139">
        <f>SUM(P75:P77)</f>
        <v>0.04</v>
      </c>
      <c r="Q78" s="374">
        <f>SUM(Q75:Q77)</f>
        <v>0</v>
      </c>
      <c r="R78" s="358">
        <f>SUM(R74:R77)</f>
        <v>0</v>
      </c>
      <c r="S78" s="358">
        <f>SUM(S74:S77)</f>
        <v>0</v>
      </c>
      <c r="T78" s="358">
        <f>SUM(T74:T77)</f>
        <v>0.12000000000000001</v>
      </c>
      <c r="U78" s="358">
        <f>SUM(U75:U77)</f>
        <v>0.12000000000000001</v>
      </c>
      <c r="V78" s="358">
        <f>SUM(V75:V77)</f>
        <v>0.04</v>
      </c>
      <c r="W78" s="358">
        <f>SUM(W75:W77)</f>
        <v>0.12000000000000001</v>
      </c>
      <c r="X78" s="358">
        <f>SUM(X75:X77)</f>
        <v>0.12000000000000001</v>
      </c>
      <c r="Y78" s="139">
        <f>SUM(Y75:Y77)</f>
        <v>0.04</v>
      </c>
      <c r="AD78" s="358">
        <f>SUM(AD75:AD77)</f>
        <v>0</v>
      </c>
      <c r="AE78" s="358">
        <f>SUM(AE75:AE77)</f>
        <v>0</v>
      </c>
      <c r="AF78" s="139">
        <f>SUM(AF75:AF77)</f>
        <v>0</v>
      </c>
      <c r="AJ78" s="393"/>
      <c r="BE78" s="358">
        <f>SUM(BE75:BE77)</f>
        <v>0</v>
      </c>
      <c r="BF78" s="358">
        <f>SUM(BF75:BF77)</f>
        <v>0</v>
      </c>
      <c r="BG78" s="139">
        <f>SUM(BG75:BG77)</f>
        <v>0</v>
      </c>
      <c r="CA78" s="358">
        <f t="shared" ref="CA78:CL78" si="46">SUM(CA75:CA77)</f>
        <v>0.12000000000000001</v>
      </c>
      <c r="CB78" s="139">
        <f t="shared" si="46"/>
        <v>0.12000000000000001</v>
      </c>
      <c r="CC78" s="374">
        <f t="shared" si="46"/>
        <v>0.11</v>
      </c>
      <c r="CD78" s="358">
        <f t="shared" si="46"/>
        <v>0.12000000000000001</v>
      </c>
      <c r="CE78" s="358">
        <f t="shared" si="46"/>
        <v>0.12000000000000001</v>
      </c>
      <c r="CF78" s="358">
        <f t="shared" si="46"/>
        <v>0.04</v>
      </c>
      <c r="CG78" s="358">
        <f t="shared" si="46"/>
        <v>0.12000000000000001</v>
      </c>
      <c r="CH78" s="358">
        <f t="shared" si="46"/>
        <v>0.12000000000000001</v>
      </c>
      <c r="CI78" s="358">
        <f t="shared" si="46"/>
        <v>0.04</v>
      </c>
      <c r="CJ78" s="358">
        <f t="shared" si="46"/>
        <v>0.12000000000000001</v>
      </c>
      <c r="CK78" s="358">
        <f t="shared" si="46"/>
        <v>0.12000000000000001</v>
      </c>
      <c r="CL78" s="139">
        <f t="shared" si="46"/>
        <v>0.04</v>
      </c>
    </row>
    <row r="79" spans="2:90">
      <c r="C79" s="11"/>
      <c r="D79" s="18"/>
      <c r="E79" s="18">
        <f>D78-E78</f>
        <v>0</v>
      </c>
      <c r="F79" s="17">
        <f>E78-F78</f>
        <v>8.0000000000000016E-2</v>
      </c>
      <c r="AD79" s="142"/>
    </row>
    <row r="80" spans="2:90">
      <c r="C80" s="11"/>
      <c r="D80" s="17"/>
      <c r="E80" s="17"/>
      <c r="F80" s="17"/>
    </row>
    <row r="81" spans="2:97">
      <c r="C81" s="12" t="s">
        <v>366</v>
      </c>
      <c r="D81" s="54" t="s">
        <v>372</v>
      </c>
      <c r="E81" s="54"/>
      <c r="F81" s="54"/>
    </row>
    <row r="82" spans="2:97">
      <c r="C82" s="11"/>
      <c r="D82" s="17"/>
      <c r="E82" s="17"/>
      <c r="F82" s="17"/>
    </row>
    <row r="83" spans="2:97">
      <c r="C83" s="11" t="s">
        <v>359</v>
      </c>
      <c r="D83" s="15"/>
      <c r="E83" s="15"/>
      <c r="F83" s="15"/>
    </row>
    <row r="84" spans="2:97">
      <c r="C84" s="11" t="s">
        <v>360</v>
      </c>
      <c r="D84" s="15"/>
      <c r="E84" s="15"/>
      <c r="F84" s="15"/>
    </row>
    <row r="85" spans="2:97">
      <c r="C85" s="11" t="s">
        <v>361</v>
      </c>
      <c r="D85" s="15"/>
      <c r="E85" s="15"/>
      <c r="F85" s="15"/>
    </row>
    <row r="86" spans="2:97">
      <c r="C86" s="11" t="s">
        <v>362</v>
      </c>
      <c r="D86" s="15"/>
      <c r="E86" s="15"/>
      <c r="F86" s="15"/>
    </row>
    <row r="87" spans="2:97">
      <c r="C87" s="11" t="s">
        <v>363</v>
      </c>
      <c r="D87" s="15"/>
      <c r="E87" s="15"/>
      <c r="F87" s="15"/>
    </row>
    <row r="88" spans="2:97">
      <c r="C88" s="11"/>
      <c r="D88" s="15"/>
      <c r="E88" s="15"/>
      <c r="F88" s="15"/>
    </row>
    <row r="89" spans="2:97" s="100" customFormat="1">
      <c r="C89" s="109"/>
      <c r="D89" s="110"/>
      <c r="E89" s="110"/>
      <c r="F89" s="110"/>
      <c r="AD89" s="332"/>
      <c r="AJ89" s="392"/>
    </row>
    <row r="90" spans="2:97">
      <c r="C90" s="11"/>
      <c r="D90" s="17"/>
      <c r="E90" s="17"/>
      <c r="F90" s="17"/>
    </row>
    <row r="91" spans="2:97">
      <c r="C91" s="11"/>
      <c r="D91" s="17"/>
      <c r="E91" s="17"/>
      <c r="F91" s="17"/>
    </row>
    <row r="92" spans="2:97" ht="13.5" customHeight="1">
      <c r="C92" s="11"/>
      <c r="D92" s="17"/>
      <c r="E92" s="17"/>
      <c r="F92" s="17"/>
      <c r="I92" s="911"/>
      <c r="J92" s="911"/>
      <c r="K92" s="911"/>
      <c r="L92" s="911"/>
      <c r="M92" s="911"/>
      <c r="N92" s="911"/>
      <c r="O92" s="911"/>
      <c r="P92" s="911"/>
      <c r="Q92" s="911"/>
      <c r="R92" s="911"/>
      <c r="S92" s="911"/>
      <c r="T92" s="911"/>
      <c r="U92" s="911"/>
      <c r="V92" s="911"/>
      <c r="W92" s="911"/>
      <c r="X92" s="911"/>
      <c r="Y92" s="911"/>
      <c r="Z92" s="46"/>
      <c r="AA92" s="46"/>
      <c r="AB92" s="46"/>
      <c r="AC92" s="46"/>
      <c r="AD92" s="120"/>
      <c r="AE92" s="912"/>
      <c r="AF92" s="912"/>
      <c r="AG92" s="912"/>
      <c r="AH92" s="912"/>
      <c r="AI92" s="912"/>
      <c r="AJ92" s="912"/>
      <c r="AK92" s="912"/>
      <c r="AL92" s="912"/>
      <c r="AM92" s="912"/>
      <c r="AN92" s="912"/>
      <c r="AO92" s="912"/>
      <c r="AP92" s="912"/>
      <c r="AQ92" s="912"/>
      <c r="AR92" s="912"/>
      <c r="AS92" s="912"/>
      <c r="AT92" s="912"/>
      <c r="AU92" s="912"/>
      <c r="AV92" s="912"/>
      <c r="AW92" s="912"/>
      <c r="AX92" s="912"/>
      <c r="AY92" s="912"/>
      <c r="AZ92" s="912"/>
      <c r="BA92" s="912"/>
      <c r="BB92" s="912"/>
      <c r="BC92" s="912"/>
      <c r="BD92" s="912"/>
      <c r="BE92" s="912"/>
      <c r="BF92" s="912"/>
      <c r="BG92" s="912"/>
      <c r="BH92" s="912"/>
      <c r="BI92" s="912"/>
      <c r="BJ92" s="912"/>
      <c r="BK92" s="912"/>
      <c r="BL92" s="912"/>
      <c r="BM92" s="912"/>
      <c r="BN92" s="912"/>
      <c r="BO92" s="912"/>
      <c r="BP92" s="912"/>
      <c r="BQ92" s="912"/>
      <c r="BR92" s="912"/>
      <c r="BS92" s="912"/>
      <c r="BT92" s="912"/>
      <c r="BU92" s="912"/>
      <c r="BV92" s="912"/>
      <c r="BW92" s="912"/>
      <c r="BX92" s="912"/>
      <c r="BY92" s="912"/>
      <c r="BZ92" s="237"/>
      <c r="CA92" s="237"/>
      <c r="CB92" s="237"/>
    </row>
    <row r="93" spans="2:97">
      <c r="C93" s="11"/>
      <c r="D93" s="17"/>
      <c r="E93" s="17"/>
      <c r="F93" s="17"/>
      <c r="I93" s="904"/>
      <c r="J93" s="904"/>
      <c r="K93" s="904"/>
      <c r="L93" s="904"/>
      <c r="M93" s="904"/>
      <c r="N93" s="904"/>
      <c r="O93" s="904"/>
      <c r="P93" s="904"/>
      <c r="Q93" s="904"/>
      <c r="R93" s="904"/>
      <c r="S93" s="904"/>
      <c r="T93" s="904"/>
      <c r="U93" s="904"/>
      <c r="V93" s="904"/>
      <c r="W93" s="904"/>
      <c r="X93" s="904"/>
      <c r="Y93" s="46"/>
      <c r="Z93" s="46"/>
      <c r="AA93" s="46"/>
      <c r="AB93" s="46"/>
      <c r="AC93" s="46"/>
      <c r="AD93" s="120"/>
      <c r="AE93" s="341"/>
      <c r="AF93" s="120"/>
      <c r="AG93" s="120"/>
      <c r="AH93" s="120"/>
      <c r="AI93" s="350"/>
      <c r="AJ93" s="120"/>
      <c r="AK93" s="120"/>
      <c r="AL93" s="120"/>
      <c r="AM93" s="120"/>
      <c r="AN93" s="120"/>
      <c r="AO93" s="120"/>
      <c r="AP93" s="120"/>
      <c r="AQ93" s="120"/>
      <c r="AR93" s="120"/>
      <c r="AS93" s="120"/>
      <c r="AT93" s="120"/>
      <c r="AU93" s="120"/>
      <c r="AV93" s="120"/>
      <c r="AW93" s="120"/>
      <c r="AX93" s="120"/>
      <c r="AY93" s="120"/>
      <c r="AZ93" s="120"/>
      <c r="BA93" s="120"/>
      <c r="BB93" s="120"/>
      <c r="BC93" s="120"/>
      <c r="BD93" s="120"/>
      <c r="BE93" s="120"/>
      <c r="BF93" s="120"/>
      <c r="BG93" s="120"/>
      <c r="BH93" s="120"/>
      <c r="BI93" s="120"/>
      <c r="BJ93" s="120"/>
      <c r="BK93" s="120"/>
      <c r="BL93" s="120"/>
      <c r="BM93" s="120"/>
      <c r="BN93" s="120"/>
      <c r="BO93" s="120"/>
      <c r="BP93" s="120"/>
      <c r="BQ93" s="120"/>
      <c r="BR93" s="120"/>
      <c r="BS93" s="120"/>
      <c r="BT93" s="120"/>
      <c r="BU93" s="120"/>
      <c r="BV93" s="120"/>
      <c r="BW93" s="120"/>
      <c r="BX93" s="120"/>
      <c r="BY93" s="120"/>
      <c r="BZ93" s="46"/>
      <c r="CA93" s="46"/>
      <c r="CB93" s="46"/>
    </row>
    <row r="94" spans="2:97" ht="13.5" customHeight="1">
      <c r="C94" s="11"/>
      <c r="D94" s="17"/>
      <c r="E94" s="17"/>
      <c r="F94" s="17"/>
      <c r="I94" s="905"/>
      <c r="J94" s="905"/>
      <c r="K94" s="320"/>
      <c r="L94" s="906"/>
      <c r="M94" s="906"/>
      <c r="N94" s="320"/>
      <c r="O94" s="906"/>
      <c r="P94" s="906"/>
      <c r="Q94" s="281"/>
      <c r="R94" s="907"/>
      <c r="S94" s="907"/>
      <c r="T94" s="327"/>
      <c r="U94" s="906"/>
      <c r="V94" s="906"/>
      <c r="W94" s="320"/>
      <c r="X94" s="906"/>
      <c r="Y94" s="906"/>
      <c r="Z94" s="44"/>
      <c r="AA94" s="44"/>
      <c r="AB94" s="44"/>
      <c r="AC94" s="44"/>
      <c r="AD94" s="102"/>
      <c r="AE94" s="897"/>
      <c r="AF94" s="897"/>
      <c r="AG94" s="136"/>
      <c r="AH94" s="897"/>
      <c r="AI94" s="897"/>
      <c r="AJ94" s="136"/>
      <c r="AK94" s="897"/>
      <c r="AL94" s="897"/>
      <c r="AM94" s="136"/>
      <c r="AN94" s="897"/>
      <c r="AO94" s="897"/>
      <c r="AP94" s="136"/>
      <c r="AQ94" s="897"/>
      <c r="AR94" s="897"/>
      <c r="AS94" s="136"/>
      <c r="AT94" s="897"/>
      <c r="AU94" s="897"/>
      <c r="AV94" s="136"/>
      <c r="AW94" s="897"/>
      <c r="AX94" s="897"/>
      <c r="AY94" s="136"/>
      <c r="AZ94" s="897"/>
      <c r="BA94" s="897"/>
      <c r="BB94" s="136"/>
      <c r="BC94" s="840"/>
      <c r="BD94" s="840"/>
      <c r="BE94" s="102"/>
      <c r="BF94" s="897"/>
      <c r="BG94" s="897"/>
      <c r="BH94" s="123"/>
      <c r="BI94" s="913"/>
      <c r="BJ94" s="913"/>
      <c r="BK94" s="123"/>
      <c r="BL94" s="913"/>
      <c r="BM94" s="913"/>
      <c r="BN94" s="123"/>
      <c r="BO94" s="913"/>
      <c r="BP94" s="913"/>
      <c r="BQ94" s="123"/>
      <c r="BR94" s="913"/>
      <c r="BS94" s="913"/>
      <c r="BT94" s="123"/>
      <c r="BU94" s="913"/>
      <c r="BV94" s="913"/>
      <c r="BW94" s="123"/>
      <c r="BX94" s="897"/>
      <c r="BY94" s="897"/>
      <c r="BZ94" s="136"/>
      <c r="CA94" s="897"/>
      <c r="CB94" s="897"/>
    </row>
    <row r="95" spans="2:97">
      <c r="B95" s="519" t="s">
        <v>1079</v>
      </c>
      <c r="C95" s="469" t="s">
        <v>373</v>
      </c>
      <c r="D95" s="16" t="s">
        <v>353</v>
      </c>
      <c r="E95" s="16" t="s">
        <v>354</v>
      </c>
      <c r="F95" s="16" t="s">
        <v>355</v>
      </c>
      <c r="I95" s="123"/>
      <c r="J95" s="120"/>
      <c r="K95" s="120"/>
      <c r="L95" s="120"/>
      <c r="M95" s="120"/>
      <c r="N95" s="120"/>
      <c r="O95" s="120"/>
      <c r="P95" s="120"/>
      <c r="Q95" s="120"/>
      <c r="R95" s="120"/>
      <c r="S95" s="120"/>
      <c r="T95" s="120"/>
      <c r="U95" s="120"/>
      <c r="V95" s="120"/>
      <c r="W95" s="120"/>
      <c r="X95" s="120"/>
      <c r="Y95" s="120"/>
      <c r="Z95" s="46"/>
      <c r="AA95" s="46"/>
      <c r="AB95" s="46"/>
      <c r="AC95" s="46"/>
      <c r="AD95" s="120"/>
      <c r="AE95" s="342"/>
      <c r="AF95" s="120"/>
      <c r="AG95" s="120"/>
      <c r="AH95" s="120"/>
      <c r="AI95" s="350"/>
      <c r="AJ95" s="120"/>
      <c r="AK95" s="120"/>
      <c r="AL95" s="120"/>
      <c r="AM95" s="120"/>
      <c r="AN95" s="120"/>
      <c r="AO95" s="120"/>
      <c r="AP95" s="120"/>
      <c r="AQ95" s="120"/>
      <c r="AR95" s="120"/>
      <c r="AS95" s="120"/>
      <c r="AT95" s="120"/>
      <c r="AU95" s="120"/>
      <c r="AV95" s="120"/>
      <c r="AW95" s="120"/>
      <c r="AX95" s="120"/>
      <c r="AY95" s="120"/>
      <c r="AZ95" s="120"/>
      <c r="BA95" s="120"/>
      <c r="BB95" s="120"/>
      <c r="BC95" s="120"/>
      <c r="BD95" s="120"/>
      <c r="BE95" s="120"/>
      <c r="BF95" s="120"/>
      <c r="BG95" s="120"/>
      <c r="BH95" s="120"/>
      <c r="BI95" s="120"/>
      <c r="BJ95" s="120"/>
      <c r="BK95" s="120"/>
      <c r="BL95" s="120"/>
      <c r="BM95" s="120"/>
      <c r="BN95" s="120"/>
      <c r="BO95" s="120"/>
      <c r="BP95" s="120"/>
      <c r="BQ95" s="120"/>
      <c r="BR95" s="120"/>
      <c r="BS95" s="120"/>
      <c r="BT95" s="120"/>
      <c r="BU95" s="120"/>
      <c r="BV95" s="120"/>
      <c r="BW95" s="120"/>
      <c r="BX95" s="120"/>
      <c r="BY95" s="120"/>
      <c r="BZ95" s="120"/>
      <c r="CA95" s="362"/>
      <c r="CB95" s="362"/>
    </row>
    <row r="96" spans="2:97" ht="28.8">
      <c r="C96" s="187" t="s">
        <v>1103</v>
      </c>
      <c r="D96" s="51">
        <v>0.1</v>
      </c>
      <c r="E96" s="51">
        <v>0.1</v>
      </c>
      <c r="F96" s="51">
        <v>0</v>
      </c>
      <c r="H96" s="131">
        <f t="shared" ref="H96:J98" si="47">D96</f>
        <v>0.1</v>
      </c>
      <c r="I96" s="131">
        <f t="shared" si="47"/>
        <v>0.1</v>
      </c>
      <c r="J96" s="131">
        <f t="shared" si="47"/>
        <v>0</v>
      </c>
      <c r="K96" s="165"/>
      <c r="L96" s="87"/>
      <c r="M96" s="87"/>
      <c r="N96" s="125">
        <f t="shared" ref="N96:P96" si="48">D96</f>
        <v>0.1</v>
      </c>
      <c r="O96" s="125">
        <f t="shared" si="48"/>
        <v>0.1</v>
      </c>
      <c r="P96" s="125">
        <f t="shared" si="48"/>
        <v>0</v>
      </c>
      <c r="Q96" s="125"/>
      <c r="R96" s="87"/>
      <c r="S96" s="87"/>
      <c r="T96" s="87"/>
      <c r="U96" s="87"/>
      <c r="V96" s="87"/>
      <c r="W96" s="87"/>
      <c r="X96" s="87"/>
      <c r="Y96" s="87"/>
      <c r="Z96" s="125">
        <f t="shared" ref="Z96:AB96" si="49">D96</f>
        <v>0.1</v>
      </c>
      <c r="AA96" s="125">
        <f t="shared" si="49"/>
        <v>0.1</v>
      </c>
      <c r="AB96" s="125">
        <f t="shared" si="49"/>
        <v>0</v>
      </c>
      <c r="AE96" s="133"/>
      <c r="AF96" s="87"/>
      <c r="AG96" s="87"/>
      <c r="AH96" s="87"/>
      <c r="AI96" s="134"/>
      <c r="AJ96" s="87"/>
      <c r="AK96" s="87"/>
      <c r="AL96" s="87"/>
      <c r="AM96" s="87"/>
      <c r="AN96" s="87"/>
      <c r="AO96" s="87"/>
      <c r="AP96" s="87"/>
      <c r="AQ96" s="87"/>
      <c r="AR96" s="87"/>
      <c r="AS96" s="87"/>
      <c r="AT96" s="87"/>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CA96" s="125">
        <f>$D$96</f>
        <v>0.1</v>
      </c>
      <c r="CB96" s="125">
        <f>$E$96</f>
        <v>0.1</v>
      </c>
      <c r="CC96" s="125">
        <f>$F$96</f>
        <v>0</v>
      </c>
      <c r="CD96" s="87"/>
      <c r="CE96" s="87"/>
      <c r="CF96" s="87"/>
      <c r="CG96" s="87"/>
      <c r="CH96" s="87"/>
      <c r="CI96" s="87"/>
      <c r="CJ96" s="87"/>
      <c r="CK96" s="87"/>
      <c r="CL96" s="87"/>
      <c r="CN96" s="87"/>
      <c r="CO96" s="87"/>
      <c r="CP96" s="87"/>
      <c r="CQ96" s="87"/>
      <c r="CR96" s="87"/>
      <c r="CS96" s="87"/>
    </row>
    <row r="97" spans="3:97" ht="21" customHeight="1">
      <c r="C97" s="187" t="s">
        <v>1104</v>
      </c>
      <c r="D97" s="51"/>
      <c r="E97" s="51"/>
      <c r="F97" s="51"/>
      <c r="H97" s="131"/>
      <c r="I97" s="131"/>
      <c r="J97" s="131"/>
      <c r="K97" s="165"/>
      <c r="L97" s="87"/>
      <c r="M97" s="87"/>
      <c r="N97" s="125"/>
      <c r="O97" s="125"/>
      <c r="P97" s="125"/>
      <c r="Q97" s="125"/>
      <c r="R97" s="87"/>
      <c r="S97" s="87"/>
      <c r="T97" s="87"/>
      <c r="U97" s="87"/>
      <c r="V97" s="87"/>
      <c r="W97" s="87"/>
      <c r="X97" s="87"/>
      <c r="Y97" s="87"/>
      <c r="Z97" s="131"/>
      <c r="AA97" s="131"/>
      <c r="AB97" s="131"/>
      <c r="AE97" s="133"/>
      <c r="AF97" s="87"/>
      <c r="AG97" s="87"/>
      <c r="AH97" s="87"/>
      <c r="AI97" s="134"/>
      <c r="AJ97" s="87"/>
      <c r="AK97" s="87"/>
      <c r="AL97" s="87"/>
      <c r="AM97" s="87"/>
      <c r="AN97" s="87"/>
      <c r="AO97" s="87"/>
      <c r="AP97" s="87"/>
      <c r="AQ97" s="87"/>
      <c r="AR97" s="87"/>
      <c r="AS97" s="87"/>
      <c r="AT97" s="87"/>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CA97" s="125"/>
      <c r="CB97" s="125"/>
      <c r="CC97" s="125"/>
      <c r="CD97" s="87"/>
      <c r="CE97" s="87"/>
      <c r="CF97" s="87"/>
      <c r="CG97" s="87"/>
      <c r="CH97" s="87"/>
      <c r="CI97" s="87"/>
      <c r="CJ97" s="87"/>
      <c r="CK97" s="87"/>
      <c r="CL97" s="87"/>
      <c r="CN97" s="87"/>
      <c r="CO97" s="87"/>
      <c r="CP97" s="87"/>
      <c r="CQ97" s="87"/>
      <c r="CR97" s="87"/>
      <c r="CS97" s="87"/>
    </row>
    <row r="98" spans="3:97">
      <c r="C98" s="187" t="s">
        <v>1105</v>
      </c>
      <c r="D98" s="18">
        <v>0.1</v>
      </c>
      <c r="E98" s="18">
        <v>0.05</v>
      </c>
      <c r="F98" s="18">
        <v>0</v>
      </c>
      <c r="H98" s="131">
        <f t="shared" si="47"/>
        <v>0.1</v>
      </c>
      <c r="I98" s="125">
        <f t="shared" si="47"/>
        <v>0.05</v>
      </c>
      <c r="J98" s="125">
        <f t="shared" si="47"/>
        <v>0</v>
      </c>
      <c r="K98" s="165"/>
      <c r="L98" s="87"/>
      <c r="M98" s="87"/>
      <c r="N98" s="125">
        <f>$D$98</f>
        <v>0.1</v>
      </c>
      <c r="O98" s="125">
        <f>$E$98</f>
        <v>0.05</v>
      </c>
      <c r="P98" s="125">
        <f>$F$98</f>
        <v>0</v>
      </c>
      <c r="Q98" s="125"/>
      <c r="R98" s="87"/>
      <c r="S98" s="87"/>
      <c r="T98" s="87"/>
      <c r="U98" s="87"/>
      <c r="V98" s="87"/>
      <c r="W98" s="87"/>
      <c r="X98" s="87"/>
      <c r="Y98" s="87"/>
      <c r="Z98" s="131">
        <f>$D$98</f>
        <v>0.1</v>
      </c>
      <c r="AA98" s="131">
        <f>$E$98</f>
        <v>0.05</v>
      </c>
      <c r="AB98" s="131">
        <f>$F$98</f>
        <v>0</v>
      </c>
      <c r="AE98" s="133"/>
      <c r="AF98" s="87"/>
      <c r="AG98" s="87"/>
      <c r="AH98" s="87"/>
      <c r="AI98" s="134"/>
      <c r="AJ98" s="87"/>
      <c r="AK98" s="87"/>
      <c r="AL98" s="87"/>
      <c r="AM98" s="87"/>
      <c r="AN98" s="87"/>
      <c r="AO98" s="87"/>
      <c r="AP98" s="87"/>
      <c r="AQ98" s="87"/>
      <c r="AR98" s="87"/>
      <c r="AS98" s="87"/>
      <c r="AT98" s="87"/>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CA98" s="125">
        <f>$D$98</f>
        <v>0.1</v>
      </c>
      <c r="CB98" s="125">
        <f>$E$98</f>
        <v>0.05</v>
      </c>
      <c r="CC98" s="125">
        <f>$F$98</f>
        <v>0</v>
      </c>
      <c r="CD98" s="87"/>
      <c r="CE98" s="87"/>
      <c r="CF98" s="87"/>
      <c r="CG98" s="87"/>
      <c r="CH98" s="87"/>
      <c r="CI98" s="87"/>
      <c r="CJ98" s="87"/>
      <c r="CK98" s="87"/>
      <c r="CL98" s="87"/>
      <c r="CN98" s="87"/>
      <c r="CO98" s="87"/>
      <c r="CP98" s="87"/>
      <c r="CQ98" s="87"/>
      <c r="CR98" s="87"/>
      <c r="CS98" s="87"/>
    </row>
    <row r="99" spans="3:97">
      <c r="C99" s="187" t="s">
        <v>1106</v>
      </c>
      <c r="D99" s="18">
        <v>0.1</v>
      </c>
      <c r="E99" s="18">
        <v>0.1</v>
      </c>
      <c r="F99" s="18">
        <v>0.1</v>
      </c>
      <c r="H99" s="87"/>
      <c r="I99" s="363"/>
      <c r="J99" s="142"/>
      <c r="K99" s="125"/>
      <c r="L99" s="125"/>
      <c r="M99" s="125"/>
      <c r="N99" s="87"/>
      <c r="O99" s="87"/>
      <c r="P99" s="87"/>
      <c r="Q99" s="87"/>
      <c r="R99" s="87"/>
      <c r="S99" s="87"/>
      <c r="T99" s="87"/>
      <c r="U99" s="87"/>
      <c r="V99" s="87"/>
      <c r="W99" s="87"/>
      <c r="X99" s="87"/>
      <c r="Y99" s="134"/>
      <c r="Z99" s="87"/>
      <c r="AA99" s="87"/>
      <c r="AB99" s="87"/>
      <c r="AD99" s="125">
        <f t="shared" ref="AD99:AF100" si="50">D99</f>
        <v>0.1</v>
      </c>
      <c r="AE99" s="125">
        <f t="shared" si="50"/>
        <v>0.1</v>
      </c>
      <c r="AF99" s="125">
        <f t="shared" si="50"/>
        <v>0.1</v>
      </c>
      <c r="AG99" s="125"/>
      <c r="AH99" s="87"/>
      <c r="AI99" s="134"/>
      <c r="AJ99" s="87"/>
      <c r="AK99" s="87"/>
      <c r="AL99" s="87"/>
      <c r="AM99" s="87"/>
      <c r="AN99" s="87"/>
      <c r="AO99" s="87"/>
      <c r="AP99" s="87"/>
      <c r="AQ99" s="87"/>
      <c r="AR99" s="87"/>
      <c r="AS99" s="87"/>
      <c r="AT99" s="87"/>
      <c r="AU99" s="87"/>
      <c r="AV99" s="87"/>
      <c r="AW99" s="87"/>
      <c r="AX99" s="87"/>
      <c r="AY99" s="87"/>
      <c r="AZ99" s="87"/>
      <c r="BA99" s="87"/>
      <c r="BB99" s="87"/>
      <c r="BC99" s="87"/>
      <c r="BD99" s="87"/>
      <c r="BE99" s="125">
        <f>D99</f>
        <v>0.1</v>
      </c>
      <c r="BF99" s="125">
        <f>E99</f>
        <v>0.1</v>
      </c>
      <c r="BG99" s="125">
        <f>F99</f>
        <v>0.1</v>
      </c>
      <c r="BH99" s="125"/>
      <c r="BI99" s="87"/>
      <c r="BJ99" s="87"/>
      <c r="BK99" s="87"/>
      <c r="BL99" s="87"/>
      <c r="BM99" s="87"/>
      <c r="BN99" s="87"/>
      <c r="BO99" s="87"/>
      <c r="BP99" s="87"/>
      <c r="BQ99" s="87"/>
      <c r="BR99" s="87"/>
      <c r="BS99" s="87"/>
      <c r="BT99" s="87"/>
      <c r="BU99" s="87"/>
      <c r="BV99" s="87"/>
      <c r="BW99" s="87"/>
      <c r="BX99" s="87"/>
      <c r="BY99" s="87"/>
      <c r="CA99" s="87"/>
      <c r="CB99" s="87"/>
      <c r="CC99" s="87"/>
      <c r="CD99" s="87"/>
      <c r="CE99" s="87"/>
      <c r="CF99" s="87"/>
      <c r="CG99" s="87"/>
      <c r="CH99" s="87"/>
      <c r="CI99" s="87"/>
      <c r="CJ99" s="87"/>
      <c r="CK99" s="87"/>
      <c r="CL99" s="87"/>
      <c r="CN99" s="87"/>
      <c r="CO99" s="87"/>
      <c r="CP99" s="87"/>
      <c r="CQ99" s="87"/>
      <c r="CR99" s="87"/>
      <c r="CS99" s="87"/>
    </row>
    <row r="100" spans="3:97">
      <c r="C100" s="187"/>
      <c r="D100" s="467">
        <v>0.13</v>
      </c>
      <c r="E100" s="467">
        <v>0.13</v>
      </c>
      <c r="F100" s="467">
        <v>0.13</v>
      </c>
      <c r="H100" s="87"/>
      <c r="I100" s="133"/>
      <c r="J100" s="87"/>
      <c r="K100" s="87"/>
      <c r="L100" s="87"/>
      <c r="M100" s="87"/>
      <c r="N100" s="87"/>
      <c r="O100" s="87"/>
      <c r="P100" s="87"/>
      <c r="Q100" s="87"/>
      <c r="R100" s="87"/>
      <c r="S100" s="87"/>
      <c r="T100" s="87"/>
      <c r="U100" s="87"/>
      <c r="V100" s="87"/>
      <c r="W100" s="87"/>
      <c r="X100" s="87"/>
      <c r="Y100" s="134"/>
      <c r="Z100" s="87"/>
      <c r="AA100" s="87"/>
      <c r="AB100" s="87"/>
      <c r="AD100" s="125">
        <f t="shared" si="50"/>
        <v>0.13</v>
      </c>
      <c r="AE100" s="165">
        <f t="shared" si="50"/>
        <v>0.13</v>
      </c>
      <c r="AF100" s="125">
        <f t="shared" si="50"/>
        <v>0.13</v>
      </c>
      <c r="AG100" s="125"/>
      <c r="AH100" s="87"/>
      <c r="AI100" s="134"/>
      <c r="AJ100" s="87"/>
      <c r="AK100" s="87"/>
      <c r="AL100" s="87"/>
      <c r="AM100" s="87"/>
      <c r="AN100" s="87"/>
      <c r="AO100" s="87"/>
      <c r="AP100" s="87"/>
      <c r="AQ100" s="87"/>
      <c r="AR100" s="87"/>
      <c r="AS100" s="87"/>
      <c r="AT100" s="87"/>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CA100" s="87"/>
      <c r="CB100" s="87"/>
      <c r="CC100" s="87"/>
      <c r="CD100" s="87"/>
      <c r="CE100" s="87"/>
      <c r="CF100" s="87"/>
      <c r="CG100" s="87"/>
      <c r="CH100" s="87"/>
      <c r="CI100" s="87"/>
      <c r="CJ100" s="87"/>
      <c r="CK100" s="87"/>
      <c r="CL100" s="87"/>
      <c r="CN100" s="87"/>
      <c r="CO100" s="87"/>
      <c r="CP100" s="87"/>
      <c r="CQ100" s="87"/>
      <c r="CR100" s="87"/>
      <c r="CS100" s="87"/>
    </row>
    <row r="101" spans="3:97">
      <c r="C101" s="187"/>
      <c r="D101" s="17">
        <v>0.05</v>
      </c>
      <c r="E101" s="17">
        <v>0.05</v>
      </c>
      <c r="F101" s="17">
        <v>0.05</v>
      </c>
      <c r="H101" s="87"/>
      <c r="I101" s="133"/>
      <c r="J101" s="87"/>
      <c r="K101" s="87"/>
      <c r="L101" s="87"/>
      <c r="M101" s="87"/>
      <c r="N101" s="87"/>
      <c r="O101" s="87"/>
      <c r="P101" s="87"/>
      <c r="Q101" s="87"/>
      <c r="R101" s="87"/>
      <c r="S101" s="87"/>
      <c r="T101" s="87"/>
      <c r="U101" s="87"/>
      <c r="V101" s="87"/>
      <c r="W101" s="87"/>
      <c r="X101" s="87"/>
      <c r="Y101" s="134"/>
      <c r="Z101" s="87"/>
      <c r="AA101" s="87"/>
      <c r="AB101" s="87"/>
      <c r="AE101" s="133"/>
      <c r="AF101" s="87"/>
      <c r="AG101" s="87"/>
      <c r="AH101" s="87"/>
      <c r="AI101" s="134"/>
      <c r="AJ101" s="87"/>
      <c r="AK101" s="87"/>
      <c r="AL101" s="87"/>
      <c r="AM101" s="87"/>
      <c r="AN101" s="87"/>
      <c r="AO101" s="87"/>
      <c r="AP101" s="87"/>
      <c r="AQ101" s="87"/>
      <c r="AR101" s="87"/>
      <c r="AS101" s="87"/>
      <c r="AT101" s="87"/>
      <c r="AU101" s="87"/>
      <c r="AV101" s="87"/>
      <c r="AW101" s="87"/>
      <c r="AX101" s="87"/>
      <c r="AY101" s="87"/>
      <c r="AZ101" s="87"/>
      <c r="BA101" s="87"/>
      <c r="BB101" s="87"/>
      <c r="BC101" s="87"/>
      <c r="BD101" s="87"/>
      <c r="BE101" s="125">
        <f>D101</f>
        <v>0.05</v>
      </c>
      <c r="BF101" s="126">
        <f>E101</f>
        <v>0.05</v>
      </c>
      <c r="BG101" s="126">
        <f>F101</f>
        <v>0.05</v>
      </c>
      <c r="BH101" s="126"/>
      <c r="BI101" s="87"/>
      <c r="BJ101" s="87"/>
      <c r="BK101" s="87"/>
      <c r="BL101" s="87"/>
      <c r="BM101" s="87"/>
      <c r="BN101" s="87"/>
      <c r="BO101" s="87"/>
      <c r="BP101" s="87"/>
      <c r="BQ101" s="87"/>
      <c r="BR101" s="87"/>
      <c r="BS101" s="87"/>
      <c r="BT101" s="87"/>
      <c r="BU101" s="87"/>
      <c r="BV101" s="87"/>
      <c r="BW101" s="87"/>
      <c r="BX101" s="87"/>
      <c r="BY101" s="87"/>
      <c r="CA101" s="87"/>
      <c r="CB101" s="87"/>
      <c r="CC101" s="87"/>
      <c r="CD101" s="87"/>
      <c r="CE101" s="87"/>
      <c r="CF101" s="87"/>
      <c r="CG101" s="87"/>
      <c r="CH101" s="87"/>
      <c r="CI101" s="87"/>
      <c r="CJ101" s="87"/>
      <c r="CK101" s="87"/>
      <c r="CL101" s="87"/>
      <c r="CN101" s="87"/>
      <c r="CO101" s="87"/>
      <c r="CP101" s="87"/>
      <c r="CQ101" s="87"/>
      <c r="CR101" s="87"/>
      <c r="CS101" s="87"/>
    </row>
    <row r="102" spans="3:97">
      <c r="C102" s="187"/>
      <c r="D102" s="17">
        <v>0.15</v>
      </c>
      <c r="E102" s="17">
        <v>0.15</v>
      </c>
      <c r="F102" s="17">
        <v>0</v>
      </c>
      <c r="H102" s="87"/>
      <c r="I102" s="133"/>
      <c r="J102" s="87"/>
      <c r="K102" s="87"/>
      <c r="L102" s="87"/>
      <c r="M102" s="87"/>
      <c r="N102" s="87"/>
      <c r="O102" s="87"/>
      <c r="P102" s="87"/>
      <c r="Q102" s="87"/>
      <c r="R102" s="87"/>
      <c r="S102" s="87"/>
      <c r="T102" s="87"/>
      <c r="U102" s="87"/>
      <c r="V102" s="87"/>
      <c r="W102" s="87"/>
      <c r="X102" s="87"/>
      <c r="Y102" s="134"/>
      <c r="Z102" s="87"/>
      <c r="AA102" s="87"/>
      <c r="AB102" s="87"/>
      <c r="AD102" s="125">
        <f>D102</f>
        <v>0.15</v>
      </c>
      <c r="AE102" s="165">
        <f>E102</f>
        <v>0.15</v>
      </c>
      <c r="AF102" s="125">
        <f>F102</f>
        <v>0</v>
      </c>
      <c r="AG102" s="125"/>
      <c r="AH102" s="87"/>
      <c r="AI102" s="134"/>
      <c r="AJ102" s="87"/>
      <c r="AK102" s="87"/>
      <c r="AL102" s="87"/>
      <c r="AM102" s="87"/>
      <c r="AN102" s="87"/>
      <c r="AO102" s="87"/>
      <c r="AP102" s="87"/>
      <c r="AQ102" s="87"/>
      <c r="AR102" s="87"/>
      <c r="AS102" s="87"/>
      <c r="AT102" s="87"/>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CA102" s="87"/>
      <c r="CB102" s="87"/>
      <c r="CC102" s="87"/>
      <c r="CD102" s="87"/>
      <c r="CE102" s="87"/>
      <c r="CF102" s="87"/>
      <c r="CG102" s="87"/>
      <c r="CH102" s="87"/>
      <c r="CI102" s="87"/>
      <c r="CJ102" s="87"/>
      <c r="CK102" s="87"/>
      <c r="CL102" s="87"/>
      <c r="CN102" s="87"/>
      <c r="CO102" s="87"/>
      <c r="CP102" s="87"/>
      <c r="CQ102" s="87"/>
      <c r="CR102" s="87"/>
      <c r="CS102" s="87"/>
    </row>
    <row r="103" spans="3:97">
      <c r="C103" s="187"/>
      <c r="D103" s="17">
        <v>0.1</v>
      </c>
      <c r="E103" s="17">
        <v>0.1</v>
      </c>
      <c r="F103" s="17">
        <v>0</v>
      </c>
      <c r="H103" s="87"/>
      <c r="I103" s="133"/>
      <c r="J103" s="87"/>
      <c r="K103" s="87"/>
      <c r="L103" s="87"/>
      <c r="M103" s="87"/>
      <c r="N103" s="87"/>
      <c r="O103" s="87"/>
      <c r="P103" s="87"/>
      <c r="Q103" s="87"/>
      <c r="R103" s="87"/>
      <c r="S103" s="87"/>
      <c r="T103" s="87"/>
      <c r="U103" s="87"/>
      <c r="V103" s="87"/>
      <c r="W103" s="87"/>
      <c r="X103" s="87"/>
      <c r="Y103" s="134"/>
      <c r="Z103" s="87"/>
      <c r="AA103" s="87"/>
      <c r="AB103" s="87"/>
      <c r="AE103" s="133"/>
      <c r="AF103" s="87"/>
      <c r="AG103" s="87"/>
      <c r="AH103" s="87"/>
      <c r="AI103" s="134"/>
      <c r="AJ103" s="87"/>
      <c r="AK103" s="87"/>
      <c r="AL103" s="87"/>
      <c r="AM103" s="87"/>
      <c r="AN103" s="87"/>
      <c r="AO103" s="87"/>
      <c r="AP103" s="87"/>
      <c r="AQ103" s="87"/>
      <c r="AR103" s="87"/>
      <c r="AS103" s="87"/>
      <c r="AT103" s="87"/>
      <c r="AU103" s="87"/>
      <c r="AV103" s="87"/>
      <c r="AW103" s="87"/>
      <c r="AX103" s="87"/>
      <c r="AY103" s="87"/>
      <c r="AZ103" s="87"/>
      <c r="BA103" s="87"/>
      <c r="BB103" s="87"/>
      <c r="BC103" s="87"/>
      <c r="BD103" s="87"/>
      <c r="BE103" s="125">
        <f t="shared" ref="BE103:BG104" si="51">D103</f>
        <v>0.1</v>
      </c>
      <c r="BF103" s="125">
        <f t="shared" si="51"/>
        <v>0.1</v>
      </c>
      <c r="BG103" s="125">
        <f t="shared" si="51"/>
        <v>0</v>
      </c>
      <c r="BH103" s="125"/>
      <c r="BI103" s="87"/>
      <c r="BJ103" s="87"/>
      <c r="BK103" s="87"/>
      <c r="BL103" s="87"/>
      <c r="BM103" s="87"/>
      <c r="BN103" s="87"/>
      <c r="BO103" s="87"/>
      <c r="BP103" s="87"/>
      <c r="BQ103" s="87"/>
      <c r="BR103" s="87"/>
      <c r="BS103" s="87"/>
      <c r="BT103" s="87"/>
      <c r="BU103" s="87"/>
      <c r="BV103" s="87"/>
      <c r="BW103" s="87"/>
      <c r="BX103" s="87"/>
      <c r="BY103" s="87"/>
      <c r="CA103" s="87"/>
      <c r="CB103" s="87"/>
      <c r="CC103" s="87"/>
      <c r="CD103" s="87"/>
      <c r="CE103" s="87"/>
      <c r="CF103" s="87"/>
      <c r="CG103" s="87"/>
      <c r="CH103" s="87"/>
      <c r="CI103" s="87"/>
      <c r="CJ103" s="87"/>
      <c r="CK103" s="87"/>
      <c r="CL103" s="87"/>
      <c r="CN103" s="87"/>
      <c r="CO103" s="87"/>
      <c r="CP103" s="87"/>
      <c r="CQ103" s="87"/>
      <c r="CR103" s="87"/>
      <c r="CS103" s="87"/>
    </row>
    <row r="104" spans="3:97">
      <c r="C104" s="465"/>
      <c r="D104" s="18">
        <v>0.05</v>
      </c>
      <c r="E104" s="18">
        <v>0.02</v>
      </c>
      <c r="F104" s="18">
        <v>0.05</v>
      </c>
      <c r="H104" s="87"/>
      <c r="I104" s="133"/>
      <c r="J104" s="87"/>
      <c r="K104" s="87"/>
      <c r="L104" s="87"/>
      <c r="M104" s="87"/>
      <c r="N104" s="87"/>
      <c r="O104" s="87"/>
      <c r="P104" s="87"/>
      <c r="Q104" s="87"/>
      <c r="R104" s="87"/>
      <c r="S104" s="87"/>
      <c r="T104" s="87"/>
      <c r="U104" s="87"/>
      <c r="V104" s="87"/>
      <c r="W104" s="87"/>
      <c r="X104" s="87"/>
      <c r="Y104" s="134"/>
      <c r="Z104" s="87"/>
      <c r="AA104" s="87"/>
      <c r="AB104" s="87"/>
      <c r="AD104" s="125">
        <f>D104</f>
        <v>0.05</v>
      </c>
      <c r="AE104" s="165">
        <f>E104</f>
        <v>0.02</v>
      </c>
      <c r="AF104" s="125">
        <f>F104</f>
        <v>0.05</v>
      </c>
      <c r="AG104" s="125"/>
      <c r="AH104" s="87"/>
      <c r="AI104" s="134"/>
      <c r="AJ104" s="87"/>
      <c r="AK104" s="87"/>
      <c r="AL104" s="87"/>
      <c r="AM104" s="87"/>
      <c r="AN104" s="87"/>
      <c r="AO104" s="87"/>
      <c r="AP104" s="87"/>
      <c r="AQ104" s="87"/>
      <c r="AR104" s="87"/>
      <c r="AS104" s="87"/>
      <c r="AT104" s="87"/>
      <c r="AU104" s="87"/>
      <c r="AV104" s="87"/>
      <c r="AW104" s="87"/>
      <c r="AX104" s="87"/>
      <c r="AY104" s="87"/>
      <c r="AZ104" s="87"/>
      <c r="BA104" s="87"/>
      <c r="BB104" s="87"/>
      <c r="BC104" s="87"/>
      <c r="BD104" s="87"/>
      <c r="BE104" s="125">
        <f t="shared" si="51"/>
        <v>0.05</v>
      </c>
      <c r="BF104" s="125">
        <f t="shared" si="51"/>
        <v>0.02</v>
      </c>
      <c r="BG104" s="125">
        <f t="shared" si="51"/>
        <v>0.05</v>
      </c>
      <c r="BH104" s="125"/>
      <c r="BI104" s="87"/>
      <c r="BJ104" s="87"/>
      <c r="BK104" s="87"/>
      <c r="BL104" s="87"/>
      <c r="BM104" s="87"/>
      <c r="BN104" s="87"/>
      <c r="BO104" s="87"/>
      <c r="BP104" s="87"/>
      <c r="BQ104" s="87"/>
      <c r="BR104" s="87"/>
      <c r="BS104" s="87"/>
      <c r="BT104" s="87"/>
      <c r="BU104" s="87"/>
      <c r="BV104" s="87"/>
      <c r="BW104" s="87"/>
      <c r="BX104" s="87"/>
      <c r="BY104" s="87"/>
      <c r="CA104" s="87"/>
      <c r="CB104" s="87"/>
      <c r="CC104" s="87"/>
      <c r="CD104" s="87"/>
      <c r="CE104" s="87"/>
      <c r="CF104" s="87"/>
      <c r="CG104" s="87"/>
      <c r="CH104" s="87"/>
      <c r="CI104" s="87"/>
      <c r="CJ104" s="87"/>
      <c r="CK104" s="87"/>
      <c r="CL104" s="87"/>
      <c r="CN104" s="87"/>
      <c r="CO104" s="87"/>
      <c r="CP104" s="87"/>
      <c r="CQ104" s="87"/>
      <c r="CR104" s="87"/>
      <c r="CS104" s="87"/>
    </row>
    <row r="105" spans="3:97">
      <c r="C105" s="187"/>
      <c r="D105" s="17">
        <v>0.05</v>
      </c>
      <c r="E105" s="17">
        <v>0.05</v>
      </c>
      <c r="F105" s="17">
        <v>0</v>
      </c>
      <c r="H105" s="87"/>
      <c r="I105" s="133"/>
      <c r="J105" s="87"/>
      <c r="K105" s="87"/>
      <c r="L105" s="87"/>
      <c r="M105" s="87"/>
      <c r="N105" s="87"/>
      <c r="O105" s="87"/>
      <c r="P105" s="87"/>
      <c r="Q105" s="125">
        <f>D105</f>
        <v>0.05</v>
      </c>
      <c r="R105" s="125">
        <f>E105</f>
        <v>0.05</v>
      </c>
      <c r="S105" s="125">
        <f>F105</f>
        <v>0</v>
      </c>
      <c r="T105" s="125">
        <f>D105</f>
        <v>0.05</v>
      </c>
      <c r="U105" s="125">
        <f>E105</f>
        <v>0.05</v>
      </c>
      <c r="V105" s="125">
        <f>F105</f>
        <v>0</v>
      </c>
      <c r="W105" s="125"/>
      <c r="X105" s="87"/>
      <c r="Y105" s="134"/>
      <c r="Z105" s="87"/>
      <c r="AA105" s="87"/>
      <c r="AB105" s="87"/>
      <c r="AE105" s="133"/>
      <c r="AF105" s="87"/>
      <c r="AG105" s="87"/>
      <c r="AH105" s="87"/>
      <c r="AI105" s="134"/>
      <c r="AJ105" s="87"/>
      <c r="AK105" s="87"/>
      <c r="AL105" s="87"/>
      <c r="AM105" s="87"/>
      <c r="AN105" s="87"/>
      <c r="AO105" s="87"/>
      <c r="AP105" s="87"/>
      <c r="AQ105" s="87"/>
      <c r="AR105" s="87"/>
      <c r="AS105" s="87"/>
      <c r="AT105" s="87"/>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CA105" s="125">
        <f t="shared" ref="CA105:CC108" si="52">D105</f>
        <v>0.05</v>
      </c>
      <c r="CB105" s="125">
        <f t="shared" si="52"/>
        <v>0.05</v>
      </c>
      <c r="CC105" s="125">
        <f t="shared" si="52"/>
        <v>0</v>
      </c>
      <c r="CD105" s="125">
        <f>D105</f>
        <v>0.05</v>
      </c>
      <c r="CE105" s="125">
        <f>E105</f>
        <v>0.05</v>
      </c>
      <c r="CF105" s="125">
        <f>F105</f>
        <v>0</v>
      </c>
      <c r="CG105" s="87"/>
      <c r="CH105" s="87"/>
      <c r="CI105" s="87"/>
      <c r="CJ105" s="87"/>
      <c r="CK105" s="87"/>
      <c r="CL105" s="87"/>
      <c r="CN105" s="87"/>
      <c r="CO105" s="87"/>
      <c r="CP105" s="87"/>
      <c r="CQ105" s="87"/>
      <c r="CR105" s="87"/>
      <c r="CS105" s="87"/>
    </row>
    <row r="106" spans="3:97">
      <c r="C106" s="465"/>
      <c r="D106" s="17">
        <v>0.03</v>
      </c>
      <c r="E106" s="17">
        <v>0.03</v>
      </c>
      <c r="F106" s="17">
        <v>0.03</v>
      </c>
      <c r="H106" s="125">
        <f>D106</f>
        <v>0.03</v>
      </c>
      <c r="I106" s="165">
        <f>E106</f>
        <v>0.03</v>
      </c>
      <c r="J106" s="125">
        <f>F106</f>
        <v>0.03</v>
      </c>
      <c r="K106" s="125"/>
      <c r="L106" s="87"/>
      <c r="M106" s="87"/>
      <c r="N106" s="87"/>
      <c r="O106" s="87"/>
      <c r="P106" s="87"/>
      <c r="Q106" s="87"/>
      <c r="R106" s="87"/>
      <c r="S106" s="87"/>
      <c r="T106" s="87"/>
      <c r="U106" s="87"/>
      <c r="V106" s="87"/>
      <c r="W106" s="87"/>
      <c r="X106" s="87"/>
      <c r="Y106" s="134"/>
      <c r="Z106" s="87"/>
      <c r="AA106" s="87"/>
      <c r="AB106" s="87"/>
      <c r="AE106" s="133"/>
      <c r="AF106" s="87"/>
      <c r="AG106" s="87"/>
      <c r="AH106" s="87"/>
      <c r="AI106" s="134"/>
      <c r="AJ106" s="87"/>
      <c r="AK106" s="87"/>
      <c r="AL106" s="87"/>
      <c r="AM106" s="87"/>
      <c r="AN106" s="87"/>
      <c r="AO106" s="87"/>
      <c r="AP106" s="87"/>
      <c r="AQ106" s="87"/>
      <c r="AR106" s="87"/>
      <c r="AS106" s="87"/>
      <c r="AT106" s="87"/>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CA106" s="125">
        <f t="shared" si="52"/>
        <v>0.03</v>
      </c>
      <c r="CB106" s="125">
        <f t="shared" si="52"/>
        <v>0.03</v>
      </c>
      <c r="CC106" s="125">
        <f t="shared" si="52"/>
        <v>0.03</v>
      </c>
      <c r="CD106" s="87"/>
      <c r="CE106" s="87"/>
      <c r="CF106" s="87"/>
      <c r="CG106" s="87"/>
      <c r="CH106" s="87"/>
      <c r="CI106" s="87"/>
      <c r="CJ106" s="87"/>
      <c r="CK106" s="87"/>
      <c r="CL106" s="87"/>
      <c r="CN106" s="87"/>
      <c r="CO106" s="87"/>
      <c r="CP106" s="87"/>
      <c r="CQ106" s="87"/>
      <c r="CR106" s="87"/>
      <c r="CS106" s="87"/>
    </row>
    <row r="107" spans="3:97">
      <c r="C107" s="187"/>
      <c r="D107" s="17">
        <v>0.03</v>
      </c>
      <c r="E107" s="17">
        <v>0.03</v>
      </c>
      <c r="F107" s="17">
        <v>0.03</v>
      </c>
      <c r="H107" s="87"/>
      <c r="I107" s="133"/>
      <c r="J107" s="87"/>
      <c r="K107" s="87"/>
      <c r="L107" s="87"/>
      <c r="M107" s="87"/>
      <c r="N107" s="87"/>
      <c r="O107" s="125">
        <f>E107</f>
        <v>0.03</v>
      </c>
      <c r="P107" s="125">
        <f>F107</f>
        <v>0.03</v>
      </c>
      <c r="Q107" s="87"/>
      <c r="R107" s="87"/>
      <c r="S107" s="87"/>
      <c r="T107" s="87"/>
      <c r="U107" s="87"/>
      <c r="V107" s="87"/>
      <c r="W107" s="87"/>
      <c r="X107" s="87"/>
      <c r="Y107" s="134"/>
      <c r="Z107" s="87"/>
      <c r="AA107" s="87"/>
      <c r="AB107" s="87"/>
      <c r="AE107" s="133"/>
      <c r="AF107" s="87"/>
      <c r="AG107" s="87"/>
      <c r="AH107" s="87"/>
      <c r="AI107" s="134"/>
      <c r="AJ107" s="87"/>
      <c r="AK107" s="87"/>
      <c r="AL107" s="87"/>
      <c r="AM107" s="87"/>
      <c r="AN107" s="87"/>
      <c r="AO107" s="87"/>
      <c r="AP107" s="87"/>
      <c r="AQ107" s="87"/>
      <c r="AR107" s="87"/>
      <c r="AS107" s="87"/>
      <c r="AT107" s="87"/>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CA107" s="125">
        <f t="shared" si="52"/>
        <v>0.03</v>
      </c>
      <c r="CB107" s="125">
        <f t="shared" si="52"/>
        <v>0.03</v>
      </c>
      <c r="CC107" s="125">
        <f t="shared" si="52"/>
        <v>0.03</v>
      </c>
      <c r="CD107" s="87"/>
      <c r="CE107" s="87"/>
      <c r="CF107" s="87"/>
      <c r="CG107" s="87"/>
      <c r="CH107" s="87"/>
      <c r="CI107" s="87"/>
      <c r="CJ107" s="87"/>
      <c r="CK107" s="87"/>
      <c r="CL107" s="87"/>
      <c r="CN107" s="87"/>
      <c r="CO107" s="87"/>
      <c r="CP107" s="87"/>
      <c r="CQ107" s="87"/>
      <c r="CR107" s="87"/>
      <c r="CS107" s="87"/>
    </row>
    <row r="108" spans="3:97">
      <c r="C108" s="187"/>
      <c r="D108" s="17">
        <v>0.01</v>
      </c>
      <c r="E108" s="17">
        <v>5.0000000000000001E-3</v>
      </c>
      <c r="F108" s="17">
        <v>0</v>
      </c>
      <c r="H108" s="125">
        <f>D108</f>
        <v>0.01</v>
      </c>
      <c r="I108" s="165">
        <f>E108</f>
        <v>5.0000000000000001E-3</v>
      </c>
      <c r="J108" s="125">
        <f>F108</f>
        <v>0</v>
      </c>
      <c r="K108" s="125"/>
      <c r="L108" s="87"/>
      <c r="M108" s="87"/>
      <c r="N108" s="125">
        <f>D108</f>
        <v>0.01</v>
      </c>
      <c r="O108" s="125">
        <f>E108</f>
        <v>5.0000000000000001E-3</v>
      </c>
      <c r="P108" s="125">
        <f>F108</f>
        <v>0</v>
      </c>
      <c r="Q108" s="125"/>
      <c r="R108" s="87"/>
      <c r="S108" s="87"/>
      <c r="T108" s="87"/>
      <c r="U108" s="87"/>
      <c r="V108" s="87"/>
      <c r="W108" s="87"/>
      <c r="X108" s="87"/>
      <c r="Y108" s="134"/>
      <c r="Z108" s="125">
        <f>D108</f>
        <v>0.01</v>
      </c>
      <c r="AA108" s="125">
        <f>E108</f>
        <v>5.0000000000000001E-3</v>
      </c>
      <c r="AB108" s="125">
        <f>F108</f>
        <v>0</v>
      </c>
      <c r="AE108" s="133"/>
      <c r="AF108" s="87"/>
      <c r="AG108" s="87"/>
      <c r="AH108" s="87"/>
      <c r="AI108" s="134"/>
      <c r="AJ108" s="87"/>
      <c r="AK108" s="87"/>
      <c r="AL108" s="87"/>
      <c r="AM108" s="87"/>
      <c r="AN108" s="87"/>
      <c r="AO108" s="87"/>
      <c r="AP108" s="87"/>
      <c r="AQ108" s="87"/>
      <c r="AR108" s="87"/>
      <c r="AS108" s="87"/>
      <c r="AT108" s="87"/>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CA108" s="125">
        <f t="shared" si="52"/>
        <v>0.01</v>
      </c>
      <c r="CB108" s="125">
        <f t="shared" si="52"/>
        <v>5.0000000000000001E-3</v>
      </c>
      <c r="CC108" s="125">
        <f t="shared" si="52"/>
        <v>0</v>
      </c>
      <c r="CD108" s="125">
        <f>D108</f>
        <v>0.01</v>
      </c>
      <c r="CE108" s="125">
        <f>E108</f>
        <v>5.0000000000000001E-3</v>
      </c>
      <c r="CF108" s="125">
        <f>F108</f>
        <v>0</v>
      </c>
      <c r="CG108" s="125">
        <f>D108</f>
        <v>0.01</v>
      </c>
      <c r="CH108" s="125">
        <f>E108</f>
        <v>5.0000000000000001E-3</v>
      </c>
      <c r="CI108" s="125">
        <f>F108</f>
        <v>0</v>
      </c>
      <c r="CJ108" s="87"/>
      <c r="CK108" s="87"/>
      <c r="CL108" s="87"/>
      <c r="CN108" s="87"/>
      <c r="CO108" s="87"/>
      <c r="CP108" s="87"/>
      <c r="CQ108" s="87"/>
      <c r="CR108" s="87"/>
      <c r="CS108" s="87"/>
    </row>
    <row r="109" spans="3:97">
      <c r="C109" s="372"/>
      <c r="D109" s="17">
        <v>0.05</v>
      </c>
      <c r="E109" s="17">
        <v>0.02</v>
      </c>
      <c r="F109" s="17">
        <v>0</v>
      </c>
      <c r="H109" s="87"/>
      <c r="I109" s="133"/>
      <c r="J109" s="87"/>
      <c r="K109" s="87"/>
      <c r="L109" s="87"/>
      <c r="M109" s="87"/>
      <c r="N109" s="87"/>
      <c r="O109" s="87"/>
      <c r="P109" s="87"/>
      <c r="Q109" s="87"/>
      <c r="R109" s="87"/>
      <c r="S109" s="87"/>
      <c r="T109" s="87"/>
      <c r="U109" s="87"/>
      <c r="V109" s="87"/>
      <c r="W109" s="87"/>
      <c r="X109" s="87"/>
      <c r="Y109" s="134"/>
      <c r="Z109" s="87"/>
      <c r="AA109" s="87"/>
      <c r="AB109" s="87"/>
      <c r="AE109" s="133"/>
      <c r="AF109" s="87"/>
      <c r="AG109" s="87"/>
      <c r="AH109" s="87"/>
      <c r="AI109" s="134"/>
      <c r="AJ109" s="87"/>
      <c r="AK109" s="87"/>
      <c r="AL109" s="87"/>
      <c r="AM109" s="87"/>
      <c r="AN109" s="87"/>
      <c r="AO109" s="87"/>
      <c r="AP109" s="87"/>
      <c r="AQ109" s="87"/>
      <c r="AR109" s="87"/>
      <c r="AS109" s="87"/>
      <c r="AT109" s="87"/>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CA109" s="87"/>
      <c r="CB109" s="87"/>
      <c r="CC109" s="87"/>
      <c r="CD109" s="87"/>
      <c r="CE109" s="87"/>
      <c r="CF109" s="87"/>
      <c r="CG109" s="87"/>
      <c r="CH109" s="87"/>
      <c r="CI109" s="87"/>
      <c r="CJ109" s="87"/>
      <c r="CK109" s="87"/>
      <c r="CL109" s="87"/>
      <c r="CN109" s="125">
        <f>D109</f>
        <v>0.05</v>
      </c>
      <c r="CO109" s="125">
        <f>E109</f>
        <v>0.02</v>
      </c>
      <c r="CP109" s="125">
        <f>F109</f>
        <v>0</v>
      </c>
      <c r="CQ109" s="87"/>
      <c r="CR109" s="87"/>
      <c r="CS109" s="87"/>
    </row>
    <row r="110" spans="3:97">
      <c r="C110" s="187"/>
      <c r="D110" s="17">
        <v>0</v>
      </c>
      <c r="E110" s="17">
        <v>0</v>
      </c>
      <c r="F110" s="17">
        <v>0</v>
      </c>
      <c r="H110" s="87"/>
      <c r="I110" s="133"/>
      <c r="J110" s="87"/>
      <c r="K110" s="87"/>
      <c r="L110" s="87"/>
      <c r="M110" s="87"/>
      <c r="N110" s="87"/>
      <c r="O110" s="87"/>
      <c r="P110" s="87"/>
      <c r="Q110" s="87"/>
      <c r="R110" s="87"/>
      <c r="S110" s="87"/>
      <c r="T110" s="87"/>
      <c r="U110" s="87"/>
      <c r="V110" s="87"/>
      <c r="W110" s="87"/>
      <c r="X110" s="87"/>
      <c r="Y110" s="134"/>
      <c r="Z110" s="87"/>
      <c r="AA110" s="87"/>
      <c r="AB110" s="87"/>
      <c r="AE110" s="133"/>
      <c r="AF110" s="87"/>
      <c r="AG110" s="87"/>
      <c r="AH110" s="87"/>
      <c r="AI110" s="134"/>
      <c r="AJ110" s="87"/>
      <c r="AK110" s="87"/>
      <c r="AL110" s="87"/>
      <c r="AM110" s="87"/>
      <c r="AN110" s="87"/>
      <c r="AO110" s="87"/>
      <c r="AP110" s="87"/>
      <c r="AQ110" s="87"/>
      <c r="AR110" s="87"/>
      <c r="AS110" s="87"/>
      <c r="AT110" s="87"/>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CA110" s="87"/>
      <c r="CB110" s="87"/>
      <c r="CC110" s="87"/>
      <c r="CD110" s="87"/>
      <c r="CE110" s="87"/>
      <c r="CF110" s="87"/>
      <c r="CG110" s="87"/>
      <c r="CH110" s="87"/>
      <c r="CI110" s="87"/>
      <c r="CJ110" s="87"/>
      <c r="CK110" s="87"/>
      <c r="CL110" s="87"/>
      <c r="CN110" s="87"/>
      <c r="CO110" s="87"/>
      <c r="CP110" s="87"/>
      <c r="CQ110" s="87"/>
      <c r="CR110" s="87"/>
      <c r="CS110" s="87"/>
    </row>
    <row r="111" spans="3:97" s="1" customFormat="1">
      <c r="C111" s="10"/>
      <c r="D111" s="19">
        <f>SUM(D96:D110)</f>
        <v>0.95000000000000018</v>
      </c>
      <c r="E111" s="19">
        <f>SUM(E96:E110)</f>
        <v>0.83500000000000008</v>
      </c>
      <c r="F111" s="19">
        <f>SUM(F96:F110)</f>
        <v>0.39</v>
      </c>
      <c r="H111" s="33">
        <f>SUM(H96:H110)</f>
        <v>0.24000000000000002</v>
      </c>
      <c r="I111" s="33">
        <f>SUM(I96:I110)</f>
        <v>0.18500000000000003</v>
      </c>
      <c r="J111" s="33">
        <f>SUM(J96:J110)</f>
        <v>0.03</v>
      </c>
      <c r="K111" s="33"/>
      <c r="L111" s="33"/>
      <c r="M111" s="33"/>
      <c r="N111" s="33">
        <f t="shared" ref="N111:V111" si="53">SUM(N96:N110)</f>
        <v>0.21000000000000002</v>
      </c>
      <c r="O111" s="33">
        <f t="shared" si="53"/>
        <v>0.18500000000000003</v>
      </c>
      <c r="P111" s="33">
        <f t="shared" si="53"/>
        <v>0.03</v>
      </c>
      <c r="Q111" s="33">
        <f t="shared" si="53"/>
        <v>0.05</v>
      </c>
      <c r="R111" s="33">
        <f t="shared" si="53"/>
        <v>0.05</v>
      </c>
      <c r="S111" s="33">
        <f t="shared" si="53"/>
        <v>0</v>
      </c>
      <c r="T111" s="33">
        <f t="shared" si="53"/>
        <v>0.05</v>
      </c>
      <c r="U111" s="33">
        <f t="shared" si="53"/>
        <v>0.05</v>
      </c>
      <c r="V111" s="33">
        <f t="shared" si="53"/>
        <v>0</v>
      </c>
      <c r="W111" s="33"/>
      <c r="X111" s="33"/>
      <c r="Y111" s="33"/>
      <c r="Z111" s="33">
        <f>SUM(Z96:Z110)</f>
        <v>0.21000000000000002</v>
      </c>
      <c r="AA111" s="33">
        <f>SUM(AA96:AA110)</f>
        <v>0.15500000000000003</v>
      </c>
      <c r="AB111" s="33">
        <f>SUM(AB96:AB110)</f>
        <v>0</v>
      </c>
      <c r="AC111" s="33"/>
      <c r="AD111" s="33">
        <f>SUM(AD96:AD110)</f>
        <v>0.43</v>
      </c>
      <c r="AE111" s="33">
        <f>SUM(AE96:AE110)</f>
        <v>0.4</v>
      </c>
      <c r="AF111" s="33">
        <f>SUM(AF96:AF110)</f>
        <v>0.28000000000000003</v>
      </c>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f>SUM(BE96:BE110)</f>
        <v>0.3</v>
      </c>
      <c r="BF111" s="33">
        <f>SUM(BF96:BF110)</f>
        <v>0.27</v>
      </c>
      <c r="BG111" s="33">
        <f>SUM(BG96:BG110)</f>
        <v>0.2</v>
      </c>
      <c r="BH111" s="33"/>
      <c r="BI111" s="33"/>
      <c r="BJ111" s="33"/>
      <c r="BK111" s="33"/>
      <c r="BL111" s="33"/>
      <c r="BM111" s="33"/>
      <c r="BN111" s="33"/>
      <c r="BO111" s="33"/>
      <c r="BP111" s="33"/>
      <c r="BQ111" s="33"/>
      <c r="BR111" s="33"/>
      <c r="BS111" s="33"/>
      <c r="BT111" s="33"/>
      <c r="BU111" s="33"/>
      <c r="BV111" s="33"/>
      <c r="BW111" s="33"/>
      <c r="BX111" s="33"/>
      <c r="BY111" s="33"/>
      <c r="BZ111" s="33"/>
      <c r="CA111" s="33">
        <f t="shared" ref="CA111:CI111" si="54">SUM(CA96:CA110)</f>
        <v>0.32000000000000006</v>
      </c>
      <c r="CB111" s="33">
        <f t="shared" si="54"/>
        <v>0.26500000000000001</v>
      </c>
      <c r="CC111" s="33">
        <f t="shared" si="54"/>
        <v>0.06</v>
      </c>
      <c r="CD111" s="33">
        <f t="shared" si="54"/>
        <v>6.0000000000000005E-2</v>
      </c>
      <c r="CE111" s="33">
        <f t="shared" si="54"/>
        <v>5.5E-2</v>
      </c>
      <c r="CF111" s="33">
        <f t="shared" si="54"/>
        <v>0</v>
      </c>
      <c r="CG111" s="33">
        <f t="shared" si="54"/>
        <v>0.01</v>
      </c>
      <c r="CH111" s="33">
        <f t="shared" si="54"/>
        <v>5.0000000000000001E-3</v>
      </c>
      <c r="CI111" s="33">
        <f t="shared" si="54"/>
        <v>0</v>
      </c>
      <c r="CJ111" s="33"/>
      <c r="CK111" s="33"/>
      <c r="CL111" s="33"/>
      <c r="CM111" s="33"/>
      <c r="CN111" s="33">
        <f>SUM(CN96:CN110)</f>
        <v>0.05</v>
      </c>
      <c r="CO111" s="33">
        <f>SUM(CO96:CO110)</f>
        <v>0.02</v>
      </c>
      <c r="CP111" s="33">
        <f>SUM(CP96:CP110)</f>
        <v>0</v>
      </c>
    </row>
    <row r="112" spans="3:97">
      <c r="C112" s="10"/>
      <c r="D112" s="19"/>
      <c r="E112" s="19">
        <f>D111-E111</f>
        <v>0.1150000000000001</v>
      </c>
      <c r="F112" s="19">
        <f>E111-F111</f>
        <v>0.44500000000000006</v>
      </c>
    </row>
    <row r="113" spans="2:90">
      <c r="C113" s="11"/>
      <c r="D113" s="15"/>
      <c r="E113" s="15"/>
      <c r="F113" s="18"/>
    </row>
    <row r="114" spans="2:90">
      <c r="C114" s="23" t="s">
        <v>359</v>
      </c>
      <c r="D114" s="24">
        <v>30</v>
      </c>
      <c r="E114" s="15"/>
      <c r="F114" s="15"/>
    </row>
    <row r="115" spans="2:90">
      <c r="C115" s="13"/>
      <c r="D115" s="24"/>
      <c r="E115" s="15"/>
      <c r="F115" s="15"/>
    </row>
    <row r="116" spans="2:90">
      <c r="C116" s="13"/>
      <c r="D116" s="24"/>
      <c r="E116" s="15"/>
      <c r="F116" s="15"/>
    </row>
    <row r="117" spans="2:90">
      <c r="C117" s="11" t="s">
        <v>360</v>
      </c>
      <c r="D117" s="15"/>
      <c r="E117" s="15"/>
      <c r="F117" s="15"/>
    </row>
    <row r="118" spans="2:90">
      <c r="C118" s="11" t="s">
        <v>361</v>
      </c>
      <c r="D118" s="15"/>
      <c r="E118" s="15"/>
      <c r="F118" s="15"/>
    </row>
    <row r="119" spans="2:90">
      <c r="C119" s="11" t="s">
        <v>362</v>
      </c>
      <c r="D119" s="15"/>
      <c r="E119" s="15"/>
      <c r="F119" s="15"/>
    </row>
    <row r="120" spans="2:90">
      <c r="C120" s="11" t="s">
        <v>363</v>
      </c>
      <c r="D120" s="15"/>
      <c r="E120" s="15"/>
      <c r="F120" s="15"/>
    </row>
    <row r="121" spans="2:90">
      <c r="C121" s="109"/>
      <c r="D121" s="110"/>
      <c r="E121" s="110"/>
      <c r="F121" s="110"/>
      <c r="G121" s="100"/>
      <c r="H121" s="100"/>
      <c r="I121" s="100"/>
      <c r="J121" s="100"/>
      <c r="K121" s="100"/>
      <c r="L121" s="100"/>
      <c r="M121" s="100"/>
      <c r="N121" s="100"/>
      <c r="O121" s="100"/>
      <c r="P121" s="100"/>
      <c r="Q121" s="100"/>
      <c r="R121" s="100"/>
      <c r="S121" s="100"/>
      <c r="T121" s="100"/>
      <c r="U121" s="100"/>
      <c r="V121" s="100"/>
      <c r="W121" s="100"/>
      <c r="X121" s="100"/>
      <c r="Y121" s="100"/>
      <c r="Z121" s="100"/>
      <c r="AA121" s="100"/>
      <c r="AB121" s="100"/>
      <c r="AC121" s="100"/>
      <c r="AD121" s="332"/>
      <c r="AE121" s="100"/>
      <c r="AF121" s="100"/>
      <c r="AG121" s="100"/>
      <c r="AH121" s="100"/>
      <c r="AI121" s="100"/>
      <c r="AJ121" s="392"/>
      <c r="AK121" s="100"/>
      <c r="AL121" s="100"/>
      <c r="AM121" s="100"/>
      <c r="AN121" s="100"/>
      <c r="AO121" s="100"/>
      <c r="AP121" s="100"/>
      <c r="AQ121" s="100"/>
      <c r="AR121" s="100"/>
      <c r="AS121" s="100"/>
      <c r="AT121" s="100"/>
      <c r="AU121" s="100"/>
      <c r="AV121" s="100"/>
      <c r="AW121" s="100"/>
      <c r="AX121" s="100"/>
      <c r="AY121" s="100"/>
      <c r="AZ121" s="100"/>
      <c r="BA121" s="100"/>
      <c r="BB121" s="100"/>
      <c r="BC121" s="100"/>
      <c r="BD121" s="100"/>
      <c r="BE121" s="100"/>
      <c r="BF121" s="100"/>
      <c r="BG121" s="100"/>
      <c r="BH121" s="100"/>
      <c r="BI121" s="100"/>
      <c r="BJ121" s="100"/>
      <c r="BK121" s="100"/>
      <c r="BL121" s="100"/>
      <c r="BM121" s="100"/>
      <c r="BN121" s="100"/>
      <c r="BO121" s="100"/>
      <c r="BP121" s="100"/>
      <c r="BQ121" s="100"/>
      <c r="BR121" s="100"/>
      <c r="BS121" s="100"/>
      <c r="BT121" s="100"/>
      <c r="BU121" s="100"/>
      <c r="BV121" s="100"/>
      <c r="BW121" s="100"/>
      <c r="BX121" s="100"/>
      <c r="BY121" s="100"/>
      <c r="BZ121" s="100"/>
      <c r="CA121" s="100"/>
      <c r="CB121" s="100"/>
      <c r="CC121" s="100"/>
      <c r="CD121" s="100"/>
    </row>
    <row r="122" spans="2:90">
      <c r="C122" s="11"/>
      <c r="D122" s="15"/>
      <c r="E122" s="15"/>
      <c r="F122" s="15"/>
    </row>
    <row r="123" spans="2:90">
      <c r="C123" s="85"/>
      <c r="D123" s="86"/>
      <c r="E123" s="86"/>
      <c r="F123" s="86"/>
      <c r="AD123" s="130"/>
    </row>
    <row r="124" spans="2:90" s="419" customFormat="1">
      <c r="D124" s="420"/>
      <c r="E124" s="420"/>
      <c r="F124" s="420"/>
      <c r="I124" s="839"/>
      <c r="J124" s="839"/>
      <c r="K124" s="839"/>
      <c r="L124" s="839"/>
      <c r="M124" s="839"/>
      <c r="N124" s="839"/>
      <c r="O124" s="839"/>
      <c r="P124" s="839"/>
      <c r="Q124" s="839"/>
      <c r="R124" s="839"/>
      <c r="S124" s="839"/>
      <c r="T124" s="839"/>
      <c r="U124" s="839"/>
      <c r="V124" s="839"/>
      <c r="W124" s="839"/>
      <c r="X124" s="839"/>
      <c r="Y124" s="839"/>
      <c r="AE124" s="902"/>
      <c r="AF124" s="902"/>
      <c r="AG124" s="902"/>
      <c r="AH124" s="902"/>
      <c r="AI124" s="902"/>
      <c r="AJ124" s="902"/>
      <c r="AK124" s="902"/>
      <c r="AL124" s="902"/>
      <c r="AM124" s="902"/>
      <c r="AN124" s="902"/>
      <c r="AO124" s="902"/>
      <c r="AP124" s="902"/>
      <c r="AQ124" s="902"/>
      <c r="AR124" s="902"/>
      <c r="AS124" s="902"/>
      <c r="AT124" s="902"/>
      <c r="AU124" s="902"/>
      <c r="AV124" s="902"/>
      <c r="AW124" s="902"/>
      <c r="AX124" s="902"/>
      <c r="AY124" s="902"/>
      <c r="AZ124" s="902"/>
      <c r="BA124" s="902"/>
      <c r="BB124" s="902"/>
      <c r="BC124" s="902"/>
      <c r="BD124" s="902"/>
      <c r="BE124" s="902"/>
      <c r="BF124" s="902"/>
      <c r="BG124" s="902"/>
      <c r="BH124" s="902"/>
      <c r="BI124" s="902"/>
      <c r="BJ124" s="902"/>
      <c r="BK124" s="902"/>
      <c r="BL124" s="902"/>
      <c r="BM124" s="902"/>
      <c r="BN124" s="902"/>
      <c r="BO124" s="902"/>
      <c r="BP124" s="902"/>
      <c r="BQ124" s="902"/>
      <c r="BR124" s="902"/>
      <c r="BS124" s="902"/>
      <c r="BT124" s="902"/>
      <c r="BU124" s="902"/>
      <c r="BV124" s="902"/>
      <c r="BW124" s="902"/>
      <c r="BX124" s="902"/>
      <c r="BY124" s="902"/>
      <c r="BZ124" s="421"/>
      <c r="CA124" s="421"/>
      <c r="CB124" s="421"/>
    </row>
    <row r="125" spans="2:90" s="87" customFormat="1">
      <c r="D125" s="88"/>
      <c r="E125" s="88"/>
      <c r="F125" s="88"/>
      <c r="I125" s="840"/>
      <c r="J125" s="840"/>
      <c r="K125" s="840"/>
      <c r="L125" s="840"/>
      <c r="M125" s="840"/>
      <c r="N125" s="840"/>
      <c r="O125" s="840"/>
      <c r="P125" s="840"/>
      <c r="Q125" s="840"/>
      <c r="R125" s="840"/>
      <c r="S125" s="840"/>
      <c r="T125" s="840"/>
      <c r="U125" s="840"/>
      <c r="V125" s="840"/>
      <c r="W125" s="840"/>
      <c r="X125" s="840"/>
      <c r="Y125" s="120"/>
      <c r="AE125" s="102"/>
      <c r="AF125" s="120"/>
      <c r="AG125" s="120"/>
      <c r="AH125" s="120"/>
      <c r="AI125" s="120"/>
      <c r="AJ125" s="120"/>
      <c r="AK125" s="120"/>
      <c r="AL125" s="120"/>
      <c r="AM125" s="120"/>
      <c r="AN125" s="120"/>
      <c r="AO125" s="120"/>
      <c r="AP125" s="120"/>
      <c r="AQ125" s="120"/>
      <c r="AR125" s="120"/>
      <c r="AS125" s="120"/>
      <c r="AT125" s="120"/>
      <c r="AU125" s="120"/>
      <c r="AV125" s="120"/>
      <c r="AW125" s="120"/>
      <c r="AX125" s="120"/>
      <c r="AY125" s="120"/>
      <c r="AZ125" s="120"/>
      <c r="BA125" s="120"/>
      <c r="BB125" s="120"/>
      <c r="BC125" s="120"/>
      <c r="BD125" s="120"/>
      <c r="BE125" s="120"/>
      <c r="BF125" s="120"/>
      <c r="BG125" s="120"/>
      <c r="BH125" s="120"/>
      <c r="BI125" s="120"/>
      <c r="BJ125" s="120"/>
      <c r="BK125" s="120"/>
      <c r="BL125" s="120"/>
      <c r="BM125" s="120"/>
      <c r="BN125" s="120"/>
      <c r="BO125" s="120"/>
      <c r="BP125" s="120"/>
      <c r="BQ125" s="120"/>
      <c r="BR125" s="120"/>
      <c r="BS125" s="120"/>
      <c r="BT125" s="120"/>
      <c r="BU125" s="120"/>
      <c r="BV125" s="120"/>
      <c r="BW125" s="120"/>
      <c r="BX125" s="120"/>
      <c r="BY125" s="120"/>
      <c r="BZ125" s="120"/>
      <c r="CA125" s="120"/>
      <c r="CB125" s="120"/>
    </row>
    <row r="126" spans="2:90" ht="13.5" customHeight="1">
      <c r="C126" s="91"/>
      <c r="D126" s="416"/>
      <c r="E126" s="416"/>
      <c r="F126" s="416"/>
      <c r="I126" s="841"/>
      <c r="J126" s="841"/>
      <c r="K126" s="238"/>
      <c r="L126" s="895"/>
      <c r="M126" s="895"/>
      <c r="N126" s="238"/>
      <c r="O126" s="895"/>
      <c r="P126" s="895"/>
      <c r="Q126" s="422"/>
      <c r="R126" s="896"/>
      <c r="S126" s="896"/>
      <c r="T126" s="44"/>
      <c r="U126" s="895"/>
      <c r="V126" s="895"/>
      <c r="W126" s="238"/>
      <c r="X126" s="895"/>
      <c r="Y126" s="895"/>
      <c r="AD126" s="142"/>
      <c r="AE126" s="914"/>
      <c r="AF126" s="914"/>
      <c r="AG126" s="423"/>
      <c r="AH126" s="914"/>
      <c r="AI126" s="914"/>
      <c r="AJ126" s="423"/>
      <c r="AK126" s="914"/>
      <c r="AL126" s="914"/>
      <c r="AM126" s="423"/>
      <c r="AN126" s="914"/>
      <c r="AO126" s="914"/>
      <c r="AP126" s="423"/>
      <c r="AQ126" s="914"/>
      <c r="AR126" s="914"/>
      <c r="AS126" s="423"/>
      <c r="AT126" s="914"/>
      <c r="AU126" s="914"/>
      <c r="AV126" s="423"/>
      <c r="AW126" s="914"/>
      <c r="AX126" s="914"/>
      <c r="AY126" s="423"/>
      <c r="AZ126" s="914"/>
      <c r="BA126" s="914"/>
      <c r="BB126" s="423"/>
      <c r="BC126" s="915"/>
      <c r="BD126" s="915"/>
      <c r="BE126" s="424"/>
      <c r="BF126" s="914"/>
      <c r="BG126" s="914"/>
      <c r="BH126" s="425"/>
      <c r="BI126" s="891"/>
      <c r="BJ126" s="891"/>
      <c r="BK126" s="425"/>
      <c r="BL126" s="891"/>
      <c r="BM126" s="891"/>
      <c r="BN126" s="425"/>
      <c r="BO126" s="891"/>
      <c r="BP126" s="891"/>
      <c r="BQ126" s="425"/>
      <c r="BR126" s="891"/>
      <c r="BS126" s="891"/>
      <c r="BT126" s="425"/>
      <c r="BU126" s="891"/>
      <c r="BV126" s="891"/>
      <c r="BW126" s="425"/>
      <c r="BX126" s="914"/>
      <c r="BY126" s="914"/>
      <c r="BZ126" s="238"/>
      <c r="CA126" s="238"/>
      <c r="CB126" s="238"/>
    </row>
    <row r="127" spans="2:90">
      <c r="B127" s="519" t="s">
        <v>1079</v>
      </c>
      <c r="C127" s="469" t="s">
        <v>326</v>
      </c>
      <c r="D127" s="16" t="s">
        <v>353</v>
      </c>
      <c r="E127" s="16" t="s">
        <v>354</v>
      </c>
      <c r="F127" s="16" t="s">
        <v>355</v>
      </c>
      <c r="H127" s="87"/>
      <c r="I127" s="123"/>
      <c r="J127" s="342"/>
      <c r="K127" s="120"/>
      <c r="L127" s="120"/>
      <c r="M127" s="120"/>
      <c r="N127" s="120"/>
      <c r="O127" s="120"/>
      <c r="P127" s="120"/>
      <c r="Q127" s="120"/>
      <c r="R127" s="120"/>
      <c r="S127" s="120"/>
      <c r="T127" s="120"/>
      <c r="U127" s="120"/>
      <c r="V127" s="120"/>
      <c r="W127" s="120"/>
      <c r="X127" s="120"/>
      <c r="Y127" s="350"/>
      <c r="Z127" s="87"/>
      <c r="AA127" s="87"/>
      <c r="AB127" s="87"/>
      <c r="AE127" s="342"/>
      <c r="AF127" s="120"/>
      <c r="AG127" s="120"/>
      <c r="AH127" s="120"/>
      <c r="AI127" s="350"/>
      <c r="AJ127" s="120"/>
      <c r="AK127" s="120"/>
      <c r="AL127" s="120"/>
      <c r="AM127" s="120"/>
      <c r="AN127" s="120"/>
      <c r="AO127" s="120"/>
      <c r="AP127" s="120"/>
      <c r="AQ127" s="120"/>
      <c r="AR127" s="120"/>
      <c r="AS127" s="120"/>
      <c r="AT127" s="120"/>
      <c r="AU127" s="120"/>
      <c r="AV127" s="120"/>
      <c r="AW127" s="120"/>
      <c r="AX127" s="120"/>
      <c r="AY127" s="120"/>
      <c r="AZ127" s="120"/>
      <c r="BA127" s="120"/>
      <c r="BB127" s="120"/>
      <c r="BC127" s="120"/>
      <c r="BD127" s="120"/>
      <c r="BE127" s="120"/>
      <c r="BF127" s="120"/>
      <c r="BG127" s="120"/>
      <c r="BH127" s="120"/>
      <c r="BI127" s="120"/>
      <c r="BJ127" s="120"/>
      <c r="BK127" s="120"/>
      <c r="BL127" s="120"/>
      <c r="BM127" s="120"/>
      <c r="BN127" s="120"/>
      <c r="BO127" s="120"/>
      <c r="BP127" s="120"/>
      <c r="BQ127" s="120"/>
      <c r="BR127" s="120"/>
      <c r="BS127" s="120"/>
      <c r="BT127" s="120"/>
      <c r="BU127" s="120"/>
      <c r="BV127" s="120"/>
      <c r="BW127" s="120"/>
      <c r="BX127" s="120"/>
      <c r="BY127" s="120"/>
      <c r="BZ127" s="46"/>
      <c r="CA127" s="46"/>
      <c r="CB127" s="46"/>
    </row>
    <row r="128" spans="2:90" ht="28.8">
      <c r="C128" s="187" t="s">
        <v>1103</v>
      </c>
      <c r="D128" s="17">
        <v>0.05</v>
      </c>
      <c r="E128" s="17">
        <v>0.05</v>
      </c>
      <c r="F128" s="17">
        <v>0</v>
      </c>
      <c r="H128" s="125">
        <f t="shared" ref="H128:J129" si="55">D128</f>
        <v>0.05</v>
      </c>
      <c r="I128" s="125">
        <f t="shared" si="55"/>
        <v>0.05</v>
      </c>
      <c r="J128" s="165">
        <f t="shared" si="55"/>
        <v>0</v>
      </c>
      <c r="K128" s="125"/>
      <c r="L128" s="87"/>
      <c r="M128" s="87"/>
      <c r="N128" s="125">
        <f>H128</f>
        <v>0.05</v>
      </c>
      <c r="O128" s="125">
        <f>I128</f>
        <v>0.05</v>
      </c>
      <c r="P128" s="125">
        <f>J128</f>
        <v>0</v>
      </c>
      <c r="Q128" s="125"/>
      <c r="R128" s="87"/>
      <c r="S128" s="87"/>
      <c r="T128" s="87"/>
      <c r="U128" s="87"/>
      <c r="V128" s="87"/>
      <c r="W128" s="87"/>
      <c r="X128" s="87"/>
      <c r="Y128" s="134"/>
      <c r="Z128" s="125">
        <f t="shared" ref="Z128:AB129" si="56">D128</f>
        <v>0.05</v>
      </c>
      <c r="AA128" s="125">
        <f t="shared" si="56"/>
        <v>0.05</v>
      </c>
      <c r="AB128" s="125">
        <f t="shared" si="56"/>
        <v>0</v>
      </c>
      <c r="AE128" s="133"/>
      <c r="AF128" s="87"/>
      <c r="AG128" s="87"/>
      <c r="AH128" s="87"/>
      <c r="AI128" s="134"/>
      <c r="AJ128" s="87"/>
      <c r="AK128" s="87"/>
      <c r="AL128" s="87"/>
      <c r="AM128" s="87"/>
      <c r="AN128" s="87"/>
      <c r="AO128" s="87"/>
      <c r="AP128" s="87"/>
      <c r="AQ128" s="87"/>
      <c r="AR128" s="87"/>
      <c r="AS128" s="87"/>
      <c r="AT128" s="87"/>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CA128" s="125">
        <f t="shared" ref="CA128:CC129" si="57">D128</f>
        <v>0.05</v>
      </c>
      <c r="CB128" s="125">
        <f t="shared" si="57"/>
        <v>0.05</v>
      </c>
      <c r="CC128" s="125">
        <f t="shared" si="57"/>
        <v>0</v>
      </c>
      <c r="CD128" s="125">
        <f>D128</f>
        <v>0.05</v>
      </c>
      <c r="CE128" s="125">
        <f>E128</f>
        <v>0.05</v>
      </c>
      <c r="CF128" s="125">
        <f>F128</f>
        <v>0</v>
      </c>
      <c r="CG128" s="125">
        <f>D128</f>
        <v>0.05</v>
      </c>
      <c r="CH128" s="125">
        <f>E128</f>
        <v>0.05</v>
      </c>
      <c r="CI128" s="125">
        <f>F128</f>
        <v>0</v>
      </c>
      <c r="CJ128" s="125">
        <f>D128</f>
        <v>0.05</v>
      </c>
      <c r="CK128" s="125">
        <f>E128</f>
        <v>0.05</v>
      </c>
      <c r="CL128" s="125">
        <f>F128</f>
        <v>0</v>
      </c>
    </row>
    <row r="129" spans="3:90">
      <c r="C129" s="187" t="s">
        <v>1105</v>
      </c>
      <c r="D129" s="18">
        <v>0.1</v>
      </c>
      <c r="E129" s="18">
        <v>0.05</v>
      </c>
      <c r="F129" s="18">
        <v>0</v>
      </c>
      <c r="H129" s="125">
        <f t="shared" si="55"/>
        <v>0.1</v>
      </c>
      <c r="I129" s="125">
        <f t="shared" si="55"/>
        <v>0.05</v>
      </c>
      <c r="J129" s="165">
        <f t="shared" si="55"/>
        <v>0</v>
      </c>
      <c r="K129" s="125"/>
      <c r="L129" s="87"/>
      <c r="M129" s="87"/>
      <c r="N129" s="125">
        <f t="shared" ref="N129:P129" si="58">D129</f>
        <v>0.1</v>
      </c>
      <c r="O129" s="125">
        <f t="shared" si="58"/>
        <v>0.05</v>
      </c>
      <c r="P129" s="125">
        <f t="shared" si="58"/>
        <v>0</v>
      </c>
      <c r="Q129" s="125"/>
      <c r="R129" s="87"/>
      <c r="S129" s="87"/>
      <c r="T129" s="87"/>
      <c r="U129" s="87"/>
      <c r="V129" s="87"/>
      <c r="W129" s="87"/>
      <c r="X129" s="87"/>
      <c r="Y129" s="134"/>
      <c r="Z129" s="125">
        <f t="shared" si="56"/>
        <v>0.1</v>
      </c>
      <c r="AA129" s="125">
        <f t="shared" si="56"/>
        <v>0.05</v>
      </c>
      <c r="AB129" s="125">
        <f t="shared" si="56"/>
        <v>0</v>
      </c>
      <c r="AE129" s="133"/>
      <c r="AF129" s="87"/>
      <c r="AG129" s="87"/>
      <c r="AH129" s="87"/>
      <c r="AI129" s="134"/>
      <c r="AJ129" s="87"/>
      <c r="AK129" s="87"/>
      <c r="AL129" s="87"/>
      <c r="AM129" s="87"/>
      <c r="AN129" s="87"/>
      <c r="AO129" s="87"/>
      <c r="AP129" s="87"/>
      <c r="AQ129" s="87"/>
      <c r="AR129" s="87"/>
      <c r="AS129" s="87"/>
      <c r="AT129" s="87"/>
      <c r="AU129" s="87"/>
      <c r="AV129" s="87"/>
      <c r="AW129" s="87"/>
      <c r="AX129" s="87"/>
      <c r="AY129" s="87"/>
      <c r="AZ129" s="87"/>
      <c r="BA129" s="87"/>
      <c r="BB129" s="87"/>
      <c r="BC129" s="87"/>
      <c r="BD129" s="134"/>
      <c r="BE129" s="87"/>
      <c r="BF129" s="87"/>
      <c r="BG129" s="87"/>
      <c r="BH129" s="133"/>
      <c r="BI129" s="87"/>
      <c r="BJ129" s="87"/>
      <c r="BK129" s="87"/>
      <c r="BL129" s="87"/>
      <c r="BM129" s="87"/>
      <c r="BN129" s="87"/>
      <c r="BO129" s="87"/>
      <c r="BP129" s="87"/>
      <c r="BQ129" s="87"/>
      <c r="BR129" s="87"/>
      <c r="BS129" s="87"/>
      <c r="BT129" s="87"/>
      <c r="BU129" s="87"/>
      <c r="BV129" s="87"/>
      <c r="BW129" s="87"/>
      <c r="BX129" s="87"/>
      <c r="BY129" s="87"/>
      <c r="CA129" s="125">
        <f t="shared" si="57"/>
        <v>0.1</v>
      </c>
      <c r="CB129" s="125">
        <f t="shared" si="57"/>
        <v>0.05</v>
      </c>
      <c r="CC129" s="125">
        <f t="shared" si="57"/>
        <v>0</v>
      </c>
      <c r="CD129" s="87"/>
      <c r="CE129" s="87"/>
      <c r="CF129" s="87"/>
      <c r="CG129" s="87"/>
      <c r="CH129" s="87"/>
      <c r="CI129" s="87"/>
      <c r="CJ129" s="87"/>
      <c r="CK129" s="87"/>
      <c r="CL129" s="87"/>
    </row>
    <row r="130" spans="3:90">
      <c r="C130" s="187" t="s">
        <v>1106</v>
      </c>
      <c r="D130" s="18">
        <v>0.1</v>
      </c>
      <c r="E130" s="18">
        <v>0.1</v>
      </c>
      <c r="F130" s="18">
        <v>0.1</v>
      </c>
      <c r="H130" s="87"/>
      <c r="I130" s="87"/>
      <c r="J130" s="133"/>
      <c r="K130" s="87"/>
      <c r="L130" s="87"/>
      <c r="M130" s="87"/>
      <c r="N130" s="87"/>
      <c r="O130" s="87"/>
      <c r="P130" s="87"/>
      <c r="Q130" s="87"/>
      <c r="R130" s="87"/>
      <c r="S130" s="87"/>
      <c r="T130" s="87"/>
      <c r="U130" s="87"/>
      <c r="V130" s="87"/>
      <c r="W130" s="87"/>
      <c r="X130" s="87"/>
      <c r="Y130" s="134"/>
      <c r="Z130" s="87"/>
      <c r="AA130" s="87"/>
      <c r="AB130" s="87"/>
      <c r="AD130" s="125">
        <f t="shared" ref="AD130:AF132" si="59">D130</f>
        <v>0.1</v>
      </c>
      <c r="AE130" s="165">
        <f t="shared" si="59"/>
        <v>0.1</v>
      </c>
      <c r="AF130" s="125">
        <f t="shared" si="59"/>
        <v>0.1</v>
      </c>
      <c r="AG130" s="125"/>
      <c r="AH130" s="87"/>
      <c r="AI130" s="134"/>
      <c r="AJ130" s="87"/>
      <c r="AK130" s="87"/>
      <c r="AL130" s="87"/>
      <c r="AM130" s="87"/>
      <c r="AN130" s="87"/>
      <c r="AO130" s="87"/>
      <c r="AP130" s="87"/>
      <c r="AQ130" s="87"/>
      <c r="AR130" s="87"/>
      <c r="AS130" s="87"/>
      <c r="AT130" s="87"/>
      <c r="AU130" s="87"/>
      <c r="AV130" s="87"/>
      <c r="AW130" s="87"/>
      <c r="AX130" s="87"/>
      <c r="AY130" s="87"/>
      <c r="AZ130" s="87"/>
      <c r="BA130" s="87"/>
      <c r="BB130" s="87"/>
      <c r="BC130" s="87"/>
      <c r="BD130" s="87"/>
      <c r="BE130" s="154">
        <f>D130</f>
        <v>0.1</v>
      </c>
      <c r="BF130" s="154">
        <f>E130</f>
        <v>0.1</v>
      </c>
      <c r="BG130" s="154">
        <f>F130</f>
        <v>0.1</v>
      </c>
      <c r="BH130" s="125"/>
      <c r="BI130" s="87"/>
      <c r="BJ130" s="87"/>
      <c r="BK130" s="87"/>
      <c r="BL130" s="87"/>
      <c r="BM130" s="87"/>
      <c r="BN130" s="87"/>
      <c r="BO130" s="87"/>
      <c r="BP130" s="87"/>
      <c r="BQ130" s="87"/>
      <c r="BR130" s="87"/>
      <c r="BS130" s="87"/>
      <c r="BT130" s="87"/>
      <c r="BU130" s="87"/>
      <c r="BV130" s="87"/>
      <c r="BW130" s="87"/>
      <c r="BX130" s="87"/>
      <c r="BY130" s="87"/>
      <c r="CA130" s="87"/>
      <c r="CB130" s="87"/>
      <c r="CC130" s="87"/>
      <c r="CD130" s="87"/>
      <c r="CE130" s="87"/>
      <c r="CF130" s="87"/>
      <c r="CG130" s="87"/>
      <c r="CH130" s="87"/>
      <c r="CI130" s="87"/>
      <c r="CJ130" s="87"/>
      <c r="CK130" s="87"/>
      <c r="CL130" s="87"/>
    </row>
    <row r="131" spans="3:90">
      <c r="C131" s="187"/>
      <c r="D131" s="17">
        <v>0.35</v>
      </c>
      <c r="E131" s="17">
        <v>0.35</v>
      </c>
      <c r="F131" s="17">
        <v>0.35</v>
      </c>
      <c r="H131" s="87"/>
      <c r="I131" s="87"/>
      <c r="J131" s="133"/>
      <c r="K131" s="87"/>
      <c r="L131" s="87"/>
      <c r="M131" s="87"/>
      <c r="N131" s="87"/>
      <c r="O131" s="87"/>
      <c r="P131" s="87"/>
      <c r="Q131" s="87"/>
      <c r="R131" s="87"/>
      <c r="S131" s="87"/>
      <c r="T131" s="87"/>
      <c r="U131" s="87"/>
      <c r="V131" s="87"/>
      <c r="W131" s="87"/>
      <c r="X131" s="87"/>
      <c r="Y131" s="134"/>
      <c r="Z131" s="87"/>
      <c r="AA131" s="87"/>
      <c r="AB131" s="87"/>
      <c r="AD131" s="125">
        <f t="shared" si="59"/>
        <v>0.35</v>
      </c>
      <c r="AE131" s="165">
        <f t="shared" si="59"/>
        <v>0.35</v>
      </c>
      <c r="AF131" s="125">
        <f t="shared" si="59"/>
        <v>0.35</v>
      </c>
      <c r="AG131" s="125"/>
      <c r="AH131" s="87"/>
      <c r="AI131" s="134"/>
      <c r="AJ131" s="87"/>
      <c r="AK131" s="87"/>
      <c r="AL131" s="87"/>
      <c r="AM131" s="87"/>
      <c r="AN131" s="87"/>
      <c r="AO131" s="87"/>
      <c r="AP131" s="87"/>
      <c r="AQ131" s="87"/>
      <c r="AR131" s="87"/>
      <c r="AS131" s="87"/>
      <c r="AT131" s="87"/>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CA131" s="87"/>
      <c r="CB131" s="87"/>
      <c r="CC131" s="87"/>
      <c r="CD131" s="87"/>
      <c r="CE131" s="87"/>
      <c r="CF131" s="87"/>
      <c r="CG131" s="87"/>
      <c r="CH131" s="87"/>
      <c r="CI131" s="87"/>
      <c r="CJ131" s="87"/>
      <c r="CK131" s="87"/>
      <c r="CL131" s="87"/>
    </row>
    <row r="132" spans="3:90">
      <c r="C132" s="465"/>
      <c r="D132" s="18">
        <v>0.05</v>
      </c>
      <c r="E132" s="18">
        <v>0.05</v>
      </c>
      <c r="F132" s="18">
        <v>0.05</v>
      </c>
      <c r="H132" s="87"/>
      <c r="I132" s="87"/>
      <c r="J132" s="133"/>
      <c r="K132" s="87"/>
      <c r="L132" s="87"/>
      <c r="M132" s="87"/>
      <c r="N132" s="87"/>
      <c r="O132" s="87"/>
      <c r="P132" s="87"/>
      <c r="Q132" s="87"/>
      <c r="R132" s="87"/>
      <c r="S132" s="87"/>
      <c r="T132" s="87"/>
      <c r="U132" s="87"/>
      <c r="V132" s="87"/>
      <c r="W132" s="87"/>
      <c r="X132" s="87"/>
      <c r="Y132" s="134"/>
      <c r="Z132" s="87"/>
      <c r="AA132" s="87"/>
      <c r="AB132" s="87"/>
      <c r="AD132" s="125">
        <f t="shared" si="59"/>
        <v>0.05</v>
      </c>
      <c r="AE132" s="344">
        <f t="shared" si="59"/>
        <v>0.05</v>
      </c>
      <c r="AF132" s="131">
        <f t="shared" si="59"/>
        <v>0.05</v>
      </c>
      <c r="AG132" s="131"/>
      <c r="AH132" s="130"/>
      <c r="AI132" s="405"/>
      <c r="AJ132" s="130"/>
      <c r="AK132" s="130"/>
      <c r="AL132" s="130"/>
      <c r="AM132" s="130"/>
      <c r="AN132" s="130"/>
      <c r="AO132" s="130"/>
      <c r="AP132" s="130"/>
      <c r="AQ132" s="130"/>
      <c r="AR132" s="130"/>
      <c r="AS132" s="130"/>
      <c r="AT132" s="130"/>
      <c r="AU132" s="130"/>
      <c r="AV132" s="130"/>
      <c r="AW132" s="130"/>
      <c r="AX132" s="130"/>
      <c r="AY132" s="130"/>
      <c r="AZ132" s="130"/>
      <c r="BA132" s="130"/>
      <c r="BB132" s="130"/>
      <c r="BC132" s="130"/>
      <c r="BD132" s="130"/>
      <c r="BE132" s="131">
        <f t="shared" ref="BE132:BG133" si="60">D132</f>
        <v>0.05</v>
      </c>
      <c r="BF132" s="131">
        <f t="shared" si="60"/>
        <v>0.05</v>
      </c>
      <c r="BG132" s="131">
        <f t="shared" si="60"/>
        <v>0.05</v>
      </c>
      <c r="BH132" s="131"/>
      <c r="BI132" s="130"/>
      <c r="BJ132" s="130"/>
      <c r="BK132" s="130"/>
      <c r="BL132" s="130"/>
      <c r="BM132" s="130"/>
      <c r="BN132" s="130"/>
      <c r="BO132" s="130"/>
      <c r="BP132" s="130"/>
      <c r="BQ132" s="130"/>
      <c r="BR132" s="130"/>
      <c r="BS132" s="130"/>
      <c r="BT132" s="130"/>
      <c r="BU132" s="130"/>
      <c r="BV132" s="130"/>
      <c r="BW132" s="130"/>
      <c r="BX132" s="130"/>
      <c r="BY132" s="130"/>
      <c r="CA132" s="87"/>
      <c r="CB132" s="87"/>
      <c r="CC132" s="87"/>
      <c r="CD132" s="87"/>
      <c r="CE132" s="87"/>
      <c r="CF132" s="87"/>
      <c r="CG132" s="87"/>
      <c r="CH132" s="87"/>
      <c r="CI132" s="87"/>
      <c r="CJ132" s="87"/>
      <c r="CK132" s="87"/>
      <c r="CL132" s="87"/>
    </row>
    <row r="133" spans="3:90">
      <c r="C133" s="187"/>
      <c r="D133" s="17">
        <v>0.25</v>
      </c>
      <c r="E133" s="17">
        <v>0.25</v>
      </c>
      <c r="F133" s="17">
        <v>0.25</v>
      </c>
      <c r="H133" s="87"/>
      <c r="I133" s="87"/>
      <c r="J133" s="133"/>
      <c r="K133" s="87"/>
      <c r="L133" s="87"/>
      <c r="M133" s="87"/>
      <c r="N133" s="87"/>
      <c r="O133" s="87"/>
      <c r="P133" s="87"/>
      <c r="Q133" s="87"/>
      <c r="R133" s="87"/>
      <c r="S133" s="87"/>
      <c r="T133" s="87"/>
      <c r="U133" s="87"/>
      <c r="V133" s="87"/>
      <c r="W133" s="87"/>
      <c r="X133" s="87"/>
      <c r="Y133" s="134"/>
      <c r="Z133" s="87"/>
      <c r="AA133" s="87"/>
      <c r="AB133" s="87"/>
      <c r="AE133" s="165"/>
      <c r="AF133" s="125"/>
      <c r="AG133" s="125"/>
      <c r="AH133" s="87"/>
      <c r="AI133" s="134"/>
      <c r="AJ133" s="87"/>
      <c r="AK133" s="87"/>
      <c r="AL133" s="87"/>
      <c r="AM133" s="87"/>
      <c r="AN133" s="87"/>
      <c r="AO133" s="87"/>
      <c r="AP133" s="87"/>
      <c r="AQ133" s="87"/>
      <c r="AR133" s="87"/>
      <c r="AS133" s="87"/>
      <c r="AT133" s="87"/>
      <c r="AU133" s="87"/>
      <c r="AV133" s="87"/>
      <c r="AW133" s="87"/>
      <c r="AX133" s="87"/>
      <c r="AY133" s="87"/>
      <c r="AZ133" s="87"/>
      <c r="BA133" s="87"/>
      <c r="BB133" s="87"/>
      <c r="BC133" s="87"/>
      <c r="BD133" s="87"/>
      <c r="BE133" s="125">
        <f t="shared" si="60"/>
        <v>0.25</v>
      </c>
      <c r="BF133" s="125">
        <f t="shared" si="60"/>
        <v>0.25</v>
      </c>
      <c r="BG133" s="125">
        <f t="shared" si="60"/>
        <v>0.25</v>
      </c>
      <c r="BH133" s="125"/>
      <c r="BI133" s="87"/>
      <c r="BJ133" s="87"/>
      <c r="BK133" s="87"/>
      <c r="BL133" s="87"/>
      <c r="BM133" s="87"/>
      <c r="BN133" s="87"/>
      <c r="BO133" s="87"/>
      <c r="BP133" s="87"/>
      <c r="BQ133" s="87"/>
      <c r="BR133" s="87"/>
      <c r="BS133" s="87"/>
      <c r="BT133" s="87"/>
      <c r="BU133" s="87"/>
      <c r="BV133" s="87"/>
      <c r="BW133" s="87"/>
      <c r="BX133" s="87"/>
      <c r="BY133" s="87"/>
      <c r="CA133" s="87"/>
      <c r="CB133" s="87"/>
      <c r="CC133" s="87"/>
      <c r="CD133" s="87"/>
      <c r="CE133" s="87"/>
      <c r="CF133" s="87"/>
      <c r="CG133" s="87"/>
      <c r="CH133" s="87"/>
      <c r="CI133" s="87"/>
      <c r="CJ133" s="87"/>
      <c r="CK133" s="87"/>
      <c r="CL133" s="87"/>
    </row>
    <row r="134" spans="3:90" s="33" customFormat="1">
      <c r="C134" s="439"/>
      <c r="D134" s="19">
        <f>SUM(D128:D133)</f>
        <v>0.9</v>
      </c>
      <c r="E134" s="19">
        <f>SUM(E128:E133)</f>
        <v>0.85000000000000009</v>
      </c>
      <c r="F134" s="19">
        <f>SUM(F128:F133)</f>
        <v>0.75</v>
      </c>
      <c r="H134" s="33">
        <f>SUM(H127:H133)</f>
        <v>0.15000000000000002</v>
      </c>
      <c r="I134" s="33">
        <f>SUM(I127:I133)</f>
        <v>0.1</v>
      </c>
      <c r="J134" s="33">
        <f>SUM(J127:J133)</f>
        <v>0</v>
      </c>
      <c r="N134" s="33">
        <f>SUM(N128:N133)</f>
        <v>0.15000000000000002</v>
      </c>
      <c r="O134" s="33">
        <f>SUM(O128:O133)</f>
        <v>0.1</v>
      </c>
      <c r="P134" s="33">
        <f>SUM(P128:P133)</f>
        <v>0</v>
      </c>
      <c r="Z134" s="33">
        <f>SUM(Z128:Z133)</f>
        <v>0.15000000000000002</v>
      </c>
      <c r="AA134" s="33">
        <f>SUM(AA128:AA133)</f>
        <v>0.1</v>
      </c>
      <c r="AB134" s="33">
        <f>SUM(AB128:AB133)</f>
        <v>0</v>
      </c>
      <c r="AD134" s="139">
        <f>SUM(AD128:AD133)</f>
        <v>0.49999999999999994</v>
      </c>
      <c r="AE134" s="139">
        <f>SUM(AE128:AE133)</f>
        <v>0.49999999999999994</v>
      </c>
      <c r="AF134" s="139">
        <f>SUM(AF128:AF133)</f>
        <v>0.49999999999999994</v>
      </c>
      <c r="AJ134" s="397"/>
      <c r="BE134" s="33">
        <f>SUM(BE127:BE133)</f>
        <v>0.4</v>
      </c>
      <c r="BF134" s="33">
        <f>SUM(BF127:BF133)</f>
        <v>0.4</v>
      </c>
      <c r="BG134" s="33">
        <f>SUM(BG127:BG133)</f>
        <v>0.4</v>
      </c>
      <c r="CA134" s="33">
        <f t="shared" ref="CA134:CL134" si="61">SUM(CA128:CA133)</f>
        <v>0.15000000000000002</v>
      </c>
      <c r="CB134" s="33">
        <f t="shared" si="61"/>
        <v>0.1</v>
      </c>
      <c r="CC134" s="33">
        <f t="shared" si="61"/>
        <v>0</v>
      </c>
      <c r="CD134" s="33">
        <f t="shared" si="61"/>
        <v>0.05</v>
      </c>
      <c r="CE134" s="33">
        <f t="shared" si="61"/>
        <v>0.05</v>
      </c>
      <c r="CF134" s="33">
        <f t="shared" si="61"/>
        <v>0</v>
      </c>
      <c r="CG134" s="33">
        <f t="shared" si="61"/>
        <v>0.05</v>
      </c>
      <c r="CH134" s="33">
        <f t="shared" si="61"/>
        <v>0.05</v>
      </c>
      <c r="CI134" s="33">
        <f t="shared" si="61"/>
        <v>0</v>
      </c>
      <c r="CJ134" s="33">
        <f t="shared" si="61"/>
        <v>0.05</v>
      </c>
      <c r="CK134" s="33">
        <f t="shared" si="61"/>
        <v>0.05</v>
      </c>
      <c r="CL134" s="33">
        <f t="shared" si="61"/>
        <v>0</v>
      </c>
    </row>
    <row r="135" spans="3:90">
      <c r="C135" s="1"/>
      <c r="D135" s="19"/>
      <c r="E135" s="19">
        <f>D134-E134</f>
        <v>4.9999999999999933E-2</v>
      </c>
      <c r="F135" s="19">
        <f>E134-F134</f>
        <v>0.10000000000000009</v>
      </c>
      <c r="AE135" s="6"/>
      <c r="AF135" s="6"/>
      <c r="AG135" s="6"/>
      <c r="BF135" s="6"/>
      <c r="BG135" s="6"/>
      <c r="BH135" s="6"/>
    </row>
    <row r="136" spans="3:90">
      <c r="C136" s="1"/>
      <c r="D136" s="19"/>
      <c r="E136" s="19"/>
      <c r="F136" s="19"/>
    </row>
    <row r="137" spans="3:90">
      <c r="C137" s="1"/>
      <c r="D137" s="19"/>
      <c r="E137" s="19"/>
      <c r="F137" s="19"/>
    </row>
    <row r="138" spans="3:90">
      <c r="C138" s="11"/>
      <c r="D138" s="15"/>
      <c r="E138" s="15"/>
      <c r="F138" s="18"/>
    </row>
    <row r="139" spans="3:90">
      <c r="C139" s="11"/>
      <c r="D139" s="15"/>
      <c r="E139" s="15"/>
      <c r="F139" s="18"/>
    </row>
    <row r="140" spans="3:90">
      <c r="C140" s="12" t="s">
        <v>374</v>
      </c>
      <c r="D140" s="24" t="s">
        <v>375</v>
      </c>
      <c r="E140" s="15"/>
      <c r="F140" s="15"/>
    </row>
    <row r="141" spans="3:90">
      <c r="C141" s="11"/>
      <c r="D141" s="24"/>
      <c r="E141" s="15"/>
      <c r="F141" s="15"/>
    </row>
    <row r="142" spans="3:90">
      <c r="C142" s="11" t="s">
        <v>360</v>
      </c>
      <c r="D142" s="15"/>
      <c r="E142" s="15"/>
      <c r="F142" s="15"/>
    </row>
    <row r="143" spans="3:90">
      <c r="C143" s="11" t="s">
        <v>361</v>
      </c>
      <c r="D143" s="15"/>
      <c r="E143" s="15"/>
      <c r="F143" s="15"/>
    </row>
    <row r="144" spans="3:90">
      <c r="C144" s="11" t="s">
        <v>362</v>
      </c>
      <c r="D144" s="15"/>
      <c r="E144" s="15"/>
      <c r="F144" s="15"/>
    </row>
    <row r="145" spans="2:82">
      <c r="C145" s="11" t="s">
        <v>363</v>
      </c>
      <c r="D145" s="15"/>
      <c r="E145" s="15"/>
      <c r="F145" s="15"/>
    </row>
    <row r="146" spans="2:82">
      <c r="C146" s="109"/>
      <c r="D146" s="110"/>
      <c r="E146" s="110"/>
      <c r="F146" s="110"/>
      <c r="G146" s="100"/>
      <c r="H146" s="100"/>
      <c r="I146" s="100"/>
      <c r="J146" s="100"/>
      <c r="K146" s="100"/>
      <c r="L146" s="100"/>
      <c r="M146" s="100"/>
      <c r="N146" s="100"/>
      <c r="O146" s="100"/>
      <c r="P146" s="100"/>
      <c r="Q146" s="100"/>
      <c r="R146" s="100"/>
      <c r="S146" s="100"/>
      <c r="T146" s="100"/>
      <c r="U146" s="100"/>
      <c r="V146" s="100"/>
      <c r="W146" s="100"/>
      <c r="X146" s="100"/>
      <c r="Y146" s="100"/>
      <c r="Z146" s="100"/>
      <c r="AA146" s="100"/>
      <c r="AB146" s="100"/>
      <c r="AC146" s="100"/>
      <c r="AD146" s="332"/>
      <c r="AE146" s="100"/>
      <c r="AF146" s="100"/>
      <c r="AG146" s="100"/>
      <c r="AH146" s="100"/>
      <c r="AI146" s="100"/>
      <c r="AJ146" s="392"/>
      <c r="AK146" s="100"/>
      <c r="AL146" s="100"/>
      <c r="AM146" s="100"/>
      <c r="AN146" s="100"/>
      <c r="AO146" s="100"/>
      <c r="AP146" s="100"/>
      <c r="AQ146" s="100"/>
      <c r="AR146" s="100"/>
      <c r="AS146" s="100"/>
      <c r="AT146" s="100"/>
      <c r="AU146" s="100"/>
      <c r="AV146" s="100"/>
      <c r="AW146" s="100"/>
      <c r="AX146" s="100"/>
      <c r="AY146" s="100"/>
      <c r="AZ146" s="100"/>
      <c r="BA146" s="100"/>
      <c r="BB146" s="100"/>
      <c r="BC146" s="100"/>
      <c r="BD146" s="100"/>
      <c r="BE146" s="100"/>
      <c r="BF146" s="100"/>
      <c r="BG146" s="100"/>
      <c r="BH146" s="100"/>
      <c r="BI146" s="100"/>
      <c r="BJ146" s="100"/>
      <c r="BK146" s="100"/>
      <c r="BL146" s="100"/>
      <c r="BM146" s="100"/>
      <c r="BN146" s="100"/>
      <c r="BO146" s="100"/>
      <c r="BP146" s="100"/>
      <c r="BQ146" s="100"/>
      <c r="BR146" s="100"/>
      <c r="BS146" s="100"/>
      <c r="BT146" s="100"/>
      <c r="BU146" s="100"/>
      <c r="BV146" s="100"/>
      <c r="BW146" s="100"/>
      <c r="BX146" s="100"/>
      <c r="BY146" s="100"/>
      <c r="BZ146" s="100"/>
      <c r="CA146" s="100"/>
      <c r="CB146" s="100"/>
      <c r="CC146" s="100"/>
      <c r="CD146" s="100"/>
    </row>
    <row r="147" spans="2:82">
      <c r="C147" s="11"/>
      <c r="D147" s="15"/>
      <c r="E147" s="15"/>
      <c r="F147" s="15"/>
    </row>
    <row r="148" spans="2:82">
      <c r="C148" s="85"/>
      <c r="D148" s="86"/>
      <c r="E148" s="86"/>
      <c r="F148" s="86"/>
      <c r="AD148" s="130"/>
    </row>
    <row r="149" spans="2:82" s="87" customFormat="1" ht="15" customHeight="1">
      <c r="D149" s="88"/>
      <c r="E149" s="88"/>
      <c r="F149" s="88"/>
      <c r="I149" s="848"/>
      <c r="J149" s="848"/>
      <c r="K149" s="848"/>
      <c r="L149" s="848"/>
      <c r="M149" s="848"/>
      <c r="N149" s="848"/>
      <c r="O149" s="848"/>
      <c r="P149" s="848"/>
      <c r="Q149" s="848"/>
      <c r="R149" s="848"/>
      <c r="S149" s="848"/>
      <c r="T149" s="848"/>
      <c r="U149" s="848"/>
      <c r="V149" s="848"/>
      <c r="W149" s="848"/>
      <c r="X149" s="848"/>
      <c r="Y149" s="848"/>
      <c r="AC149" s="134"/>
      <c r="AE149" s="360"/>
      <c r="AF149" s="360"/>
      <c r="AG149" s="360"/>
      <c r="AH149" s="360"/>
      <c r="AI149" s="360"/>
      <c r="AJ149" s="360"/>
      <c r="AK149" s="360"/>
      <c r="AL149" s="360"/>
      <c r="AM149" s="360"/>
      <c r="AN149" s="360"/>
      <c r="AO149" s="360"/>
      <c r="AP149" s="360"/>
      <c r="AQ149" s="360"/>
      <c r="AR149" s="360"/>
      <c r="AS149" s="360"/>
      <c r="AT149" s="360"/>
      <c r="AU149" s="360"/>
      <c r="AV149" s="360"/>
      <c r="AW149" s="360"/>
      <c r="AX149" s="360"/>
      <c r="AY149" s="360"/>
      <c r="AZ149" s="360"/>
      <c r="BA149" s="360"/>
      <c r="BB149" s="360"/>
      <c r="BC149" s="360"/>
      <c r="BD149" s="360"/>
      <c r="BE149" s="360"/>
      <c r="BF149" s="360"/>
      <c r="BG149" s="360"/>
      <c r="BH149" s="360"/>
      <c r="BI149" s="360"/>
      <c r="BJ149" s="360"/>
      <c r="BK149" s="360"/>
      <c r="BL149" s="360"/>
      <c r="BM149" s="360"/>
      <c r="BN149" s="360"/>
      <c r="BO149" s="360"/>
      <c r="BP149" s="360"/>
      <c r="BQ149" s="360"/>
      <c r="BR149" s="360"/>
      <c r="BS149" s="360"/>
      <c r="BT149" s="360"/>
      <c r="BU149" s="360"/>
      <c r="BV149" s="360"/>
      <c r="BW149" s="360"/>
      <c r="BX149" s="360"/>
      <c r="BY149" s="360"/>
      <c r="BZ149" s="433"/>
      <c r="CA149" s="360"/>
      <c r="CB149" s="360"/>
    </row>
    <row r="150" spans="2:82" ht="15" customHeight="1">
      <c r="C150" s="91"/>
      <c r="D150" s="416"/>
      <c r="E150" s="416"/>
      <c r="F150" s="416"/>
      <c r="I150" s="898"/>
      <c r="J150" s="898"/>
      <c r="K150" s="898"/>
      <c r="L150" s="899"/>
      <c r="M150" s="899"/>
      <c r="N150" s="899"/>
      <c r="O150" s="899"/>
      <c r="P150" s="899"/>
      <c r="Q150" s="899"/>
      <c r="R150" s="899"/>
      <c r="S150" s="899"/>
      <c r="T150" s="899"/>
      <c r="U150" s="899"/>
      <c r="V150" s="899"/>
      <c r="W150" s="899"/>
      <c r="X150" s="899"/>
      <c r="Y150" s="64"/>
      <c r="AE150" s="94"/>
      <c r="AF150" s="95"/>
      <c r="AG150" s="95"/>
      <c r="AH150" s="95"/>
      <c r="AI150" s="95"/>
      <c r="AJ150" s="95"/>
      <c r="AK150" s="95"/>
      <c r="AL150" s="95"/>
      <c r="AM150" s="95"/>
      <c r="AN150" s="95"/>
      <c r="AO150" s="95"/>
      <c r="AP150" s="95"/>
      <c r="AQ150" s="95"/>
      <c r="AR150" s="95"/>
      <c r="AS150" s="95"/>
      <c r="AT150" s="95"/>
      <c r="AU150" s="95"/>
      <c r="AV150" s="95"/>
      <c r="AW150" s="95"/>
      <c r="AX150" s="95"/>
      <c r="AY150" s="95"/>
      <c r="AZ150" s="95"/>
      <c r="BA150" s="95"/>
      <c r="BB150" s="95"/>
      <c r="BC150" s="95"/>
      <c r="BD150" s="95"/>
      <c r="BE150" s="95"/>
      <c r="BF150" s="95"/>
      <c r="BG150" s="95"/>
      <c r="BH150" s="95"/>
      <c r="BI150" s="95"/>
      <c r="BJ150" s="95"/>
      <c r="BK150" s="95"/>
      <c r="BL150" s="95"/>
      <c r="BM150" s="95"/>
      <c r="BN150" s="95"/>
      <c r="BO150" s="95"/>
      <c r="BP150" s="95"/>
      <c r="BQ150" s="95"/>
      <c r="BR150" s="95"/>
      <c r="BS150" s="95"/>
      <c r="BT150" s="95"/>
      <c r="BU150" s="95"/>
      <c r="BV150" s="95"/>
      <c r="BW150" s="95"/>
      <c r="BX150" s="95"/>
      <c r="BY150" s="95"/>
      <c r="BZ150" s="64"/>
      <c r="CA150" s="64"/>
      <c r="CB150" s="64"/>
    </row>
    <row r="151" spans="2:82" ht="15" customHeight="1">
      <c r="C151" s="11"/>
      <c r="D151" s="15"/>
      <c r="E151" s="15"/>
      <c r="F151" s="15"/>
      <c r="I151" s="847"/>
      <c r="J151" s="847"/>
      <c r="K151" s="317"/>
      <c r="L151" s="900"/>
      <c r="M151" s="901"/>
      <c r="N151" s="322"/>
      <c r="O151" s="901"/>
      <c r="P151" s="901"/>
      <c r="Q151" s="431"/>
      <c r="R151" s="889"/>
      <c r="S151" s="889"/>
      <c r="T151" s="328"/>
      <c r="U151" s="870"/>
      <c r="V151" s="870"/>
      <c r="W151" s="321"/>
      <c r="X151" s="870"/>
      <c r="Y151" s="870"/>
      <c r="AE151" s="93"/>
      <c r="AF151" s="93"/>
      <c r="AG151" s="93"/>
      <c r="AH151" s="93"/>
      <c r="AI151" s="93"/>
      <c r="AJ151" s="93"/>
      <c r="AK151" s="93"/>
      <c r="AL151" s="93"/>
      <c r="AM151" s="93"/>
      <c r="AN151" s="93"/>
      <c r="AO151" s="93"/>
      <c r="AP151" s="93"/>
      <c r="AQ151" s="93"/>
      <c r="AR151" s="93"/>
      <c r="AS151" s="93"/>
      <c r="AT151" s="93"/>
      <c r="AU151" s="93"/>
      <c r="AV151" s="93"/>
      <c r="AW151" s="93"/>
      <c r="AX151" s="93"/>
      <c r="AY151" s="93"/>
      <c r="AZ151" s="93"/>
      <c r="BA151" s="93"/>
      <c r="BB151" s="93"/>
      <c r="BC151" s="94"/>
      <c r="BD151" s="94"/>
      <c r="BE151" s="94"/>
      <c r="BF151" s="93"/>
      <c r="BG151" s="93"/>
      <c r="BH151" s="171"/>
      <c r="BI151" s="171"/>
      <c r="BJ151" s="171"/>
      <c r="BK151" s="171"/>
      <c r="BL151" s="171"/>
      <c r="BM151" s="171"/>
      <c r="BN151" s="171"/>
      <c r="BO151" s="171"/>
      <c r="BP151" s="171"/>
      <c r="BQ151" s="171"/>
      <c r="BR151" s="171"/>
      <c r="BS151" s="171"/>
      <c r="BT151" s="171"/>
      <c r="BU151" s="171"/>
      <c r="BV151" s="171"/>
      <c r="BW151" s="171"/>
      <c r="BX151" s="93"/>
      <c r="BY151" s="93"/>
      <c r="BZ151" s="96"/>
      <c r="CA151" s="925"/>
      <c r="CB151" s="925"/>
    </row>
    <row r="152" spans="2:82">
      <c r="B152" s="519" t="s">
        <v>1079</v>
      </c>
      <c r="C152" s="469" t="s">
        <v>1107</v>
      </c>
      <c r="D152" s="16" t="s">
        <v>353</v>
      </c>
      <c r="E152" s="16" t="s">
        <v>354</v>
      </c>
      <c r="F152" s="16" t="s">
        <v>355</v>
      </c>
      <c r="I152" s="171"/>
      <c r="J152" s="95"/>
      <c r="K152" s="95"/>
      <c r="L152" s="429"/>
      <c r="M152" s="113"/>
      <c r="N152" s="113"/>
      <c r="O152" s="113"/>
      <c r="P152" s="113"/>
      <c r="Q152" s="112"/>
      <c r="R152" s="112"/>
      <c r="S152" s="112"/>
      <c r="T152" s="112"/>
      <c r="U152" s="112"/>
      <c r="V152" s="112"/>
      <c r="W152" s="113"/>
      <c r="X152" s="113"/>
      <c r="Y152" s="113"/>
      <c r="AD152" s="142"/>
      <c r="AE152" s="434"/>
      <c r="AF152" s="412"/>
      <c r="AG152" s="412"/>
      <c r="AH152" s="412"/>
      <c r="AI152" s="413"/>
      <c r="AJ152" s="412"/>
      <c r="AK152" s="412"/>
      <c r="AL152" s="412"/>
      <c r="AM152" s="412"/>
      <c r="AN152" s="412"/>
      <c r="AO152" s="412"/>
      <c r="AP152" s="412"/>
      <c r="AQ152" s="412"/>
      <c r="AR152" s="412"/>
      <c r="AS152" s="412"/>
      <c r="AT152" s="412"/>
      <c r="AU152" s="412"/>
      <c r="AV152" s="412"/>
      <c r="AW152" s="412"/>
      <c r="AX152" s="412"/>
      <c r="AY152" s="412"/>
      <c r="AZ152" s="412"/>
      <c r="BA152" s="412"/>
      <c r="BB152" s="412"/>
      <c r="BC152" s="412"/>
      <c r="BD152" s="412"/>
      <c r="BE152" s="412"/>
      <c r="BF152" s="412"/>
      <c r="BG152" s="412"/>
      <c r="BH152" s="412"/>
      <c r="BI152" s="412"/>
      <c r="BJ152" s="412"/>
      <c r="BK152" s="412"/>
      <c r="BL152" s="412"/>
      <c r="BM152" s="412"/>
      <c r="BN152" s="412"/>
      <c r="BO152" s="412"/>
      <c r="BP152" s="412"/>
      <c r="BQ152" s="412"/>
      <c r="BR152" s="412"/>
      <c r="BS152" s="412"/>
      <c r="BT152" s="412"/>
      <c r="BU152" s="412"/>
      <c r="BV152" s="412"/>
      <c r="BW152" s="412"/>
      <c r="BX152" s="412"/>
      <c r="BY152" s="412"/>
      <c r="BZ152" s="64"/>
      <c r="CA152" s="83"/>
      <c r="CB152" s="83"/>
    </row>
    <row r="153" spans="2:82">
      <c r="C153" s="187" t="s">
        <v>1108</v>
      </c>
      <c r="D153" s="18">
        <v>0.1</v>
      </c>
      <c r="E153" s="18">
        <v>0.1</v>
      </c>
      <c r="F153" s="18">
        <v>0.1</v>
      </c>
      <c r="H153" s="6"/>
      <c r="I153" s="125"/>
      <c r="J153" s="125"/>
      <c r="K153" s="125"/>
      <c r="L153" s="133"/>
      <c r="M153" s="87"/>
      <c r="N153" s="87"/>
      <c r="O153" s="125"/>
      <c r="P153" s="125"/>
      <c r="Q153" s="125">
        <f>D153</f>
        <v>0.1</v>
      </c>
      <c r="R153" s="125">
        <f t="shared" ref="R153:S153" si="62">E153</f>
        <v>0.1</v>
      </c>
      <c r="S153" s="125">
        <f t="shared" si="62"/>
        <v>0.1</v>
      </c>
      <c r="T153" s="125">
        <f>D153</f>
        <v>0.1</v>
      </c>
      <c r="U153" s="125">
        <f t="shared" ref="U153:V153" si="63">E153</f>
        <v>0.1</v>
      </c>
      <c r="V153" s="125">
        <f t="shared" si="63"/>
        <v>0.1</v>
      </c>
      <c r="W153" s="125">
        <f>D153</f>
        <v>0.1</v>
      </c>
      <c r="X153" s="125">
        <f t="shared" ref="X153:Y153" si="64">E153</f>
        <v>0.1</v>
      </c>
      <c r="Y153" s="125">
        <f t="shared" si="64"/>
        <v>0.1</v>
      </c>
      <c r="AD153" s="125">
        <f>D153</f>
        <v>0.1</v>
      </c>
      <c r="AE153" s="125">
        <f t="shared" ref="AE153:AF153" si="65">E153</f>
        <v>0.1</v>
      </c>
      <c r="AF153" s="125">
        <f t="shared" si="65"/>
        <v>0.1</v>
      </c>
      <c r="AG153" s="126"/>
      <c r="AH153" s="87"/>
      <c r="AI153" s="134"/>
      <c r="AJ153" s="87"/>
      <c r="AK153" s="87"/>
      <c r="AL153" s="87"/>
      <c r="AM153" s="87"/>
      <c r="AN153" s="87"/>
      <c r="AO153" s="87"/>
      <c r="AP153" s="87"/>
      <c r="AQ153" s="87"/>
      <c r="AR153" s="87"/>
      <c r="AS153" s="87"/>
      <c r="AT153" s="87"/>
      <c r="AU153" s="87"/>
      <c r="AV153" s="87"/>
      <c r="AW153" s="87"/>
      <c r="AX153" s="87"/>
      <c r="AY153" s="87"/>
      <c r="AZ153" s="87"/>
      <c r="BA153" s="87"/>
      <c r="BB153" s="87"/>
      <c r="BC153" s="87"/>
      <c r="BD153" s="87"/>
      <c r="BE153" s="125">
        <f>D153</f>
        <v>0.1</v>
      </c>
      <c r="BF153" s="125">
        <f t="shared" ref="BF153:BG153" si="66">E153</f>
        <v>0.1</v>
      </c>
      <c r="BG153" s="125">
        <f t="shared" si="66"/>
        <v>0.1</v>
      </c>
      <c r="BH153" s="126"/>
      <c r="BI153" s="87"/>
      <c r="BJ153" s="87"/>
      <c r="BK153" s="87"/>
      <c r="BL153" s="87"/>
      <c r="BM153" s="87"/>
      <c r="BN153" s="87"/>
      <c r="BO153" s="87"/>
      <c r="BP153" s="87"/>
      <c r="BQ153" s="87"/>
      <c r="BR153" s="87"/>
      <c r="BS153" s="87"/>
      <c r="BT153" s="87"/>
      <c r="BU153" s="87"/>
      <c r="BV153" s="87"/>
      <c r="BW153" s="125">
        <f>D153</f>
        <v>0.1</v>
      </c>
      <c r="BX153" s="125">
        <f t="shared" ref="BX153:BY153" si="67">E153</f>
        <v>0.1</v>
      </c>
      <c r="BY153" s="125">
        <f t="shared" si="67"/>
        <v>0.1</v>
      </c>
    </row>
    <row r="154" spans="2:82" ht="28.8">
      <c r="C154" s="187" t="s">
        <v>1109</v>
      </c>
      <c r="D154" s="18">
        <v>0.4</v>
      </c>
      <c r="E154" s="18">
        <v>0.4</v>
      </c>
      <c r="F154" s="18">
        <v>0.05</v>
      </c>
      <c r="I154" s="87"/>
      <c r="J154" s="87"/>
      <c r="K154" s="125">
        <f>D154</f>
        <v>0.4</v>
      </c>
      <c r="L154" s="125">
        <f t="shared" ref="L154:M154" si="68">E154</f>
        <v>0.4</v>
      </c>
      <c r="M154" s="125">
        <f t="shared" si="68"/>
        <v>0.05</v>
      </c>
      <c r="N154" s="87"/>
      <c r="O154" s="87"/>
      <c r="P154" s="87"/>
      <c r="Q154" s="125"/>
      <c r="R154" s="125"/>
      <c r="S154" s="125"/>
      <c r="T154" s="125"/>
      <c r="U154" s="125"/>
      <c r="V154" s="125"/>
      <c r="W154" s="87"/>
      <c r="X154" s="87"/>
      <c r="Y154" s="87"/>
      <c r="AD154" s="125">
        <f>E154</f>
        <v>0.4</v>
      </c>
      <c r="AE154" s="125">
        <f t="shared" ref="AE154:AF154" si="69">F154</f>
        <v>0.05</v>
      </c>
      <c r="AF154" s="125">
        <f t="shared" si="69"/>
        <v>0</v>
      </c>
      <c r="AG154" s="125"/>
      <c r="AH154" s="87"/>
      <c r="AI154" s="134"/>
      <c r="AJ154" s="87"/>
      <c r="AK154" s="87"/>
      <c r="AL154" s="87"/>
      <c r="AM154" s="87"/>
      <c r="AN154" s="87"/>
      <c r="AO154" s="87"/>
      <c r="AP154" s="87"/>
      <c r="AQ154" s="87"/>
      <c r="AR154" s="87"/>
      <c r="AS154" s="87"/>
      <c r="AT154" s="87"/>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row>
    <row r="155" spans="2:82">
      <c r="C155" s="187" t="s">
        <v>1110</v>
      </c>
      <c r="D155" s="18">
        <v>0.2</v>
      </c>
      <c r="E155" s="18">
        <v>0.2</v>
      </c>
      <c r="F155" s="18">
        <v>0</v>
      </c>
      <c r="I155" s="87"/>
      <c r="J155" s="87"/>
      <c r="K155" s="87"/>
      <c r="L155" s="133"/>
      <c r="M155" s="87"/>
      <c r="N155" s="87"/>
      <c r="O155" s="87"/>
      <c r="P155" s="87"/>
      <c r="Q155" s="125"/>
      <c r="R155" s="125"/>
      <c r="S155" s="125"/>
      <c r="T155" s="125"/>
      <c r="U155" s="125"/>
      <c r="V155" s="125"/>
      <c r="W155" s="87"/>
      <c r="X155" s="87"/>
      <c r="Y155" s="87"/>
      <c r="AE155" s="344"/>
      <c r="AF155" s="131"/>
      <c r="AG155" s="131"/>
      <c r="AH155" s="130"/>
      <c r="AI155" s="405"/>
      <c r="AJ155" s="130"/>
      <c r="AK155" s="130"/>
      <c r="AL155" s="130"/>
      <c r="AM155" s="130"/>
      <c r="AN155" s="130"/>
      <c r="AO155" s="130"/>
      <c r="AP155" s="130"/>
      <c r="AQ155" s="130"/>
      <c r="AR155" s="130"/>
      <c r="AS155" s="130"/>
      <c r="AT155" s="130"/>
      <c r="AU155" s="130"/>
      <c r="AV155" s="130"/>
      <c r="AW155" s="130"/>
      <c r="AX155" s="130"/>
      <c r="AY155" s="130"/>
      <c r="AZ155" s="130"/>
      <c r="BA155" s="130"/>
      <c r="BB155" s="130"/>
      <c r="BC155" s="130"/>
      <c r="BD155" s="130"/>
      <c r="BE155" s="131">
        <f>D155</f>
        <v>0.2</v>
      </c>
      <c r="BF155" s="131">
        <f t="shared" ref="BF155:BG155" si="70">E155</f>
        <v>0.2</v>
      </c>
      <c r="BG155" s="131">
        <f t="shared" si="70"/>
        <v>0</v>
      </c>
      <c r="BH155" s="131"/>
      <c r="BI155" s="130"/>
      <c r="BJ155" s="130"/>
      <c r="BK155" s="130"/>
      <c r="BL155" s="130"/>
      <c r="BM155" s="130"/>
      <c r="BN155" s="130"/>
      <c r="BO155" s="130"/>
      <c r="BP155" s="130"/>
      <c r="BQ155" s="130"/>
      <c r="BR155" s="130"/>
      <c r="BS155" s="130"/>
      <c r="BT155" s="130"/>
      <c r="BU155" s="130"/>
      <c r="BV155" s="130"/>
      <c r="BW155" s="130"/>
      <c r="BX155" s="130"/>
      <c r="BY155" s="130"/>
    </row>
    <row r="156" spans="2:82">
      <c r="C156" s="187"/>
      <c r="D156" s="18">
        <v>0.2</v>
      </c>
      <c r="E156" s="18">
        <v>0.2</v>
      </c>
      <c r="F156" s="18">
        <v>0</v>
      </c>
      <c r="I156" s="87"/>
      <c r="J156" s="87"/>
      <c r="K156" s="87"/>
      <c r="L156" s="133"/>
      <c r="M156" s="87"/>
      <c r="N156" s="87"/>
      <c r="O156" s="87"/>
      <c r="P156" s="87"/>
      <c r="Q156" s="125">
        <f>D156</f>
        <v>0.2</v>
      </c>
      <c r="R156" s="125">
        <f t="shared" ref="R156:S156" si="71">E156</f>
        <v>0.2</v>
      </c>
      <c r="S156" s="125">
        <f t="shared" si="71"/>
        <v>0</v>
      </c>
      <c r="T156" s="430">
        <f>D156</f>
        <v>0.2</v>
      </c>
      <c r="U156" s="430">
        <f t="shared" ref="U156:V156" si="72">E156</f>
        <v>0.2</v>
      </c>
      <c r="V156" s="430">
        <f t="shared" si="72"/>
        <v>0</v>
      </c>
      <c r="W156" s="126"/>
      <c r="X156" s="87"/>
      <c r="Y156" s="87"/>
      <c r="AE156" s="165"/>
      <c r="AF156" s="125"/>
      <c r="AG156" s="125"/>
      <c r="AH156" s="87"/>
      <c r="AI156" s="134"/>
      <c r="AJ156" s="87"/>
      <c r="AK156" s="87"/>
      <c r="AL156" s="87"/>
      <c r="AM156" s="87"/>
      <c r="AN156" s="87"/>
      <c r="AO156" s="87"/>
      <c r="AP156" s="87"/>
      <c r="AQ156" s="87"/>
      <c r="AR156" s="87"/>
      <c r="AS156" s="87"/>
      <c r="AT156" s="87"/>
      <c r="AU156" s="87"/>
      <c r="AV156" s="87"/>
      <c r="AW156" s="87"/>
      <c r="AX156" s="87"/>
      <c r="AY156" s="87"/>
      <c r="AZ156" s="87"/>
      <c r="BA156" s="87"/>
      <c r="BB156" s="87"/>
      <c r="BC156" s="87"/>
      <c r="BD156" s="87"/>
      <c r="BE156" s="125"/>
      <c r="BF156" s="125"/>
      <c r="BG156" s="125"/>
      <c r="BH156" s="87"/>
      <c r="BI156" s="87"/>
      <c r="BJ156" s="87"/>
      <c r="BK156" s="87"/>
      <c r="BL156" s="87"/>
      <c r="BM156" s="87"/>
      <c r="BN156" s="87"/>
      <c r="BO156" s="87"/>
      <c r="BP156" s="87"/>
      <c r="BQ156" s="87"/>
      <c r="BR156" s="87"/>
      <c r="BS156" s="87"/>
      <c r="BT156" s="87"/>
      <c r="BU156" s="87"/>
      <c r="BV156" s="87"/>
      <c r="BW156" s="87"/>
      <c r="BX156" s="87"/>
      <c r="BY156" s="87"/>
    </row>
    <row r="157" spans="2:82" s="33" customFormat="1">
      <c r="C157" s="439"/>
      <c r="D157" s="22">
        <f>SUM(D153:D156)</f>
        <v>0.89999999999999991</v>
      </c>
      <c r="E157" s="22">
        <f>SUM(E153:E156)</f>
        <v>0.89999999999999991</v>
      </c>
      <c r="F157" s="22">
        <f>SUM(F153:F156)</f>
        <v>0.15000000000000002</v>
      </c>
      <c r="K157" s="33">
        <f>SUM(K152:K156)</f>
        <v>0.4</v>
      </c>
      <c r="L157" s="33">
        <f t="shared" ref="L157:M157" si="73">SUM(L152:L156)</f>
        <v>0.4</v>
      </c>
      <c r="M157" s="33">
        <f t="shared" si="73"/>
        <v>0.05</v>
      </c>
      <c r="Q157" s="33">
        <f>SUM(Q151:Q156)</f>
        <v>0.30000000000000004</v>
      </c>
      <c r="R157" s="33">
        <f>SUM(R152:R156)</f>
        <v>0.30000000000000004</v>
      </c>
      <c r="S157" s="33">
        <f>SUM(S152:S156)</f>
        <v>0.1</v>
      </c>
      <c r="T157" s="33">
        <f>SUM(T152:T156)</f>
        <v>0.30000000000000004</v>
      </c>
      <c r="U157" s="33">
        <f>SUM(U152:U156)</f>
        <v>0.30000000000000004</v>
      </c>
      <c r="V157" s="33">
        <f>SUM(V152:V156)</f>
        <v>0.1</v>
      </c>
      <c r="W157" s="33">
        <f>SUM(W153:W156)</f>
        <v>0.1</v>
      </c>
      <c r="X157" s="33">
        <f>SUM(X153:X156)</f>
        <v>0.1</v>
      </c>
      <c r="Y157" s="33">
        <f>SUM(Y153:Y156)</f>
        <v>0.1</v>
      </c>
      <c r="AD157" s="139">
        <f>SUM(AD153:AD156)</f>
        <v>0.5</v>
      </c>
      <c r="AE157" s="33">
        <f>SUM(AE153:AE156)</f>
        <v>0.15000000000000002</v>
      </c>
      <c r="AF157" s="33">
        <f>SUM(AF153:AF156)</f>
        <v>0.1</v>
      </c>
      <c r="AJ157" s="397"/>
      <c r="BE157" s="33">
        <f>SUM(BE153:BE156)</f>
        <v>0.30000000000000004</v>
      </c>
      <c r="BF157" s="33">
        <f>SUM(BF153:BF156)</f>
        <v>0.30000000000000004</v>
      </c>
      <c r="BG157" s="33">
        <f>SUM(BG153:BG156)</f>
        <v>0.1</v>
      </c>
      <c r="BW157" s="33">
        <f>SUM(BW153:BW156)</f>
        <v>0.1</v>
      </c>
      <c r="BX157" s="33">
        <f>SUM(BX153:BX156)</f>
        <v>0.1</v>
      </c>
      <c r="BY157" s="33">
        <f>SUM(BY153:BY156)</f>
        <v>0.1</v>
      </c>
    </row>
    <row r="158" spans="2:82">
      <c r="C158" s="11"/>
      <c r="D158" s="22"/>
      <c r="E158" s="21">
        <f>D157-E157</f>
        <v>0</v>
      </c>
      <c r="F158" s="21">
        <f>E157-F157</f>
        <v>0.74999999999999989</v>
      </c>
      <c r="AE158" s="6"/>
      <c r="AF158" s="6"/>
      <c r="AG158" s="6"/>
      <c r="BF158" s="6"/>
      <c r="BG158" s="6"/>
      <c r="BH158" s="6"/>
    </row>
    <row r="159" spans="2:82">
      <c r="C159" s="11"/>
      <c r="D159" s="22"/>
      <c r="E159" s="21"/>
      <c r="F159" s="21"/>
    </row>
    <row r="160" spans="2:82">
      <c r="C160" s="11"/>
      <c r="D160" s="15"/>
      <c r="E160" s="15"/>
      <c r="F160" s="15"/>
    </row>
    <row r="161" spans="2:82">
      <c r="C161" s="12" t="s">
        <v>359</v>
      </c>
      <c r="D161" s="82">
        <v>3</v>
      </c>
      <c r="E161" s="16"/>
      <c r="F161" s="16"/>
    </row>
    <row r="162" spans="2:82">
      <c r="C162" s="53"/>
      <c r="D162" s="56"/>
      <c r="E162" s="54"/>
      <c r="F162" s="54"/>
    </row>
    <row r="163" spans="2:82">
      <c r="C163" s="53"/>
      <c r="D163" s="56"/>
      <c r="E163" s="54"/>
      <c r="F163" s="54"/>
    </row>
    <row r="164" spans="2:82">
      <c r="C164" s="11" t="s">
        <v>360</v>
      </c>
      <c r="D164" s="15"/>
      <c r="E164" s="15"/>
      <c r="F164" s="15"/>
    </row>
    <row r="165" spans="2:82">
      <c r="C165" s="11" t="s">
        <v>361</v>
      </c>
      <c r="D165" s="15"/>
      <c r="E165" s="15"/>
      <c r="F165" s="15"/>
    </row>
    <row r="166" spans="2:82">
      <c r="C166" s="11" t="s">
        <v>362</v>
      </c>
      <c r="D166" s="15"/>
      <c r="E166" s="15"/>
      <c r="F166" s="15"/>
    </row>
    <row r="167" spans="2:82">
      <c r="C167" s="11" t="s">
        <v>363</v>
      </c>
      <c r="D167" s="15"/>
      <c r="E167" s="15"/>
      <c r="F167" s="15"/>
    </row>
    <row r="168" spans="2:82">
      <c r="C168" s="109"/>
      <c r="D168" s="110"/>
      <c r="E168" s="110"/>
      <c r="F168" s="110"/>
      <c r="G168" s="100"/>
      <c r="H168" s="100"/>
      <c r="I168" s="100"/>
      <c r="J168" s="100"/>
      <c r="K168" s="100"/>
      <c r="L168" s="100"/>
      <c r="M168" s="100"/>
      <c r="N168" s="100"/>
      <c r="O168" s="100"/>
      <c r="P168" s="100"/>
      <c r="Q168" s="100"/>
      <c r="R168" s="100"/>
      <c r="S168" s="100"/>
      <c r="T168" s="100"/>
      <c r="U168" s="100"/>
      <c r="V168" s="100"/>
      <c r="W168" s="100"/>
      <c r="X168" s="100"/>
      <c r="Y168" s="100"/>
      <c r="Z168" s="100"/>
      <c r="AA168" s="100"/>
      <c r="AB168" s="100"/>
      <c r="AC168" s="100"/>
      <c r="AD168" s="332"/>
      <c r="AE168" s="100"/>
      <c r="AF168" s="100"/>
      <c r="AG168" s="100"/>
      <c r="AH168" s="100"/>
      <c r="AI168" s="100"/>
      <c r="AJ168" s="392"/>
      <c r="AK168" s="100"/>
      <c r="AL168" s="100"/>
      <c r="AM168" s="100"/>
      <c r="AN168" s="100"/>
      <c r="AO168" s="100"/>
      <c r="AP168" s="100"/>
      <c r="AQ168" s="100"/>
      <c r="AR168" s="100"/>
      <c r="AS168" s="100"/>
      <c r="AT168" s="100"/>
      <c r="AU168" s="100"/>
      <c r="AV168" s="100"/>
      <c r="AW168" s="100"/>
      <c r="AX168" s="100"/>
      <c r="AY168" s="100"/>
      <c r="AZ168" s="100"/>
      <c r="BA168" s="100"/>
      <c r="BB168" s="100"/>
      <c r="BC168" s="100"/>
      <c r="BD168" s="100"/>
      <c r="BE168" s="100"/>
      <c r="BF168" s="100"/>
      <c r="BG168" s="100"/>
      <c r="BH168" s="100"/>
      <c r="BI168" s="100"/>
      <c r="BJ168" s="100"/>
      <c r="BK168" s="100"/>
      <c r="BL168" s="100"/>
      <c r="BM168" s="100"/>
      <c r="BN168" s="100"/>
      <c r="BO168" s="100"/>
      <c r="BP168" s="100"/>
      <c r="BQ168" s="100"/>
      <c r="BR168" s="100"/>
      <c r="BS168" s="100"/>
      <c r="BT168" s="100"/>
      <c r="BU168" s="100"/>
      <c r="BV168" s="100"/>
      <c r="BW168" s="100"/>
      <c r="BX168" s="100"/>
      <c r="BY168" s="100"/>
      <c r="BZ168" s="100"/>
      <c r="CA168" s="100"/>
      <c r="CB168" s="100"/>
      <c r="CC168" s="100"/>
      <c r="CD168" s="100"/>
    </row>
    <row r="169" spans="2:82">
      <c r="C169" s="11"/>
      <c r="D169" s="15"/>
      <c r="E169" s="15"/>
      <c r="F169" s="15"/>
    </row>
    <row r="170" spans="2:82">
      <c r="C170" s="11"/>
      <c r="D170" s="15"/>
      <c r="E170" s="15"/>
      <c r="F170" s="15"/>
    </row>
    <row r="171" spans="2:82" ht="15" customHeight="1">
      <c r="C171" s="11"/>
      <c r="D171" s="15"/>
      <c r="E171" s="15"/>
      <c r="F171" s="15"/>
      <c r="I171" s="916"/>
      <c r="J171" s="916"/>
      <c r="K171" s="916"/>
      <c r="L171" s="916"/>
      <c r="M171" s="916"/>
      <c r="N171" s="916"/>
      <c r="O171" s="916"/>
      <c r="P171" s="916"/>
      <c r="Q171" s="916"/>
      <c r="R171" s="916"/>
      <c r="S171" s="916"/>
      <c r="T171" s="916"/>
      <c r="U171" s="916"/>
      <c r="V171" s="916"/>
      <c r="W171" s="916"/>
      <c r="X171" s="916"/>
      <c r="Y171" s="916"/>
      <c r="AE171" s="918"/>
      <c r="AF171" s="918"/>
      <c r="AG171" s="918"/>
      <c r="AH171" s="918"/>
      <c r="AI171" s="918"/>
      <c r="AJ171" s="918"/>
      <c r="AK171" s="918"/>
      <c r="AL171" s="918"/>
      <c r="AM171" s="918"/>
      <c r="AN171" s="918"/>
      <c r="AO171" s="918"/>
      <c r="AP171" s="918"/>
      <c r="AQ171" s="918"/>
      <c r="AR171" s="918"/>
      <c r="AS171" s="918"/>
      <c r="AT171" s="918"/>
      <c r="AU171" s="918"/>
      <c r="AV171" s="918"/>
      <c r="AW171" s="918"/>
      <c r="AX171" s="918"/>
      <c r="AY171" s="918"/>
      <c r="AZ171" s="918"/>
      <c r="BA171" s="918"/>
      <c r="BB171" s="918"/>
      <c r="BC171" s="918"/>
      <c r="BD171" s="918"/>
      <c r="BE171" s="918"/>
      <c r="BF171" s="918"/>
      <c r="BG171" s="918"/>
      <c r="BH171" s="918"/>
      <c r="BI171" s="918"/>
      <c r="BJ171" s="918"/>
      <c r="BK171" s="918"/>
      <c r="BL171" s="918"/>
      <c r="BM171" s="918"/>
      <c r="BN171" s="918"/>
      <c r="BO171" s="918"/>
      <c r="BP171" s="918"/>
      <c r="BQ171" s="918"/>
      <c r="BR171" s="918"/>
      <c r="BS171" s="918"/>
      <c r="BT171" s="918"/>
      <c r="BU171" s="918"/>
      <c r="BV171" s="918"/>
      <c r="BW171" s="918"/>
      <c r="BX171" s="918"/>
      <c r="BY171" s="918"/>
      <c r="BZ171" s="239"/>
      <c r="CA171" s="239"/>
      <c r="CB171" s="239"/>
    </row>
    <row r="172" spans="2:82" ht="15" customHeight="1">
      <c r="C172" s="11"/>
      <c r="D172" s="15"/>
      <c r="E172" s="15"/>
      <c r="F172" s="15"/>
      <c r="I172" s="917"/>
      <c r="J172" s="917"/>
      <c r="K172" s="917"/>
      <c r="L172" s="917"/>
      <c r="M172" s="917"/>
      <c r="N172" s="917"/>
      <c r="O172" s="917"/>
      <c r="P172" s="917"/>
      <c r="Q172" s="917"/>
      <c r="R172" s="917"/>
      <c r="S172" s="917"/>
      <c r="T172" s="917"/>
      <c r="U172" s="917"/>
      <c r="V172" s="917"/>
      <c r="W172" s="917"/>
      <c r="X172" s="917"/>
      <c r="Y172" s="64"/>
      <c r="AE172" s="339"/>
      <c r="AF172" s="95"/>
      <c r="AG172" s="95"/>
      <c r="AH172" s="95"/>
      <c r="AI172" s="403"/>
      <c r="AJ172" s="95"/>
      <c r="AK172" s="95"/>
      <c r="AL172" s="95"/>
      <c r="AM172" s="95"/>
      <c r="AN172" s="95"/>
      <c r="AO172" s="95"/>
      <c r="AP172" s="95"/>
      <c r="AQ172" s="95"/>
      <c r="AR172" s="95"/>
      <c r="AS172" s="95"/>
      <c r="AT172" s="95"/>
      <c r="AU172" s="95"/>
      <c r="AV172" s="95"/>
      <c r="AW172" s="95"/>
      <c r="AX172" s="95"/>
      <c r="AY172" s="95"/>
      <c r="AZ172" s="95"/>
      <c r="BA172" s="95"/>
      <c r="BB172" s="95"/>
      <c r="BC172" s="95"/>
      <c r="BD172" s="95"/>
      <c r="BE172" s="95"/>
      <c r="BF172" s="95"/>
      <c r="BG172" s="95"/>
      <c r="BH172" s="95"/>
      <c r="BI172" s="95"/>
      <c r="BJ172" s="95"/>
      <c r="BK172" s="95"/>
      <c r="BL172" s="95"/>
      <c r="BM172" s="95"/>
      <c r="BN172" s="95"/>
      <c r="BO172" s="95"/>
      <c r="BP172" s="95"/>
      <c r="BQ172" s="95"/>
      <c r="BR172" s="95"/>
      <c r="BS172" s="95"/>
      <c r="BT172" s="95"/>
      <c r="BU172" s="95"/>
      <c r="BV172" s="95"/>
      <c r="BW172" s="95"/>
      <c r="BX172" s="95"/>
      <c r="BY172" s="95"/>
      <c r="BZ172" s="64"/>
      <c r="CA172" s="64"/>
      <c r="CB172" s="64"/>
    </row>
    <row r="173" spans="2:82" ht="15" customHeight="1">
      <c r="C173" s="11"/>
      <c r="D173" s="15"/>
      <c r="E173" s="15"/>
      <c r="F173" s="15"/>
      <c r="I173" s="919"/>
      <c r="J173" s="919"/>
      <c r="K173" s="321"/>
      <c r="L173" s="870"/>
      <c r="M173" s="870"/>
      <c r="N173" s="321"/>
      <c r="O173" s="870"/>
      <c r="P173" s="870"/>
      <c r="Q173" s="282"/>
      <c r="R173" s="889"/>
      <c r="S173" s="889"/>
      <c r="T173" s="328"/>
      <c r="U173" s="870"/>
      <c r="V173" s="870"/>
      <c r="W173" s="321"/>
      <c r="X173" s="870"/>
      <c r="Y173" s="870"/>
      <c r="AE173" s="837"/>
      <c r="AF173" s="837"/>
      <c r="AG173" s="93"/>
      <c r="AH173" s="837"/>
      <c r="AI173" s="837"/>
      <c r="AJ173" s="93"/>
      <c r="AK173" s="837"/>
      <c r="AL173" s="837"/>
      <c r="AM173" s="93"/>
      <c r="AN173" s="837"/>
      <c r="AO173" s="837"/>
      <c r="AP173" s="93"/>
      <c r="AQ173" s="837"/>
      <c r="AR173" s="837"/>
      <c r="AS173" s="93"/>
      <c r="AT173" s="837"/>
      <c r="AU173" s="837"/>
      <c r="AV173" s="93"/>
      <c r="AW173" s="837"/>
      <c r="AX173" s="837"/>
      <c r="AY173" s="93"/>
      <c r="AZ173" s="837"/>
      <c r="BA173" s="837"/>
      <c r="BB173" s="93"/>
      <c r="BC173" s="892"/>
      <c r="BD173" s="892"/>
      <c r="BE173" s="94"/>
      <c r="BF173" s="837"/>
      <c r="BG173" s="837"/>
      <c r="BH173" s="171"/>
      <c r="BI173" s="920"/>
      <c r="BJ173" s="920"/>
      <c r="BK173" s="171"/>
      <c r="BL173" s="920"/>
      <c r="BM173" s="920"/>
      <c r="BN173" s="171"/>
      <c r="BO173" s="920"/>
      <c r="BP173" s="920"/>
      <c r="BQ173" s="171"/>
      <c r="BR173" s="920"/>
      <c r="BS173" s="920"/>
      <c r="BT173" s="171"/>
      <c r="BU173" s="920"/>
      <c r="BV173" s="920"/>
      <c r="BW173" s="171"/>
      <c r="BX173" s="837"/>
      <c r="BY173" s="837"/>
      <c r="BZ173" s="96"/>
      <c r="CA173" s="925"/>
      <c r="CB173" s="925"/>
    </row>
    <row r="174" spans="2:82">
      <c r="B174" s="519" t="s">
        <v>1079</v>
      </c>
      <c r="C174" s="469" t="s">
        <v>1111</v>
      </c>
      <c r="D174" s="16" t="s">
        <v>353</v>
      </c>
      <c r="E174" s="16" t="s">
        <v>354</v>
      </c>
      <c r="F174" s="16" t="s">
        <v>355</v>
      </c>
      <c r="I174" s="164"/>
      <c r="J174" s="113"/>
      <c r="K174" s="113"/>
      <c r="L174" s="113"/>
      <c r="M174" s="113"/>
      <c r="N174" s="113"/>
      <c r="O174" s="113"/>
      <c r="P174" s="113"/>
      <c r="Q174" s="113"/>
      <c r="R174" s="113"/>
      <c r="S174" s="113"/>
      <c r="T174" s="113"/>
      <c r="U174" s="113"/>
      <c r="V174" s="113"/>
      <c r="W174" s="113"/>
      <c r="X174" s="113"/>
      <c r="Y174" s="113"/>
      <c r="AE174" s="340"/>
      <c r="AF174" s="95"/>
      <c r="AG174" s="95"/>
      <c r="AH174" s="95"/>
      <c r="AI174" s="403"/>
      <c r="AJ174" s="95"/>
      <c r="AK174" s="95"/>
      <c r="AL174" s="95"/>
      <c r="AM174" s="95"/>
      <c r="AN174" s="95"/>
      <c r="AO174" s="95"/>
      <c r="AP174" s="95"/>
      <c r="AQ174" s="95"/>
      <c r="AR174" s="95"/>
      <c r="AS174" s="95"/>
      <c r="AT174" s="95"/>
      <c r="AU174" s="95"/>
      <c r="AV174" s="95"/>
      <c r="AW174" s="95"/>
      <c r="AX174" s="95"/>
      <c r="AY174" s="95"/>
      <c r="AZ174" s="95"/>
      <c r="BA174" s="95"/>
      <c r="BB174" s="95"/>
      <c r="BC174" s="95"/>
      <c r="BD174" s="95"/>
      <c r="BE174" s="95"/>
      <c r="BF174" s="95"/>
      <c r="BG174" s="95"/>
      <c r="BH174" s="95"/>
      <c r="BI174" s="95"/>
      <c r="BJ174" s="95"/>
      <c r="BK174" s="95"/>
      <c r="BL174" s="95"/>
      <c r="BM174" s="95"/>
      <c r="BN174" s="95"/>
      <c r="BO174" s="95"/>
      <c r="BP174" s="95"/>
      <c r="BQ174" s="95"/>
      <c r="BR174" s="95"/>
      <c r="BS174" s="95"/>
      <c r="BT174" s="95"/>
      <c r="BU174" s="95"/>
      <c r="BV174" s="95"/>
      <c r="BW174" s="95"/>
      <c r="BX174" s="95"/>
      <c r="BY174" s="95"/>
      <c r="BZ174" s="64"/>
      <c r="CA174" s="83"/>
      <c r="CB174" s="83"/>
    </row>
    <row r="175" spans="2:82">
      <c r="C175" s="187" t="s">
        <v>1108</v>
      </c>
      <c r="D175" s="18">
        <v>0.05</v>
      </c>
      <c r="E175" s="18">
        <v>0.05</v>
      </c>
      <c r="F175" s="18">
        <v>0.05</v>
      </c>
      <c r="I175" s="125"/>
      <c r="J175" s="125"/>
      <c r="K175" s="125"/>
      <c r="L175" s="125"/>
      <c r="M175" s="125"/>
      <c r="N175" s="87"/>
      <c r="O175" s="125"/>
      <c r="P175" s="125"/>
      <c r="Q175" s="125">
        <f>D175</f>
        <v>0.05</v>
      </c>
      <c r="R175" s="125">
        <f t="shared" ref="R175:S175" si="74">E175</f>
        <v>0.05</v>
      </c>
      <c r="S175" s="125">
        <f t="shared" si="74"/>
        <v>0.05</v>
      </c>
      <c r="T175" s="125">
        <f>D175</f>
        <v>0.05</v>
      </c>
      <c r="U175" s="125">
        <f t="shared" ref="U175:V175" si="75">E175</f>
        <v>0.05</v>
      </c>
      <c r="V175" s="125">
        <f t="shared" si="75"/>
        <v>0.05</v>
      </c>
      <c r="W175" s="125">
        <f>D175</f>
        <v>0.05</v>
      </c>
      <c r="X175" s="125">
        <f t="shared" ref="X175:Y175" si="76">E175</f>
        <v>0.05</v>
      </c>
      <c r="Y175" s="125">
        <f t="shared" si="76"/>
        <v>0.05</v>
      </c>
      <c r="AD175" s="125">
        <f t="shared" ref="AD175:AF177" si="77">D175</f>
        <v>0.05</v>
      </c>
      <c r="AE175" s="165">
        <f t="shared" si="77"/>
        <v>0.05</v>
      </c>
      <c r="AF175" s="125">
        <f t="shared" si="77"/>
        <v>0.05</v>
      </c>
      <c r="AG175" s="125"/>
      <c r="AH175" s="87"/>
      <c r="AI175" s="134"/>
      <c r="AJ175" s="87"/>
      <c r="AK175" s="87"/>
      <c r="AL175" s="87"/>
      <c r="AM175" s="87"/>
      <c r="AN175" s="87"/>
      <c r="AO175" s="87"/>
      <c r="AP175" s="87"/>
      <c r="AQ175" s="87"/>
      <c r="AR175" s="87"/>
      <c r="AS175" s="87"/>
      <c r="AT175" s="87"/>
      <c r="AU175" s="87"/>
      <c r="AV175" s="87"/>
      <c r="AW175" s="87"/>
      <c r="AX175" s="87"/>
      <c r="AY175" s="87"/>
      <c r="AZ175" s="87"/>
      <c r="BA175" s="87"/>
      <c r="BB175" s="87"/>
      <c r="BC175" s="87"/>
      <c r="BD175" s="87"/>
      <c r="BE175" s="125">
        <f t="shared" ref="BE175:BG175" si="78">D175</f>
        <v>0.05</v>
      </c>
      <c r="BF175" s="125">
        <f t="shared" si="78"/>
        <v>0.05</v>
      </c>
      <c r="BG175" s="125">
        <f t="shared" si="78"/>
        <v>0.05</v>
      </c>
      <c r="BH175" s="125"/>
      <c r="BI175" s="87"/>
      <c r="BJ175" s="87"/>
      <c r="BK175" s="87"/>
      <c r="BL175" s="87"/>
      <c r="BM175" s="87"/>
      <c r="BN175" s="87"/>
      <c r="BO175" s="87"/>
      <c r="BP175" s="87"/>
      <c r="BQ175" s="87"/>
      <c r="BR175" s="87"/>
      <c r="BS175" s="87"/>
      <c r="BT175" s="87"/>
      <c r="BU175" s="87"/>
      <c r="BV175" s="87"/>
      <c r="BW175" s="125">
        <f>D175</f>
        <v>0.05</v>
      </c>
      <c r="BX175" s="125">
        <f t="shared" ref="BX175:BY175" si="79">E175</f>
        <v>0.05</v>
      </c>
      <c r="BY175" s="125">
        <f t="shared" si="79"/>
        <v>0.05</v>
      </c>
    </row>
    <row r="176" spans="2:82">
      <c r="C176" s="187" t="s">
        <v>1112</v>
      </c>
      <c r="D176" s="18">
        <v>0.1</v>
      </c>
      <c r="E176" s="18">
        <v>0.1</v>
      </c>
      <c r="F176" s="18">
        <v>0.05</v>
      </c>
      <c r="I176" s="87"/>
      <c r="J176" s="87"/>
      <c r="K176" s="125">
        <f>D176</f>
        <v>0.1</v>
      </c>
      <c r="L176" s="125">
        <f t="shared" ref="L176:M177" si="80">E176</f>
        <v>0.1</v>
      </c>
      <c r="M176" s="125">
        <f t="shared" si="80"/>
        <v>0.05</v>
      </c>
      <c r="N176" s="87"/>
      <c r="O176" s="87"/>
      <c r="P176" s="87"/>
      <c r="Q176" s="87"/>
      <c r="R176" s="87"/>
      <c r="S176" s="87"/>
      <c r="T176" s="87"/>
      <c r="U176" s="87"/>
      <c r="V176" s="87"/>
      <c r="W176" s="87"/>
      <c r="X176" s="87"/>
      <c r="Y176" s="87"/>
      <c r="AD176" s="125">
        <f t="shared" si="77"/>
        <v>0.1</v>
      </c>
      <c r="AE176" s="165">
        <f t="shared" si="77"/>
        <v>0.1</v>
      </c>
      <c r="AF176" s="125">
        <f t="shared" si="77"/>
        <v>0.05</v>
      </c>
      <c r="AG176" s="125"/>
      <c r="AH176" s="87"/>
      <c r="AI176" s="134"/>
      <c r="AJ176" s="87"/>
      <c r="AK176" s="87"/>
      <c r="AL176" s="87"/>
      <c r="AM176" s="87"/>
      <c r="AN176" s="87"/>
      <c r="AO176" s="87"/>
      <c r="AP176" s="87"/>
      <c r="AQ176" s="87"/>
      <c r="AR176" s="87"/>
      <c r="AS176" s="87"/>
      <c r="AT176" s="87"/>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row>
    <row r="177" spans="3:82" ht="28.8">
      <c r="C177" s="187" t="s">
        <v>1113</v>
      </c>
      <c r="D177" s="18">
        <v>0.3</v>
      </c>
      <c r="E177" s="18">
        <v>0.3</v>
      </c>
      <c r="F177" s="18">
        <v>0.05</v>
      </c>
      <c r="I177" s="130"/>
      <c r="J177" s="130"/>
      <c r="K177" s="131">
        <f>D177</f>
        <v>0.3</v>
      </c>
      <c r="L177" s="131">
        <f t="shared" si="80"/>
        <v>0.3</v>
      </c>
      <c r="M177" s="131">
        <f t="shared" si="80"/>
        <v>0.05</v>
      </c>
      <c r="N177" s="130"/>
      <c r="O177" s="130"/>
      <c r="P177" s="130"/>
      <c r="Q177" s="130"/>
      <c r="R177" s="130"/>
      <c r="S177" s="130"/>
      <c r="T177" s="130"/>
      <c r="U177" s="130"/>
      <c r="V177" s="130"/>
      <c r="W177" s="130"/>
      <c r="X177" s="130"/>
      <c r="Y177" s="130"/>
      <c r="AD177" s="125">
        <f t="shared" si="77"/>
        <v>0.3</v>
      </c>
      <c r="AE177" s="344">
        <f t="shared" si="77"/>
        <v>0.3</v>
      </c>
      <c r="AF177" s="131">
        <f t="shared" si="77"/>
        <v>0.05</v>
      </c>
      <c r="AG177" s="131"/>
      <c r="AH177" s="130"/>
      <c r="AI177" s="405"/>
      <c r="AJ177" s="130"/>
      <c r="AK177" s="130"/>
      <c r="AL177" s="130"/>
      <c r="AM177" s="130"/>
      <c r="AN177" s="130"/>
      <c r="AO177" s="130"/>
      <c r="AP177" s="130"/>
      <c r="AQ177" s="130"/>
      <c r="AR177" s="130"/>
      <c r="AS177" s="130"/>
      <c r="AT177" s="130"/>
      <c r="AU177" s="130"/>
      <c r="AV177" s="130"/>
      <c r="AW177" s="130"/>
      <c r="AX177" s="130"/>
      <c r="AY177" s="130"/>
      <c r="AZ177" s="130"/>
      <c r="BA177" s="130"/>
      <c r="BB177" s="130"/>
      <c r="BC177" s="130"/>
      <c r="BD177" s="130"/>
      <c r="BE177" s="130"/>
      <c r="BF177" s="131"/>
      <c r="BG177" s="131"/>
      <c r="BH177" s="131"/>
      <c r="BI177" s="130"/>
      <c r="BJ177" s="130"/>
      <c r="BK177" s="130"/>
      <c r="BL177" s="130"/>
      <c r="BM177" s="130"/>
      <c r="BN177" s="130"/>
      <c r="BO177" s="130"/>
      <c r="BP177" s="130"/>
      <c r="BQ177" s="130"/>
      <c r="BR177" s="130"/>
      <c r="BS177" s="130"/>
      <c r="BT177" s="130"/>
      <c r="BU177" s="130"/>
      <c r="BV177" s="130"/>
      <c r="BW177" s="130"/>
      <c r="BX177" s="130"/>
      <c r="BY177" s="130"/>
    </row>
    <row r="178" spans="3:82">
      <c r="C178" s="187" t="s">
        <v>1114</v>
      </c>
      <c r="D178" s="18">
        <v>0.2</v>
      </c>
      <c r="E178" s="18">
        <v>0.2</v>
      </c>
      <c r="F178" s="18">
        <v>0</v>
      </c>
      <c r="I178" s="87"/>
      <c r="J178" s="87"/>
      <c r="K178" s="125"/>
      <c r="L178" s="125"/>
      <c r="M178" s="125"/>
      <c r="N178" s="87"/>
      <c r="O178" s="87"/>
      <c r="P178" s="87"/>
      <c r="Q178" s="87"/>
      <c r="R178" s="87"/>
      <c r="S178" s="87"/>
      <c r="T178" s="87"/>
      <c r="U178" s="87"/>
      <c r="V178" s="87"/>
      <c r="W178" s="134"/>
      <c r="X178" s="134"/>
      <c r="Y178" s="87"/>
      <c r="AE178" s="165"/>
      <c r="AF178" s="165"/>
      <c r="AG178" s="165"/>
      <c r="AH178" s="87"/>
      <c r="AI178" s="134"/>
      <c r="AJ178" s="87"/>
      <c r="AK178" s="87"/>
      <c r="AL178" s="87"/>
      <c r="AM178" s="87"/>
      <c r="AN178" s="87"/>
      <c r="AO178" s="87"/>
      <c r="AP178" s="87"/>
      <c r="AQ178" s="87"/>
      <c r="AR178" s="87"/>
      <c r="AS178" s="87"/>
      <c r="AT178" s="87"/>
      <c r="AU178" s="87"/>
      <c r="AV178" s="87"/>
      <c r="AW178" s="87"/>
      <c r="AX178" s="87"/>
      <c r="AY178" s="87"/>
      <c r="AZ178" s="87"/>
      <c r="BA178" s="87"/>
      <c r="BB178" s="87"/>
      <c r="BC178" s="87"/>
      <c r="BD178" s="87"/>
      <c r="BE178" s="125">
        <f t="shared" ref="BE178:BG179" si="81">D178</f>
        <v>0.2</v>
      </c>
      <c r="BF178" s="125">
        <f t="shared" si="81"/>
        <v>0.2</v>
      </c>
      <c r="BG178" s="125">
        <f t="shared" si="81"/>
        <v>0</v>
      </c>
      <c r="BH178" s="125"/>
      <c r="BI178" s="87"/>
      <c r="BJ178" s="87"/>
      <c r="BK178" s="87"/>
      <c r="BL178" s="87"/>
      <c r="BM178" s="87"/>
      <c r="BN178" s="87"/>
      <c r="BO178" s="87"/>
      <c r="BP178" s="87"/>
      <c r="BQ178" s="87"/>
      <c r="BR178" s="87"/>
      <c r="BS178" s="87"/>
      <c r="BT178" s="87"/>
      <c r="BU178" s="87"/>
      <c r="BV178" s="87"/>
      <c r="BW178" s="134"/>
      <c r="BX178" s="134"/>
      <c r="BY178" s="87"/>
    </row>
    <row r="179" spans="3:82">
      <c r="C179" s="465" t="s">
        <v>1115</v>
      </c>
      <c r="D179" s="18">
        <v>0.05</v>
      </c>
      <c r="E179" s="18">
        <v>0.05</v>
      </c>
      <c r="F179" s="18">
        <v>0.05</v>
      </c>
      <c r="I179" s="87"/>
      <c r="J179" s="87"/>
      <c r="K179" s="125"/>
      <c r="L179" s="125"/>
      <c r="M179" s="125"/>
      <c r="N179" s="87"/>
      <c r="O179" s="87"/>
      <c r="P179" s="87"/>
      <c r="Q179" s="87"/>
      <c r="R179" s="87"/>
      <c r="S179" s="87"/>
      <c r="T179" s="87"/>
      <c r="U179" s="87"/>
      <c r="V179" s="87"/>
      <c r="W179" s="134"/>
      <c r="X179" s="134"/>
      <c r="Y179" s="87"/>
      <c r="AD179" s="125">
        <f>D179</f>
        <v>0.05</v>
      </c>
      <c r="AE179" s="165">
        <f>E179</f>
        <v>0.05</v>
      </c>
      <c r="AF179" s="125">
        <f>F179</f>
        <v>0.05</v>
      </c>
      <c r="AG179" s="125"/>
      <c r="AH179" s="87"/>
      <c r="AI179" s="134"/>
      <c r="AJ179" s="87"/>
      <c r="AK179" s="87"/>
      <c r="AL179" s="87"/>
      <c r="AM179" s="87"/>
      <c r="AN179" s="87"/>
      <c r="AO179" s="87"/>
      <c r="AP179" s="87"/>
      <c r="AQ179" s="87"/>
      <c r="AR179" s="87"/>
      <c r="AS179" s="87"/>
      <c r="AT179" s="87"/>
      <c r="AU179" s="87"/>
      <c r="AV179" s="87"/>
      <c r="AW179" s="87"/>
      <c r="AX179" s="87"/>
      <c r="AY179" s="87"/>
      <c r="AZ179" s="87"/>
      <c r="BA179" s="87"/>
      <c r="BB179" s="87"/>
      <c r="BC179" s="87"/>
      <c r="BD179" s="87"/>
      <c r="BE179" s="125">
        <f t="shared" si="81"/>
        <v>0.05</v>
      </c>
      <c r="BF179" s="125">
        <f t="shared" si="81"/>
        <v>0.05</v>
      </c>
      <c r="BG179" s="125">
        <f t="shared" si="81"/>
        <v>0.05</v>
      </c>
      <c r="BH179" s="125"/>
      <c r="BI179" s="87"/>
      <c r="BJ179" s="87"/>
      <c r="BK179" s="87"/>
      <c r="BL179" s="87"/>
      <c r="BM179" s="87"/>
      <c r="BN179" s="87"/>
      <c r="BO179" s="87"/>
      <c r="BP179" s="87"/>
      <c r="BQ179" s="87"/>
      <c r="BR179" s="87"/>
      <c r="BS179" s="87"/>
      <c r="BT179" s="87"/>
      <c r="BU179" s="87"/>
      <c r="BV179" s="87"/>
      <c r="BW179" s="132">
        <f>D179</f>
        <v>0.05</v>
      </c>
      <c r="BX179" s="132">
        <f t="shared" ref="BX179:BY179" si="82">E179</f>
        <v>0.05</v>
      </c>
      <c r="BY179" s="132">
        <f t="shared" si="82"/>
        <v>0.05</v>
      </c>
    </row>
    <row r="180" spans="3:82" s="1" customFormat="1">
      <c r="C180" s="10"/>
      <c r="D180" s="22">
        <f>SUM(D175:D179)</f>
        <v>0.70000000000000007</v>
      </c>
      <c r="E180" s="22">
        <f>SUM(E175:E179)</f>
        <v>0.70000000000000007</v>
      </c>
      <c r="F180" s="22">
        <f>SUM(F175:F179)</f>
        <v>0.2</v>
      </c>
      <c r="K180" s="33">
        <f>SUM(K175:K179)</f>
        <v>0.4</v>
      </c>
      <c r="L180" s="33">
        <f>SUM(L176:L179)</f>
        <v>0.4</v>
      </c>
      <c r="M180" s="33">
        <f>SUM(M176:M179)</f>
        <v>0.1</v>
      </c>
      <c r="R180" s="33">
        <f t="shared" ref="R180:Y180" si="83">SUM(R175:R179)</f>
        <v>0.05</v>
      </c>
      <c r="S180" s="33">
        <f t="shared" si="83"/>
        <v>0.05</v>
      </c>
      <c r="T180" s="33">
        <f t="shared" si="83"/>
        <v>0.05</v>
      </c>
      <c r="U180" s="33">
        <f t="shared" si="83"/>
        <v>0.05</v>
      </c>
      <c r="V180" s="33">
        <f t="shared" si="83"/>
        <v>0.05</v>
      </c>
      <c r="W180" s="33">
        <f t="shared" si="83"/>
        <v>0.05</v>
      </c>
      <c r="X180" s="33">
        <f t="shared" si="83"/>
        <v>0.05</v>
      </c>
      <c r="Y180" s="33">
        <f t="shared" si="83"/>
        <v>0.05</v>
      </c>
      <c r="AD180" s="139">
        <f>SUM(AD175:AD179)</f>
        <v>0.5</v>
      </c>
      <c r="AE180" s="33">
        <f>SUM(AE175:AE179)</f>
        <v>0.5</v>
      </c>
      <c r="AF180" s="33">
        <f>SUM(AF175:AF179)</f>
        <v>0.2</v>
      </c>
      <c r="AJ180" s="393"/>
      <c r="BE180" s="33">
        <f>SUM(BE175:BE179)</f>
        <v>0.3</v>
      </c>
      <c r="BF180" s="33">
        <f>SUM(BF175:BF179)</f>
        <v>0.3</v>
      </c>
      <c r="BG180" s="33">
        <f>SUM(BG175:BG179)</f>
        <v>0.1</v>
      </c>
      <c r="BW180" s="33">
        <f>SUM(BW175:BW179)</f>
        <v>0.1</v>
      </c>
      <c r="BX180" s="33">
        <f>SUM(BX175:BX179)</f>
        <v>0.1</v>
      </c>
      <c r="BY180" s="33">
        <f>SUM(BY175:BY179)</f>
        <v>0.1</v>
      </c>
    </row>
    <row r="181" spans="3:82">
      <c r="C181" s="11"/>
      <c r="D181" s="22"/>
      <c r="E181" s="21">
        <f>D180-E180</f>
        <v>0</v>
      </c>
      <c r="F181" s="21">
        <f>E180-F180</f>
        <v>0.5</v>
      </c>
    </row>
    <row r="182" spans="3:82">
      <c r="C182" s="11"/>
      <c r="D182" s="22"/>
      <c r="E182" s="21"/>
      <c r="F182" s="21"/>
    </row>
    <row r="183" spans="3:82">
      <c r="C183" s="11"/>
      <c r="D183" s="22"/>
      <c r="E183" s="21"/>
      <c r="F183" s="21"/>
    </row>
    <row r="184" spans="3:82">
      <c r="C184" s="12" t="s">
        <v>359</v>
      </c>
      <c r="D184" s="82">
        <v>3</v>
      </c>
      <c r="E184" s="16"/>
      <c r="F184" s="16"/>
    </row>
    <row r="185" spans="3:82">
      <c r="C185" s="53"/>
      <c r="D185" s="56"/>
      <c r="E185" s="54"/>
      <c r="F185" s="54"/>
    </row>
    <row r="186" spans="3:82">
      <c r="C186" s="53"/>
      <c r="D186" s="56"/>
      <c r="E186" s="54"/>
      <c r="F186" s="54"/>
    </row>
    <row r="187" spans="3:82">
      <c r="C187" s="11" t="s">
        <v>360</v>
      </c>
      <c r="D187" s="15"/>
      <c r="E187" s="15"/>
      <c r="F187" s="15"/>
    </row>
    <row r="188" spans="3:82">
      <c r="C188" s="11" t="s">
        <v>361</v>
      </c>
      <c r="D188" s="15"/>
      <c r="E188" s="15"/>
      <c r="F188" s="15"/>
    </row>
    <row r="189" spans="3:82">
      <c r="C189" s="11" t="s">
        <v>362</v>
      </c>
      <c r="D189" s="15"/>
      <c r="E189" s="15"/>
      <c r="F189" s="15"/>
    </row>
    <row r="190" spans="3:82">
      <c r="C190" s="11" t="s">
        <v>363</v>
      </c>
      <c r="D190" s="15"/>
      <c r="E190" s="15"/>
      <c r="F190" s="15"/>
    </row>
    <row r="191" spans="3:82">
      <c r="C191" s="109"/>
      <c r="D191" s="110"/>
      <c r="E191" s="110"/>
      <c r="F191" s="110"/>
      <c r="G191" s="100"/>
      <c r="H191" s="100"/>
      <c r="I191" s="100"/>
      <c r="J191" s="100"/>
      <c r="K191" s="100"/>
      <c r="L191" s="100"/>
      <c r="M191" s="100"/>
      <c r="N191" s="100"/>
      <c r="O191" s="100"/>
      <c r="P191" s="100"/>
      <c r="Q191" s="100"/>
      <c r="R191" s="100"/>
      <c r="S191" s="100"/>
      <c r="T191" s="100"/>
      <c r="U191" s="100"/>
      <c r="V191" s="100"/>
      <c r="W191" s="100"/>
      <c r="X191" s="100"/>
      <c r="Y191" s="100"/>
      <c r="Z191" s="100"/>
      <c r="AA191" s="100"/>
      <c r="AB191" s="100"/>
      <c r="AC191" s="100"/>
      <c r="AD191" s="332"/>
      <c r="AE191" s="100"/>
      <c r="AF191" s="100"/>
      <c r="AG191" s="100"/>
      <c r="AH191" s="100"/>
      <c r="AI191" s="100"/>
      <c r="AJ191" s="392"/>
      <c r="AK191" s="100"/>
      <c r="AL191" s="100"/>
      <c r="AM191" s="100"/>
      <c r="AN191" s="100"/>
      <c r="AO191" s="100"/>
      <c r="AP191" s="100"/>
      <c r="AQ191" s="100"/>
      <c r="AR191" s="100"/>
      <c r="AS191" s="100"/>
      <c r="AT191" s="100"/>
      <c r="AU191" s="100"/>
      <c r="AV191" s="100"/>
      <c r="AW191" s="100"/>
      <c r="AX191" s="100"/>
      <c r="AY191" s="100"/>
      <c r="AZ191" s="100"/>
      <c r="BA191" s="100"/>
      <c r="BB191" s="100"/>
      <c r="BC191" s="100"/>
      <c r="BD191" s="100"/>
      <c r="BE191" s="100"/>
      <c r="BF191" s="100"/>
      <c r="BG191" s="100"/>
      <c r="BH191" s="100"/>
      <c r="BI191" s="100"/>
      <c r="BJ191" s="100"/>
      <c r="BK191" s="100"/>
      <c r="BL191" s="100"/>
      <c r="BM191" s="100"/>
      <c r="BN191" s="100"/>
      <c r="BO191" s="100"/>
      <c r="BP191" s="100"/>
      <c r="BQ191" s="100"/>
      <c r="BR191" s="100"/>
      <c r="BS191" s="100"/>
      <c r="BT191" s="100"/>
      <c r="BU191" s="100"/>
      <c r="BV191" s="100"/>
      <c r="BW191" s="100"/>
      <c r="BX191" s="100"/>
      <c r="BY191" s="100"/>
      <c r="BZ191" s="100"/>
      <c r="CA191" s="100"/>
      <c r="CB191" s="100"/>
      <c r="CC191" s="100"/>
      <c r="CD191" s="100"/>
    </row>
    <row r="192" spans="3:82">
      <c r="C192" s="11"/>
      <c r="D192" s="22"/>
      <c r="E192" s="21"/>
      <c r="F192" s="21"/>
    </row>
    <row r="193" spans="2:80">
      <c r="C193" s="11"/>
      <c r="D193" s="22"/>
      <c r="E193" s="21"/>
      <c r="F193" s="21"/>
    </row>
    <row r="194" spans="2:80" ht="15" customHeight="1">
      <c r="C194" s="11"/>
      <c r="D194" s="22"/>
      <c r="E194" s="21"/>
      <c r="F194" s="21"/>
      <c r="I194" s="916"/>
      <c r="J194" s="916"/>
      <c r="K194" s="916"/>
      <c r="L194" s="916"/>
      <c r="M194" s="916"/>
      <c r="N194" s="916"/>
      <c r="O194" s="916"/>
      <c r="P194" s="916"/>
      <c r="Q194" s="916"/>
      <c r="R194" s="916"/>
      <c r="S194" s="916"/>
      <c r="T194" s="916"/>
      <c r="U194" s="916"/>
      <c r="V194" s="916"/>
      <c r="W194" s="916"/>
      <c r="X194" s="916"/>
      <c r="Y194" s="916"/>
      <c r="AE194" s="918"/>
      <c r="AF194" s="918"/>
      <c r="AG194" s="918"/>
      <c r="AH194" s="918"/>
      <c r="AI194" s="918"/>
      <c r="AJ194" s="918"/>
      <c r="AK194" s="918"/>
      <c r="AL194" s="918"/>
      <c r="AM194" s="918"/>
      <c r="AN194" s="918"/>
      <c r="AO194" s="918"/>
      <c r="AP194" s="918"/>
      <c r="AQ194" s="918"/>
      <c r="AR194" s="918"/>
      <c r="AS194" s="918"/>
      <c r="AT194" s="918"/>
      <c r="AU194" s="918"/>
      <c r="AV194" s="918"/>
      <c r="AW194" s="918"/>
      <c r="AX194" s="918"/>
      <c r="AY194" s="918"/>
      <c r="AZ194" s="918"/>
      <c r="BA194" s="918"/>
      <c r="BB194" s="918"/>
      <c r="BC194" s="918"/>
      <c r="BD194" s="918"/>
      <c r="BE194" s="918"/>
      <c r="BF194" s="918"/>
      <c r="BG194" s="918"/>
      <c r="BH194" s="918"/>
      <c r="BI194" s="918"/>
      <c r="BJ194" s="918"/>
      <c r="BK194" s="918"/>
      <c r="BL194" s="918"/>
      <c r="BM194" s="918"/>
      <c r="BN194" s="918"/>
      <c r="BO194" s="918"/>
      <c r="BP194" s="918"/>
      <c r="BQ194" s="918"/>
      <c r="BR194" s="918"/>
      <c r="BS194" s="918"/>
      <c r="BT194" s="918"/>
      <c r="BU194" s="918"/>
      <c r="BV194" s="918"/>
      <c r="BW194" s="918"/>
      <c r="BX194" s="918"/>
      <c r="BY194" s="918"/>
      <c r="BZ194" s="239"/>
      <c r="CA194" s="239"/>
      <c r="CB194" s="239"/>
    </row>
    <row r="195" spans="2:80" ht="15" customHeight="1">
      <c r="C195" s="11"/>
      <c r="D195" s="22"/>
      <c r="E195" s="21"/>
      <c r="F195" s="21"/>
      <c r="I195" s="917"/>
      <c r="J195" s="917"/>
      <c r="K195" s="917"/>
      <c r="L195" s="917"/>
      <c r="M195" s="917"/>
      <c r="N195" s="917"/>
      <c r="O195" s="917"/>
      <c r="P195" s="917"/>
      <c r="Q195" s="917"/>
      <c r="R195" s="917"/>
      <c r="S195" s="917"/>
      <c r="T195" s="917"/>
      <c r="U195" s="917"/>
      <c r="V195" s="917"/>
      <c r="W195" s="917"/>
      <c r="X195" s="917"/>
      <c r="Y195" s="64"/>
      <c r="AE195" s="339"/>
      <c r="AF195" s="95"/>
      <c r="AG195" s="95"/>
      <c r="AH195" s="95"/>
      <c r="AI195" s="403"/>
      <c r="AJ195" s="95"/>
      <c r="AK195" s="95"/>
      <c r="AL195" s="95"/>
      <c r="AM195" s="95"/>
      <c r="AN195" s="95"/>
      <c r="AO195" s="95"/>
      <c r="AP195" s="95"/>
      <c r="AQ195" s="95"/>
      <c r="AR195" s="95"/>
      <c r="AS195" s="95"/>
      <c r="AT195" s="95"/>
      <c r="AU195" s="95"/>
      <c r="AV195" s="95"/>
      <c r="AW195" s="95"/>
      <c r="AX195" s="95"/>
      <c r="AY195" s="95"/>
      <c r="AZ195" s="95"/>
      <c r="BA195" s="95"/>
      <c r="BB195" s="95"/>
      <c r="BC195" s="95"/>
      <c r="BD195" s="95"/>
      <c r="BE195" s="95"/>
      <c r="BF195" s="95"/>
      <c r="BG195" s="95"/>
      <c r="BH195" s="95"/>
      <c r="BI195" s="95"/>
      <c r="BJ195" s="95"/>
      <c r="BK195" s="95"/>
      <c r="BL195" s="95"/>
      <c r="BM195" s="95"/>
      <c r="BN195" s="95"/>
      <c r="BO195" s="95"/>
      <c r="BP195" s="95"/>
      <c r="BQ195" s="95"/>
      <c r="BR195" s="95"/>
      <c r="BS195" s="95"/>
      <c r="BT195" s="95"/>
      <c r="BU195" s="95"/>
      <c r="BV195" s="95"/>
      <c r="BW195" s="95"/>
      <c r="BX195" s="95"/>
      <c r="BY195" s="95"/>
      <c r="BZ195" s="64"/>
      <c r="CA195" s="64"/>
      <c r="CB195" s="64"/>
    </row>
    <row r="196" spans="2:80" ht="15" customHeight="1">
      <c r="C196" s="11"/>
      <c r="D196" s="22"/>
      <c r="E196" s="21"/>
      <c r="F196" s="21"/>
      <c r="I196" s="919"/>
      <c r="J196" s="919"/>
      <c r="K196" s="321"/>
      <c r="L196" s="870"/>
      <c r="M196" s="870"/>
      <c r="N196" s="321"/>
      <c r="O196" s="870"/>
      <c r="P196" s="870"/>
      <c r="Q196" s="282"/>
      <c r="R196" s="889"/>
      <c r="S196" s="889"/>
      <c r="T196" s="328"/>
      <c r="U196" s="870"/>
      <c r="V196" s="870"/>
      <c r="W196" s="321"/>
      <c r="X196" s="870"/>
      <c r="Y196" s="870"/>
      <c r="AE196" s="837"/>
      <c r="AF196" s="837"/>
      <c r="AG196" s="93"/>
      <c r="AH196" s="837"/>
      <c r="AI196" s="837"/>
      <c r="AJ196" s="93"/>
      <c r="AK196" s="837"/>
      <c r="AL196" s="837"/>
      <c r="AM196" s="93"/>
      <c r="AN196" s="837"/>
      <c r="AO196" s="837"/>
      <c r="AP196" s="93"/>
      <c r="AQ196" s="837"/>
      <c r="AR196" s="837"/>
      <c r="AS196" s="93"/>
      <c r="AT196" s="837"/>
      <c r="AU196" s="837"/>
      <c r="AV196" s="93"/>
      <c r="AW196" s="837"/>
      <c r="AX196" s="837"/>
      <c r="AY196" s="93"/>
      <c r="AZ196" s="837"/>
      <c r="BA196" s="837"/>
      <c r="BB196" s="93"/>
      <c r="BC196" s="892"/>
      <c r="BD196" s="892"/>
      <c r="BE196" s="94"/>
      <c r="BF196" s="837"/>
      <c r="BG196" s="837"/>
      <c r="BH196" s="171"/>
      <c r="BI196" s="920"/>
      <c r="BJ196" s="920"/>
      <c r="BK196" s="171"/>
      <c r="BL196" s="920"/>
      <c r="BM196" s="920"/>
      <c r="BN196" s="171"/>
      <c r="BO196" s="920"/>
      <c r="BP196" s="920"/>
      <c r="BQ196" s="171"/>
      <c r="BR196" s="920"/>
      <c r="BS196" s="920"/>
      <c r="BT196" s="171"/>
      <c r="BU196" s="920"/>
      <c r="BV196" s="920"/>
      <c r="BW196" s="171"/>
      <c r="BX196" s="837"/>
      <c r="BY196" s="837"/>
      <c r="BZ196" s="96"/>
      <c r="CA196" s="925"/>
      <c r="CB196" s="925"/>
    </row>
    <row r="197" spans="2:80">
      <c r="B197" s="519" t="s">
        <v>1079</v>
      </c>
      <c r="C197" s="469" t="s">
        <v>336</v>
      </c>
      <c r="D197" s="16" t="s">
        <v>353</v>
      </c>
      <c r="E197" s="16" t="s">
        <v>354</v>
      </c>
      <c r="F197" s="16" t="s">
        <v>355</v>
      </c>
      <c r="H197" s="87"/>
      <c r="I197" s="171"/>
      <c r="J197" s="429"/>
      <c r="K197" s="113"/>
      <c r="L197" s="113"/>
      <c r="M197" s="113"/>
      <c r="N197" s="113"/>
      <c r="O197" s="113"/>
      <c r="P197" s="113"/>
      <c r="Q197" s="113"/>
      <c r="R197" s="113"/>
      <c r="S197" s="113"/>
      <c r="T197" s="113"/>
      <c r="U197" s="113"/>
      <c r="V197" s="113"/>
      <c r="W197" s="113"/>
      <c r="X197" s="113"/>
      <c r="Y197" s="113"/>
      <c r="AE197" s="340"/>
      <c r="AF197" s="95"/>
      <c r="AG197" s="95"/>
      <c r="AH197" s="95"/>
      <c r="AI197" s="403"/>
      <c r="AJ197" s="95"/>
      <c r="AK197" s="95"/>
      <c r="AL197" s="95"/>
      <c r="AM197" s="95"/>
      <c r="AN197" s="95"/>
      <c r="AO197" s="95"/>
      <c r="AP197" s="95"/>
      <c r="AQ197" s="95"/>
      <c r="AR197" s="95"/>
      <c r="AS197" s="95"/>
      <c r="AT197" s="95"/>
      <c r="AU197" s="95"/>
      <c r="AV197" s="95"/>
      <c r="AW197" s="95"/>
      <c r="AX197" s="95"/>
      <c r="AY197" s="95"/>
      <c r="AZ197" s="95"/>
      <c r="BA197" s="95"/>
      <c r="BB197" s="95"/>
      <c r="BC197" s="95"/>
      <c r="BD197" s="95"/>
      <c r="BE197" s="95"/>
      <c r="BF197" s="95"/>
      <c r="BG197" s="95"/>
      <c r="BH197" s="95"/>
      <c r="BI197" s="95"/>
      <c r="BJ197" s="95"/>
      <c r="BK197" s="95"/>
      <c r="BL197" s="95"/>
      <c r="BM197" s="95"/>
      <c r="BN197" s="95"/>
      <c r="BO197" s="95"/>
      <c r="BP197" s="95"/>
      <c r="BQ197" s="95"/>
      <c r="BR197" s="95"/>
      <c r="BS197" s="95"/>
      <c r="BT197" s="95"/>
      <c r="BU197" s="95"/>
      <c r="BV197" s="95"/>
      <c r="BW197" s="95"/>
      <c r="BX197" s="95"/>
      <c r="BY197" s="95"/>
      <c r="BZ197" s="64"/>
      <c r="CA197" s="83"/>
      <c r="CB197" s="83"/>
    </row>
    <row r="198" spans="2:80">
      <c r="C198" s="187" t="s">
        <v>1116</v>
      </c>
      <c r="D198" s="18">
        <v>0.05</v>
      </c>
      <c r="E198" s="21">
        <v>0.05</v>
      </c>
      <c r="F198" s="21">
        <v>0.05</v>
      </c>
      <c r="H198" s="87"/>
      <c r="I198" s="125"/>
      <c r="J198" s="165"/>
      <c r="K198" s="125"/>
      <c r="L198" s="87"/>
      <c r="M198" s="87"/>
      <c r="N198" s="87"/>
      <c r="O198" s="125"/>
      <c r="P198" s="125"/>
      <c r="Q198" s="125">
        <f t="shared" ref="Q198:S198" si="84">D198</f>
        <v>0.05</v>
      </c>
      <c r="R198" s="125">
        <f t="shared" si="84"/>
        <v>0.05</v>
      </c>
      <c r="S198" s="125">
        <f t="shared" si="84"/>
        <v>0.05</v>
      </c>
      <c r="T198" s="125">
        <f t="shared" ref="T198:V198" si="85">D198</f>
        <v>0.05</v>
      </c>
      <c r="U198" s="125">
        <f t="shared" si="85"/>
        <v>0.05</v>
      </c>
      <c r="V198" s="125">
        <f t="shared" si="85"/>
        <v>0.05</v>
      </c>
      <c r="W198" s="87"/>
      <c r="X198" s="87"/>
      <c r="Y198" s="87"/>
      <c r="AD198" s="125">
        <f t="shared" ref="AD198:AF200" si="86">D198</f>
        <v>0.05</v>
      </c>
      <c r="AE198" s="165">
        <f t="shared" si="86"/>
        <v>0.05</v>
      </c>
      <c r="AF198" s="125">
        <f t="shared" si="86"/>
        <v>0.05</v>
      </c>
      <c r="AG198" s="176"/>
      <c r="AH198" s="87"/>
      <c r="AI198" s="134"/>
      <c r="AJ198" s="87"/>
      <c r="AK198" s="87"/>
      <c r="AL198" s="87"/>
      <c r="AM198" s="87"/>
      <c r="AN198" s="87"/>
      <c r="AO198" s="87"/>
      <c r="AP198" s="87"/>
      <c r="AQ198" s="87"/>
      <c r="AR198" s="87"/>
      <c r="AS198" s="87"/>
      <c r="AT198" s="87"/>
      <c r="AU198" s="87"/>
      <c r="AV198" s="87"/>
      <c r="AW198" s="87"/>
      <c r="AX198" s="87"/>
      <c r="AY198" s="87"/>
      <c r="AZ198" s="87"/>
      <c r="BA198" s="87"/>
      <c r="BB198" s="87"/>
      <c r="BC198" s="87"/>
      <c r="BD198" s="87"/>
      <c r="BE198" s="125">
        <f t="shared" ref="BE198:BG198" si="87">D198</f>
        <v>0.05</v>
      </c>
      <c r="BF198" s="125">
        <f t="shared" si="87"/>
        <v>0.05</v>
      </c>
      <c r="BG198" s="125">
        <f t="shared" si="87"/>
        <v>0.05</v>
      </c>
      <c r="BH198" s="176"/>
      <c r="BI198" s="87"/>
      <c r="BJ198" s="87"/>
      <c r="BK198" s="87"/>
      <c r="BL198" s="87"/>
      <c r="BM198" s="87"/>
      <c r="BN198" s="87"/>
      <c r="BO198" s="87"/>
      <c r="BP198" s="87"/>
      <c r="BQ198" s="87"/>
      <c r="BR198" s="87"/>
      <c r="BS198" s="87"/>
      <c r="BT198" s="87"/>
      <c r="BU198" s="87"/>
      <c r="BV198" s="87"/>
      <c r="BW198" s="87"/>
      <c r="BX198" s="87"/>
      <c r="BY198" s="87"/>
    </row>
    <row r="199" spans="2:80">
      <c r="C199" s="187" t="s">
        <v>1117</v>
      </c>
      <c r="D199" s="18">
        <v>0.4</v>
      </c>
      <c r="E199" s="18">
        <v>0.2</v>
      </c>
      <c r="F199" s="18">
        <v>0.1</v>
      </c>
      <c r="H199" s="87"/>
      <c r="I199" s="87"/>
      <c r="J199" s="133"/>
      <c r="K199" s="125">
        <f t="shared" ref="K199:M199" si="88">D199</f>
        <v>0.4</v>
      </c>
      <c r="L199" s="125">
        <f t="shared" si="88"/>
        <v>0.2</v>
      </c>
      <c r="M199" s="125">
        <f t="shared" si="88"/>
        <v>0.1</v>
      </c>
      <c r="N199" s="87"/>
      <c r="O199" s="87"/>
      <c r="P199" s="87"/>
      <c r="Q199" s="87"/>
      <c r="R199" s="87"/>
      <c r="S199" s="87"/>
      <c r="T199" s="87"/>
      <c r="U199" s="87"/>
      <c r="V199" s="87"/>
      <c r="W199" s="87"/>
      <c r="X199" s="87"/>
      <c r="Y199" s="87"/>
      <c r="AD199" s="125">
        <f t="shared" si="86"/>
        <v>0.4</v>
      </c>
      <c r="AE199" s="165">
        <f t="shared" si="86"/>
        <v>0.2</v>
      </c>
      <c r="AF199" s="125">
        <f t="shared" si="86"/>
        <v>0.1</v>
      </c>
      <c r="AG199" s="125"/>
      <c r="AH199" s="87"/>
      <c r="AI199" s="134"/>
      <c r="AJ199" s="87"/>
      <c r="AK199" s="87"/>
      <c r="AL199" s="87"/>
      <c r="AM199" s="87"/>
      <c r="AN199" s="87"/>
      <c r="AO199" s="87"/>
      <c r="AP199" s="87"/>
      <c r="AQ199" s="87"/>
      <c r="AR199" s="87"/>
      <c r="AS199" s="87"/>
      <c r="AT199" s="87"/>
      <c r="AU199" s="87"/>
      <c r="AV199" s="87"/>
      <c r="AW199" s="87"/>
      <c r="AX199" s="87"/>
      <c r="AY199" s="87"/>
      <c r="AZ199" s="87"/>
      <c r="BA199" s="87"/>
      <c r="BB199" s="87"/>
      <c r="BC199" s="87"/>
      <c r="BD199" s="87"/>
      <c r="BE199" s="87"/>
      <c r="BF199" s="125"/>
      <c r="BG199" s="125"/>
      <c r="BH199" s="125"/>
      <c r="BI199" s="87"/>
      <c r="BJ199" s="87"/>
      <c r="BK199" s="87"/>
      <c r="BL199" s="87"/>
      <c r="BM199" s="87"/>
      <c r="BN199" s="87"/>
      <c r="BO199" s="87"/>
      <c r="BP199" s="87"/>
      <c r="BQ199" s="87"/>
      <c r="BR199" s="87"/>
      <c r="BS199" s="87"/>
      <c r="BT199" s="87"/>
      <c r="BU199" s="87"/>
      <c r="BV199" s="87"/>
      <c r="BW199" s="87"/>
      <c r="BX199" s="87"/>
      <c r="BY199" s="87"/>
    </row>
    <row r="200" spans="2:80">
      <c r="C200" s="482" t="s">
        <v>1118</v>
      </c>
      <c r="D200" s="18">
        <v>0.05</v>
      </c>
      <c r="E200" s="18">
        <v>0.05</v>
      </c>
      <c r="F200" s="18">
        <v>0.05</v>
      </c>
      <c r="H200" s="87"/>
      <c r="I200" s="87"/>
      <c r="J200" s="435"/>
      <c r="K200" s="130"/>
      <c r="L200" s="130"/>
      <c r="M200" s="130"/>
      <c r="N200" s="130"/>
      <c r="O200" s="130"/>
      <c r="P200" s="130"/>
      <c r="Q200" s="131">
        <f t="shared" ref="Q200:S200" si="89">D200</f>
        <v>0.05</v>
      </c>
      <c r="R200" s="131">
        <f t="shared" si="89"/>
        <v>0.05</v>
      </c>
      <c r="S200" s="131">
        <f t="shared" si="89"/>
        <v>0.05</v>
      </c>
      <c r="T200" s="131">
        <f t="shared" ref="T200:V200" si="90">D200</f>
        <v>0.05</v>
      </c>
      <c r="U200" s="131">
        <f t="shared" si="90"/>
        <v>0.05</v>
      </c>
      <c r="V200" s="131">
        <f t="shared" si="90"/>
        <v>0.05</v>
      </c>
      <c r="W200" s="130"/>
      <c r="X200" s="130"/>
      <c r="Y200" s="130"/>
      <c r="AD200" s="125">
        <f t="shared" si="86"/>
        <v>0.05</v>
      </c>
      <c r="AE200" s="344">
        <f t="shared" si="86"/>
        <v>0.05</v>
      </c>
      <c r="AF200" s="131">
        <f t="shared" si="86"/>
        <v>0.05</v>
      </c>
      <c r="AG200" s="131"/>
      <c r="AH200" s="130"/>
      <c r="AI200" s="405"/>
      <c r="AJ200" s="130"/>
      <c r="AK200" s="130"/>
      <c r="AL200" s="130"/>
      <c r="AM200" s="130"/>
      <c r="AN200" s="130"/>
      <c r="AO200" s="130"/>
      <c r="AP200" s="130"/>
      <c r="AQ200" s="130"/>
      <c r="AR200" s="130"/>
      <c r="AS200" s="130"/>
      <c r="AT200" s="130"/>
      <c r="AU200" s="130"/>
      <c r="AV200" s="130"/>
      <c r="AW200" s="130"/>
      <c r="AX200" s="130"/>
      <c r="AY200" s="130"/>
      <c r="AZ200" s="130"/>
      <c r="BA200" s="130"/>
      <c r="BB200" s="130"/>
      <c r="BC200" s="130"/>
      <c r="BD200" s="130"/>
      <c r="BE200" s="131">
        <f>D200</f>
        <v>0.05</v>
      </c>
      <c r="BF200" s="131">
        <f>E200</f>
        <v>0.05</v>
      </c>
      <c r="BG200" s="131">
        <f>F200</f>
        <v>0.05</v>
      </c>
      <c r="BH200" s="131"/>
      <c r="BI200" s="130"/>
      <c r="BJ200" s="130"/>
      <c r="BK200" s="130"/>
      <c r="BL200" s="130"/>
      <c r="BM200" s="130"/>
      <c r="BN200" s="130"/>
      <c r="BO200" s="130"/>
      <c r="BP200" s="130"/>
      <c r="BQ200" s="130"/>
      <c r="BR200" s="130"/>
      <c r="BS200" s="130"/>
      <c r="BT200" s="130"/>
      <c r="BU200" s="130"/>
      <c r="BV200" s="130"/>
      <c r="BW200" s="130"/>
      <c r="BX200" s="130"/>
      <c r="BY200" s="130"/>
    </row>
    <row r="201" spans="2:80" s="33" customFormat="1">
      <c r="C201" s="439"/>
      <c r="D201" s="22">
        <f>SUM(D198:D200)</f>
        <v>0.5</v>
      </c>
      <c r="E201" s="22">
        <f>SUM(E198:E200)</f>
        <v>0.3</v>
      </c>
      <c r="F201" s="22">
        <f>SUM(F198:F199)</f>
        <v>0.15000000000000002</v>
      </c>
      <c r="K201" s="33">
        <f>SUM(K197:K200)</f>
        <v>0.4</v>
      </c>
      <c r="L201" s="33">
        <f>SUM(L197:L200)</f>
        <v>0.2</v>
      </c>
      <c r="M201" s="33">
        <f>SUM(M197:M200)</f>
        <v>0.1</v>
      </c>
      <c r="Q201" s="33">
        <f t="shared" ref="Q201:V201" si="91">SUM(Q197:Q200)</f>
        <v>0.1</v>
      </c>
      <c r="R201" s="33">
        <f t="shared" si="91"/>
        <v>0.1</v>
      </c>
      <c r="S201" s="33">
        <f t="shared" si="91"/>
        <v>0.1</v>
      </c>
      <c r="T201" s="33">
        <f t="shared" si="91"/>
        <v>0.1</v>
      </c>
      <c r="U201" s="33">
        <f t="shared" si="91"/>
        <v>0.1</v>
      </c>
      <c r="V201" s="33">
        <f t="shared" si="91"/>
        <v>0.1</v>
      </c>
      <c r="AD201" s="139">
        <f>SUM(AD197:AD200)</f>
        <v>0.5</v>
      </c>
      <c r="AE201" s="139">
        <f>SUM(AE197:AE200)</f>
        <v>0.3</v>
      </c>
      <c r="AF201" s="139">
        <f>SUM(AF197:AF200)</f>
        <v>0.2</v>
      </c>
      <c r="AJ201" s="397"/>
      <c r="BE201" s="33">
        <f>SUM(BE198:BE200)</f>
        <v>0.1</v>
      </c>
      <c r="BF201" s="33">
        <f>SUM(BF198:BF200)</f>
        <v>0.1</v>
      </c>
      <c r="BG201" s="33">
        <f>SUM(BG198:BG200)</f>
        <v>0.1</v>
      </c>
    </row>
    <row r="202" spans="2:80">
      <c r="C202" s="11"/>
      <c r="D202" s="22"/>
      <c r="E202" s="21">
        <f>D201-E201</f>
        <v>0.2</v>
      </c>
      <c r="F202" s="21">
        <f>E201-F201</f>
        <v>0.14999999999999997</v>
      </c>
    </row>
    <row r="203" spans="2:80">
      <c r="C203" s="12" t="s">
        <v>359</v>
      </c>
      <c r="D203" s="82">
        <v>3</v>
      </c>
      <c r="E203" s="16"/>
      <c r="F203" s="16"/>
    </row>
    <row r="204" spans="2:80">
      <c r="C204" s="53"/>
      <c r="D204" s="56"/>
      <c r="E204" s="54"/>
      <c r="F204" s="54"/>
    </row>
    <row r="205" spans="2:80">
      <c r="C205" s="53"/>
      <c r="D205" s="56"/>
      <c r="E205" s="54"/>
      <c r="F205" s="54"/>
    </row>
    <row r="206" spans="2:80">
      <c r="C206" s="11" t="s">
        <v>360</v>
      </c>
      <c r="D206" s="15"/>
      <c r="E206" s="15"/>
      <c r="F206" s="15"/>
    </row>
    <row r="207" spans="2:80">
      <c r="C207" s="11" t="s">
        <v>361</v>
      </c>
      <c r="D207" s="15"/>
      <c r="E207" s="15"/>
      <c r="F207" s="15"/>
    </row>
    <row r="208" spans="2:80">
      <c r="C208" s="11" t="s">
        <v>362</v>
      </c>
      <c r="D208" s="15"/>
      <c r="E208" s="15"/>
      <c r="F208" s="15"/>
    </row>
    <row r="209" spans="2:82">
      <c r="C209" s="11" t="s">
        <v>363</v>
      </c>
      <c r="D209" s="15"/>
      <c r="E209" s="15"/>
      <c r="F209" s="15"/>
    </row>
    <row r="210" spans="2:82">
      <c r="C210" s="109"/>
      <c r="D210" s="110"/>
      <c r="E210" s="110"/>
      <c r="F210" s="110"/>
      <c r="G210" s="100"/>
      <c r="H210" s="100"/>
      <c r="I210" s="100"/>
      <c r="J210" s="100"/>
      <c r="K210" s="100"/>
      <c r="L210" s="100"/>
      <c r="M210" s="100"/>
      <c r="N210" s="100"/>
      <c r="O210" s="100"/>
      <c r="P210" s="100"/>
      <c r="Q210" s="100"/>
      <c r="R210" s="100"/>
      <c r="S210" s="100"/>
      <c r="T210" s="100"/>
      <c r="U210" s="100"/>
      <c r="V210" s="100"/>
      <c r="W210" s="100"/>
      <c r="X210" s="100"/>
      <c r="Y210" s="100"/>
      <c r="Z210" s="100"/>
      <c r="AA210" s="100"/>
      <c r="AB210" s="100"/>
      <c r="AC210" s="100"/>
      <c r="AD210" s="332"/>
      <c r="AE210" s="100"/>
      <c r="AF210" s="100"/>
      <c r="AG210" s="100"/>
      <c r="AH210" s="100"/>
      <c r="AI210" s="100"/>
      <c r="AJ210" s="392"/>
      <c r="AK210" s="100"/>
      <c r="AL210" s="100"/>
      <c r="AM210" s="100"/>
      <c r="AN210" s="100"/>
      <c r="AO210" s="100"/>
      <c r="AP210" s="100"/>
      <c r="AQ210" s="100"/>
      <c r="AR210" s="100"/>
      <c r="AS210" s="100"/>
      <c r="AT210" s="100"/>
      <c r="AU210" s="100"/>
      <c r="AV210" s="100"/>
      <c r="AW210" s="100"/>
      <c r="AX210" s="100"/>
      <c r="AY210" s="100"/>
      <c r="AZ210" s="100"/>
      <c r="BA210" s="100"/>
      <c r="BB210" s="100"/>
      <c r="BC210" s="100"/>
      <c r="BD210" s="100"/>
      <c r="BE210" s="100"/>
      <c r="BF210" s="100"/>
      <c r="BG210" s="100"/>
      <c r="BH210" s="100"/>
      <c r="BI210" s="100"/>
      <c r="BJ210" s="100"/>
      <c r="BK210" s="100"/>
      <c r="BL210" s="100"/>
      <c r="BM210" s="100"/>
      <c r="BN210" s="100"/>
      <c r="BO210" s="100"/>
      <c r="BP210" s="100"/>
      <c r="BQ210" s="100"/>
      <c r="BR210" s="100"/>
      <c r="BS210" s="100"/>
      <c r="BT210" s="100"/>
      <c r="BU210" s="100"/>
      <c r="BV210" s="100"/>
      <c r="BW210" s="100"/>
      <c r="BX210" s="100"/>
      <c r="BY210" s="100"/>
      <c r="BZ210" s="100"/>
      <c r="CA210" s="100"/>
      <c r="CB210" s="100"/>
      <c r="CC210" s="100"/>
      <c r="CD210" s="100"/>
    </row>
    <row r="211" spans="2:82">
      <c r="C211" s="11"/>
      <c r="D211" s="15"/>
      <c r="E211" s="15"/>
      <c r="F211" s="15"/>
    </row>
    <row r="212" spans="2:82" ht="15" customHeight="1">
      <c r="C212" s="11"/>
      <c r="D212" s="15"/>
      <c r="E212" s="15"/>
      <c r="F212" s="15"/>
      <c r="I212" s="916"/>
      <c r="J212" s="916"/>
      <c r="K212" s="916"/>
      <c r="L212" s="916"/>
      <c r="M212" s="916"/>
      <c r="N212" s="916"/>
      <c r="O212" s="916"/>
      <c r="P212" s="916"/>
      <c r="Q212" s="916"/>
      <c r="R212" s="916"/>
      <c r="S212" s="916"/>
      <c r="T212" s="916"/>
      <c r="U212" s="916"/>
      <c r="V212" s="916"/>
      <c r="W212" s="916"/>
      <c r="X212" s="916"/>
      <c r="Y212" s="916"/>
      <c r="AE212" s="918"/>
      <c r="AF212" s="918"/>
      <c r="AG212" s="918"/>
      <c r="AH212" s="918"/>
      <c r="AI212" s="918"/>
      <c r="AJ212" s="918"/>
      <c r="AK212" s="918"/>
      <c r="AL212" s="918"/>
      <c r="AM212" s="918"/>
      <c r="AN212" s="918"/>
      <c r="AO212" s="918"/>
      <c r="AP212" s="918"/>
      <c r="AQ212" s="918"/>
      <c r="AR212" s="918"/>
      <c r="AS212" s="918"/>
      <c r="AT212" s="918"/>
      <c r="AU212" s="918"/>
      <c r="AV212" s="918"/>
      <c r="AW212" s="918"/>
      <c r="AX212" s="918"/>
      <c r="AY212" s="918"/>
      <c r="AZ212" s="918"/>
      <c r="BA212" s="918"/>
      <c r="BB212" s="918"/>
      <c r="BC212" s="918"/>
      <c r="BD212" s="918"/>
      <c r="BE212" s="918"/>
      <c r="BF212" s="918"/>
      <c r="BG212" s="918"/>
      <c r="BH212" s="918"/>
      <c r="BI212" s="918"/>
      <c r="BJ212" s="918"/>
      <c r="BK212" s="918"/>
      <c r="BL212" s="918"/>
      <c r="BM212" s="918"/>
      <c r="BN212" s="918"/>
      <c r="BO212" s="918"/>
      <c r="BP212" s="918"/>
      <c r="BQ212" s="918"/>
      <c r="BR212" s="918"/>
      <c r="BS212" s="918"/>
      <c r="BT212" s="918"/>
      <c r="BU212" s="918"/>
      <c r="BV212" s="918"/>
      <c r="BW212" s="918"/>
      <c r="BX212" s="918"/>
      <c r="BY212" s="918"/>
      <c r="BZ212" s="239"/>
      <c r="CA212" s="239"/>
      <c r="CB212" s="239"/>
    </row>
    <row r="213" spans="2:82" ht="15" customHeight="1">
      <c r="C213" s="11"/>
      <c r="D213" s="15"/>
      <c r="E213" s="15"/>
      <c r="F213" s="15"/>
      <c r="I213" s="917"/>
      <c r="J213" s="917"/>
      <c r="K213" s="917"/>
      <c r="L213" s="917"/>
      <c r="M213" s="917"/>
      <c r="N213" s="917"/>
      <c r="O213" s="917"/>
      <c r="P213" s="917"/>
      <c r="Q213" s="917"/>
      <c r="R213" s="917"/>
      <c r="S213" s="917"/>
      <c r="T213" s="917"/>
      <c r="U213" s="917"/>
      <c r="V213" s="917"/>
      <c r="W213" s="917"/>
      <c r="X213" s="917"/>
      <c r="Y213" s="64"/>
      <c r="AE213" s="339"/>
      <c r="AF213" s="95"/>
      <c r="AG213" s="95"/>
      <c r="AH213" s="95"/>
      <c r="AI213" s="403"/>
      <c r="AJ213" s="95"/>
      <c r="AK213" s="95"/>
      <c r="AL213" s="95"/>
      <c r="AM213" s="95"/>
      <c r="AN213" s="95"/>
      <c r="AO213" s="95"/>
      <c r="AP213" s="95"/>
      <c r="AQ213" s="95"/>
      <c r="AR213" s="95"/>
      <c r="AS213" s="95"/>
      <c r="AT213" s="95"/>
      <c r="AU213" s="95"/>
      <c r="AV213" s="95"/>
      <c r="AW213" s="95"/>
      <c r="AX213" s="95"/>
      <c r="AY213" s="95"/>
      <c r="AZ213" s="95"/>
      <c r="BA213" s="95"/>
      <c r="BB213" s="95"/>
      <c r="BC213" s="95"/>
      <c r="BD213" s="95"/>
      <c r="BE213" s="95"/>
      <c r="BF213" s="95"/>
      <c r="BG213" s="95"/>
      <c r="BH213" s="95"/>
      <c r="BI213" s="95"/>
      <c r="BJ213" s="95"/>
      <c r="BK213" s="95"/>
      <c r="BL213" s="95"/>
      <c r="BM213" s="95"/>
      <c r="BN213" s="95"/>
      <c r="BO213" s="95"/>
      <c r="BP213" s="95"/>
      <c r="BQ213" s="95"/>
      <c r="BR213" s="95"/>
      <c r="BS213" s="95"/>
      <c r="BT213" s="95"/>
      <c r="BU213" s="95"/>
      <c r="BV213" s="95"/>
      <c r="BW213" s="95"/>
      <c r="BX213" s="95"/>
      <c r="BY213" s="95"/>
      <c r="BZ213" s="64"/>
      <c r="CA213" s="64"/>
      <c r="CB213" s="64"/>
    </row>
    <row r="214" spans="2:82" ht="15" customHeight="1">
      <c r="C214" s="11"/>
      <c r="D214" s="15"/>
      <c r="E214" s="15"/>
      <c r="F214" s="15"/>
      <c r="I214" s="919"/>
      <c r="J214" s="919"/>
      <c r="K214" s="321"/>
      <c r="L214" s="870"/>
      <c r="M214" s="870"/>
      <c r="N214" s="321"/>
      <c r="O214" s="870"/>
      <c r="P214" s="870"/>
      <c r="Q214" s="282"/>
      <c r="R214" s="889"/>
      <c r="S214" s="889"/>
      <c r="T214" s="328"/>
      <c r="U214" s="870"/>
      <c r="V214" s="870"/>
      <c r="W214" s="321"/>
      <c r="X214" s="870"/>
      <c r="Y214" s="870"/>
      <c r="AE214" s="837"/>
      <c r="AF214" s="837"/>
      <c r="AG214" s="93"/>
      <c r="AH214" s="837"/>
      <c r="AI214" s="837"/>
      <c r="AJ214" s="93"/>
      <c r="AK214" s="837"/>
      <c r="AL214" s="837"/>
      <c r="AM214" s="93"/>
      <c r="AN214" s="837"/>
      <c r="AO214" s="837"/>
      <c r="AP214" s="93"/>
      <c r="AQ214" s="837"/>
      <c r="AR214" s="837"/>
      <c r="AS214" s="93"/>
      <c r="AT214" s="837"/>
      <c r="AU214" s="837"/>
      <c r="AV214" s="93"/>
      <c r="AW214" s="837"/>
      <c r="AX214" s="837"/>
      <c r="AY214" s="93"/>
      <c r="AZ214" s="837"/>
      <c r="BA214" s="837"/>
      <c r="BB214" s="93"/>
      <c r="BC214" s="892"/>
      <c r="BD214" s="892"/>
      <c r="BE214" s="94"/>
      <c r="BF214" s="837"/>
      <c r="BG214" s="837"/>
      <c r="BH214" s="171"/>
      <c r="BI214" s="920"/>
      <c r="BJ214" s="920"/>
      <c r="BK214" s="171"/>
      <c r="BL214" s="920"/>
      <c r="BM214" s="920"/>
      <c r="BN214" s="171"/>
      <c r="BO214" s="920"/>
      <c r="BP214" s="920"/>
      <c r="BQ214" s="171"/>
      <c r="BR214" s="920"/>
      <c r="BS214" s="920"/>
      <c r="BT214" s="171"/>
      <c r="BU214" s="920"/>
      <c r="BV214" s="920"/>
      <c r="BW214" s="171"/>
      <c r="BX214" s="837"/>
      <c r="BY214" s="837"/>
      <c r="BZ214" s="96"/>
      <c r="CA214" s="925"/>
      <c r="CB214" s="925"/>
    </row>
    <row r="215" spans="2:82">
      <c r="B215" s="519" t="s">
        <v>1079</v>
      </c>
      <c r="C215" s="469" t="s">
        <v>339</v>
      </c>
      <c r="D215" s="16" t="s">
        <v>353</v>
      </c>
      <c r="E215" s="16" t="s">
        <v>354</v>
      </c>
      <c r="F215" s="16" t="s">
        <v>355</v>
      </c>
      <c r="H215" s="87"/>
      <c r="I215" s="436"/>
      <c r="J215" s="113"/>
      <c r="K215" s="113"/>
      <c r="L215" s="113"/>
      <c r="M215" s="113"/>
      <c r="N215" s="113"/>
      <c r="O215" s="113"/>
      <c r="P215" s="113"/>
      <c r="Q215" s="113"/>
      <c r="R215" s="113"/>
      <c r="S215" s="113"/>
      <c r="T215" s="113"/>
      <c r="U215" s="113"/>
      <c r="V215" s="113"/>
      <c r="W215" s="113"/>
      <c r="X215" s="113"/>
      <c r="Y215" s="113"/>
      <c r="AE215" s="340"/>
      <c r="AF215" s="95"/>
      <c r="AG215" s="95"/>
      <c r="AH215" s="95"/>
      <c r="AI215" s="403"/>
      <c r="AJ215" s="95"/>
      <c r="AK215" s="95"/>
      <c r="AL215" s="95"/>
      <c r="AM215" s="95"/>
      <c r="AN215" s="95"/>
      <c r="AO215" s="95"/>
      <c r="AP215" s="95"/>
      <c r="AQ215" s="95"/>
      <c r="AR215" s="95"/>
      <c r="AS215" s="95"/>
      <c r="AT215" s="95"/>
      <c r="AU215" s="95"/>
      <c r="AV215" s="95"/>
      <c r="AW215" s="95"/>
      <c r="AX215" s="95"/>
      <c r="AY215" s="95"/>
      <c r="AZ215" s="95"/>
      <c r="BA215" s="95"/>
      <c r="BB215" s="95"/>
      <c r="BC215" s="95"/>
      <c r="BD215" s="95"/>
      <c r="BE215" s="95"/>
      <c r="BF215" s="95"/>
      <c r="BG215" s="95"/>
      <c r="BH215" s="95"/>
      <c r="BI215" s="95"/>
      <c r="BJ215" s="95"/>
      <c r="BK215" s="95"/>
      <c r="BL215" s="95"/>
      <c r="BM215" s="95"/>
      <c r="BN215" s="95"/>
      <c r="BO215" s="95"/>
      <c r="BP215" s="95"/>
      <c r="BQ215" s="95"/>
      <c r="BR215" s="95"/>
      <c r="BS215" s="95"/>
      <c r="BT215" s="95"/>
      <c r="BU215" s="95"/>
      <c r="BV215" s="95"/>
      <c r="BW215" s="95"/>
      <c r="BX215" s="95"/>
      <c r="BY215" s="95"/>
      <c r="BZ215" s="64"/>
      <c r="CA215" s="83"/>
      <c r="CB215" s="83"/>
    </row>
    <row r="216" spans="2:82">
      <c r="C216" s="187" t="s">
        <v>1116</v>
      </c>
      <c r="D216" s="18">
        <v>0.05</v>
      </c>
      <c r="E216" s="21">
        <v>0.05</v>
      </c>
      <c r="F216" s="21">
        <v>0.05</v>
      </c>
      <c r="H216" s="87"/>
      <c r="I216" s="165"/>
      <c r="J216" s="125"/>
      <c r="K216" s="125">
        <f t="shared" ref="K216:M217" si="92">D216</f>
        <v>0.05</v>
      </c>
      <c r="L216" s="125">
        <f t="shared" si="92"/>
        <v>0.05</v>
      </c>
      <c r="M216" s="125">
        <f t="shared" si="92"/>
        <v>0.05</v>
      </c>
      <c r="N216" s="87"/>
      <c r="O216" s="125"/>
      <c r="P216" s="125"/>
      <c r="Q216" s="125">
        <f t="shared" ref="Q216:S216" si="93">D216</f>
        <v>0.05</v>
      </c>
      <c r="R216" s="125">
        <f t="shared" si="93"/>
        <v>0.05</v>
      </c>
      <c r="S216" s="125">
        <f t="shared" si="93"/>
        <v>0.05</v>
      </c>
      <c r="T216" s="125">
        <f t="shared" ref="T216:V216" si="94">D216</f>
        <v>0.05</v>
      </c>
      <c r="U216" s="125">
        <f t="shared" si="94"/>
        <v>0.05</v>
      </c>
      <c r="V216" s="125">
        <f t="shared" si="94"/>
        <v>0.05</v>
      </c>
      <c r="W216" s="87"/>
      <c r="X216" s="87"/>
      <c r="Y216" s="87"/>
      <c r="AD216" s="125">
        <f t="shared" ref="AD216:AF218" si="95">D216</f>
        <v>0.05</v>
      </c>
      <c r="AE216" s="165">
        <f t="shared" si="95"/>
        <v>0.05</v>
      </c>
      <c r="AF216" s="125">
        <f t="shared" si="95"/>
        <v>0.05</v>
      </c>
      <c r="AG216" s="176"/>
      <c r="AH216" s="87"/>
      <c r="AI216" s="134"/>
      <c r="AJ216" s="87"/>
      <c r="AK216" s="87"/>
      <c r="AL216" s="87"/>
      <c r="AM216" s="87"/>
      <c r="AN216" s="87"/>
      <c r="AO216" s="87"/>
      <c r="AP216" s="87"/>
      <c r="AQ216" s="87"/>
      <c r="AR216" s="87"/>
      <c r="AS216" s="87"/>
      <c r="AT216" s="87"/>
      <c r="AU216" s="87"/>
      <c r="AV216" s="87"/>
      <c r="AW216" s="87"/>
      <c r="AX216" s="87"/>
      <c r="AY216" s="87"/>
      <c r="AZ216" s="87"/>
      <c r="BA216" s="87"/>
      <c r="BB216" s="87"/>
      <c r="BC216" s="87"/>
      <c r="BD216" s="87"/>
      <c r="BE216" s="125">
        <f t="shared" ref="BE216:BG216" si="96">D216</f>
        <v>0.05</v>
      </c>
      <c r="BF216" s="125">
        <f t="shared" si="96"/>
        <v>0.05</v>
      </c>
      <c r="BG216" s="125">
        <f t="shared" si="96"/>
        <v>0.05</v>
      </c>
      <c r="BH216" s="176"/>
      <c r="BI216" s="87"/>
      <c r="BJ216" s="87"/>
      <c r="BK216" s="87"/>
      <c r="BL216" s="87"/>
      <c r="BM216" s="87"/>
      <c r="BN216" s="87"/>
      <c r="BO216" s="87"/>
      <c r="BP216" s="87"/>
      <c r="BQ216" s="87"/>
      <c r="BR216" s="87"/>
      <c r="BS216" s="87"/>
      <c r="BT216" s="87"/>
      <c r="BU216" s="87"/>
      <c r="BV216" s="87"/>
      <c r="BW216" s="87"/>
      <c r="BX216" s="87"/>
      <c r="BY216" s="87"/>
    </row>
    <row r="217" spans="2:82">
      <c r="C217" s="187" t="s">
        <v>1119</v>
      </c>
      <c r="D217" s="18">
        <v>0.6</v>
      </c>
      <c r="E217" s="22">
        <v>0.1</v>
      </c>
      <c r="F217" s="22">
        <v>0.1</v>
      </c>
      <c r="H217" s="87"/>
      <c r="I217" s="133"/>
      <c r="J217" s="87"/>
      <c r="K217" s="125">
        <f t="shared" si="92"/>
        <v>0.6</v>
      </c>
      <c r="L217" s="125">
        <f t="shared" si="92"/>
        <v>0.1</v>
      </c>
      <c r="M217" s="125">
        <f t="shared" si="92"/>
        <v>0.1</v>
      </c>
      <c r="N217" s="87"/>
      <c r="O217" s="87"/>
      <c r="P217" s="87"/>
      <c r="Q217" s="87"/>
      <c r="R217" s="87"/>
      <c r="S217" s="87"/>
      <c r="T217" s="87"/>
      <c r="U217" s="87"/>
      <c r="V217" s="87"/>
      <c r="W217" s="87"/>
      <c r="X217" s="87"/>
      <c r="Y217" s="87"/>
      <c r="AD217" s="125">
        <f t="shared" si="95"/>
        <v>0.6</v>
      </c>
      <c r="AE217" s="165">
        <f t="shared" si="95"/>
        <v>0.1</v>
      </c>
      <c r="AF217" s="125">
        <f t="shared" si="95"/>
        <v>0.1</v>
      </c>
      <c r="AG217" s="125"/>
      <c r="AH217" s="87"/>
      <c r="AI217" s="134"/>
      <c r="AJ217" s="87"/>
      <c r="AK217" s="87"/>
      <c r="AL217" s="87"/>
      <c r="AM217" s="87"/>
      <c r="AN217" s="87"/>
      <c r="AO217" s="87"/>
      <c r="AP217" s="87"/>
      <c r="AQ217" s="87"/>
      <c r="AR217" s="87"/>
      <c r="AS217" s="87"/>
      <c r="AT217" s="87"/>
      <c r="AU217" s="87"/>
      <c r="AV217" s="87"/>
      <c r="AW217" s="87"/>
      <c r="AX217" s="87"/>
      <c r="AY217" s="87"/>
      <c r="AZ217" s="87"/>
      <c r="BA217" s="87"/>
      <c r="BB217" s="87"/>
      <c r="BC217" s="87"/>
      <c r="BD217" s="87"/>
      <c r="BE217" s="87"/>
      <c r="BF217" s="125"/>
      <c r="BG217" s="125"/>
      <c r="BH217" s="125"/>
      <c r="BI217" s="87"/>
      <c r="BJ217" s="87"/>
      <c r="BK217" s="87"/>
      <c r="BL217" s="87"/>
      <c r="BM217" s="87"/>
      <c r="BN217" s="87"/>
      <c r="BO217" s="87"/>
      <c r="BP217" s="87"/>
      <c r="BQ217" s="87"/>
      <c r="BR217" s="87"/>
      <c r="BS217" s="87"/>
      <c r="BT217" s="87"/>
      <c r="BU217" s="87"/>
      <c r="BV217" s="87"/>
      <c r="BW217" s="87"/>
      <c r="BX217" s="87"/>
      <c r="BY217" s="87"/>
    </row>
    <row r="218" spans="2:82">
      <c r="C218" s="465" t="s">
        <v>1120</v>
      </c>
      <c r="D218" s="22">
        <v>0.05</v>
      </c>
      <c r="E218" s="22">
        <v>0.05</v>
      </c>
      <c r="F218" s="22">
        <v>0.05</v>
      </c>
      <c r="H218" s="87"/>
      <c r="I218" s="435"/>
      <c r="J218" s="130"/>
      <c r="K218" s="130"/>
      <c r="L218" s="130"/>
      <c r="M218" s="130"/>
      <c r="N218" s="130"/>
      <c r="O218" s="130"/>
      <c r="P218" s="130"/>
      <c r="Q218" s="131">
        <f t="shared" ref="Q218:S218" si="97">D218</f>
        <v>0.05</v>
      </c>
      <c r="R218" s="131">
        <f t="shared" si="97"/>
        <v>0.05</v>
      </c>
      <c r="S218" s="131">
        <f t="shared" si="97"/>
        <v>0.05</v>
      </c>
      <c r="T218" s="131">
        <f t="shared" ref="T218:V218" si="98">D218</f>
        <v>0.05</v>
      </c>
      <c r="U218" s="131">
        <f t="shared" si="98"/>
        <v>0.05</v>
      </c>
      <c r="V218" s="131">
        <f t="shared" si="98"/>
        <v>0.05</v>
      </c>
      <c r="W218" s="130"/>
      <c r="X218" s="130"/>
      <c r="Y218" s="130"/>
      <c r="AD218" s="125">
        <f t="shared" si="95"/>
        <v>0.05</v>
      </c>
      <c r="AE218" s="344">
        <f t="shared" si="95"/>
        <v>0.05</v>
      </c>
      <c r="AF218" s="131">
        <f t="shared" si="95"/>
        <v>0.05</v>
      </c>
      <c r="AG218" s="131"/>
      <c r="AH218" s="130"/>
      <c r="AI218" s="405"/>
      <c r="AJ218" s="130"/>
      <c r="AK218" s="130"/>
      <c r="AL218" s="130"/>
      <c r="AM218" s="130"/>
      <c r="AN218" s="130"/>
      <c r="AO218" s="130"/>
      <c r="AP218" s="130"/>
      <c r="AQ218" s="130"/>
      <c r="AR218" s="130"/>
      <c r="AS218" s="130"/>
      <c r="AT218" s="130"/>
      <c r="AU218" s="130"/>
      <c r="AV218" s="130"/>
      <c r="AW218" s="130"/>
      <c r="AX218" s="130"/>
      <c r="AY218" s="130"/>
      <c r="AZ218" s="130"/>
      <c r="BA218" s="130"/>
      <c r="BB218" s="130"/>
      <c r="BC218" s="130"/>
      <c r="BD218" s="130"/>
      <c r="BE218" s="131">
        <f>D218</f>
        <v>0.05</v>
      </c>
      <c r="BF218" s="131">
        <f>E218</f>
        <v>0.05</v>
      </c>
      <c r="BG218" s="131">
        <f>F218</f>
        <v>0.05</v>
      </c>
      <c r="BH218" s="131"/>
      <c r="BI218" s="130"/>
      <c r="BJ218" s="130"/>
      <c r="BK218" s="130"/>
      <c r="BL218" s="130"/>
      <c r="BM218" s="130"/>
      <c r="BN218" s="130"/>
      <c r="BO218" s="130"/>
      <c r="BP218" s="130"/>
      <c r="BQ218" s="130"/>
      <c r="BR218" s="130"/>
      <c r="BS218" s="130"/>
      <c r="BT218" s="130"/>
      <c r="BU218" s="130"/>
      <c r="BV218" s="130"/>
      <c r="BW218" s="130"/>
      <c r="BX218" s="130"/>
      <c r="BY218" s="130"/>
    </row>
    <row r="219" spans="2:82">
      <c r="C219" s="11"/>
      <c r="D219" s="22">
        <f>SUM(D216:D218)</f>
        <v>0.70000000000000007</v>
      </c>
      <c r="E219" s="230">
        <f>SUM(E216:E218)</f>
        <v>0.2</v>
      </c>
      <c r="F219" s="230">
        <f>SUM(F216:F218)</f>
        <v>0.2</v>
      </c>
      <c r="K219" s="33">
        <f>SUM(K215:K218)</f>
        <v>0.65</v>
      </c>
      <c r="L219" s="33">
        <f>SUM(L215:L218)</f>
        <v>0.15000000000000002</v>
      </c>
      <c r="M219" s="33">
        <f>SUM(M215:M218)</f>
        <v>0.15000000000000002</v>
      </c>
      <c r="Q219" s="33">
        <f t="shared" ref="Q219:V219" si="99">SUM(Q215:Q218)</f>
        <v>0.1</v>
      </c>
      <c r="R219" s="33">
        <f t="shared" si="99"/>
        <v>0.1</v>
      </c>
      <c r="S219" s="33">
        <f t="shared" si="99"/>
        <v>0.1</v>
      </c>
      <c r="T219" s="33">
        <f t="shared" si="99"/>
        <v>0.1</v>
      </c>
      <c r="U219" s="33">
        <f t="shared" si="99"/>
        <v>0.1</v>
      </c>
      <c r="V219" s="33">
        <f t="shared" si="99"/>
        <v>0.1</v>
      </c>
      <c r="AD219" s="139">
        <f>SUM(AD215:AD218)</f>
        <v>0.70000000000000007</v>
      </c>
      <c r="AE219" s="139">
        <f>SUM(AE215:AE218)</f>
        <v>0.2</v>
      </c>
      <c r="AF219" s="139">
        <f>SUM(AF215:AF218)</f>
        <v>0.2</v>
      </c>
      <c r="BE219" s="33">
        <f>SUM(BE216:BE218)</f>
        <v>0.1</v>
      </c>
      <c r="BF219" s="33">
        <f>SUM(BF216:BF218)</f>
        <v>0.1</v>
      </c>
      <c r="BG219" s="33">
        <f>SUM(BG216:BG218)</f>
        <v>0.1</v>
      </c>
    </row>
    <row r="220" spans="2:82">
      <c r="C220" s="11"/>
      <c r="D220" s="22"/>
      <c r="E220" s="21">
        <f>D219-E219</f>
        <v>0.5</v>
      </c>
      <c r="F220" s="21">
        <f>E219-F219</f>
        <v>0</v>
      </c>
    </row>
    <row r="221" spans="2:82">
      <c r="C221" s="11"/>
      <c r="D221" s="22"/>
      <c r="E221" s="21"/>
      <c r="F221" s="21"/>
    </row>
    <row r="222" spans="2:82">
      <c r="C222" s="11"/>
      <c r="D222" s="22"/>
      <c r="E222" s="21"/>
      <c r="F222" s="21"/>
    </row>
    <row r="223" spans="2:82">
      <c r="C223" s="12" t="s">
        <v>359</v>
      </c>
      <c r="D223" s="82">
        <v>3</v>
      </c>
      <c r="E223" s="16"/>
      <c r="F223" s="16"/>
    </row>
    <row r="224" spans="2:82">
      <c r="C224" s="53"/>
      <c r="D224" s="56"/>
      <c r="E224" s="54"/>
      <c r="F224" s="54"/>
    </row>
    <row r="225" spans="2:80">
      <c r="C225" s="53"/>
      <c r="D225" s="56"/>
      <c r="E225" s="54"/>
      <c r="F225" s="54"/>
    </row>
    <row r="226" spans="2:80">
      <c r="C226" s="11" t="s">
        <v>360</v>
      </c>
      <c r="D226" s="15"/>
      <c r="E226" s="15"/>
      <c r="F226" s="15"/>
    </row>
    <row r="227" spans="2:80">
      <c r="C227" s="11" t="s">
        <v>361</v>
      </c>
      <c r="D227" s="15"/>
      <c r="E227" s="15"/>
      <c r="F227" s="15"/>
    </row>
    <row r="228" spans="2:80">
      <c r="C228" s="11" t="s">
        <v>362</v>
      </c>
      <c r="D228" s="15"/>
      <c r="E228" s="15"/>
      <c r="F228" s="15"/>
    </row>
    <row r="229" spans="2:80">
      <c r="C229" s="11" t="s">
        <v>363</v>
      </c>
      <c r="D229" s="15"/>
      <c r="E229" s="15"/>
      <c r="F229" s="15"/>
    </row>
    <row r="230" spans="2:80" s="100" customFormat="1">
      <c r="C230" s="109"/>
      <c r="D230" s="168"/>
      <c r="E230" s="169"/>
      <c r="F230" s="110"/>
      <c r="AD230" s="332"/>
      <c r="AJ230" s="392"/>
    </row>
    <row r="231" spans="2:80" s="50" customFormat="1">
      <c r="C231" s="13"/>
      <c r="D231" s="170"/>
      <c r="E231" s="60"/>
      <c r="F231" s="52"/>
      <c r="AD231" s="128"/>
      <c r="AJ231" s="394"/>
    </row>
    <row r="232" spans="2:80" ht="15" customHeight="1">
      <c r="C232" s="11"/>
      <c r="D232" s="15"/>
      <c r="E232" s="15"/>
      <c r="F232" s="15"/>
    </row>
    <row r="233" spans="2:80" ht="15" customHeight="1">
      <c r="C233" s="11"/>
      <c r="D233" s="15"/>
      <c r="E233" s="15"/>
      <c r="F233" s="15"/>
      <c r="I233" s="916" t="s">
        <v>1037</v>
      </c>
      <c r="J233" s="916"/>
      <c r="K233" s="916"/>
      <c r="L233" s="916"/>
      <c r="M233" s="916"/>
      <c r="N233" s="916"/>
      <c r="O233" s="916"/>
      <c r="P233" s="916"/>
      <c r="Q233" s="916"/>
      <c r="R233" s="916"/>
      <c r="S233" s="916"/>
      <c r="T233" s="916"/>
      <c r="U233" s="916"/>
      <c r="V233" s="916"/>
      <c r="W233" s="916"/>
      <c r="X233" s="916"/>
      <c r="Y233" s="916"/>
      <c r="AE233" s="918" t="s">
        <v>349</v>
      </c>
      <c r="AF233" s="918"/>
      <c r="AG233" s="918"/>
      <c r="AH233" s="918"/>
      <c r="AI233" s="918"/>
      <c r="AJ233" s="918"/>
      <c r="AK233" s="918"/>
      <c r="AL233" s="918"/>
      <c r="AM233" s="918"/>
      <c r="AN233" s="918"/>
      <c r="AO233" s="918"/>
      <c r="AP233" s="918"/>
      <c r="AQ233" s="918"/>
      <c r="AR233" s="918"/>
      <c r="AS233" s="918"/>
      <c r="AT233" s="918"/>
      <c r="AU233" s="918"/>
      <c r="AV233" s="918"/>
      <c r="AW233" s="918"/>
      <c r="AX233" s="918"/>
      <c r="AY233" s="918"/>
      <c r="AZ233" s="918"/>
      <c r="BA233" s="918"/>
      <c r="BB233" s="918"/>
      <c r="BC233" s="918"/>
      <c r="BD233" s="918"/>
      <c r="BE233" s="918"/>
      <c r="BF233" s="918"/>
      <c r="BG233" s="918"/>
      <c r="BH233" s="918"/>
      <c r="BI233" s="918"/>
      <c r="BJ233" s="918"/>
      <c r="BK233" s="918"/>
      <c r="BL233" s="918"/>
      <c r="BM233" s="918"/>
      <c r="BN233" s="918"/>
      <c r="BO233" s="918"/>
      <c r="BP233" s="918"/>
      <c r="BQ233" s="918"/>
      <c r="BR233" s="918"/>
      <c r="BS233" s="918"/>
      <c r="BT233" s="918"/>
      <c r="BU233" s="918"/>
      <c r="BV233" s="918"/>
      <c r="BW233" s="918"/>
      <c r="BX233" s="918"/>
      <c r="BY233" s="918"/>
      <c r="BZ233" s="239"/>
      <c r="CA233" s="239"/>
      <c r="CB233" s="239"/>
    </row>
    <row r="234" spans="2:80" ht="15" customHeight="1">
      <c r="C234" s="11"/>
      <c r="D234" s="15"/>
      <c r="E234" s="15"/>
      <c r="F234" s="15"/>
      <c r="I234" s="917" t="s">
        <v>1039</v>
      </c>
      <c r="J234" s="917"/>
      <c r="K234" s="917"/>
      <c r="L234" s="917"/>
      <c r="M234" s="917"/>
      <c r="N234" s="917"/>
      <c r="O234" s="917"/>
      <c r="P234" s="917"/>
      <c r="Q234" s="917"/>
      <c r="R234" s="917"/>
      <c r="S234" s="917"/>
      <c r="T234" s="917"/>
      <c r="U234" s="917"/>
      <c r="V234" s="917"/>
      <c r="W234" s="917"/>
      <c r="X234" s="917"/>
      <c r="Y234" s="64"/>
      <c r="AE234" s="339" t="s">
        <v>716</v>
      </c>
      <c r="AF234" s="95"/>
      <c r="AG234" s="95"/>
      <c r="AH234" s="95"/>
      <c r="AI234" s="403"/>
      <c r="AJ234" s="95"/>
      <c r="AK234" s="95"/>
      <c r="AL234" s="95"/>
      <c r="AM234" s="95"/>
      <c r="AN234" s="95"/>
      <c r="AO234" s="95"/>
      <c r="AP234" s="95"/>
      <c r="AQ234" s="95"/>
      <c r="AR234" s="95"/>
      <c r="AS234" s="95"/>
      <c r="AT234" s="95"/>
      <c r="AU234" s="95"/>
      <c r="AV234" s="95"/>
      <c r="AW234" s="95"/>
      <c r="AX234" s="95"/>
      <c r="AY234" s="95"/>
      <c r="AZ234" s="95"/>
      <c r="BA234" s="95"/>
      <c r="BB234" s="95"/>
      <c r="BC234" s="95"/>
      <c r="BD234" s="95"/>
      <c r="BE234" s="95"/>
      <c r="BF234" s="95"/>
      <c r="BG234" s="95"/>
      <c r="BH234" s="95"/>
      <c r="BI234" s="95"/>
      <c r="BJ234" s="95"/>
      <c r="BK234" s="95"/>
      <c r="BL234" s="95"/>
      <c r="BM234" s="95"/>
      <c r="BN234" s="95"/>
      <c r="BO234" s="95"/>
      <c r="BP234" s="95"/>
      <c r="BQ234" s="95"/>
      <c r="BR234" s="95"/>
      <c r="BS234" s="95"/>
      <c r="BT234" s="95"/>
      <c r="BU234" s="95"/>
      <c r="BV234" s="95"/>
      <c r="BW234" s="95"/>
      <c r="BX234" s="95"/>
      <c r="BY234" s="95"/>
      <c r="BZ234" s="64"/>
      <c r="CA234" s="64"/>
      <c r="CB234" s="64"/>
    </row>
    <row r="235" spans="2:80" ht="15" customHeight="1">
      <c r="C235" s="11"/>
      <c r="D235" s="15"/>
      <c r="E235" s="15"/>
      <c r="F235" s="15"/>
      <c r="I235" s="919" t="s">
        <v>1045</v>
      </c>
      <c r="J235" s="919"/>
      <c r="K235" s="321"/>
      <c r="L235" s="870" t="s">
        <v>1046</v>
      </c>
      <c r="M235" s="870"/>
      <c r="N235" s="321"/>
      <c r="O235" s="870" t="s">
        <v>350</v>
      </c>
      <c r="P235" s="870"/>
      <c r="Q235" s="282"/>
      <c r="R235" s="889" t="s">
        <v>351</v>
      </c>
      <c r="S235" s="889"/>
      <c r="T235" s="328"/>
      <c r="U235" s="870" t="s">
        <v>352</v>
      </c>
      <c r="V235" s="870"/>
      <c r="W235" s="321"/>
      <c r="X235" s="870" t="s">
        <v>1047</v>
      </c>
      <c r="Y235" s="870"/>
      <c r="AE235" s="837" t="s">
        <v>1049</v>
      </c>
      <c r="AF235" s="837"/>
      <c r="AG235" s="93"/>
      <c r="AH235" s="837" t="s">
        <v>1050</v>
      </c>
      <c r="AI235" s="837"/>
      <c r="AJ235" s="93"/>
      <c r="AK235" s="837" t="s">
        <v>1051</v>
      </c>
      <c r="AL235" s="837"/>
      <c r="AM235" s="93"/>
      <c r="AN235" s="837" t="s">
        <v>1052</v>
      </c>
      <c r="AO235" s="837"/>
      <c r="AP235" s="93"/>
      <c r="AQ235" s="837" t="s">
        <v>1053</v>
      </c>
      <c r="AR235" s="837"/>
      <c r="AS235" s="93"/>
      <c r="AT235" s="837" t="s">
        <v>1054</v>
      </c>
      <c r="AU235" s="837"/>
      <c r="AV235" s="93"/>
      <c r="AW235" s="837" t="s">
        <v>1055</v>
      </c>
      <c r="AX235" s="837"/>
      <c r="AY235" s="93"/>
      <c r="AZ235" s="837" t="s">
        <v>1056</v>
      </c>
      <c r="BA235" s="837"/>
      <c r="BB235" s="93"/>
      <c r="BC235" s="892" t="s">
        <v>1057</v>
      </c>
      <c r="BD235" s="892"/>
      <c r="BE235" s="94"/>
      <c r="BF235" s="837" t="s">
        <v>1058</v>
      </c>
      <c r="BG235" s="837"/>
      <c r="BH235" s="171"/>
      <c r="BI235" s="920" t="s">
        <v>1059</v>
      </c>
      <c r="BJ235" s="920"/>
      <c r="BK235" s="171"/>
      <c r="BL235" s="920" t="s">
        <v>1060</v>
      </c>
      <c r="BM235" s="920"/>
      <c r="BN235" s="171"/>
      <c r="BO235" s="920" t="s">
        <v>1061</v>
      </c>
      <c r="BP235" s="920"/>
      <c r="BQ235" s="171"/>
      <c r="BR235" s="920" t="s">
        <v>1062</v>
      </c>
      <c r="BS235" s="920"/>
      <c r="BT235" s="171"/>
      <c r="BU235" s="920" t="s">
        <v>1063</v>
      </c>
      <c r="BV235" s="920"/>
      <c r="BW235" s="829" t="s">
        <v>1064</v>
      </c>
      <c r="BX235" s="830"/>
      <c r="BY235" s="831"/>
      <c r="BZ235" s="96"/>
      <c r="CA235" s="925"/>
      <c r="CB235" s="925"/>
    </row>
    <row r="236" spans="2:80" ht="28.8">
      <c r="B236" s="519" t="s">
        <v>1079</v>
      </c>
      <c r="C236" s="469" t="s">
        <v>1121</v>
      </c>
      <c r="D236" s="16" t="s">
        <v>353</v>
      </c>
      <c r="E236" s="16" t="s">
        <v>354</v>
      </c>
      <c r="F236" s="16" t="s">
        <v>355</v>
      </c>
      <c r="I236" s="171" t="s">
        <v>1080</v>
      </c>
      <c r="J236" s="95" t="s">
        <v>1081</v>
      </c>
      <c r="K236" s="95"/>
      <c r="L236" s="95" t="s">
        <v>1080</v>
      </c>
      <c r="M236" s="95" t="s">
        <v>1081</v>
      </c>
      <c r="N236" s="95"/>
      <c r="O236" s="95" t="s">
        <v>1080</v>
      </c>
      <c r="P236" s="95" t="s">
        <v>1081</v>
      </c>
      <c r="Q236" s="95" t="s">
        <v>1081</v>
      </c>
      <c r="R236" s="95" t="s">
        <v>1080</v>
      </c>
      <c r="S236" s="95" t="s">
        <v>1081</v>
      </c>
      <c r="T236" s="95"/>
      <c r="U236" s="95" t="s">
        <v>1080</v>
      </c>
      <c r="V236" s="95" t="s">
        <v>1081</v>
      </c>
      <c r="W236" s="95"/>
      <c r="X236" s="95" t="s">
        <v>1080</v>
      </c>
      <c r="Y236" s="95" t="s">
        <v>1081</v>
      </c>
      <c r="AE236" s="340" t="s">
        <v>1080</v>
      </c>
      <c r="AF236" s="95" t="s">
        <v>1081</v>
      </c>
      <c r="AG236" s="95"/>
      <c r="AH236" s="95" t="s">
        <v>1080</v>
      </c>
      <c r="AI236" s="403" t="s">
        <v>1081</v>
      </c>
      <c r="AJ236" s="95"/>
      <c r="AK236" s="95" t="s">
        <v>1080</v>
      </c>
      <c r="AL236" s="95" t="s">
        <v>1081</v>
      </c>
      <c r="AM236" s="95"/>
      <c r="AN236" s="95" t="s">
        <v>1080</v>
      </c>
      <c r="AO236" s="95" t="s">
        <v>1081</v>
      </c>
      <c r="AP236" s="95"/>
      <c r="AQ236" s="95" t="s">
        <v>1080</v>
      </c>
      <c r="AR236" s="95" t="s">
        <v>1081</v>
      </c>
      <c r="AS236" s="95"/>
      <c r="AT236" s="95" t="s">
        <v>1080</v>
      </c>
      <c r="AU236" s="95" t="s">
        <v>1081</v>
      </c>
      <c r="AV236" s="95"/>
      <c r="AW236" s="95" t="s">
        <v>1080</v>
      </c>
      <c r="AX236" s="95" t="s">
        <v>1081</v>
      </c>
      <c r="AY236" s="95"/>
      <c r="AZ236" s="95" t="s">
        <v>1080</v>
      </c>
      <c r="BA236" s="95" t="s">
        <v>1081</v>
      </c>
      <c r="BB236" s="95"/>
      <c r="BC236" s="95" t="s">
        <v>1080</v>
      </c>
      <c r="BD236" s="95" t="s">
        <v>1081</v>
      </c>
      <c r="BE236" s="95"/>
      <c r="BF236" s="95" t="s">
        <v>1080</v>
      </c>
      <c r="BG236" s="95" t="s">
        <v>1081</v>
      </c>
      <c r="BH236" s="95"/>
      <c r="BI236" s="95" t="s">
        <v>1080</v>
      </c>
      <c r="BJ236" s="95" t="s">
        <v>1081</v>
      </c>
      <c r="BK236" s="95"/>
      <c r="BL236" s="95" t="s">
        <v>1080</v>
      </c>
      <c r="BM236" s="95" t="s">
        <v>1081</v>
      </c>
      <c r="BN236" s="95"/>
      <c r="BO236" s="95" t="s">
        <v>1080</v>
      </c>
      <c r="BP236" s="95" t="s">
        <v>1081</v>
      </c>
      <c r="BQ236" s="95"/>
      <c r="BR236" s="95" t="s">
        <v>1080</v>
      </c>
      <c r="BS236" s="95" t="s">
        <v>1081</v>
      </c>
      <c r="BT236" s="95"/>
      <c r="BU236" s="95" t="s">
        <v>1080</v>
      </c>
      <c r="BV236" s="95" t="s">
        <v>1081</v>
      </c>
      <c r="BW236" s="95"/>
      <c r="BX236" s="95" t="s">
        <v>1080</v>
      </c>
      <c r="BY236" s="95" t="s">
        <v>1081</v>
      </c>
      <c r="BZ236" s="64"/>
      <c r="CA236" s="83"/>
      <c r="CB236" s="83"/>
    </row>
    <row r="237" spans="2:80">
      <c r="C237" s="187" t="s">
        <v>1122</v>
      </c>
      <c r="D237" s="18">
        <v>0.05</v>
      </c>
      <c r="E237" s="18">
        <v>0.05</v>
      </c>
      <c r="F237" s="18">
        <v>0.05</v>
      </c>
      <c r="I237" s="125"/>
      <c r="J237" s="87"/>
      <c r="K237" s="87"/>
      <c r="L237" s="126"/>
      <c r="M237" s="126"/>
      <c r="N237" s="126"/>
      <c r="O237" s="87"/>
      <c r="P237" s="87"/>
      <c r="Q237" s="87"/>
      <c r="R237" s="126"/>
      <c r="S237" s="126"/>
      <c r="T237" s="126"/>
      <c r="U237" s="126"/>
      <c r="V237" s="126"/>
      <c r="W237" s="126"/>
      <c r="X237" s="87"/>
      <c r="Y237" s="87"/>
      <c r="AD237" s="125">
        <f>D237</f>
        <v>0.05</v>
      </c>
      <c r="AE237" s="125">
        <f t="shared" ref="AE237:AF238" si="100">E237</f>
        <v>0.05</v>
      </c>
      <c r="AF237" s="125">
        <f t="shared" si="100"/>
        <v>0.05</v>
      </c>
      <c r="AG237" s="437"/>
      <c r="AH237" s="87"/>
      <c r="AI237" s="134"/>
      <c r="AJ237" s="87"/>
      <c r="AK237" s="87"/>
      <c r="AL237" s="87"/>
      <c r="AM237" s="87"/>
      <c r="AN237" s="87"/>
      <c r="AO237" s="87"/>
      <c r="AP237" s="87"/>
      <c r="AQ237" s="87"/>
      <c r="AR237" s="87"/>
      <c r="AS237" s="87"/>
      <c r="AT237" s="87"/>
      <c r="AU237" s="87"/>
      <c r="AV237" s="87"/>
      <c r="AW237" s="87"/>
      <c r="AX237" s="87"/>
      <c r="AY237" s="87"/>
      <c r="AZ237" s="87"/>
      <c r="BA237" s="87"/>
      <c r="BB237" s="87"/>
      <c r="BC237" s="87"/>
      <c r="BD237" s="87"/>
      <c r="BE237" s="125">
        <f>D237</f>
        <v>0.05</v>
      </c>
      <c r="BF237" s="125">
        <f t="shared" ref="BF237:BG237" si="101">E237</f>
        <v>0.05</v>
      </c>
      <c r="BG237" s="125">
        <f t="shared" si="101"/>
        <v>0.05</v>
      </c>
      <c r="BH237" s="437"/>
      <c r="BI237" s="87"/>
      <c r="BJ237" s="87"/>
      <c r="BK237" s="87"/>
      <c r="BL237" s="87"/>
      <c r="BM237" s="87"/>
      <c r="BN237" s="87"/>
      <c r="BO237" s="87"/>
      <c r="BP237" s="87"/>
      <c r="BQ237" s="87"/>
      <c r="BR237" s="87"/>
      <c r="BS237" s="87"/>
      <c r="BT237" s="87"/>
      <c r="BU237" s="87"/>
      <c r="BV237" s="87"/>
      <c r="BW237" s="125">
        <f>D237</f>
        <v>0.05</v>
      </c>
      <c r="BX237" s="125">
        <f t="shared" ref="BX237:BY237" si="102">E237</f>
        <v>0.05</v>
      </c>
      <c r="BY237" s="125">
        <f t="shared" si="102"/>
        <v>0.05</v>
      </c>
    </row>
    <row r="238" spans="2:80">
      <c r="C238" s="818" t="s">
        <v>1123</v>
      </c>
      <c r="D238" s="18">
        <v>0.3</v>
      </c>
      <c r="E238" s="18">
        <v>0.3</v>
      </c>
      <c r="F238" s="18">
        <v>0.05</v>
      </c>
      <c r="I238" s="87"/>
      <c r="J238" s="87"/>
      <c r="K238" s="87"/>
      <c r="L238" s="126"/>
      <c r="M238" s="126"/>
      <c r="N238" s="126"/>
      <c r="O238" s="87"/>
      <c r="P238" s="87"/>
      <c r="Q238" s="87"/>
      <c r="R238" s="128"/>
      <c r="S238" s="128"/>
      <c r="T238" s="128"/>
      <c r="U238" s="128"/>
      <c r="V238" s="128"/>
      <c r="W238" s="128"/>
      <c r="X238" s="87"/>
      <c r="Y238" s="87"/>
      <c r="AD238" s="125">
        <f>D238</f>
        <v>0.3</v>
      </c>
      <c r="AE238" s="125">
        <f t="shared" si="100"/>
        <v>0.3</v>
      </c>
      <c r="AF238" s="125">
        <f t="shared" si="100"/>
        <v>0.05</v>
      </c>
      <c r="AG238" s="126"/>
      <c r="AH238" s="87"/>
      <c r="AI238" s="134"/>
      <c r="AJ238" s="87"/>
      <c r="AK238" s="87"/>
      <c r="AL238" s="87"/>
      <c r="AM238" s="87"/>
      <c r="AN238" s="87"/>
      <c r="AO238" s="87"/>
      <c r="AP238" s="87"/>
      <c r="AQ238" s="87"/>
      <c r="AR238" s="87"/>
      <c r="AS238" s="87"/>
      <c r="AT238" s="87"/>
      <c r="AU238" s="87"/>
      <c r="AV238" s="87"/>
      <c r="AW238" s="87"/>
      <c r="AX238" s="87"/>
      <c r="AY238" s="87"/>
      <c r="AZ238" s="87"/>
      <c r="BA238" s="87"/>
      <c r="BB238" s="87"/>
      <c r="BC238" s="87"/>
      <c r="BD238" s="87"/>
      <c r="BE238" s="87"/>
      <c r="BF238" s="125"/>
      <c r="BG238" s="125"/>
      <c r="BH238" s="125"/>
      <c r="BI238" s="87"/>
      <c r="BJ238" s="87"/>
      <c r="BK238" s="87"/>
      <c r="BL238" s="87"/>
      <c r="BM238" s="87"/>
      <c r="BN238" s="87"/>
      <c r="BO238" s="87"/>
      <c r="BP238" s="87"/>
      <c r="BQ238" s="87"/>
      <c r="BR238" s="87"/>
      <c r="BS238" s="87"/>
      <c r="BT238" s="87"/>
      <c r="BU238" s="87"/>
      <c r="BV238" s="87"/>
      <c r="BW238" s="87"/>
      <c r="BX238" s="87"/>
      <c r="BY238" s="87"/>
    </row>
    <row r="239" spans="2:80">
      <c r="C239" s="187" t="s">
        <v>1124</v>
      </c>
      <c r="D239" s="18">
        <v>0.1</v>
      </c>
      <c r="E239" s="18">
        <v>0.1</v>
      </c>
      <c r="F239" s="18">
        <v>0</v>
      </c>
      <c r="I239" s="87"/>
      <c r="J239" s="87"/>
      <c r="K239" s="87"/>
      <c r="L239" s="87"/>
      <c r="M239" s="87"/>
      <c r="N239" s="87"/>
      <c r="O239" s="87"/>
      <c r="P239" s="87"/>
      <c r="Q239" s="87"/>
      <c r="R239" s="126"/>
      <c r="S239" s="126"/>
      <c r="T239" s="126"/>
      <c r="U239" s="126"/>
      <c r="V239" s="126"/>
      <c r="W239" s="126"/>
      <c r="X239" s="87"/>
      <c r="Y239" s="87"/>
      <c r="AE239" s="344"/>
      <c r="AF239" s="131"/>
      <c r="AG239" s="131"/>
      <c r="AH239" s="130"/>
      <c r="AI239" s="405"/>
      <c r="AJ239" s="130"/>
      <c r="AK239" s="130"/>
      <c r="AL239" s="130"/>
      <c r="AM239" s="130"/>
      <c r="AN239" s="130"/>
      <c r="AO239" s="130"/>
      <c r="AP239" s="130"/>
      <c r="AQ239" s="130"/>
      <c r="AR239" s="130"/>
      <c r="AS239" s="130"/>
      <c r="AT239" s="130"/>
      <c r="AU239" s="130"/>
      <c r="AV239" s="130"/>
      <c r="AW239" s="130"/>
      <c r="AX239" s="130"/>
      <c r="AY239" s="130"/>
      <c r="AZ239" s="130"/>
      <c r="BA239" s="130"/>
      <c r="BB239" s="130"/>
      <c r="BC239" s="130"/>
      <c r="BD239" s="130"/>
      <c r="BE239" s="131">
        <f>D239</f>
        <v>0.1</v>
      </c>
      <c r="BF239" s="131">
        <f t="shared" ref="BF239:BG240" si="103">E239</f>
        <v>0.1</v>
      </c>
      <c r="BG239" s="131">
        <f t="shared" si="103"/>
        <v>0</v>
      </c>
      <c r="BH239" s="438"/>
      <c r="BI239" s="130"/>
      <c r="BJ239" s="130"/>
      <c r="BK239" s="130"/>
      <c r="BL239" s="130"/>
      <c r="BM239" s="130"/>
      <c r="BN239" s="130"/>
      <c r="BO239" s="130"/>
      <c r="BP239" s="130"/>
      <c r="BQ239" s="130"/>
      <c r="BR239" s="130"/>
      <c r="BS239" s="130"/>
      <c r="BT239" s="130"/>
      <c r="BU239" s="130"/>
      <c r="BV239" s="130"/>
      <c r="BW239" s="130"/>
      <c r="BX239" s="130"/>
      <c r="BY239" s="130"/>
    </row>
    <row r="240" spans="2:80">
      <c r="C240" s="465" t="s">
        <v>1120</v>
      </c>
      <c r="D240" s="22">
        <v>0.05</v>
      </c>
      <c r="E240" s="22">
        <v>0.05</v>
      </c>
      <c r="F240" s="22">
        <v>0.05</v>
      </c>
      <c r="I240" s="87"/>
      <c r="J240" s="87"/>
      <c r="K240" s="87"/>
      <c r="L240" s="87"/>
      <c r="M240" s="87"/>
      <c r="N240" s="87"/>
      <c r="O240" s="87"/>
      <c r="P240" s="87"/>
      <c r="Q240" s="87"/>
      <c r="R240" s="128"/>
      <c r="S240" s="128"/>
      <c r="T240" s="128"/>
      <c r="U240" s="128"/>
      <c r="V240" s="128"/>
      <c r="W240" s="128"/>
      <c r="X240" s="87"/>
      <c r="Y240" s="87"/>
      <c r="AD240" s="125">
        <f>D240</f>
        <v>0.05</v>
      </c>
      <c r="AE240" s="125">
        <f t="shared" ref="AE240:AF240" si="104">E240</f>
        <v>0.05</v>
      </c>
      <c r="AF240" s="125">
        <f t="shared" si="104"/>
        <v>0.05</v>
      </c>
      <c r="AG240" s="126"/>
      <c r="AH240" s="87"/>
      <c r="AI240" s="134"/>
      <c r="AJ240" s="87"/>
      <c r="AK240" s="87"/>
      <c r="AL240" s="87"/>
      <c r="AM240" s="87"/>
      <c r="AN240" s="87"/>
      <c r="AO240" s="87"/>
      <c r="AP240" s="87"/>
      <c r="AQ240" s="87"/>
      <c r="AR240" s="87"/>
      <c r="AS240" s="87"/>
      <c r="AT240" s="87"/>
      <c r="AU240" s="87"/>
      <c r="AV240" s="87"/>
      <c r="AW240" s="87"/>
      <c r="AX240" s="87"/>
      <c r="AY240" s="87"/>
      <c r="AZ240" s="87"/>
      <c r="BA240" s="87"/>
      <c r="BB240" s="87"/>
      <c r="BC240" s="87"/>
      <c r="BD240" s="87"/>
      <c r="BE240" s="125">
        <f>D240</f>
        <v>0.05</v>
      </c>
      <c r="BF240" s="125">
        <f t="shared" si="103"/>
        <v>0.05</v>
      </c>
      <c r="BG240" s="125">
        <f t="shared" si="103"/>
        <v>0.05</v>
      </c>
      <c r="BH240" s="126"/>
      <c r="BI240" s="87"/>
      <c r="BJ240" s="87"/>
      <c r="BK240" s="87"/>
      <c r="BL240" s="87"/>
      <c r="BM240" s="87"/>
      <c r="BN240" s="87"/>
      <c r="BO240" s="87"/>
      <c r="BP240" s="87"/>
      <c r="BQ240" s="87"/>
      <c r="BR240" s="87"/>
      <c r="BS240" s="87"/>
      <c r="BT240" s="87"/>
      <c r="BU240" s="87"/>
      <c r="BV240" s="87"/>
      <c r="BW240" s="125">
        <f>D240</f>
        <v>0.05</v>
      </c>
      <c r="BX240" s="125">
        <f t="shared" ref="BX240:BY240" si="105">E240</f>
        <v>0.05</v>
      </c>
      <c r="BY240" s="125">
        <f t="shared" si="105"/>
        <v>0.05</v>
      </c>
    </row>
    <row r="241" spans="3:80" s="1" customFormat="1">
      <c r="C241" s="10"/>
      <c r="D241" s="22">
        <f>SUM(D237:D240)</f>
        <v>0.49999999999999994</v>
      </c>
      <c r="E241" s="22">
        <f>SUM(E237:E240)</f>
        <v>0.49999999999999994</v>
      </c>
      <c r="F241" s="22">
        <f>SUM(F237:F240)</f>
        <v>0.15000000000000002</v>
      </c>
      <c r="R241" s="57"/>
      <c r="S241" s="57"/>
      <c r="T241" s="57"/>
      <c r="U241" s="57"/>
      <c r="V241" s="57"/>
      <c r="W241" s="57"/>
      <c r="AD241" s="139">
        <f>SUM(AD237:AD240)</f>
        <v>0.39999999999999997</v>
      </c>
      <c r="AE241" s="33">
        <f>SUM(AE237:AE240)</f>
        <v>0.39999999999999997</v>
      </c>
      <c r="AF241" s="33">
        <f>SUM(AF237:AF240)</f>
        <v>0.15000000000000002</v>
      </c>
      <c r="AJ241" s="393"/>
      <c r="BE241" s="33">
        <f>SUM(BE237:BE240)</f>
        <v>0.2</v>
      </c>
      <c r="BF241" s="33">
        <f>SUM(BF237:BF240)</f>
        <v>0.2</v>
      </c>
      <c r="BG241" s="33">
        <f>SUM(BG237:BG240)</f>
        <v>0.1</v>
      </c>
      <c r="BW241" s="33">
        <f>SUM(BW237:BW240)</f>
        <v>0.1</v>
      </c>
      <c r="BX241" s="33">
        <f>SUM(BX237:BX240)</f>
        <v>0.1</v>
      </c>
      <c r="BY241" s="33">
        <f>SUM(BY237:BY240)</f>
        <v>0.1</v>
      </c>
    </row>
    <row r="242" spans="3:80">
      <c r="C242" s="11"/>
      <c r="D242" s="18"/>
      <c r="E242" s="22">
        <f>D241-E241</f>
        <v>0</v>
      </c>
      <c r="F242" s="22">
        <f>E241-F241</f>
        <v>0.34999999999999992</v>
      </c>
    </row>
    <row r="243" spans="3:80">
      <c r="C243" s="11"/>
      <c r="D243" s="18"/>
      <c r="E243" s="18"/>
      <c r="F243" s="18"/>
    </row>
    <row r="244" spans="3:80">
      <c r="C244" s="11"/>
      <c r="D244" s="22"/>
      <c r="E244" s="21"/>
      <c r="F244" s="21"/>
    </row>
    <row r="245" spans="3:80">
      <c r="C245" s="10" t="s">
        <v>359</v>
      </c>
      <c r="D245" s="82">
        <v>3</v>
      </c>
      <c r="E245" s="16"/>
      <c r="F245" s="16"/>
    </row>
    <row r="246" spans="3:80">
      <c r="C246" s="53"/>
      <c r="D246" s="56"/>
      <c r="E246" s="54"/>
      <c r="F246" s="54"/>
    </row>
    <row r="247" spans="3:80">
      <c r="C247" s="53"/>
      <c r="D247" s="56"/>
      <c r="E247" s="54"/>
      <c r="F247" s="54"/>
    </row>
    <row r="248" spans="3:80">
      <c r="C248" s="11" t="s">
        <v>360</v>
      </c>
      <c r="D248" s="15"/>
      <c r="E248" s="15"/>
      <c r="F248" s="15"/>
    </row>
    <row r="249" spans="3:80">
      <c r="C249" s="11" t="s">
        <v>361</v>
      </c>
      <c r="D249" s="15"/>
      <c r="E249" s="15"/>
      <c r="F249" s="15"/>
    </row>
    <row r="250" spans="3:80">
      <c r="C250" s="11" t="s">
        <v>362</v>
      </c>
      <c r="D250" s="15"/>
      <c r="E250" s="15"/>
      <c r="F250" s="15"/>
    </row>
    <row r="251" spans="3:80">
      <c r="C251" s="11" t="s">
        <v>363</v>
      </c>
      <c r="D251" s="15"/>
      <c r="E251" s="15"/>
      <c r="F251" s="15"/>
    </row>
    <row r="252" spans="3:80" s="100" customFormat="1">
      <c r="C252" s="109"/>
      <c r="D252" s="168"/>
      <c r="E252" s="169"/>
      <c r="F252" s="110"/>
      <c r="AD252" s="332"/>
      <c r="AJ252" s="392"/>
    </row>
    <row r="253" spans="3:80" s="50" customFormat="1">
      <c r="C253" s="13"/>
      <c r="D253" s="170"/>
      <c r="E253" s="60"/>
      <c r="F253" s="52"/>
      <c r="AD253" s="128"/>
      <c r="AJ253" s="394"/>
    </row>
    <row r="254" spans="3:80">
      <c r="C254" s="11"/>
      <c r="D254" s="22"/>
      <c r="E254" s="21"/>
      <c r="F254" s="21"/>
    </row>
    <row r="255" spans="3:80" ht="15" customHeight="1">
      <c r="C255" s="11"/>
      <c r="D255" s="22"/>
      <c r="E255" s="21"/>
      <c r="F255" s="21"/>
      <c r="I255" s="893" t="s">
        <v>1037</v>
      </c>
      <c r="J255" s="893"/>
      <c r="K255" s="893"/>
      <c r="L255" s="893"/>
      <c r="M255" s="893"/>
      <c r="N255" s="893"/>
      <c r="O255" s="893"/>
      <c r="P255" s="893"/>
      <c r="Q255" s="893"/>
      <c r="R255" s="893"/>
      <c r="S255" s="893"/>
      <c r="T255" s="893"/>
      <c r="U255" s="893"/>
      <c r="V255" s="893"/>
      <c r="W255" s="893"/>
      <c r="X255" s="893"/>
      <c r="Y255" s="893"/>
      <c r="AE255" s="918" t="s">
        <v>349</v>
      </c>
      <c r="AF255" s="918"/>
      <c r="AG255" s="918"/>
      <c r="AH255" s="918"/>
      <c r="AI255" s="918"/>
      <c r="AJ255" s="918"/>
      <c r="AK255" s="918"/>
      <c r="AL255" s="918"/>
      <c r="AM255" s="918"/>
      <c r="AN255" s="918"/>
      <c r="AO255" s="918"/>
      <c r="AP255" s="918"/>
      <c r="AQ255" s="918"/>
      <c r="AR255" s="918"/>
      <c r="AS255" s="918"/>
      <c r="AT255" s="918"/>
      <c r="AU255" s="918"/>
      <c r="AV255" s="918"/>
      <c r="AW255" s="918"/>
      <c r="AX255" s="918"/>
      <c r="AY255" s="918"/>
      <c r="AZ255" s="918"/>
      <c r="BA255" s="918"/>
      <c r="BB255" s="918"/>
      <c r="BC255" s="918"/>
      <c r="BD255" s="918"/>
      <c r="BE255" s="918"/>
      <c r="BF255" s="918"/>
      <c r="BG255" s="918"/>
      <c r="BH255" s="918"/>
      <c r="BI255" s="918"/>
      <c r="BJ255" s="918"/>
      <c r="BK255" s="918"/>
      <c r="BL255" s="918"/>
      <c r="BM255" s="918"/>
      <c r="BN255" s="918"/>
      <c r="BO255" s="918"/>
      <c r="BP255" s="918"/>
      <c r="BQ255" s="918"/>
      <c r="BR255" s="918"/>
      <c r="BS255" s="918"/>
      <c r="BT255" s="918"/>
      <c r="BU255" s="918"/>
      <c r="BV255" s="918"/>
      <c r="BW255" s="918"/>
      <c r="BX255" s="918"/>
      <c r="BY255" s="918"/>
      <c r="BZ255" s="239"/>
      <c r="CA255" s="239"/>
      <c r="CB255" s="239"/>
    </row>
    <row r="256" spans="3:80" ht="15" customHeight="1">
      <c r="C256" s="11"/>
      <c r="D256" s="22"/>
      <c r="E256" s="21"/>
      <c r="F256" s="21"/>
      <c r="I256" s="892" t="s">
        <v>1039</v>
      </c>
      <c r="J256" s="892"/>
      <c r="K256" s="892"/>
      <c r="L256" s="892"/>
      <c r="M256" s="892"/>
      <c r="N256" s="892"/>
      <c r="O256" s="892"/>
      <c r="P256" s="892"/>
      <c r="Q256" s="892"/>
      <c r="R256" s="892"/>
      <c r="S256" s="892"/>
      <c r="T256" s="892"/>
      <c r="U256" s="892"/>
      <c r="V256" s="892"/>
      <c r="W256" s="892"/>
      <c r="X256" s="892"/>
      <c r="Y256" s="95"/>
      <c r="AE256" s="339" t="s">
        <v>716</v>
      </c>
      <c r="AF256" s="95"/>
      <c r="AG256" s="95"/>
      <c r="AH256" s="95"/>
      <c r="AI256" s="403"/>
      <c r="AJ256" s="95"/>
      <c r="AK256" s="95"/>
      <c r="AL256" s="95"/>
      <c r="AM256" s="95"/>
      <c r="AN256" s="95"/>
      <c r="AO256" s="95"/>
      <c r="AP256" s="95"/>
      <c r="AQ256" s="95"/>
      <c r="AR256" s="95"/>
      <c r="AS256" s="95"/>
      <c r="AT256" s="95"/>
      <c r="AU256" s="95"/>
      <c r="AV256" s="95"/>
      <c r="AW256" s="95"/>
      <c r="AX256" s="95"/>
      <c r="AY256" s="95"/>
      <c r="AZ256" s="95"/>
      <c r="BA256" s="95"/>
      <c r="BB256" s="95"/>
      <c r="BC256" s="95"/>
      <c r="BD256" s="95"/>
      <c r="BE256" s="95"/>
      <c r="BF256" s="95"/>
      <c r="BG256" s="95"/>
      <c r="BH256" s="95"/>
      <c r="BI256" s="95"/>
      <c r="BJ256" s="95"/>
      <c r="BK256" s="95"/>
      <c r="BL256" s="95"/>
      <c r="BM256" s="95"/>
      <c r="BN256" s="95"/>
      <c r="BO256" s="95"/>
      <c r="BP256" s="95"/>
      <c r="BQ256" s="95"/>
      <c r="BR256" s="95"/>
      <c r="BS256" s="95"/>
      <c r="BT256" s="95"/>
      <c r="BU256" s="95"/>
      <c r="BV256" s="95"/>
      <c r="BW256" s="95"/>
      <c r="BX256" s="95"/>
      <c r="BY256" s="95"/>
      <c r="BZ256" s="64"/>
      <c r="CA256" s="64"/>
      <c r="CB256" s="64"/>
    </row>
    <row r="257" spans="2:80" ht="15" customHeight="1">
      <c r="C257" s="11"/>
      <c r="D257" s="15"/>
      <c r="E257" s="15"/>
      <c r="F257" s="15"/>
      <c r="I257" s="837" t="s">
        <v>1045</v>
      </c>
      <c r="J257" s="837"/>
      <c r="K257" s="93"/>
      <c r="L257" s="837" t="s">
        <v>1046</v>
      </c>
      <c r="M257" s="837"/>
      <c r="N257" s="93"/>
      <c r="O257" s="837" t="s">
        <v>350</v>
      </c>
      <c r="P257" s="837"/>
      <c r="Q257" s="278"/>
      <c r="R257" s="892" t="s">
        <v>351</v>
      </c>
      <c r="S257" s="892"/>
      <c r="T257" s="94"/>
      <c r="U257" s="837" t="s">
        <v>352</v>
      </c>
      <c r="V257" s="837"/>
      <c r="W257" s="93"/>
      <c r="X257" s="837" t="s">
        <v>1047</v>
      </c>
      <c r="Y257" s="837"/>
      <c r="AE257" s="837" t="s">
        <v>1049</v>
      </c>
      <c r="AF257" s="837"/>
      <c r="AG257" s="93"/>
      <c r="AH257" s="837" t="s">
        <v>1050</v>
      </c>
      <c r="AI257" s="837"/>
      <c r="AJ257" s="93"/>
      <c r="AK257" s="837" t="s">
        <v>1051</v>
      </c>
      <c r="AL257" s="837"/>
      <c r="AM257" s="93"/>
      <c r="AN257" s="837" t="s">
        <v>1052</v>
      </c>
      <c r="AO257" s="837"/>
      <c r="AP257" s="93"/>
      <c r="AQ257" s="837" t="s">
        <v>1053</v>
      </c>
      <c r="AR257" s="837"/>
      <c r="AS257" s="93"/>
      <c r="AT257" s="837" t="s">
        <v>1054</v>
      </c>
      <c r="AU257" s="837"/>
      <c r="AV257" s="93"/>
      <c r="AW257" s="837" t="s">
        <v>1055</v>
      </c>
      <c r="AX257" s="837"/>
      <c r="AY257" s="93"/>
      <c r="AZ257" s="837" t="s">
        <v>1056</v>
      </c>
      <c r="BA257" s="837"/>
      <c r="BB257" s="93"/>
      <c r="BC257" s="892" t="s">
        <v>1057</v>
      </c>
      <c r="BD257" s="892"/>
      <c r="BE257" s="94"/>
      <c r="BF257" s="837" t="s">
        <v>1058</v>
      </c>
      <c r="BG257" s="837"/>
      <c r="BH257" s="171"/>
      <c r="BI257" s="920" t="s">
        <v>1059</v>
      </c>
      <c r="BJ257" s="920"/>
      <c r="BK257" s="171"/>
      <c r="BL257" s="920" t="s">
        <v>1060</v>
      </c>
      <c r="BM257" s="920"/>
      <c r="BN257" s="171"/>
      <c r="BO257" s="920" t="s">
        <v>1061</v>
      </c>
      <c r="BP257" s="920"/>
      <c r="BQ257" s="171"/>
      <c r="BR257" s="920" t="s">
        <v>1062</v>
      </c>
      <c r="BS257" s="920"/>
      <c r="BT257" s="171"/>
      <c r="BU257" s="920" t="s">
        <v>1063</v>
      </c>
      <c r="BV257" s="920"/>
      <c r="BW257" s="829" t="s">
        <v>1064</v>
      </c>
      <c r="BX257" s="830"/>
      <c r="BY257" s="831"/>
      <c r="BZ257" s="96"/>
      <c r="CA257" s="925"/>
      <c r="CB257" s="925"/>
    </row>
    <row r="258" spans="2:80" ht="28.8">
      <c r="B258" s="519" t="s">
        <v>1079</v>
      </c>
      <c r="C258" s="469" t="s">
        <v>1125</v>
      </c>
      <c r="D258" s="16" t="s">
        <v>353</v>
      </c>
      <c r="E258" s="16" t="s">
        <v>354</v>
      </c>
      <c r="F258" s="16" t="s">
        <v>355</v>
      </c>
      <c r="I258" s="171" t="s">
        <v>1080</v>
      </c>
      <c r="J258" s="95" t="s">
        <v>1081</v>
      </c>
      <c r="K258" s="95"/>
      <c r="L258" s="95" t="s">
        <v>1080</v>
      </c>
      <c r="M258" s="95" t="s">
        <v>1081</v>
      </c>
      <c r="N258" s="95"/>
      <c r="O258" s="95" t="s">
        <v>1080</v>
      </c>
      <c r="P258" s="95" t="s">
        <v>1081</v>
      </c>
      <c r="Q258" s="95" t="s">
        <v>1081</v>
      </c>
      <c r="R258" s="95" t="s">
        <v>1080</v>
      </c>
      <c r="S258" s="95" t="s">
        <v>1081</v>
      </c>
      <c r="T258" s="95"/>
      <c r="U258" s="95" t="s">
        <v>1080</v>
      </c>
      <c r="V258" s="95" t="s">
        <v>1081</v>
      </c>
      <c r="W258" s="95"/>
      <c r="X258" s="95" t="s">
        <v>1080</v>
      </c>
      <c r="Y258" s="95" t="s">
        <v>1081</v>
      </c>
      <c r="AE258" s="340" t="s">
        <v>1080</v>
      </c>
      <c r="AF258" s="95" t="s">
        <v>1081</v>
      </c>
      <c r="AG258" s="95"/>
      <c r="AH258" s="95" t="s">
        <v>1080</v>
      </c>
      <c r="AI258" s="403" t="s">
        <v>1081</v>
      </c>
      <c r="AJ258" s="95"/>
      <c r="AK258" s="95" t="s">
        <v>1080</v>
      </c>
      <c r="AL258" s="95" t="s">
        <v>1081</v>
      </c>
      <c r="AM258" s="95"/>
      <c r="AN258" s="95" t="s">
        <v>1080</v>
      </c>
      <c r="AO258" s="95" t="s">
        <v>1081</v>
      </c>
      <c r="AP258" s="95"/>
      <c r="AQ258" s="95" t="s">
        <v>1080</v>
      </c>
      <c r="AR258" s="95" t="s">
        <v>1081</v>
      </c>
      <c r="AS258" s="95"/>
      <c r="AT258" s="95" t="s">
        <v>1080</v>
      </c>
      <c r="AU258" s="95" t="s">
        <v>1081</v>
      </c>
      <c r="AV258" s="95"/>
      <c r="AW258" s="95" t="s">
        <v>1080</v>
      </c>
      <c r="AX258" s="95" t="s">
        <v>1081</v>
      </c>
      <c r="AY258" s="95"/>
      <c r="AZ258" s="95" t="s">
        <v>1080</v>
      </c>
      <c r="BA258" s="95" t="s">
        <v>1081</v>
      </c>
      <c r="BB258" s="95"/>
      <c r="BC258" s="95" t="s">
        <v>1080</v>
      </c>
      <c r="BD258" s="95" t="s">
        <v>1081</v>
      </c>
      <c r="BE258" s="95"/>
      <c r="BF258" s="95" t="s">
        <v>1080</v>
      </c>
      <c r="BG258" s="95" t="s">
        <v>1081</v>
      </c>
      <c r="BH258" s="95"/>
      <c r="BI258" s="95" t="s">
        <v>1080</v>
      </c>
      <c r="BJ258" s="95" t="s">
        <v>1081</v>
      </c>
      <c r="BK258" s="95"/>
      <c r="BL258" s="95" t="s">
        <v>1080</v>
      </c>
      <c r="BM258" s="95" t="s">
        <v>1081</v>
      </c>
      <c r="BN258" s="95"/>
      <c r="BO258" s="95" t="s">
        <v>1080</v>
      </c>
      <c r="BP258" s="95" t="s">
        <v>1081</v>
      </c>
      <c r="BQ258" s="95"/>
      <c r="BR258" s="95" t="s">
        <v>1080</v>
      </c>
      <c r="BS258" s="95" t="s">
        <v>1081</v>
      </c>
      <c r="BT258" s="95"/>
      <c r="BU258" s="95" t="s">
        <v>1080</v>
      </c>
      <c r="BV258" s="95" t="s">
        <v>1081</v>
      </c>
      <c r="BW258" s="95"/>
      <c r="BX258" s="95" t="s">
        <v>1080</v>
      </c>
      <c r="BY258" s="95" t="s">
        <v>1081</v>
      </c>
      <c r="BZ258" s="64"/>
      <c r="CA258" s="83"/>
      <c r="CB258" s="83"/>
    </row>
    <row r="259" spans="2:80">
      <c r="C259" s="187" t="s">
        <v>1126</v>
      </c>
      <c r="D259" s="18">
        <v>0.05</v>
      </c>
      <c r="E259" s="18">
        <v>0.05</v>
      </c>
      <c r="F259" s="18">
        <v>0.05</v>
      </c>
      <c r="I259" s="87"/>
      <c r="J259" s="87"/>
      <c r="K259" s="87"/>
      <c r="L259" s="87"/>
      <c r="M259" s="87"/>
      <c r="N259" s="87"/>
      <c r="O259" s="87"/>
      <c r="P259" s="87"/>
      <c r="Q259" s="125"/>
      <c r="R259" s="125"/>
      <c r="S259" s="125"/>
      <c r="T259" s="125"/>
      <c r="U259" s="125"/>
      <c r="V259" s="125"/>
      <c r="W259" s="87"/>
      <c r="X259" s="87"/>
      <c r="Y259" s="87"/>
      <c r="AD259" s="125">
        <f>D259</f>
        <v>0.05</v>
      </c>
      <c r="AE259" s="125">
        <f t="shared" ref="AE259:AF261" si="106">E259</f>
        <v>0.05</v>
      </c>
      <c r="AF259" s="125">
        <f t="shared" si="106"/>
        <v>0.05</v>
      </c>
      <c r="AG259" s="437"/>
      <c r="AH259" s="87"/>
      <c r="AI259" s="134"/>
      <c r="AJ259" s="87"/>
      <c r="AK259" s="87"/>
      <c r="AL259" s="87"/>
      <c r="AM259" s="87"/>
      <c r="AN259" s="87"/>
      <c r="AO259" s="87"/>
      <c r="AP259" s="87"/>
      <c r="AQ259" s="87"/>
      <c r="AR259" s="87"/>
      <c r="AS259" s="87"/>
      <c r="AT259" s="87"/>
      <c r="AU259" s="87"/>
      <c r="AV259" s="87"/>
      <c r="AW259" s="87"/>
      <c r="AX259" s="87"/>
      <c r="AY259" s="87"/>
      <c r="AZ259" s="87"/>
      <c r="BA259" s="87"/>
      <c r="BB259" s="87"/>
      <c r="BC259" s="87"/>
      <c r="BD259" s="87"/>
      <c r="BE259" s="125">
        <f t="shared" ref="BE259:BG259" si="107">D259</f>
        <v>0.05</v>
      </c>
      <c r="BF259" s="437">
        <f t="shared" si="107"/>
        <v>0.05</v>
      </c>
      <c r="BG259" s="437">
        <f t="shared" si="107"/>
        <v>0.05</v>
      </c>
      <c r="BH259" s="437"/>
      <c r="BI259" s="87"/>
      <c r="BJ259" s="87"/>
      <c r="BK259" s="87"/>
      <c r="BL259" s="87"/>
      <c r="BM259" s="87"/>
      <c r="BN259" s="87"/>
      <c r="BO259" s="87"/>
      <c r="BP259" s="87"/>
      <c r="BQ259" s="87"/>
      <c r="BR259" s="87"/>
      <c r="BS259" s="87"/>
      <c r="BT259" s="87"/>
      <c r="BU259" s="87"/>
      <c r="BV259" s="87"/>
      <c r="BW259" s="125">
        <f>D259</f>
        <v>0.05</v>
      </c>
      <c r="BX259" s="125">
        <f t="shared" ref="BX259:BY259" si="108">E259</f>
        <v>0.05</v>
      </c>
      <c r="BY259" s="125">
        <f t="shared" si="108"/>
        <v>0.05</v>
      </c>
    </row>
    <row r="260" spans="2:80">
      <c r="C260" s="187" t="s">
        <v>1127</v>
      </c>
      <c r="D260" s="18">
        <v>0.1</v>
      </c>
      <c r="E260" s="18">
        <v>0.1</v>
      </c>
      <c r="F260" s="18">
        <v>0.1</v>
      </c>
      <c r="I260" s="87"/>
      <c r="J260" s="87"/>
      <c r="K260" s="87"/>
      <c r="L260" s="87"/>
      <c r="M260" s="87"/>
      <c r="N260" s="87"/>
      <c r="O260" s="87"/>
      <c r="P260" s="87"/>
      <c r="Q260" s="125"/>
      <c r="R260" s="125"/>
      <c r="S260" s="125"/>
      <c r="T260" s="125"/>
      <c r="U260" s="125"/>
      <c r="V260" s="125"/>
      <c r="W260" s="87"/>
      <c r="X260" s="87"/>
      <c r="Y260" s="87"/>
      <c r="AD260" s="125">
        <f>D260</f>
        <v>0.1</v>
      </c>
      <c r="AE260" s="125">
        <f t="shared" si="106"/>
        <v>0.1</v>
      </c>
      <c r="AF260" s="125">
        <f t="shared" si="106"/>
        <v>0.1</v>
      </c>
      <c r="AG260" s="125"/>
      <c r="AH260" s="87"/>
      <c r="AI260" s="134"/>
      <c r="AJ260" s="87"/>
      <c r="AK260" s="87"/>
      <c r="AL260" s="87"/>
      <c r="AM260" s="87"/>
      <c r="AN260" s="87"/>
      <c r="AO260" s="87"/>
      <c r="AP260" s="87"/>
      <c r="AQ260" s="87"/>
      <c r="AR260" s="87"/>
      <c r="AS260" s="87"/>
      <c r="AT260" s="87"/>
      <c r="AU260" s="87"/>
      <c r="AV260" s="87"/>
      <c r="AW260" s="87"/>
      <c r="AX260" s="87"/>
      <c r="AY260" s="87"/>
      <c r="AZ260" s="87"/>
      <c r="BA260" s="87"/>
      <c r="BB260" s="87"/>
      <c r="BC260" s="87"/>
      <c r="BD260" s="87"/>
      <c r="BE260" s="125">
        <f>D260</f>
        <v>0.1</v>
      </c>
      <c r="BF260" s="125">
        <f t="shared" ref="BF260:BG260" si="109">E260</f>
        <v>0.1</v>
      </c>
      <c r="BG260" s="125">
        <f t="shared" si="109"/>
        <v>0.1</v>
      </c>
      <c r="BH260" s="125"/>
      <c r="BI260" s="87"/>
      <c r="BJ260" s="87"/>
      <c r="BK260" s="87"/>
      <c r="BL260" s="87"/>
      <c r="BM260" s="87"/>
      <c r="BN260" s="87"/>
      <c r="BO260" s="87"/>
      <c r="BP260" s="87"/>
      <c r="BQ260" s="87"/>
      <c r="BR260" s="87"/>
      <c r="BS260" s="87"/>
      <c r="BT260" s="87"/>
      <c r="BU260" s="87"/>
      <c r="BV260" s="87"/>
      <c r="BW260" s="87"/>
      <c r="BX260" s="87"/>
      <c r="BY260" s="87"/>
    </row>
    <row r="261" spans="2:80">
      <c r="C261" s="187" t="s">
        <v>1128</v>
      </c>
      <c r="D261" s="18">
        <v>0.3</v>
      </c>
      <c r="E261" s="18">
        <v>0.3</v>
      </c>
      <c r="F261" s="18">
        <v>0.3</v>
      </c>
      <c r="I261" s="87"/>
      <c r="J261" s="87"/>
      <c r="K261" s="87"/>
      <c r="L261" s="87"/>
      <c r="M261" s="87"/>
      <c r="N261" s="87"/>
      <c r="O261" s="87"/>
      <c r="P261" s="87"/>
      <c r="Q261" s="125"/>
      <c r="R261" s="125"/>
      <c r="S261" s="125"/>
      <c r="T261" s="125"/>
      <c r="U261" s="125"/>
      <c r="V261" s="125"/>
      <c r="W261" s="87"/>
      <c r="X261" s="87"/>
      <c r="Y261" s="87"/>
      <c r="AD261" s="125">
        <f>D261</f>
        <v>0.3</v>
      </c>
      <c r="AE261" s="125">
        <f t="shared" si="106"/>
        <v>0.3</v>
      </c>
      <c r="AF261" s="125">
        <f t="shared" si="106"/>
        <v>0.3</v>
      </c>
      <c r="AG261" s="131"/>
      <c r="AH261" s="130"/>
      <c r="AI261" s="405"/>
      <c r="AJ261" s="130"/>
      <c r="AK261" s="130"/>
      <c r="AL261" s="130"/>
      <c r="AM261" s="130"/>
      <c r="AN261" s="130"/>
      <c r="AO261" s="130"/>
      <c r="AP261" s="130"/>
      <c r="AQ261" s="130"/>
      <c r="AR261" s="130"/>
      <c r="AS261" s="130"/>
      <c r="AT261" s="130"/>
      <c r="AU261" s="130"/>
      <c r="AV261" s="130"/>
      <c r="AW261" s="130"/>
      <c r="AX261" s="130"/>
      <c r="AY261" s="130"/>
      <c r="AZ261" s="130"/>
      <c r="BA261" s="130"/>
      <c r="BB261" s="130"/>
      <c r="BC261" s="130"/>
      <c r="BD261" s="130"/>
      <c r="BE261" s="130"/>
      <c r="BF261" s="131"/>
      <c r="BG261" s="131"/>
      <c r="BH261" s="131"/>
      <c r="BI261" s="130"/>
      <c r="BJ261" s="130"/>
      <c r="BK261" s="130"/>
      <c r="BL261" s="130"/>
      <c r="BM261" s="130"/>
      <c r="BN261" s="130"/>
      <c r="BO261" s="130"/>
      <c r="BP261" s="130"/>
      <c r="BQ261" s="130"/>
      <c r="BR261" s="130"/>
      <c r="BS261" s="130"/>
      <c r="BT261" s="130"/>
      <c r="BU261" s="130"/>
      <c r="BV261" s="130"/>
      <c r="BW261" s="130"/>
      <c r="BX261" s="130"/>
      <c r="BY261" s="130"/>
    </row>
    <row r="262" spans="2:80">
      <c r="C262" s="187" t="s">
        <v>1129</v>
      </c>
      <c r="D262" s="18">
        <v>0.1</v>
      </c>
      <c r="E262" s="18">
        <v>0.1</v>
      </c>
      <c r="F262" s="18">
        <v>0.1</v>
      </c>
      <c r="I262" s="87"/>
      <c r="J262" s="87"/>
      <c r="K262" s="87"/>
      <c r="L262" s="87"/>
      <c r="M262" s="87"/>
      <c r="N262" s="87"/>
      <c r="O262" s="87"/>
      <c r="P262" s="87"/>
      <c r="Q262" s="125"/>
      <c r="R262" s="125"/>
      <c r="S262" s="125"/>
      <c r="T262" s="125"/>
      <c r="U262" s="125"/>
      <c r="V262" s="125"/>
      <c r="W262" s="87"/>
      <c r="X262" s="87"/>
      <c r="Y262" s="87"/>
      <c r="AE262" s="165"/>
      <c r="AF262" s="125"/>
      <c r="AG262" s="125"/>
      <c r="AH262" s="87"/>
      <c r="AI262" s="134"/>
      <c r="AJ262" s="87"/>
      <c r="AK262" s="87"/>
      <c r="AL262" s="87"/>
      <c r="AM262" s="87"/>
      <c r="AN262" s="87"/>
      <c r="AO262" s="87"/>
      <c r="AP262" s="87"/>
      <c r="AQ262" s="87"/>
      <c r="AR262" s="87"/>
      <c r="AS262" s="87"/>
      <c r="AT262" s="87"/>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row>
    <row r="263" spans="2:80">
      <c r="C263" s="465" t="s">
        <v>1115</v>
      </c>
      <c r="D263" s="22">
        <v>0.05</v>
      </c>
      <c r="E263" s="22">
        <v>0.05</v>
      </c>
      <c r="F263" s="22">
        <v>0.05</v>
      </c>
      <c r="I263" s="87"/>
      <c r="J263" s="87"/>
      <c r="K263" s="87"/>
      <c r="L263" s="87"/>
      <c r="M263" s="87"/>
      <c r="N263" s="87"/>
      <c r="O263" s="87"/>
      <c r="P263" s="87"/>
      <c r="Q263" s="125"/>
      <c r="R263" s="125"/>
      <c r="S263" s="125"/>
      <c r="T263" s="125"/>
      <c r="U263" s="125"/>
      <c r="V263" s="125"/>
      <c r="W263" s="87"/>
      <c r="X263" s="87"/>
      <c r="Y263" s="87"/>
      <c r="AD263" s="125">
        <f>D263</f>
        <v>0.05</v>
      </c>
      <c r="AE263" s="125">
        <f t="shared" ref="AE263:AF263" si="110">E263</f>
        <v>0.05</v>
      </c>
      <c r="AF263" s="125">
        <f t="shared" si="110"/>
        <v>0.05</v>
      </c>
      <c r="AG263" s="126"/>
      <c r="AH263" s="87"/>
      <c r="AI263" s="134"/>
      <c r="AJ263" s="87"/>
      <c r="AK263" s="87"/>
      <c r="AL263" s="87"/>
      <c r="AM263" s="87"/>
      <c r="AN263" s="87"/>
      <c r="AO263" s="87"/>
      <c r="AP263" s="87"/>
      <c r="AQ263" s="87"/>
      <c r="AR263" s="87"/>
      <c r="AS263" s="87"/>
      <c r="AT263" s="87"/>
      <c r="AU263" s="87"/>
      <c r="AV263" s="87"/>
      <c r="AW263" s="87"/>
      <c r="AX263" s="87"/>
      <c r="AY263" s="87"/>
      <c r="AZ263" s="87"/>
      <c r="BA263" s="87"/>
      <c r="BB263" s="87"/>
      <c r="BC263" s="87"/>
      <c r="BD263" s="87"/>
      <c r="BE263" s="125">
        <f>D263</f>
        <v>0.05</v>
      </c>
      <c r="BF263" s="126">
        <f>E263</f>
        <v>0.05</v>
      </c>
      <c r="BG263" s="126">
        <f>F263</f>
        <v>0.05</v>
      </c>
      <c r="BH263" s="126"/>
      <c r="BI263" s="87"/>
      <c r="BJ263" s="87"/>
      <c r="BK263" s="87"/>
      <c r="BL263" s="87"/>
      <c r="BM263" s="87"/>
      <c r="BN263" s="87"/>
      <c r="BO263" s="87"/>
      <c r="BP263" s="87"/>
      <c r="BQ263" s="87"/>
      <c r="BR263" s="87"/>
      <c r="BS263" s="87"/>
      <c r="BT263" s="87"/>
      <c r="BU263" s="87"/>
      <c r="BV263" s="87"/>
      <c r="BW263" s="125">
        <f>D263</f>
        <v>0.05</v>
      </c>
      <c r="BX263" s="125">
        <f t="shared" ref="BX263:BY263" si="111">E263</f>
        <v>0.05</v>
      </c>
      <c r="BY263" s="125">
        <f t="shared" si="111"/>
        <v>0.05</v>
      </c>
    </row>
    <row r="264" spans="2:80" s="1" customFormat="1">
      <c r="C264" s="10"/>
      <c r="D264" s="22">
        <f>SUM(D259:D263)</f>
        <v>0.60000000000000009</v>
      </c>
      <c r="E264" s="22">
        <f>SUM(E259:E263)</f>
        <v>0.60000000000000009</v>
      </c>
      <c r="F264" s="22">
        <f>SUM(F259:F263)</f>
        <v>0.60000000000000009</v>
      </c>
      <c r="Q264" s="33">
        <f t="shared" ref="Q264:V264" si="112">SUM(Q259:Q263)</f>
        <v>0</v>
      </c>
      <c r="R264" s="33">
        <f t="shared" si="112"/>
        <v>0</v>
      </c>
      <c r="S264" s="33">
        <f t="shared" si="112"/>
        <v>0</v>
      </c>
      <c r="T264" s="33">
        <f t="shared" si="112"/>
        <v>0</v>
      </c>
      <c r="U264" s="33">
        <f t="shared" si="112"/>
        <v>0</v>
      </c>
      <c r="V264" s="33">
        <f t="shared" si="112"/>
        <v>0</v>
      </c>
      <c r="AD264" s="139">
        <f>SUM(AD259:AD263)</f>
        <v>0.5</v>
      </c>
      <c r="AE264" s="33">
        <f>SUM(AE259:AE263)</f>
        <v>0.5</v>
      </c>
      <c r="AF264" s="33">
        <f>SUM(AF259:AF263)</f>
        <v>0.5</v>
      </c>
      <c r="AJ264" s="393"/>
      <c r="BE264" s="33">
        <f>SUM(BE259:BE263)</f>
        <v>0.2</v>
      </c>
      <c r="BF264" s="440">
        <f>SUM(BF259:BF263)</f>
        <v>0.2</v>
      </c>
      <c r="BG264" s="440">
        <f>SUM(BG259:BG263)</f>
        <v>0.2</v>
      </c>
      <c r="BW264" s="33">
        <f>SUM(BW259:BW263)</f>
        <v>0.1</v>
      </c>
      <c r="BX264" s="33">
        <f>SUM(BX259:BX263)</f>
        <v>0.1</v>
      </c>
      <c r="BY264" s="33">
        <f>SUM(BY259:BY263)</f>
        <v>0.1</v>
      </c>
    </row>
    <row r="265" spans="2:80">
      <c r="C265" s="11"/>
      <c r="D265" s="18"/>
      <c r="E265" s="18">
        <f>D264-E264</f>
        <v>0</v>
      </c>
      <c r="F265" s="18">
        <f>E264-F264</f>
        <v>0</v>
      </c>
    </row>
    <row r="266" spans="2:80">
      <c r="C266" s="11"/>
      <c r="D266" s="18"/>
      <c r="E266" s="18"/>
      <c r="F266" s="18"/>
    </row>
    <row r="267" spans="2:80">
      <c r="C267" s="11"/>
      <c r="D267" s="22"/>
      <c r="E267" s="21"/>
      <c r="F267" s="21"/>
    </row>
    <row r="268" spans="2:80">
      <c r="C268" s="12" t="s">
        <v>359</v>
      </c>
      <c r="D268" s="25">
        <v>3</v>
      </c>
      <c r="E268" s="26"/>
      <c r="F268" s="26"/>
    </row>
    <row r="269" spans="2:80">
      <c r="C269" s="53"/>
      <c r="D269" s="56"/>
      <c r="E269" s="54"/>
      <c r="F269" s="54"/>
    </row>
    <row r="270" spans="2:80">
      <c r="C270" s="53"/>
      <c r="D270" s="56"/>
      <c r="E270" s="54"/>
      <c r="F270" s="54"/>
    </row>
    <row r="271" spans="2:80">
      <c r="C271" s="11" t="s">
        <v>360</v>
      </c>
      <c r="D271" s="15"/>
      <c r="E271" s="15"/>
      <c r="F271" s="15"/>
    </row>
    <row r="272" spans="2:80">
      <c r="C272" s="11" t="s">
        <v>361</v>
      </c>
      <c r="D272" s="15"/>
      <c r="E272" s="15"/>
      <c r="F272" s="15"/>
    </row>
    <row r="273" spans="2:81">
      <c r="C273" s="11" t="s">
        <v>362</v>
      </c>
      <c r="D273" s="15"/>
      <c r="E273" s="15"/>
      <c r="F273" s="15"/>
    </row>
    <row r="274" spans="2:81">
      <c r="C274" s="11" t="s">
        <v>363</v>
      </c>
      <c r="D274" s="15"/>
      <c r="E274" s="15"/>
      <c r="F274" s="15"/>
    </row>
    <row r="275" spans="2:81">
      <c r="C275" s="109"/>
      <c r="D275" s="168"/>
      <c r="E275" s="169"/>
      <c r="F275" s="110"/>
      <c r="G275" s="100"/>
      <c r="H275" s="100"/>
      <c r="I275" s="100"/>
      <c r="J275" s="100"/>
      <c r="K275" s="100"/>
      <c r="L275" s="100"/>
      <c r="M275" s="100"/>
      <c r="N275" s="100"/>
      <c r="O275" s="100"/>
      <c r="P275" s="100"/>
      <c r="Q275" s="100"/>
      <c r="R275" s="100"/>
      <c r="S275" s="100"/>
      <c r="T275" s="100"/>
      <c r="U275" s="100"/>
      <c r="V275" s="100"/>
      <c r="W275" s="100"/>
      <c r="X275" s="100"/>
      <c r="Y275" s="100"/>
      <c r="Z275" s="100"/>
      <c r="AA275" s="100"/>
      <c r="AB275" s="100"/>
      <c r="AC275" s="100"/>
      <c r="AD275" s="332"/>
      <c r="AE275" s="100"/>
      <c r="AF275" s="100"/>
      <c r="AG275" s="100"/>
      <c r="AH275" s="100"/>
      <c r="AI275" s="100"/>
      <c r="AJ275" s="392"/>
      <c r="AK275" s="100"/>
      <c r="AL275" s="100"/>
      <c r="AM275" s="100"/>
      <c r="AN275" s="100"/>
      <c r="AO275" s="100"/>
      <c r="AP275" s="100"/>
      <c r="AQ275" s="100"/>
      <c r="AR275" s="100"/>
      <c r="AS275" s="100"/>
      <c r="AT275" s="100"/>
      <c r="AU275" s="100"/>
      <c r="AV275" s="100"/>
      <c r="AW275" s="100"/>
      <c r="AX275" s="100"/>
      <c r="AY275" s="100"/>
      <c r="AZ275" s="100"/>
      <c r="BA275" s="100"/>
      <c r="BB275" s="100"/>
      <c r="BC275" s="100"/>
      <c r="BD275" s="100"/>
      <c r="BE275" s="100"/>
      <c r="BF275" s="100"/>
      <c r="BG275" s="100"/>
      <c r="BH275" s="100"/>
      <c r="BI275" s="100"/>
      <c r="BJ275" s="100"/>
      <c r="BK275" s="100"/>
      <c r="BL275" s="100"/>
      <c r="BM275" s="100"/>
      <c r="BN275" s="100"/>
      <c r="BO275" s="100"/>
      <c r="BP275" s="100"/>
      <c r="BQ275" s="100"/>
      <c r="BR275" s="100"/>
      <c r="BS275" s="100"/>
      <c r="BT275" s="100"/>
      <c r="BU275" s="100"/>
      <c r="BV275" s="100"/>
      <c r="BW275" s="100"/>
      <c r="BX275" s="100"/>
      <c r="BY275" s="100"/>
      <c r="BZ275" s="100"/>
      <c r="CA275" s="100"/>
      <c r="CB275" s="100"/>
      <c r="CC275" s="100"/>
    </row>
    <row r="276" spans="2:81">
      <c r="C276" s="11"/>
      <c r="D276" s="22"/>
      <c r="E276" s="18"/>
      <c r="F276" s="15"/>
    </row>
    <row r="277" spans="2:81" ht="15" customHeight="1">
      <c r="C277" s="11"/>
      <c r="D277" s="22"/>
      <c r="E277" s="18"/>
      <c r="F277" s="15"/>
      <c r="I277" s="893" t="s">
        <v>1037</v>
      </c>
      <c r="J277" s="893"/>
      <c r="K277" s="893"/>
      <c r="L277" s="893"/>
      <c r="M277" s="893"/>
      <c r="N277" s="893"/>
      <c r="O277" s="893"/>
      <c r="P277" s="893"/>
      <c r="Q277" s="893"/>
      <c r="R277" s="893"/>
      <c r="S277" s="893"/>
      <c r="T277" s="893"/>
      <c r="U277" s="893"/>
      <c r="V277" s="893"/>
      <c r="W277" s="893"/>
      <c r="X277" s="893"/>
      <c r="Y277" s="893"/>
      <c r="AE277" s="918" t="s">
        <v>349</v>
      </c>
      <c r="AF277" s="918"/>
      <c r="AG277" s="918"/>
      <c r="AH277" s="918"/>
      <c r="AI277" s="918"/>
      <c r="AJ277" s="918"/>
      <c r="AK277" s="918"/>
      <c r="AL277" s="918"/>
      <c r="AM277" s="918"/>
      <c r="AN277" s="918"/>
      <c r="AO277" s="918"/>
      <c r="AP277" s="918"/>
      <c r="AQ277" s="918"/>
      <c r="AR277" s="918"/>
      <c r="AS277" s="918"/>
      <c r="AT277" s="918"/>
      <c r="AU277" s="918"/>
      <c r="AV277" s="918"/>
      <c r="AW277" s="918"/>
      <c r="AX277" s="918"/>
      <c r="AY277" s="918"/>
      <c r="AZ277" s="918"/>
      <c r="BA277" s="918"/>
      <c r="BB277" s="918"/>
      <c r="BC277" s="918"/>
      <c r="BD277" s="918"/>
      <c r="BE277" s="918"/>
      <c r="BF277" s="918"/>
      <c r="BG277" s="918"/>
      <c r="BH277" s="918"/>
      <c r="BI277" s="918"/>
      <c r="BJ277" s="918"/>
      <c r="BK277" s="918"/>
      <c r="BL277" s="918"/>
      <c r="BM277" s="918"/>
      <c r="BN277" s="918"/>
      <c r="BO277" s="918"/>
      <c r="BP277" s="918"/>
      <c r="BQ277" s="918"/>
      <c r="BR277" s="918"/>
      <c r="BS277" s="918"/>
      <c r="BT277" s="918"/>
      <c r="BU277" s="918"/>
      <c r="BV277" s="918"/>
      <c r="BW277" s="918"/>
      <c r="BX277" s="918"/>
      <c r="BY277" s="918"/>
      <c r="BZ277" s="239"/>
      <c r="CA277" s="239"/>
      <c r="CB277" s="239"/>
    </row>
    <row r="278" spans="2:81" ht="15" customHeight="1">
      <c r="C278" s="11"/>
      <c r="D278" s="22"/>
      <c r="E278" s="18"/>
      <c r="F278" s="15"/>
      <c r="I278" s="892" t="s">
        <v>1039</v>
      </c>
      <c r="J278" s="892"/>
      <c r="K278" s="892"/>
      <c r="L278" s="892"/>
      <c r="M278" s="892"/>
      <c r="N278" s="892"/>
      <c r="O278" s="892"/>
      <c r="P278" s="892"/>
      <c r="Q278" s="892"/>
      <c r="R278" s="892"/>
      <c r="S278" s="892"/>
      <c r="T278" s="892"/>
      <c r="U278" s="892"/>
      <c r="V278" s="892"/>
      <c r="W278" s="892"/>
      <c r="X278" s="892"/>
      <c r="Y278" s="95"/>
      <c r="AE278" s="339" t="s">
        <v>716</v>
      </c>
      <c r="AF278" s="95"/>
      <c r="AG278" s="95"/>
      <c r="AH278" s="95"/>
      <c r="AI278" s="403"/>
      <c r="AJ278" s="95"/>
      <c r="AK278" s="95"/>
      <c r="AL278" s="95"/>
      <c r="AM278" s="95"/>
      <c r="AN278" s="95"/>
      <c r="AO278" s="95"/>
      <c r="AP278" s="95"/>
      <c r="AQ278" s="95"/>
      <c r="AR278" s="95"/>
      <c r="AS278" s="95"/>
      <c r="AT278" s="95"/>
      <c r="AU278" s="95"/>
      <c r="AV278" s="95"/>
      <c r="AW278" s="95"/>
      <c r="AX278" s="95"/>
      <c r="AY278" s="95"/>
      <c r="AZ278" s="95"/>
      <c r="BA278" s="95"/>
      <c r="BB278" s="95"/>
      <c r="BC278" s="95"/>
      <c r="BD278" s="95"/>
      <c r="BE278" s="95"/>
      <c r="BF278" s="95"/>
      <c r="BG278" s="95"/>
      <c r="BH278" s="95"/>
      <c r="BI278" s="95"/>
      <c r="BJ278" s="95"/>
      <c r="BK278" s="95"/>
      <c r="BL278" s="95"/>
      <c r="BM278" s="95"/>
      <c r="BN278" s="95"/>
      <c r="BO278" s="95"/>
      <c r="BP278" s="95"/>
      <c r="BQ278" s="95"/>
      <c r="BR278" s="95"/>
      <c r="BS278" s="95"/>
      <c r="BT278" s="95"/>
      <c r="BU278" s="95"/>
      <c r="BV278" s="95"/>
      <c r="BW278" s="95"/>
      <c r="BX278" s="95"/>
      <c r="BY278" s="95"/>
      <c r="BZ278" s="64"/>
      <c r="CA278" s="64"/>
      <c r="CB278" s="64"/>
    </row>
    <row r="279" spans="2:81" ht="15" customHeight="1">
      <c r="C279" s="11"/>
      <c r="D279" s="22"/>
      <c r="E279" s="18"/>
      <c r="F279" s="15"/>
      <c r="I279" s="837" t="s">
        <v>1045</v>
      </c>
      <c r="J279" s="837"/>
      <c r="K279" s="93"/>
      <c r="L279" s="837" t="s">
        <v>1046</v>
      </c>
      <c r="M279" s="837"/>
      <c r="N279" s="93"/>
      <c r="O279" s="837" t="s">
        <v>350</v>
      </c>
      <c r="P279" s="837"/>
      <c r="Q279" s="278"/>
      <c r="R279" s="892" t="s">
        <v>351</v>
      </c>
      <c r="S279" s="892"/>
      <c r="T279" s="94"/>
      <c r="U279" s="837" t="s">
        <v>352</v>
      </c>
      <c r="V279" s="837"/>
      <c r="W279" s="93"/>
      <c r="X279" s="837" t="s">
        <v>1047</v>
      </c>
      <c r="Y279" s="837"/>
      <c r="AE279" s="837" t="s">
        <v>1049</v>
      </c>
      <c r="AF279" s="837"/>
      <c r="AG279" s="93"/>
      <c r="AH279" s="837" t="s">
        <v>1050</v>
      </c>
      <c r="AI279" s="837"/>
      <c r="AJ279" s="93"/>
      <c r="AK279" s="837" t="s">
        <v>1051</v>
      </c>
      <c r="AL279" s="837"/>
      <c r="AM279" s="93"/>
      <c r="AN279" s="837" t="s">
        <v>1052</v>
      </c>
      <c r="AO279" s="837"/>
      <c r="AP279" s="93"/>
      <c r="AQ279" s="837" t="s">
        <v>1053</v>
      </c>
      <c r="AR279" s="837"/>
      <c r="AS279" s="93"/>
      <c r="AT279" s="837" t="s">
        <v>1054</v>
      </c>
      <c r="AU279" s="837"/>
      <c r="AV279" s="93"/>
      <c r="AW279" s="837" t="s">
        <v>1055</v>
      </c>
      <c r="AX279" s="837"/>
      <c r="AY279" s="93"/>
      <c r="AZ279" s="837" t="s">
        <v>1056</v>
      </c>
      <c r="BA279" s="837"/>
      <c r="BB279" s="93"/>
      <c r="BC279" s="892" t="s">
        <v>1057</v>
      </c>
      <c r="BD279" s="892"/>
      <c r="BE279" s="94"/>
      <c r="BF279" s="837" t="s">
        <v>1058</v>
      </c>
      <c r="BG279" s="837"/>
      <c r="BH279" s="171"/>
      <c r="BI279" s="920" t="s">
        <v>1059</v>
      </c>
      <c r="BJ279" s="920"/>
      <c r="BK279" s="171"/>
      <c r="BL279" s="920" t="s">
        <v>1060</v>
      </c>
      <c r="BM279" s="920"/>
      <c r="BN279" s="171"/>
      <c r="BO279" s="920" t="s">
        <v>1061</v>
      </c>
      <c r="BP279" s="920"/>
      <c r="BQ279" s="171"/>
      <c r="BR279" s="920" t="s">
        <v>1062</v>
      </c>
      <c r="BS279" s="920"/>
      <c r="BT279" s="171"/>
      <c r="BU279" s="920" t="s">
        <v>1063</v>
      </c>
      <c r="BV279" s="920"/>
      <c r="BW279" s="171"/>
      <c r="BX279" s="837" t="s">
        <v>1064</v>
      </c>
      <c r="BY279" s="837"/>
      <c r="BZ279" s="96"/>
      <c r="CA279" s="925"/>
      <c r="CB279" s="925"/>
    </row>
    <row r="280" spans="2:81" ht="28.8">
      <c r="B280" s="519" t="s">
        <v>1079</v>
      </c>
      <c r="C280" s="469" t="s">
        <v>376</v>
      </c>
      <c r="D280" s="16" t="s">
        <v>353</v>
      </c>
      <c r="E280" s="16" t="s">
        <v>354</v>
      </c>
      <c r="F280" s="16" t="s">
        <v>355</v>
      </c>
      <c r="I280" s="171" t="s">
        <v>1080</v>
      </c>
      <c r="J280" s="95" t="s">
        <v>1081</v>
      </c>
      <c r="K280" s="95"/>
      <c r="L280" s="95" t="s">
        <v>1080</v>
      </c>
      <c r="M280" s="95" t="s">
        <v>1081</v>
      </c>
      <c r="N280" s="95"/>
      <c r="O280" s="95" t="s">
        <v>1080</v>
      </c>
      <c r="P280" s="95" t="s">
        <v>1081</v>
      </c>
      <c r="Q280" s="95" t="s">
        <v>1081</v>
      </c>
      <c r="R280" s="95" t="s">
        <v>1080</v>
      </c>
      <c r="S280" s="95" t="s">
        <v>1081</v>
      </c>
      <c r="T280" s="95"/>
      <c r="U280" s="95" t="s">
        <v>1080</v>
      </c>
      <c r="V280" s="95" t="s">
        <v>1081</v>
      </c>
      <c r="W280" s="95"/>
      <c r="X280" s="95" t="s">
        <v>1080</v>
      </c>
      <c r="Y280" s="95" t="s">
        <v>1081</v>
      </c>
      <c r="AE280" s="340" t="s">
        <v>1080</v>
      </c>
      <c r="AF280" s="95" t="s">
        <v>1081</v>
      </c>
      <c r="AG280" s="95"/>
      <c r="AH280" s="95" t="s">
        <v>1080</v>
      </c>
      <c r="AI280" s="403" t="s">
        <v>1081</v>
      </c>
      <c r="AJ280" s="95"/>
      <c r="AK280" s="95" t="s">
        <v>1080</v>
      </c>
      <c r="AL280" s="95" t="s">
        <v>1081</v>
      </c>
      <c r="AM280" s="95"/>
      <c r="AN280" s="95" t="s">
        <v>1080</v>
      </c>
      <c r="AO280" s="95" t="s">
        <v>1081</v>
      </c>
      <c r="AP280" s="95"/>
      <c r="AQ280" s="95" t="s">
        <v>1080</v>
      </c>
      <c r="AR280" s="95" t="s">
        <v>1081</v>
      </c>
      <c r="AS280" s="95"/>
      <c r="AT280" s="95" t="s">
        <v>1080</v>
      </c>
      <c r="AU280" s="95" t="s">
        <v>1081</v>
      </c>
      <c r="AV280" s="95"/>
      <c r="AW280" s="95" t="s">
        <v>1080</v>
      </c>
      <c r="AX280" s="95" t="s">
        <v>1081</v>
      </c>
      <c r="AY280" s="95"/>
      <c r="AZ280" s="95" t="s">
        <v>1080</v>
      </c>
      <c r="BA280" s="95" t="s">
        <v>1081</v>
      </c>
      <c r="BB280" s="95"/>
      <c r="BC280" s="95" t="s">
        <v>1080</v>
      </c>
      <c r="BD280" s="95" t="s">
        <v>1081</v>
      </c>
      <c r="BE280" s="95"/>
      <c r="BF280" s="95" t="s">
        <v>1080</v>
      </c>
      <c r="BG280" s="95" t="s">
        <v>1081</v>
      </c>
      <c r="BH280" s="95"/>
      <c r="BI280" s="95" t="s">
        <v>1080</v>
      </c>
      <c r="BJ280" s="95" t="s">
        <v>1081</v>
      </c>
      <c r="BK280" s="95"/>
      <c r="BL280" s="95" t="s">
        <v>1080</v>
      </c>
      <c r="BM280" s="95" t="s">
        <v>1081</v>
      </c>
      <c r="BN280" s="95"/>
      <c r="BO280" s="95" t="s">
        <v>1080</v>
      </c>
      <c r="BP280" s="95" t="s">
        <v>1081</v>
      </c>
      <c r="BQ280" s="95"/>
      <c r="BR280" s="95" t="s">
        <v>1080</v>
      </c>
      <c r="BS280" s="95" t="s">
        <v>1081</v>
      </c>
      <c r="BT280" s="95"/>
      <c r="BU280" s="95" t="s">
        <v>1080</v>
      </c>
      <c r="BV280" s="95" t="s">
        <v>1081</v>
      </c>
      <c r="BW280" s="95"/>
      <c r="BX280" s="95" t="s">
        <v>1080</v>
      </c>
      <c r="BY280" s="95" t="s">
        <v>1081</v>
      </c>
      <c r="BZ280" s="64"/>
      <c r="CA280" s="83"/>
      <c r="CB280" s="83"/>
    </row>
    <row r="281" spans="2:81">
      <c r="C281" s="187" t="s">
        <v>1130</v>
      </c>
      <c r="D281" s="18">
        <v>0.05</v>
      </c>
      <c r="E281" s="18">
        <v>0.05</v>
      </c>
      <c r="F281" s="18">
        <v>0.05</v>
      </c>
      <c r="I281" s="87"/>
      <c r="J281" s="87"/>
      <c r="K281" s="87"/>
      <c r="L281" s="87"/>
      <c r="M281" s="87"/>
      <c r="N281" s="87"/>
      <c r="O281" s="87"/>
      <c r="P281" s="87"/>
      <c r="Q281" s="125"/>
      <c r="R281" s="125"/>
      <c r="S281" s="125"/>
      <c r="T281" s="125"/>
      <c r="U281" s="125"/>
      <c r="V281" s="125"/>
      <c r="W281" s="87"/>
      <c r="X281" s="87"/>
      <c r="Y281" s="87"/>
      <c r="AD281" s="125">
        <f>D281</f>
        <v>0.05</v>
      </c>
      <c r="AE281" s="125">
        <f t="shared" ref="AE281:AF282" si="113">E281</f>
        <v>0.05</v>
      </c>
      <c r="AF281" s="125">
        <f t="shared" si="113"/>
        <v>0.05</v>
      </c>
      <c r="AG281" s="437"/>
      <c r="AH281" s="87"/>
      <c r="AI281" s="134"/>
      <c r="AJ281" s="87"/>
      <c r="AK281" s="87"/>
      <c r="AL281" s="87"/>
      <c r="AM281" s="87"/>
      <c r="AN281" s="87"/>
      <c r="AO281" s="87"/>
      <c r="AP281" s="87"/>
      <c r="AQ281" s="87"/>
      <c r="AR281" s="87"/>
      <c r="AS281" s="87"/>
      <c r="AT281" s="87"/>
      <c r="AU281" s="87"/>
      <c r="AV281" s="87"/>
      <c r="AW281" s="87"/>
      <c r="AX281" s="87"/>
      <c r="AY281" s="87"/>
      <c r="AZ281" s="87"/>
      <c r="BA281" s="87"/>
      <c r="BB281" s="87"/>
      <c r="BC281" s="87"/>
      <c r="BD281" s="87"/>
      <c r="BE281" s="125">
        <f t="shared" ref="BE281:BG281" si="114">D281</f>
        <v>0.05</v>
      </c>
      <c r="BF281" s="437">
        <f t="shared" si="114"/>
        <v>0.05</v>
      </c>
      <c r="BG281" s="437">
        <f t="shared" si="114"/>
        <v>0.05</v>
      </c>
      <c r="BH281" s="437"/>
      <c r="BI281" s="87"/>
      <c r="BJ281" s="87"/>
      <c r="BK281" s="87"/>
      <c r="BL281" s="87"/>
      <c r="BM281" s="87"/>
      <c r="BN281" s="87"/>
      <c r="BO281" s="87"/>
      <c r="BP281" s="87"/>
      <c r="BQ281" s="87"/>
      <c r="BR281" s="87"/>
      <c r="BS281" s="87"/>
      <c r="BT281" s="87"/>
      <c r="BU281" s="87"/>
      <c r="BV281" s="87"/>
      <c r="BW281" s="125">
        <f>D281</f>
        <v>0.05</v>
      </c>
      <c r="BX281" s="125">
        <f t="shared" ref="BX281:BY281" si="115">E281</f>
        <v>0.05</v>
      </c>
      <c r="BY281" s="125">
        <f t="shared" si="115"/>
        <v>0.05</v>
      </c>
    </row>
    <row r="282" spans="2:81">
      <c r="C282" s="187" t="s">
        <v>1131</v>
      </c>
      <c r="D282" s="18">
        <v>0.4</v>
      </c>
      <c r="E282" s="18">
        <v>0.4</v>
      </c>
      <c r="F282" s="18">
        <v>0.4</v>
      </c>
      <c r="I282" s="87"/>
      <c r="J282" s="87"/>
      <c r="K282" s="87"/>
      <c r="L282" s="87"/>
      <c r="M282" s="87"/>
      <c r="N282" s="87"/>
      <c r="O282" s="87"/>
      <c r="P282" s="87"/>
      <c r="Q282" s="125"/>
      <c r="R282" s="125"/>
      <c r="S282" s="125"/>
      <c r="T282" s="125"/>
      <c r="U282" s="125"/>
      <c r="V282" s="125"/>
      <c r="W282" s="87"/>
      <c r="X282" s="87"/>
      <c r="Y282" s="87"/>
      <c r="AD282" s="125">
        <f>D282</f>
        <v>0.4</v>
      </c>
      <c r="AE282" s="125">
        <f t="shared" si="113"/>
        <v>0.4</v>
      </c>
      <c r="AF282" s="125">
        <f t="shared" si="113"/>
        <v>0.4</v>
      </c>
      <c r="AG282" s="125"/>
      <c r="AH282" s="87"/>
      <c r="AI282" s="134"/>
      <c r="AJ282" s="87"/>
      <c r="AK282" s="87"/>
      <c r="AL282" s="87"/>
      <c r="AM282" s="87"/>
      <c r="AN282" s="87"/>
      <c r="AO282" s="87"/>
      <c r="AP282" s="87"/>
      <c r="AQ282" s="87"/>
      <c r="AR282" s="87"/>
      <c r="AS282" s="87"/>
      <c r="AT282" s="87"/>
      <c r="AU282" s="87"/>
      <c r="AV282" s="87"/>
      <c r="AW282" s="87"/>
      <c r="AX282" s="87"/>
      <c r="AY282" s="87"/>
      <c r="AZ282" s="87"/>
      <c r="BA282" s="87"/>
      <c r="BB282" s="87"/>
      <c r="BC282" s="87"/>
      <c r="BD282" s="87"/>
      <c r="BE282" s="87"/>
      <c r="BF282" s="125"/>
      <c r="BG282" s="125"/>
      <c r="BH282" s="125"/>
      <c r="BI282" s="87"/>
      <c r="BJ282" s="87"/>
      <c r="BK282" s="87"/>
      <c r="BL282" s="87"/>
      <c r="BM282" s="87"/>
      <c r="BN282" s="87"/>
      <c r="BO282" s="87"/>
      <c r="BP282" s="87"/>
      <c r="BQ282" s="87"/>
      <c r="BR282" s="87"/>
      <c r="BS282" s="87"/>
      <c r="BT282" s="87"/>
      <c r="BU282" s="87"/>
      <c r="BV282" s="87"/>
      <c r="BW282" s="87"/>
      <c r="BX282" s="87"/>
      <c r="BY282" s="87"/>
    </row>
    <row r="283" spans="2:81">
      <c r="C283" s="53"/>
      <c r="D283" s="56"/>
      <c r="E283" s="54"/>
      <c r="F283" s="54"/>
    </row>
    <row r="284" spans="2:81">
      <c r="C284" s="11" t="s">
        <v>360</v>
      </c>
      <c r="D284" s="15"/>
      <c r="E284" s="15"/>
      <c r="F284" s="15"/>
    </row>
    <row r="285" spans="2:81">
      <c r="C285" s="11" t="s">
        <v>361</v>
      </c>
      <c r="D285" s="15"/>
      <c r="E285" s="15"/>
      <c r="F285" s="15"/>
    </row>
    <row r="286" spans="2:81">
      <c r="C286" s="11" t="s">
        <v>362</v>
      </c>
      <c r="D286" s="15"/>
      <c r="E286" s="15"/>
      <c r="F286" s="15"/>
    </row>
    <row r="287" spans="2:81">
      <c r="C287" s="11" t="s">
        <v>363</v>
      </c>
      <c r="D287" s="15"/>
      <c r="E287" s="15"/>
      <c r="F287" s="15"/>
    </row>
    <row r="288" spans="2:81">
      <c r="C288" s="109"/>
      <c r="D288" s="168"/>
      <c r="E288" s="169"/>
      <c r="F288" s="110"/>
      <c r="G288" s="100"/>
      <c r="H288" s="100"/>
      <c r="I288" s="100"/>
      <c r="J288" s="100"/>
      <c r="K288" s="100"/>
      <c r="L288" s="100"/>
      <c r="M288" s="100"/>
      <c r="N288" s="100"/>
      <c r="O288" s="100"/>
      <c r="P288" s="100"/>
      <c r="Q288" s="100"/>
      <c r="R288" s="100"/>
      <c r="S288" s="100"/>
      <c r="T288" s="100"/>
      <c r="U288" s="100"/>
      <c r="V288" s="100"/>
      <c r="W288" s="100"/>
      <c r="X288" s="100"/>
      <c r="Y288" s="100"/>
      <c r="Z288" s="100"/>
      <c r="AA288" s="100"/>
      <c r="AB288" s="100"/>
      <c r="AC288" s="100"/>
      <c r="AD288" s="332"/>
      <c r="AE288" s="100"/>
      <c r="AF288" s="100"/>
      <c r="AG288" s="100"/>
      <c r="AH288" s="100"/>
      <c r="AI288" s="100"/>
      <c r="AJ288" s="392"/>
      <c r="AK288" s="100"/>
      <c r="AL288" s="100"/>
      <c r="AM288" s="100"/>
      <c r="AN288" s="100"/>
      <c r="AO288" s="100"/>
      <c r="AP288" s="100"/>
      <c r="AQ288" s="100"/>
      <c r="AR288" s="100"/>
      <c r="AS288" s="100"/>
      <c r="AT288" s="100"/>
      <c r="AU288" s="100"/>
      <c r="AV288" s="100"/>
      <c r="AW288" s="100"/>
      <c r="AX288" s="100"/>
      <c r="AY288" s="100"/>
      <c r="AZ288" s="100"/>
      <c r="BA288" s="100"/>
      <c r="BB288" s="100"/>
      <c r="BC288" s="100"/>
      <c r="BD288" s="100"/>
      <c r="BE288" s="100"/>
      <c r="BF288" s="100"/>
      <c r="BG288" s="100"/>
      <c r="BH288" s="100"/>
      <c r="BI288" s="100"/>
      <c r="BJ288" s="100"/>
      <c r="BK288" s="100"/>
      <c r="BL288" s="100"/>
      <c r="BM288" s="100"/>
      <c r="BN288" s="100"/>
      <c r="BO288" s="100"/>
      <c r="BP288" s="100"/>
      <c r="BQ288" s="100"/>
      <c r="BR288" s="100"/>
      <c r="BS288" s="100"/>
      <c r="BT288" s="100"/>
      <c r="BU288" s="100"/>
      <c r="BV288" s="100"/>
      <c r="BW288" s="100"/>
      <c r="BX288" s="100"/>
      <c r="BY288" s="100"/>
      <c r="BZ288" s="100"/>
      <c r="CA288" s="100"/>
      <c r="CB288" s="100"/>
      <c r="CC288" s="100"/>
    </row>
    <row r="289" spans="3:80">
      <c r="C289" s="11"/>
      <c r="D289" s="22"/>
      <c r="E289" s="18"/>
      <c r="F289" s="15"/>
    </row>
    <row r="290" spans="3:80" ht="15" customHeight="1">
      <c r="C290" s="11"/>
      <c r="D290" s="22"/>
      <c r="E290" s="18"/>
      <c r="F290" s="15"/>
      <c r="I290" s="893" t="s">
        <v>1037</v>
      </c>
      <c r="J290" s="893"/>
      <c r="K290" s="893"/>
      <c r="L290" s="893"/>
      <c r="M290" s="893"/>
      <c r="N290" s="893"/>
      <c r="O290" s="893"/>
      <c r="P290" s="893"/>
      <c r="Q290" s="893"/>
      <c r="R290" s="893"/>
      <c r="S290" s="893"/>
      <c r="T290" s="893"/>
      <c r="U290" s="893"/>
      <c r="V290" s="893"/>
      <c r="W290" s="893"/>
      <c r="X290" s="893"/>
      <c r="Y290" s="893"/>
      <c r="AE290" s="918" t="s">
        <v>349</v>
      </c>
      <c r="AF290" s="918"/>
      <c r="AG290" s="918"/>
      <c r="AH290" s="918"/>
      <c r="AI290" s="918"/>
      <c r="AJ290" s="918"/>
      <c r="AK290" s="918"/>
      <c r="AL290" s="918"/>
      <c r="AM290" s="918"/>
      <c r="AN290" s="918"/>
      <c r="AO290" s="918"/>
      <c r="AP290" s="918"/>
      <c r="AQ290" s="918"/>
      <c r="AR290" s="918"/>
      <c r="AS290" s="918"/>
      <c r="AT290" s="918"/>
      <c r="AU290" s="918"/>
      <c r="AV290" s="918"/>
      <c r="AW290" s="918"/>
      <c r="AX290" s="918"/>
      <c r="AY290" s="918"/>
      <c r="AZ290" s="918"/>
      <c r="BA290" s="918"/>
      <c r="BB290" s="918"/>
      <c r="BC290" s="918"/>
      <c r="BD290" s="918"/>
      <c r="BE290" s="918"/>
      <c r="BF290" s="918"/>
      <c r="BG290" s="918"/>
      <c r="BH290" s="918"/>
      <c r="BI290" s="918"/>
      <c r="BJ290" s="918"/>
      <c r="BK290" s="918"/>
      <c r="BL290" s="918"/>
      <c r="BM290" s="918"/>
      <c r="BN290" s="918"/>
      <c r="BO290" s="918"/>
      <c r="BP290" s="918"/>
      <c r="BQ290" s="918"/>
      <c r="BR290" s="918"/>
      <c r="BS290" s="918"/>
      <c r="BT290" s="918"/>
      <c r="BU290" s="918"/>
      <c r="BV290" s="918"/>
      <c r="BW290" s="918"/>
      <c r="BX290" s="918"/>
      <c r="BY290" s="918"/>
      <c r="BZ290" s="239"/>
      <c r="CA290" s="239"/>
      <c r="CB290" s="239"/>
    </row>
    <row r="291" spans="3:80" ht="15" customHeight="1">
      <c r="C291" s="11"/>
      <c r="D291" s="22"/>
      <c r="E291" s="18"/>
      <c r="F291" s="15"/>
      <c r="I291" s="892" t="s">
        <v>1039</v>
      </c>
      <c r="J291" s="892"/>
      <c r="K291" s="892"/>
      <c r="L291" s="892"/>
      <c r="M291" s="892"/>
      <c r="N291" s="892"/>
      <c r="O291" s="892"/>
      <c r="P291" s="892"/>
      <c r="Q291" s="892"/>
      <c r="R291" s="892"/>
      <c r="S291" s="892"/>
      <c r="T291" s="892"/>
      <c r="U291" s="892"/>
      <c r="V291" s="892"/>
      <c r="W291" s="892"/>
      <c r="X291" s="892"/>
      <c r="Y291" s="95"/>
      <c r="AE291" s="339" t="s">
        <v>716</v>
      </c>
      <c r="AF291" s="95"/>
      <c r="AG291" s="95"/>
      <c r="AH291" s="95"/>
      <c r="AI291" s="403"/>
      <c r="AJ291" s="95"/>
      <c r="AK291" s="95"/>
      <c r="AL291" s="95"/>
      <c r="AM291" s="95"/>
      <c r="AN291" s="95"/>
      <c r="AO291" s="95"/>
      <c r="AP291" s="95"/>
      <c r="AQ291" s="95"/>
      <c r="AR291" s="95"/>
      <c r="AS291" s="95"/>
      <c r="AT291" s="95"/>
      <c r="AU291" s="95"/>
      <c r="AV291" s="95"/>
      <c r="AW291" s="95"/>
      <c r="AX291" s="95"/>
      <c r="AY291" s="95"/>
      <c r="AZ291" s="95"/>
      <c r="BA291" s="95"/>
      <c r="BB291" s="95"/>
      <c r="BC291" s="95"/>
      <c r="BD291" s="95"/>
      <c r="BE291" s="95"/>
      <c r="BF291" s="95"/>
      <c r="BG291" s="95"/>
      <c r="BH291" s="95"/>
      <c r="BI291" s="95"/>
      <c r="BJ291" s="95"/>
      <c r="BK291" s="95"/>
      <c r="BL291" s="95"/>
      <c r="BM291" s="95"/>
      <c r="BN291" s="95"/>
      <c r="BO291" s="95"/>
      <c r="BP291" s="95"/>
      <c r="BQ291" s="95"/>
      <c r="BR291" s="95"/>
      <c r="BS291" s="95"/>
      <c r="BT291" s="95"/>
      <c r="BU291" s="95"/>
      <c r="BV291" s="95"/>
      <c r="BW291" s="95"/>
      <c r="BX291" s="95"/>
      <c r="BY291" s="95"/>
      <c r="BZ291" s="64"/>
      <c r="CA291" s="64"/>
      <c r="CB291" s="64"/>
    </row>
    <row r="292" spans="3:80" ht="15" customHeight="1">
      <c r="C292" s="11"/>
      <c r="D292" s="22"/>
      <c r="E292" s="18"/>
      <c r="F292" s="15"/>
      <c r="I292" s="837" t="s">
        <v>1045</v>
      </c>
      <c r="J292" s="837"/>
      <c r="K292" s="93"/>
      <c r="L292" s="837" t="s">
        <v>1046</v>
      </c>
      <c r="M292" s="837"/>
      <c r="N292" s="93"/>
      <c r="O292" s="837" t="s">
        <v>350</v>
      </c>
      <c r="P292" s="837"/>
      <c r="Q292" s="278"/>
      <c r="R292" s="892" t="s">
        <v>351</v>
      </c>
      <c r="S292" s="892"/>
      <c r="T292" s="94"/>
      <c r="U292" s="837" t="s">
        <v>352</v>
      </c>
      <c r="V292" s="837"/>
      <c r="W292" s="93"/>
      <c r="X292" s="837" t="s">
        <v>1047</v>
      </c>
      <c r="Y292" s="837"/>
      <c r="AE292" s="837" t="s">
        <v>1049</v>
      </c>
      <c r="AF292" s="837"/>
      <c r="AG292" s="93"/>
      <c r="AH292" s="837" t="s">
        <v>1050</v>
      </c>
      <c r="AI292" s="837"/>
      <c r="AJ292" s="93"/>
      <c r="AK292" s="837" t="s">
        <v>1051</v>
      </c>
      <c r="AL292" s="837"/>
      <c r="AM292" s="93"/>
      <c r="AN292" s="837" t="s">
        <v>1052</v>
      </c>
      <c r="AO292" s="837"/>
      <c r="AP292" s="93"/>
      <c r="AQ292" s="837" t="s">
        <v>1053</v>
      </c>
      <c r="AR292" s="837"/>
      <c r="AS292" s="93"/>
      <c r="AT292" s="837" t="s">
        <v>1054</v>
      </c>
      <c r="AU292" s="837"/>
      <c r="AV292" s="93"/>
      <c r="AW292" s="837" t="s">
        <v>1055</v>
      </c>
      <c r="AX292" s="837"/>
      <c r="AY292" s="93"/>
      <c r="AZ292" s="837" t="s">
        <v>1056</v>
      </c>
      <c r="BA292" s="837"/>
      <c r="BB292" s="93"/>
      <c r="BC292" s="892" t="s">
        <v>1057</v>
      </c>
      <c r="BD292" s="892"/>
      <c r="BE292" s="94"/>
      <c r="BF292" s="837" t="s">
        <v>1058</v>
      </c>
      <c r="BG292" s="837"/>
      <c r="BH292" s="171"/>
      <c r="BI292" s="920" t="s">
        <v>1059</v>
      </c>
      <c r="BJ292" s="920"/>
      <c r="BK292" s="171"/>
      <c r="BL292" s="920" t="s">
        <v>1060</v>
      </c>
      <c r="BM292" s="920"/>
      <c r="BN292" s="171"/>
      <c r="BO292" s="920" t="s">
        <v>1061</v>
      </c>
      <c r="BP292" s="920"/>
      <c r="BQ292" s="171"/>
      <c r="BR292" s="920" t="s">
        <v>1062</v>
      </c>
      <c r="BS292" s="920"/>
      <c r="BT292" s="171"/>
      <c r="BU292" s="920" t="s">
        <v>1063</v>
      </c>
      <c r="BV292" s="920"/>
      <c r="BW292" s="171"/>
      <c r="BX292" s="837" t="s">
        <v>1064</v>
      </c>
      <c r="BY292" s="837"/>
      <c r="BZ292" s="96"/>
      <c r="CA292" s="925" t="s">
        <v>1132</v>
      </c>
      <c r="CB292" s="925"/>
    </row>
    <row r="293" spans="3:80" ht="28.8">
      <c r="C293" s="469" t="s">
        <v>377</v>
      </c>
      <c r="D293" s="16" t="s">
        <v>353</v>
      </c>
      <c r="E293" s="16" t="s">
        <v>354</v>
      </c>
      <c r="F293" s="16" t="s">
        <v>355</v>
      </c>
      <c r="I293" s="171" t="s">
        <v>1080</v>
      </c>
      <c r="J293" s="95" t="s">
        <v>1081</v>
      </c>
      <c r="K293" s="95"/>
      <c r="L293" s="95" t="s">
        <v>1080</v>
      </c>
      <c r="M293" s="95" t="s">
        <v>1081</v>
      </c>
      <c r="N293" s="95"/>
      <c r="O293" s="95" t="s">
        <v>1080</v>
      </c>
      <c r="P293" s="95" t="s">
        <v>1081</v>
      </c>
      <c r="Q293" s="95" t="s">
        <v>1081</v>
      </c>
      <c r="R293" s="95" t="s">
        <v>1080</v>
      </c>
      <c r="S293" s="95" t="s">
        <v>1081</v>
      </c>
      <c r="T293" s="95"/>
      <c r="U293" s="95" t="s">
        <v>1080</v>
      </c>
      <c r="V293" s="95" t="s">
        <v>1081</v>
      </c>
      <c r="W293" s="95"/>
      <c r="X293" s="95" t="s">
        <v>1080</v>
      </c>
      <c r="Y293" s="95" t="s">
        <v>1081</v>
      </c>
      <c r="AE293" s="340" t="s">
        <v>1080</v>
      </c>
      <c r="AF293" s="95" t="s">
        <v>1081</v>
      </c>
      <c r="AG293" s="95"/>
      <c r="AH293" s="95" t="s">
        <v>1080</v>
      </c>
      <c r="AI293" s="403" t="s">
        <v>1081</v>
      </c>
      <c r="AJ293" s="95"/>
      <c r="AK293" s="95" t="s">
        <v>1080</v>
      </c>
      <c r="AL293" s="95" t="s">
        <v>1081</v>
      </c>
      <c r="AM293" s="95"/>
      <c r="AN293" s="95" t="s">
        <v>1080</v>
      </c>
      <c r="AO293" s="95" t="s">
        <v>1081</v>
      </c>
      <c r="AP293" s="95"/>
      <c r="AQ293" s="95" t="s">
        <v>1080</v>
      </c>
      <c r="AR293" s="95" t="s">
        <v>1081</v>
      </c>
      <c r="AS293" s="95"/>
      <c r="AT293" s="95" t="s">
        <v>1080</v>
      </c>
      <c r="AU293" s="95" t="s">
        <v>1081</v>
      </c>
      <c r="AV293" s="95"/>
      <c r="AW293" s="95" t="s">
        <v>1080</v>
      </c>
      <c r="AX293" s="95" t="s">
        <v>1081</v>
      </c>
      <c r="AY293" s="95"/>
      <c r="AZ293" s="95" t="s">
        <v>1080</v>
      </c>
      <c r="BA293" s="95" t="s">
        <v>1081</v>
      </c>
      <c r="BB293" s="95"/>
      <c r="BC293" s="95" t="s">
        <v>1080</v>
      </c>
      <c r="BD293" s="95" t="s">
        <v>1081</v>
      </c>
      <c r="BE293" s="95"/>
      <c r="BF293" s="95" t="s">
        <v>1080</v>
      </c>
      <c r="BG293" s="95" t="s">
        <v>1081</v>
      </c>
      <c r="BH293" s="95"/>
      <c r="BI293" s="95" t="s">
        <v>1080</v>
      </c>
      <c r="BJ293" s="95" t="s">
        <v>1081</v>
      </c>
      <c r="BK293" s="95"/>
      <c r="BL293" s="95" t="s">
        <v>1080</v>
      </c>
      <c r="BM293" s="95" t="s">
        <v>1081</v>
      </c>
      <c r="BN293" s="95"/>
      <c r="BO293" s="95" t="s">
        <v>1080</v>
      </c>
      <c r="BP293" s="95" t="s">
        <v>1081</v>
      </c>
      <c r="BQ293" s="95"/>
      <c r="BR293" s="95" t="s">
        <v>1080</v>
      </c>
      <c r="BS293" s="95" t="s">
        <v>1081</v>
      </c>
      <c r="BT293" s="95"/>
      <c r="BU293" s="95" t="s">
        <v>1080</v>
      </c>
      <c r="BV293" s="95" t="s">
        <v>1081</v>
      </c>
      <c r="BW293" s="95"/>
      <c r="BX293" s="95" t="s">
        <v>1080</v>
      </c>
      <c r="BY293" s="95" t="s">
        <v>1081</v>
      </c>
      <c r="BZ293" s="64"/>
      <c r="CA293" s="83" t="s">
        <v>1080</v>
      </c>
      <c r="CB293" s="83" t="s">
        <v>1081</v>
      </c>
    </row>
    <row r="294" spans="3:80">
      <c r="C294" s="187" t="s">
        <v>1133</v>
      </c>
      <c r="D294" s="18"/>
      <c r="E294" s="18"/>
      <c r="F294" s="18"/>
      <c r="H294" s="87"/>
      <c r="I294" s="133"/>
      <c r="J294" s="87"/>
      <c r="K294" s="87"/>
      <c r="L294" s="87"/>
      <c r="M294" s="87"/>
      <c r="N294" s="87"/>
      <c r="O294" s="87"/>
      <c r="P294" s="87"/>
      <c r="Q294" s="87"/>
      <c r="R294" s="87"/>
      <c r="S294" s="87"/>
      <c r="T294" s="87"/>
      <c r="U294" s="87"/>
      <c r="V294" s="87"/>
      <c r="W294" s="87"/>
      <c r="X294" s="87"/>
      <c r="Y294" s="87"/>
      <c r="AE294" s="345"/>
      <c r="AF294" s="166"/>
      <c r="AG294" s="166"/>
      <c r="AH294" s="87"/>
      <c r="AI294" s="134"/>
      <c r="AJ294" s="87"/>
      <c r="AK294" s="87"/>
      <c r="AL294" s="87"/>
      <c r="AM294" s="87"/>
      <c r="AN294" s="87"/>
      <c r="AO294" s="87"/>
      <c r="AP294" s="87"/>
      <c r="AQ294" s="87"/>
      <c r="AR294" s="87"/>
      <c r="AS294" s="87"/>
      <c r="AT294" s="87"/>
      <c r="AU294" s="87"/>
      <c r="AV294" s="87"/>
      <c r="AW294" s="87"/>
      <c r="AX294" s="87"/>
      <c r="AY294" s="87"/>
      <c r="AZ294" s="87"/>
      <c r="BA294" s="87"/>
      <c r="BB294" s="87"/>
      <c r="BC294" s="87"/>
      <c r="BD294" s="87"/>
      <c r="BE294" s="87"/>
      <c r="BF294" s="166"/>
      <c r="BG294" s="166"/>
      <c r="BH294" s="166"/>
      <c r="BI294" s="87"/>
      <c r="BJ294" s="87"/>
      <c r="BK294" s="87"/>
      <c r="BL294" s="87"/>
      <c r="BM294" s="87"/>
      <c r="BN294" s="87"/>
      <c r="BO294" s="87"/>
      <c r="BP294" s="87"/>
      <c r="BQ294" s="87"/>
      <c r="BR294" s="87"/>
      <c r="BS294" s="87"/>
      <c r="BT294" s="87"/>
      <c r="BU294" s="87"/>
      <c r="BV294" s="87"/>
      <c r="BW294" s="87"/>
      <c r="BX294" s="87"/>
      <c r="BY294" s="87"/>
    </row>
    <row r="295" spans="3:80">
      <c r="C295" s="187"/>
      <c r="D295" s="18"/>
      <c r="E295" s="18"/>
      <c r="F295" s="18"/>
      <c r="H295" s="87"/>
      <c r="I295" s="133"/>
      <c r="J295" s="87"/>
      <c r="K295" s="87"/>
      <c r="L295" s="87"/>
      <c r="M295" s="87"/>
      <c r="N295" s="87"/>
      <c r="O295" s="87"/>
      <c r="P295" s="87"/>
      <c r="Q295" s="87"/>
      <c r="R295" s="87"/>
      <c r="S295" s="87"/>
      <c r="T295" s="87"/>
      <c r="U295" s="87"/>
      <c r="V295" s="87"/>
      <c r="W295" s="87"/>
      <c r="X295" s="87"/>
      <c r="Y295" s="87"/>
      <c r="AE295" s="165"/>
      <c r="AF295" s="125"/>
      <c r="AG295" s="125"/>
      <c r="AH295" s="87"/>
      <c r="AI295" s="134"/>
      <c r="AJ295" s="87"/>
      <c r="AK295" s="87"/>
      <c r="AL295" s="87"/>
      <c r="AM295" s="87"/>
      <c r="AN295" s="87"/>
      <c r="AO295" s="87"/>
      <c r="AP295" s="87"/>
      <c r="AQ295" s="87"/>
      <c r="AR295" s="87"/>
      <c r="AS295" s="87"/>
      <c r="AT295" s="87"/>
      <c r="AU295" s="87"/>
      <c r="AV295" s="87"/>
      <c r="AW295" s="87"/>
      <c r="AX295" s="87"/>
      <c r="AY295" s="87"/>
      <c r="AZ295" s="87"/>
      <c r="BA295" s="87"/>
      <c r="BB295" s="87"/>
      <c r="BC295" s="87"/>
      <c r="BD295" s="87"/>
      <c r="BE295" s="87"/>
      <c r="BF295" s="125"/>
      <c r="BG295" s="125"/>
      <c r="BH295" s="125"/>
      <c r="BI295" s="87"/>
      <c r="BJ295" s="87"/>
      <c r="BK295" s="87"/>
      <c r="BL295" s="87"/>
      <c r="BM295" s="87"/>
      <c r="BN295" s="87"/>
      <c r="BO295" s="87"/>
      <c r="BP295" s="87"/>
      <c r="BQ295" s="87"/>
      <c r="BR295" s="87"/>
      <c r="BS295" s="87"/>
      <c r="BT295" s="87"/>
      <c r="BU295" s="87"/>
      <c r="BV295" s="87"/>
      <c r="BW295" s="87"/>
      <c r="BX295" s="87"/>
      <c r="BY295" s="87"/>
    </row>
    <row r="296" spans="3:80">
      <c r="C296" s="187"/>
      <c r="D296" s="22"/>
      <c r="E296" s="22"/>
      <c r="F296" s="22"/>
      <c r="H296" s="87"/>
      <c r="I296" s="133"/>
      <c r="J296" s="87"/>
      <c r="K296" s="87"/>
      <c r="L296" s="87"/>
      <c r="M296" s="87"/>
      <c r="N296" s="87"/>
      <c r="O296" s="87"/>
      <c r="P296" s="87"/>
      <c r="Q296" s="87"/>
      <c r="R296" s="87"/>
      <c r="S296" s="87"/>
      <c r="T296" s="87"/>
      <c r="U296" s="87"/>
      <c r="V296" s="87"/>
      <c r="W296" s="87"/>
      <c r="X296" s="87"/>
      <c r="Y296" s="87"/>
      <c r="AE296" s="344"/>
      <c r="AF296" s="131"/>
      <c r="AG296" s="131"/>
      <c r="AH296" s="130"/>
      <c r="AI296" s="405"/>
      <c r="AJ296" s="130"/>
      <c r="AK296" s="130"/>
      <c r="AL296" s="130"/>
      <c r="AM296" s="130"/>
      <c r="AN296" s="130"/>
      <c r="AO296" s="130"/>
      <c r="AP296" s="130"/>
      <c r="AQ296" s="130"/>
      <c r="AR296" s="130"/>
      <c r="AS296" s="130"/>
      <c r="AT296" s="130"/>
      <c r="AU296" s="130"/>
      <c r="AV296" s="130"/>
      <c r="AW296" s="130"/>
      <c r="AX296" s="130"/>
      <c r="AY296" s="130"/>
      <c r="AZ296" s="130"/>
      <c r="BA296" s="130"/>
      <c r="BB296" s="130"/>
      <c r="BC296" s="130"/>
      <c r="BD296" s="130"/>
      <c r="BE296" s="130"/>
      <c r="BF296" s="131"/>
      <c r="BG296" s="131"/>
      <c r="BH296" s="131"/>
      <c r="BI296" s="130"/>
      <c r="BJ296" s="130"/>
      <c r="BK296" s="130"/>
      <c r="BL296" s="130"/>
      <c r="BM296" s="130"/>
      <c r="BN296" s="130"/>
      <c r="BO296" s="130"/>
      <c r="BP296" s="130"/>
      <c r="BQ296" s="130"/>
      <c r="BR296" s="130"/>
      <c r="BS296" s="130"/>
      <c r="BT296" s="130"/>
      <c r="BU296" s="130"/>
      <c r="BV296" s="130"/>
      <c r="BW296" s="130"/>
      <c r="BX296" s="130"/>
      <c r="BY296" s="130"/>
    </row>
    <row r="297" spans="3:80">
      <c r="C297" s="465"/>
      <c r="D297" s="22"/>
      <c r="E297" s="22"/>
      <c r="F297" s="22"/>
      <c r="H297" s="87"/>
      <c r="I297" s="435"/>
      <c r="J297" s="130"/>
      <c r="K297" s="130"/>
      <c r="L297" s="130"/>
      <c r="M297" s="130"/>
      <c r="N297" s="130"/>
      <c r="O297" s="130"/>
      <c r="P297" s="130"/>
      <c r="Q297" s="130"/>
      <c r="R297" s="130"/>
      <c r="S297" s="130"/>
      <c r="T297" s="130"/>
      <c r="U297" s="130"/>
      <c r="V297" s="130"/>
      <c r="W297" s="130"/>
      <c r="X297" s="130"/>
      <c r="Y297" s="130"/>
      <c r="AE297" s="343"/>
      <c r="AF297" s="156"/>
      <c r="AG297" s="156"/>
      <c r="AH297" s="130"/>
      <c r="AI297" s="405"/>
      <c r="AJ297" s="130"/>
      <c r="AK297" s="130"/>
      <c r="AL297" s="130"/>
      <c r="AM297" s="130"/>
      <c r="AN297" s="130"/>
      <c r="AO297" s="130"/>
      <c r="AP297" s="130"/>
      <c r="AQ297" s="130"/>
      <c r="AR297" s="130"/>
      <c r="AS297" s="130"/>
      <c r="AT297" s="130"/>
      <c r="AU297" s="130"/>
      <c r="AV297" s="130"/>
      <c r="AW297" s="130"/>
      <c r="AX297" s="130"/>
      <c r="AY297" s="130"/>
      <c r="AZ297" s="130"/>
      <c r="BA297" s="130"/>
      <c r="BB297" s="130"/>
      <c r="BC297" s="130"/>
      <c r="BD297" s="130"/>
      <c r="BE297" s="130"/>
      <c r="BF297" s="156"/>
      <c r="BG297" s="156"/>
      <c r="BH297" s="156"/>
      <c r="BI297" s="130"/>
      <c r="BJ297" s="130"/>
      <c r="BK297" s="130"/>
      <c r="BL297" s="130"/>
      <c r="BM297" s="130"/>
      <c r="BN297" s="130"/>
      <c r="BO297" s="130"/>
      <c r="BP297" s="130"/>
      <c r="BQ297" s="130"/>
      <c r="BR297" s="130"/>
      <c r="BS297" s="130"/>
      <c r="BT297" s="130"/>
      <c r="BU297" s="130"/>
      <c r="BV297" s="130"/>
      <c r="BW297" s="130"/>
      <c r="BX297" s="130"/>
      <c r="BY297" s="130"/>
    </row>
    <row r="298" spans="3:80">
      <c r="C298" s="11"/>
      <c r="D298" s="22">
        <f>SUM(D294:D297)</f>
        <v>0</v>
      </c>
      <c r="E298" s="22">
        <f>SUM(E294:E297)</f>
        <v>0</v>
      </c>
      <c r="F298" s="22">
        <f>SUM(F294:F297)</f>
        <v>0</v>
      </c>
    </row>
    <row r="299" spans="3:80">
      <c r="C299" s="11"/>
      <c r="D299" s="22"/>
      <c r="E299" s="18">
        <f>D298-E298</f>
        <v>0</v>
      </c>
      <c r="F299" s="18">
        <f>E298-F298</f>
        <v>0</v>
      </c>
    </row>
    <row r="300" spans="3:80">
      <c r="C300" s="11"/>
      <c r="D300" s="22"/>
      <c r="E300" s="18"/>
      <c r="F300" s="15"/>
    </row>
    <row r="301" spans="3:80">
      <c r="C301" s="10" t="s">
        <v>359</v>
      </c>
      <c r="D301" s="82">
        <v>3</v>
      </c>
      <c r="E301" s="16"/>
      <c r="F301" s="16"/>
    </row>
    <row r="302" spans="3:80">
      <c r="C302" s="53"/>
      <c r="D302" s="56"/>
      <c r="E302" s="54"/>
      <c r="F302" s="54"/>
    </row>
    <row r="303" spans="3:80">
      <c r="C303" s="53"/>
      <c r="D303" s="56"/>
      <c r="E303" s="54"/>
      <c r="F303" s="54"/>
    </row>
    <row r="304" spans="3:80">
      <c r="C304" s="11" t="s">
        <v>360</v>
      </c>
      <c r="D304" s="15"/>
      <c r="E304" s="15"/>
      <c r="F304" s="15"/>
    </row>
    <row r="305" spans="2:81">
      <c r="C305" s="11" t="s">
        <v>361</v>
      </c>
      <c r="D305" s="15"/>
      <c r="E305" s="15"/>
      <c r="F305" s="15"/>
    </row>
    <row r="306" spans="2:81">
      <c r="C306" s="11" t="s">
        <v>362</v>
      </c>
      <c r="D306" s="15"/>
      <c r="E306" s="15"/>
      <c r="F306" s="15"/>
    </row>
    <row r="307" spans="2:81">
      <c r="C307" s="11" t="s">
        <v>363</v>
      </c>
      <c r="D307" s="15"/>
      <c r="E307" s="15"/>
      <c r="F307" s="15"/>
    </row>
    <row r="308" spans="2:81">
      <c r="C308" s="109"/>
      <c r="D308" s="168"/>
      <c r="E308" s="169"/>
      <c r="F308" s="110"/>
      <c r="G308" s="100"/>
      <c r="H308" s="100"/>
      <c r="I308" s="100"/>
      <c r="J308" s="100"/>
      <c r="K308" s="100"/>
      <c r="L308" s="100"/>
      <c r="M308" s="100"/>
      <c r="N308" s="100"/>
      <c r="O308" s="100"/>
      <c r="P308" s="100"/>
      <c r="Q308" s="100"/>
      <c r="R308" s="100"/>
      <c r="S308" s="100"/>
      <c r="T308" s="100"/>
      <c r="U308" s="100"/>
      <c r="V308" s="100"/>
      <c r="W308" s="100"/>
      <c r="X308" s="100"/>
      <c r="Y308" s="100"/>
      <c r="Z308" s="100"/>
      <c r="AA308" s="100"/>
      <c r="AB308" s="100"/>
      <c r="AC308" s="100"/>
      <c r="AD308" s="332"/>
      <c r="AE308" s="100"/>
      <c r="AF308" s="100"/>
      <c r="AG308" s="100"/>
      <c r="AH308" s="100"/>
      <c r="AI308" s="100"/>
      <c r="AJ308" s="392"/>
      <c r="AK308" s="100"/>
      <c r="AL308" s="100"/>
      <c r="AM308" s="100"/>
      <c r="AN308" s="100"/>
      <c r="AO308" s="100"/>
      <c r="AP308" s="100"/>
      <c r="AQ308" s="100"/>
      <c r="AR308" s="100"/>
      <c r="AS308" s="100"/>
      <c r="AT308" s="100"/>
      <c r="AU308" s="100"/>
      <c r="AV308" s="100"/>
      <c r="AW308" s="100"/>
      <c r="AX308" s="100"/>
      <c r="AY308" s="100"/>
      <c r="AZ308" s="100"/>
      <c r="BA308" s="100"/>
      <c r="BB308" s="100"/>
      <c r="BC308" s="100"/>
      <c r="BD308" s="100"/>
      <c r="BE308" s="100"/>
      <c r="BF308" s="100"/>
      <c r="BG308" s="100"/>
      <c r="BH308" s="100"/>
      <c r="BI308" s="100"/>
      <c r="BJ308" s="100"/>
      <c r="BK308" s="100"/>
      <c r="BL308" s="100"/>
      <c r="BM308" s="100"/>
      <c r="BN308" s="100"/>
      <c r="BO308" s="100"/>
      <c r="BP308" s="100"/>
      <c r="BQ308" s="100"/>
      <c r="BR308" s="100"/>
      <c r="BS308" s="100"/>
      <c r="BT308" s="100"/>
      <c r="BU308" s="100"/>
      <c r="BV308" s="100"/>
      <c r="BW308" s="100"/>
      <c r="BX308" s="100"/>
      <c r="BY308" s="100"/>
      <c r="BZ308" s="100"/>
      <c r="CA308" s="100"/>
      <c r="CB308" s="100"/>
      <c r="CC308" s="100"/>
    </row>
    <row r="309" spans="2:81">
      <c r="C309" s="11"/>
      <c r="D309" s="15"/>
      <c r="E309" s="15"/>
      <c r="F309" s="15"/>
    </row>
    <row r="310" spans="2:81" ht="15" customHeight="1">
      <c r="C310" s="11"/>
      <c r="D310" s="15"/>
      <c r="E310" s="15"/>
      <c r="F310" s="15"/>
      <c r="I310" s="893"/>
      <c r="J310" s="893"/>
      <c r="K310" s="893"/>
      <c r="L310" s="893"/>
      <c r="M310" s="893"/>
      <c r="N310" s="893"/>
      <c r="O310" s="893"/>
      <c r="P310" s="893"/>
      <c r="Q310" s="893"/>
      <c r="R310" s="893"/>
      <c r="S310" s="893"/>
      <c r="T310" s="893"/>
      <c r="U310" s="893"/>
      <c r="V310" s="893"/>
      <c r="W310" s="893"/>
      <c r="X310" s="893"/>
      <c r="Y310" s="893"/>
      <c r="AE310" s="918"/>
      <c r="AF310" s="918"/>
      <c r="AG310" s="918"/>
      <c r="AH310" s="918"/>
      <c r="AI310" s="918"/>
      <c r="AJ310" s="918"/>
      <c r="AK310" s="918"/>
      <c r="AL310" s="918"/>
      <c r="AM310" s="918"/>
      <c r="AN310" s="918"/>
      <c r="AO310" s="918"/>
      <c r="AP310" s="918"/>
      <c r="AQ310" s="918"/>
      <c r="AR310" s="918"/>
      <c r="AS310" s="918"/>
      <c r="AT310" s="918"/>
      <c r="AU310" s="918"/>
      <c r="AV310" s="918"/>
      <c r="AW310" s="918"/>
      <c r="AX310" s="918"/>
      <c r="AY310" s="918"/>
      <c r="AZ310" s="918"/>
      <c r="BA310" s="918"/>
      <c r="BB310" s="918"/>
      <c r="BC310" s="918"/>
      <c r="BD310" s="918"/>
      <c r="BE310" s="918"/>
      <c r="BF310" s="918"/>
      <c r="BG310" s="918"/>
      <c r="BH310" s="918"/>
      <c r="BI310" s="918"/>
      <c r="BJ310" s="918"/>
      <c r="BK310" s="918"/>
      <c r="BL310" s="918"/>
      <c r="BM310" s="918"/>
      <c r="BN310" s="918"/>
      <c r="BO310" s="918"/>
      <c r="BP310" s="918"/>
      <c r="BQ310" s="918"/>
      <c r="BR310" s="918"/>
      <c r="BS310" s="918"/>
      <c r="BT310" s="918"/>
      <c r="BU310" s="918"/>
      <c r="BV310" s="918"/>
      <c r="BW310" s="918"/>
      <c r="BX310" s="918"/>
      <c r="BY310" s="918"/>
      <c r="BZ310" s="239"/>
      <c r="CA310" s="239"/>
      <c r="CB310" s="239"/>
    </row>
    <row r="311" spans="2:81" ht="15" customHeight="1">
      <c r="C311" s="11"/>
      <c r="D311" s="15"/>
      <c r="E311" s="15"/>
      <c r="F311" s="15"/>
      <c r="I311" s="892"/>
      <c r="J311" s="892"/>
      <c r="K311" s="892"/>
      <c r="L311" s="892"/>
      <c r="M311" s="892"/>
      <c r="N311" s="892"/>
      <c r="O311" s="892"/>
      <c r="P311" s="892"/>
      <c r="Q311" s="892"/>
      <c r="R311" s="892"/>
      <c r="S311" s="892"/>
      <c r="T311" s="892"/>
      <c r="U311" s="892"/>
      <c r="V311" s="892"/>
      <c r="W311" s="892"/>
      <c r="X311" s="892"/>
      <c r="Y311" s="95"/>
      <c r="AE311" s="339"/>
      <c r="AF311" s="95"/>
      <c r="AG311" s="95"/>
      <c r="AH311" s="95"/>
      <c r="AI311" s="403"/>
      <c r="AJ311" s="95"/>
      <c r="AK311" s="95"/>
      <c r="AL311" s="95"/>
      <c r="AM311" s="95"/>
      <c r="AN311" s="95"/>
      <c r="AO311" s="95"/>
      <c r="AP311" s="95"/>
      <c r="AQ311" s="95"/>
      <c r="AR311" s="95"/>
      <c r="AS311" s="95"/>
      <c r="AT311" s="95"/>
      <c r="AU311" s="95"/>
      <c r="AV311" s="95"/>
      <c r="AW311" s="95"/>
      <c r="AX311" s="95"/>
      <c r="AY311" s="95"/>
      <c r="AZ311" s="95"/>
      <c r="BA311" s="95"/>
      <c r="BB311" s="95"/>
      <c r="BC311" s="95"/>
      <c r="BD311" s="95"/>
      <c r="BE311" s="95"/>
      <c r="BF311" s="95"/>
      <c r="BG311" s="95"/>
      <c r="BH311" s="95"/>
      <c r="BI311" s="95"/>
      <c r="BJ311" s="95"/>
      <c r="BK311" s="95"/>
      <c r="BL311" s="95"/>
      <c r="BM311" s="95"/>
      <c r="BN311" s="95"/>
      <c r="BO311" s="95"/>
      <c r="BP311" s="95"/>
      <c r="BQ311" s="95"/>
      <c r="BR311" s="95"/>
      <c r="BS311" s="95"/>
      <c r="BT311" s="95"/>
      <c r="BU311" s="95"/>
      <c r="BV311" s="95"/>
      <c r="BW311" s="95"/>
      <c r="BX311" s="95"/>
      <c r="BY311" s="95"/>
      <c r="BZ311" s="64"/>
      <c r="CA311" s="64"/>
      <c r="CB311" s="64"/>
    </row>
    <row r="312" spans="2:81" ht="15" customHeight="1">
      <c r="C312" s="11"/>
      <c r="D312" s="15"/>
      <c r="E312" s="15"/>
      <c r="F312" s="15"/>
      <c r="I312" s="837"/>
      <c r="J312" s="837"/>
      <c r="K312" s="93"/>
      <c r="L312" s="837"/>
      <c r="M312" s="837"/>
      <c r="N312" s="93"/>
      <c r="O312" s="837"/>
      <c r="P312" s="837"/>
      <c r="Q312" s="278"/>
      <c r="R312" s="892"/>
      <c r="S312" s="892"/>
      <c r="T312" s="94"/>
      <c r="U312" s="837"/>
      <c r="V312" s="837"/>
      <c r="W312" s="93"/>
      <c r="X312" s="837"/>
      <c r="Y312" s="837"/>
      <c r="AE312" s="837"/>
      <c r="AF312" s="837"/>
      <c r="AG312" s="93"/>
      <c r="AH312" s="837"/>
      <c r="AI312" s="837"/>
      <c r="AJ312" s="93"/>
      <c r="AK312" s="837"/>
      <c r="AL312" s="837"/>
      <c r="AM312" s="93"/>
      <c r="AN312" s="837"/>
      <c r="AO312" s="837"/>
      <c r="AP312" s="93"/>
      <c r="AQ312" s="837"/>
      <c r="AR312" s="837"/>
      <c r="AS312" s="93"/>
      <c r="AT312" s="837"/>
      <c r="AU312" s="837"/>
      <c r="AV312" s="93"/>
      <c r="AW312" s="837"/>
      <c r="AX312" s="837"/>
      <c r="AY312" s="93"/>
      <c r="AZ312" s="837"/>
      <c r="BA312" s="837"/>
      <c r="BB312" s="93"/>
      <c r="BC312" s="892"/>
      <c r="BD312" s="892"/>
      <c r="BE312" s="94"/>
      <c r="BF312" s="837"/>
      <c r="BG312" s="837"/>
      <c r="BH312" s="171"/>
      <c r="BI312" s="920"/>
      <c r="BJ312" s="920"/>
      <c r="BK312" s="171"/>
      <c r="BL312" s="920"/>
      <c r="BM312" s="920"/>
      <c r="BN312" s="171"/>
      <c r="BO312" s="920"/>
      <c r="BP312" s="920"/>
      <c r="BQ312" s="171"/>
      <c r="BR312" s="920"/>
      <c r="BS312" s="920"/>
      <c r="BT312" s="171"/>
      <c r="BU312" s="920"/>
      <c r="BV312" s="920"/>
      <c r="BW312" s="171"/>
      <c r="BX312" s="837"/>
      <c r="BY312" s="837"/>
      <c r="BZ312" s="96"/>
      <c r="CA312" s="925"/>
      <c r="CB312" s="925"/>
    </row>
    <row r="313" spans="2:81">
      <c r="B313" s="519" t="s">
        <v>1079</v>
      </c>
      <c r="C313" s="471" t="s">
        <v>1134</v>
      </c>
      <c r="D313" s="16" t="s">
        <v>353</v>
      </c>
      <c r="E313" s="16" t="s">
        <v>354</v>
      </c>
      <c r="F313" s="16" t="s">
        <v>355</v>
      </c>
      <c r="I313" s="171"/>
      <c r="J313" s="95"/>
      <c r="K313" s="95"/>
      <c r="L313" s="95"/>
      <c r="M313" s="95"/>
      <c r="N313" s="95"/>
      <c r="O313" s="95"/>
      <c r="P313" s="95"/>
      <c r="Q313" s="95"/>
      <c r="R313" s="95"/>
      <c r="S313" s="95"/>
      <c r="T313" s="95"/>
      <c r="U313" s="95"/>
      <c r="V313" s="95"/>
      <c r="W313" s="95"/>
      <c r="X313" s="95"/>
      <c r="Y313" s="95"/>
      <c r="AE313" s="340"/>
      <c r="AF313" s="95"/>
      <c r="AG313" s="95"/>
      <c r="AH313" s="95"/>
      <c r="AI313" s="403"/>
      <c r="AJ313" s="95"/>
      <c r="AK313" s="95"/>
      <c r="AL313" s="95"/>
      <c r="AM313" s="95"/>
      <c r="AN313" s="95"/>
      <c r="AO313" s="95"/>
      <c r="AP313" s="95"/>
      <c r="AQ313" s="95"/>
      <c r="AR313" s="95"/>
      <c r="AS313" s="95"/>
      <c r="AT313" s="95"/>
      <c r="AU313" s="95"/>
      <c r="AV313" s="95"/>
      <c r="AW313" s="95"/>
      <c r="AX313" s="95"/>
      <c r="AY313" s="95"/>
      <c r="AZ313" s="95"/>
      <c r="BA313" s="95"/>
      <c r="BB313" s="95"/>
      <c r="BC313" s="95"/>
      <c r="BD313" s="95"/>
      <c r="BE313" s="95"/>
      <c r="BF313" s="95"/>
      <c r="BG313" s="95"/>
      <c r="BH313" s="95"/>
      <c r="BI313" s="95"/>
      <c r="BJ313" s="95"/>
      <c r="BK313" s="95"/>
      <c r="BL313" s="95"/>
      <c r="BM313" s="95"/>
      <c r="BN313" s="95"/>
      <c r="BO313" s="95"/>
      <c r="BP313" s="95"/>
      <c r="BQ313" s="95"/>
      <c r="BR313" s="95"/>
      <c r="BS313" s="95"/>
      <c r="BT313" s="95"/>
      <c r="BU313" s="95"/>
      <c r="BV313" s="95"/>
      <c r="BW313" s="95"/>
      <c r="BX313" s="95"/>
      <c r="BY313" s="95"/>
      <c r="BZ313" s="64"/>
      <c r="CA313" s="83"/>
      <c r="CB313" s="83"/>
    </row>
    <row r="314" spans="2:81">
      <c r="C314" s="187" t="s">
        <v>1135</v>
      </c>
      <c r="D314" s="18">
        <v>0.05</v>
      </c>
      <c r="E314" s="18">
        <v>0.05</v>
      </c>
      <c r="F314" s="18">
        <v>0.05</v>
      </c>
      <c r="H314" s="125">
        <f t="shared" ref="H314:J314" si="116">D314</f>
        <v>0.05</v>
      </c>
      <c r="I314" s="165">
        <f t="shared" si="116"/>
        <v>0.05</v>
      </c>
      <c r="J314" s="125">
        <f t="shared" si="116"/>
        <v>0.05</v>
      </c>
      <c r="K314" s="125"/>
      <c r="L314" s="87"/>
      <c r="M314" s="87"/>
      <c r="N314" s="125">
        <f>D314</f>
        <v>0.05</v>
      </c>
      <c r="O314" s="125">
        <f>E314</f>
        <v>0.05</v>
      </c>
      <c r="P314" s="125">
        <f>F314</f>
        <v>0.05</v>
      </c>
      <c r="Q314" s="125">
        <f>D314</f>
        <v>0.05</v>
      </c>
      <c r="R314" s="125">
        <f>E314</f>
        <v>0.05</v>
      </c>
      <c r="S314" s="125">
        <f>F314</f>
        <v>0.05</v>
      </c>
      <c r="T314" s="125">
        <f>D314</f>
        <v>0.05</v>
      </c>
      <c r="U314" s="125">
        <f>E314</f>
        <v>0.05</v>
      </c>
      <c r="V314" s="125">
        <f>F314</f>
        <v>0.05</v>
      </c>
      <c r="W314" s="87"/>
      <c r="X314" s="87"/>
      <c r="Y314" s="87"/>
      <c r="AD314" s="125">
        <f t="shared" ref="AD314:AF314" si="117">D314</f>
        <v>0.05</v>
      </c>
      <c r="AE314" s="432">
        <f t="shared" si="117"/>
        <v>0.05</v>
      </c>
      <c r="AF314" s="176">
        <f t="shared" si="117"/>
        <v>0.05</v>
      </c>
      <c r="AG314" s="176"/>
      <c r="AH314" s="87"/>
      <c r="AI314" s="134"/>
      <c r="AJ314" s="87"/>
      <c r="AK314" s="87"/>
      <c r="AL314" s="87"/>
      <c r="AM314" s="87"/>
      <c r="AN314" s="87"/>
      <c r="AO314" s="87"/>
      <c r="AP314" s="87"/>
      <c r="AQ314" s="87"/>
      <c r="AR314" s="87"/>
      <c r="AS314" s="87"/>
      <c r="AT314" s="87"/>
      <c r="AU314" s="87"/>
      <c r="AV314" s="87"/>
      <c r="AW314" s="87"/>
      <c r="AX314" s="87"/>
      <c r="AY314" s="87"/>
      <c r="AZ314" s="87"/>
      <c r="BA314" s="87"/>
      <c r="BB314" s="87"/>
      <c r="BC314" s="87"/>
      <c r="BD314" s="87"/>
      <c r="BE314" s="125">
        <f t="shared" ref="BE314:BG314" si="118">D314</f>
        <v>0.05</v>
      </c>
      <c r="BF314" s="125">
        <f t="shared" si="118"/>
        <v>0.05</v>
      </c>
      <c r="BG314" s="125">
        <f t="shared" si="118"/>
        <v>0.05</v>
      </c>
      <c r="BH314" s="176"/>
      <c r="BI314" s="87"/>
      <c r="BJ314" s="87"/>
      <c r="BK314" s="87"/>
      <c r="BL314" s="87"/>
      <c r="BM314" s="87"/>
      <c r="BN314" s="87"/>
      <c r="BO314" s="87"/>
      <c r="BP314" s="87"/>
      <c r="BQ314" s="87"/>
      <c r="BR314" s="87"/>
      <c r="BS314" s="87"/>
      <c r="BT314" s="87"/>
      <c r="BU314" s="87"/>
      <c r="BV314" s="87"/>
      <c r="BW314" s="87"/>
      <c r="BX314" s="87"/>
      <c r="BY314" s="87"/>
    </row>
    <row r="315" spans="2:81" s="1" customFormat="1">
      <c r="C315" s="10"/>
      <c r="D315" s="22">
        <f>SUM(D314:D314)</f>
        <v>0.05</v>
      </c>
      <c r="E315" s="22">
        <f>SUM(E314:E314)</f>
        <v>0.05</v>
      </c>
      <c r="F315" s="22">
        <f>SUM(F314:F314)</f>
        <v>0.05</v>
      </c>
      <c r="H315" s="33">
        <f t="shared" ref="H315:V315" si="119">SUM(H314:H314)</f>
        <v>0.05</v>
      </c>
      <c r="I315" s="33">
        <f t="shared" si="119"/>
        <v>0.05</v>
      </c>
      <c r="J315" s="33">
        <f t="shared" si="119"/>
        <v>0.05</v>
      </c>
      <c r="K315" s="33">
        <f t="shared" si="119"/>
        <v>0</v>
      </c>
      <c r="L315" s="33">
        <f t="shared" si="119"/>
        <v>0</v>
      </c>
      <c r="M315" s="33">
        <f t="shared" si="119"/>
        <v>0</v>
      </c>
      <c r="N315" s="33">
        <f t="shared" si="119"/>
        <v>0.05</v>
      </c>
      <c r="O315" s="33">
        <f t="shared" si="119"/>
        <v>0.05</v>
      </c>
      <c r="P315" s="33">
        <f t="shared" si="119"/>
        <v>0.05</v>
      </c>
      <c r="Q315" s="33">
        <f t="shared" si="119"/>
        <v>0.05</v>
      </c>
      <c r="R315" s="33">
        <f t="shared" si="119"/>
        <v>0.05</v>
      </c>
      <c r="S315" s="33">
        <f t="shared" si="119"/>
        <v>0.05</v>
      </c>
      <c r="T315" s="33">
        <f t="shared" si="119"/>
        <v>0.05</v>
      </c>
      <c r="U315" s="33">
        <f t="shared" si="119"/>
        <v>0.05</v>
      </c>
      <c r="V315" s="33">
        <f t="shared" si="119"/>
        <v>0.05</v>
      </c>
      <c r="AD315" s="139">
        <f>SUM(AD314:AD314)</f>
        <v>0.05</v>
      </c>
      <c r="AE315" s="139">
        <f>SUM(AE314:AE314)</f>
        <v>0.05</v>
      </c>
      <c r="AF315" s="139">
        <f>SUM(AF314:AF314)</f>
        <v>0.05</v>
      </c>
      <c r="AJ315" s="393"/>
      <c r="BE315" s="33">
        <f>SUM(BE314:BE314)</f>
        <v>0.05</v>
      </c>
      <c r="BF315" s="33">
        <f>SUM(BF314:BF314)</f>
        <v>0.05</v>
      </c>
      <c r="BG315" s="33">
        <f>SUM(BG314:BG314)</f>
        <v>0.05</v>
      </c>
    </row>
    <row r="316" spans="2:81">
      <c r="C316" s="11"/>
      <c r="D316" s="22"/>
      <c r="E316" s="18">
        <f>D315-E315</f>
        <v>0</v>
      </c>
      <c r="F316" s="18">
        <f>E315-F315</f>
        <v>0</v>
      </c>
    </row>
    <row r="317" spans="2:81">
      <c r="C317" s="11"/>
      <c r="D317" s="22"/>
      <c r="E317" s="18"/>
      <c r="F317" s="15"/>
    </row>
    <row r="318" spans="2:81">
      <c r="C318" s="10" t="s">
        <v>359</v>
      </c>
      <c r="D318" s="82">
        <v>3</v>
      </c>
      <c r="E318" s="16"/>
      <c r="F318" s="16"/>
    </row>
    <row r="319" spans="2:81">
      <c r="C319" s="53"/>
      <c r="D319" s="56"/>
      <c r="E319" s="54"/>
      <c r="F319" s="54"/>
    </row>
    <row r="320" spans="2:81">
      <c r="C320" s="53"/>
      <c r="D320" s="56"/>
      <c r="E320" s="54"/>
      <c r="F320" s="54"/>
    </row>
    <row r="321" spans="2:81">
      <c r="C321" s="11" t="s">
        <v>360</v>
      </c>
      <c r="D321" s="15"/>
      <c r="E321" s="15"/>
      <c r="F321" s="15"/>
    </row>
    <row r="322" spans="2:81">
      <c r="C322" s="11" t="s">
        <v>361</v>
      </c>
      <c r="D322" s="15"/>
      <c r="E322" s="15"/>
      <c r="F322" s="15"/>
    </row>
    <row r="323" spans="2:81">
      <c r="C323" s="11" t="s">
        <v>362</v>
      </c>
      <c r="D323" s="15"/>
      <c r="E323" s="15"/>
      <c r="F323" s="15"/>
    </row>
    <row r="324" spans="2:81">
      <c r="C324" s="11" t="s">
        <v>363</v>
      </c>
      <c r="D324" s="15"/>
      <c r="E324" s="15"/>
      <c r="F324" s="15"/>
    </row>
    <row r="325" spans="2:81">
      <c r="C325" s="109"/>
      <c r="D325" s="168"/>
      <c r="E325" s="169"/>
      <c r="F325" s="110"/>
      <c r="G325" s="100"/>
      <c r="H325" s="100"/>
      <c r="I325" s="100"/>
      <c r="J325" s="100"/>
      <c r="K325" s="100"/>
      <c r="L325" s="100"/>
      <c r="M325" s="100"/>
      <c r="N325" s="100"/>
      <c r="O325" s="100"/>
      <c r="P325" s="100"/>
      <c r="Q325" s="100"/>
      <c r="R325" s="100"/>
      <c r="S325" s="100"/>
      <c r="T325" s="100"/>
      <c r="U325" s="100"/>
      <c r="V325" s="100"/>
      <c r="W325" s="100"/>
      <c r="X325" s="100"/>
      <c r="Y325" s="100"/>
      <c r="Z325" s="100"/>
      <c r="AA325" s="100"/>
      <c r="AB325" s="100"/>
      <c r="AC325" s="100"/>
      <c r="AD325" s="332"/>
      <c r="AE325" s="100"/>
      <c r="AF325" s="100"/>
      <c r="AG325" s="100"/>
      <c r="AH325" s="100"/>
      <c r="AI325" s="100"/>
      <c r="AJ325" s="392"/>
      <c r="AK325" s="100"/>
      <c r="AL325" s="100"/>
      <c r="AM325" s="100"/>
      <c r="AN325" s="100"/>
      <c r="AO325" s="100"/>
      <c r="AP325" s="100"/>
      <c r="AQ325" s="100"/>
      <c r="AR325" s="100"/>
      <c r="AS325" s="100"/>
      <c r="AT325" s="100"/>
      <c r="AU325" s="100"/>
      <c r="AV325" s="100"/>
      <c r="AW325" s="100"/>
      <c r="AX325" s="100"/>
      <c r="AY325" s="100"/>
      <c r="AZ325" s="100"/>
      <c r="BA325" s="100"/>
      <c r="BB325" s="100"/>
      <c r="BC325" s="100"/>
      <c r="BD325" s="100"/>
      <c r="BE325" s="100"/>
      <c r="BF325" s="100"/>
      <c r="BG325" s="100"/>
      <c r="BH325" s="100"/>
      <c r="BI325" s="100"/>
      <c r="BJ325" s="100"/>
      <c r="BK325" s="100"/>
      <c r="BL325" s="100"/>
      <c r="BM325" s="100"/>
      <c r="BN325" s="100"/>
      <c r="BO325" s="100"/>
      <c r="BP325" s="100"/>
      <c r="BQ325" s="100"/>
      <c r="BR325" s="100"/>
      <c r="BS325" s="100"/>
      <c r="BT325" s="100"/>
      <c r="BU325" s="100"/>
      <c r="BV325" s="100"/>
      <c r="BW325" s="100"/>
      <c r="BX325" s="100"/>
      <c r="BY325" s="100"/>
      <c r="BZ325" s="100"/>
      <c r="CA325" s="100"/>
      <c r="CB325" s="100"/>
      <c r="CC325" s="100"/>
    </row>
    <row r="326" spans="2:81">
      <c r="C326" s="11"/>
      <c r="D326" s="15"/>
      <c r="E326" s="15"/>
      <c r="F326" s="15"/>
    </row>
    <row r="327" spans="2:81" ht="15" customHeight="1">
      <c r="C327" s="11"/>
      <c r="D327" s="15"/>
      <c r="E327" s="15"/>
      <c r="F327" s="15"/>
      <c r="I327" s="221"/>
      <c r="J327" s="221"/>
      <c r="K327" s="221"/>
      <c r="L327" s="221"/>
      <c r="M327" s="221"/>
      <c r="N327" s="221"/>
      <c r="O327" s="221"/>
      <c r="P327" s="221"/>
      <c r="Q327" s="221"/>
      <c r="R327" s="221"/>
      <c r="S327" s="221"/>
      <c r="T327" s="221"/>
      <c r="U327" s="221"/>
      <c r="V327" s="221"/>
      <c r="W327" s="221"/>
      <c r="X327" s="221"/>
      <c r="Y327" s="221"/>
      <c r="AE327" s="918" t="s">
        <v>349</v>
      </c>
      <c r="AF327" s="918"/>
      <c r="AG327" s="918"/>
      <c r="AH327" s="918"/>
      <c r="AI327" s="918"/>
      <c r="AJ327" s="918"/>
      <c r="AK327" s="918"/>
      <c r="AL327" s="918"/>
      <c r="AM327" s="918"/>
      <c r="AN327" s="918"/>
      <c r="AO327" s="918"/>
      <c r="AP327" s="918"/>
      <c r="AQ327" s="918"/>
      <c r="AR327" s="918"/>
      <c r="AS327" s="918"/>
      <c r="AT327" s="918"/>
      <c r="AU327" s="918"/>
      <c r="AV327" s="918"/>
      <c r="AW327" s="918"/>
      <c r="AX327" s="918"/>
      <c r="AY327" s="918"/>
      <c r="AZ327" s="918"/>
      <c r="BA327" s="918"/>
      <c r="BB327" s="918"/>
      <c r="BC327" s="918"/>
      <c r="BD327" s="918"/>
      <c r="BE327" s="918"/>
      <c r="BF327" s="918"/>
      <c r="BG327" s="918"/>
      <c r="BH327" s="918"/>
      <c r="BI327" s="918"/>
      <c r="BJ327" s="918"/>
      <c r="BK327" s="918"/>
      <c r="BL327" s="918"/>
      <c r="BM327" s="918"/>
      <c r="BN327" s="918"/>
      <c r="BO327" s="918"/>
      <c r="BP327" s="918"/>
      <c r="BQ327" s="918"/>
      <c r="BR327" s="918"/>
      <c r="BS327" s="918"/>
      <c r="BT327" s="918"/>
      <c r="BU327" s="918"/>
      <c r="BV327" s="918"/>
      <c r="BW327" s="918"/>
      <c r="BX327" s="918"/>
      <c r="BY327" s="918"/>
      <c r="BZ327" s="239"/>
      <c r="CA327" s="239"/>
      <c r="CB327" s="239"/>
    </row>
    <row r="328" spans="2:81" ht="15" customHeight="1">
      <c r="C328" s="11"/>
      <c r="D328" s="15"/>
      <c r="E328" s="15"/>
      <c r="F328" s="15"/>
      <c r="I328" s="94"/>
      <c r="J328" s="94"/>
      <c r="K328" s="94"/>
      <c r="L328" s="94"/>
      <c r="M328" s="94"/>
      <c r="N328" s="94"/>
      <c r="O328" s="94"/>
      <c r="P328" s="94"/>
      <c r="Q328" s="94"/>
      <c r="R328" s="94"/>
      <c r="S328" s="94"/>
      <c r="T328" s="94"/>
      <c r="U328" s="94"/>
      <c r="V328" s="94"/>
      <c r="W328" s="94"/>
      <c r="X328" s="94"/>
      <c r="Y328" s="95"/>
      <c r="AE328" s="339" t="s">
        <v>716</v>
      </c>
      <c r="AF328" s="95"/>
      <c r="AG328" s="95"/>
      <c r="AH328" s="95"/>
      <c r="AI328" s="403"/>
      <c r="AJ328" s="95"/>
      <c r="AK328" s="95"/>
      <c r="AL328" s="95"/>
      <c r="AM328" s="95"/>
      <c r="AN328" s="95"/>
      <c r="AO328" s="95"/>
      <c r="AP328" s="95"/>
      <c r="AQ328" s="95"/>
      <c r="AR328" s="95"/>
      <c r="AS328" s="95"/>
      <c r="AT328" s="95"/>
      <c r="AU328" s="95"/>
      <c r="AV328" s="95"/>
      <c r="AW328" s="95"/>
      <c r="AX328" s="95"/>
      <c r="AY328" s="95"/>
      <c r="AZ328" s="95"/>
      <c r="BA328" s="95"/>
      <c r="BB328" s="95"/>
      <c r="BC328" s="95"/>
      <c r="BD328" s="95"/>
      <c r="BE328" s="95"/>
      <c r="BF328" s="95"/>
      <c r="BG328" s="95"/>
      <c r="BH328" s="95"/>
      <c r="BI328" s="95"/>
      <c r="BJ328" s="95"/>
      <c r="BK328" s="95"/>
      <c r="BL328" s="95"/>
      <c r="BM328" s="95"/>
      <c r="BN328" s="95"/>
      <c r="BO328" s="95"/>
      <c r="BP328" s="95"/>
      <c r="BQ328" s="95"/>
      <c r="BR328" s="95"/>
      <c r="BS328" s="95"/>
      <c r="BT328" s="95"/>
      <c r="BU328" s="95"/>
      <c r="BV328" s="95"/>
      <c r="BW328" s="95"/>
      <c r="BX328" s="95"/>
      <c r="BY328" s="95"/>
      <c r="BZ328" s="64"/>
      <c r="CA328" s="64"/>
      <c r="CB328" s="64"/>
    </row>
    <row r="329" spans="2:81" ht="15" customHeight="1">
      <c r="C329" s="11"/>
      <c r="D329" s="15"/>
      <c r="E329" s="15"/>
      <c r="F329" s="15"/>
      <c r="I329" s="93"/>
      <c r="J329" s="93"/>
      <c r="K329" s="93"/>
      <c r="L329" s="93"/>
      <c r="M329" s="93"/>
      <c r="N329" s="93"/>
      <c r="O329" s="93"/>
      <c r="P329" s="93"/>
      <c r="Q329" s="93"/>
      <c r="R329" s="94"/>
      <c r="S329" s="94"/>
      <c r="T329" s="94"/>
      <c r="U329" s="93"/>
      <c r="V329" s="93"/>
      <c r="W329" s="93"/>
      <c r="X329" s="93"/>
      <c r="Y329" s="93"/>
      <c r="AE329" s="837" t="s">
        <v>1049</v>
      </c>
      <c r="AF329" s="837"/>
      <c r="AG329" s="93"/>
      <c r="AH329" s="837" t="s">
        <v>1050</v>
      </c>
      <c r="AI329" s="837"/>
      <c r="AJ329" s="93"/>
      <c r="AK329" s="837" t="s">
        <v>1051</v>
      </c>
      <c r="AL329" s="837"/>
      <c r="AM329" s="93"/>
      <c r="AN329" s="837" t="s">
        <v>1052</v>
      </c>
      <c r="AO329" s="837"/>
      <c r="AP329" s="93"/>
      <c r="AQ329" s="837" t="s">
        <v>1053</v>
      </c>
      <c r="AR329" s="837"/>
      <c r="AS329" s="93"/>
      <c r="AT329" s="837" t="s">
        <v>1054</v>
      </c>
      <c r="AU329" s="837"/>
      <c r="AV329" s="93"/>
      <c r="AW329" s="837" t="s">
        <v>1055</v>
      </c>
      <c r="AX329" s="837"/>
      <c r="AY329" s="93"/>
      <c r="AZ329" s="837" t="s">
        <v>1056</v>
      </c>
      <c r="BA329" s="837"/>
      <c r="BB329" s="93"/>
      <c r="BC329" s="892" t="s">
        <v>1057</v>
      </c>
      <c r="BD329" s="892"/>
      <c r="BE329" s="94"/>
      <c r="BF329" s="837" t="s">
        <v>1058</v>
      </c>
      <c r="BG329" s="837"/>
      <c r="BH329" s="171"/>
      <c r="BI329" s="920" t="s">
        <v>1059</v>
      </c>
      <c r="BJ329" s="920"/>
      <c r="BK329" s="171"/>
      <c r="BL329" s="920" t="s">
        <v>1060</v>
      </c>
      <c r="BM329" s="920"/>
      <c r="BN329" s="171"/>
      <c r="BO329" s="920" t="s">
        <v>1061</v>
      </c>
      <c r="BP329" s="920"/>
      <c r="BQ329" s="171"/>
      <c r="BR329" s="920" t="s">
        <v>1062</v>
      </c>
      <c r="BS329" s="920"/>
      <c r="BT329" s="171"/>
      <c r="BU329" s="920" t="s">
        <v>1063</v>
      </c>
      <c r="BV329" s="920"/>
      <c r="BW329" s="829" t="s">
        <v>1064</v>
      </c>
      <c r="BX329" s="830"/>
      <c r="BY329" s="831"/>
      <c r="BZ329" s="96"/>
      <c r="CA329" s="925" t="s">
        <v>1132</v>
      </c>
      <c r="CB329" s="925"/>
    </row>
    <row r="330" spans="2:81">
      <c r="B330" s="519" t="s">
        <v>1079</v>
      </c>
      <c r="C330" s="12" t="s">
        <v>5</v>
      </c>
      <c r="D330" s="16" t="s">
        <v>353</v>
      </c>
      <c r="E330" s="16" t="s">
        <v>354</v>
      </c>
      <c r="F330" s="16" t="s">
        <v>355</v>
      </c>
      <c r="I330" s="171"/>
      <c r="J330" s="95"/>
      <c r="K330" s="95"/>
      <c r="L330" s="95"/>
      <c r="M330" s="95"/>
      <c r="N330" s="95"/>
      <c r="O330" s="95"/>
      <c r="P330" s="95"/>
      <c r="Q330" s="95"/>
      <c r="R330" s="95"/>
      <c r="S330" s="95"/>
      <c r="T330" s="95"/>
      <c r="U330" s="95"/>
      <c r="V330" s="95"/>
      <c r="W330" s="95"/>
      <c r="X330" s="95"/>
      <c r="Y330" s="95"/>
      <c r="AE330" s="340" t="s">
        <v>1080</v>
      </c>
      <c r="AF330" s="95" t="s">
        <v>1081</v>
      </c>
      <c r="AG330" s="95"/>
      <c r="AH330" s="95" t="s">
        <v>1080</v>
      </c>
      <c r="AI330" s="403" t="s">
        <v>1081</v>
      </c>
      <c r="AJ330" s="95"/>
      <c r="AK330" s="95" t="s">
        <v>1080</v>
      </c>
      <c r="AL330" s="95" t="s">
        <v>1081</v>
      </c>
      <c r="AM330" s="95"/>
      <c r="AN330" s="95" t="s">
        <v>1080</v>
      </c>
      <c r="AO330" s="95" t="s">
        <v>1081</v>
      </c>
      <c r="AP330" s="95"/>
      <c r="AQ330" s="95" t="s">
        <v>1080</v>
      </c>
      <c r="AR330" s="95" t="s">
        <v>1081</v>
      </c>
      <c r="AS330" s="95"/>
      <c r="AT330" s="95" t="s">
        <v>1080</v>
      </c>
      <c r="AU330" s="95" t="s">
        <v>1081</v>
      </c>
      <c r="AV330" s="95"/>
      <c r="AW330" s="95" t="s">
        <v>1080</v>
      </c>
      <c r="AX330" s="95" t="s">
        <v>1081</v>
      </c>
      <c r="AY330" s="95"/>
      <c r="AZ330" s="95" t="s">
        <v>1080</v>
      </c>
      <c r="BA330" s="95" t="s">
        <v>1081</v>
      </c>
      <c r="BB330" s="95"/>
      <c r="BC330" s="95" t="s">
        <v>1080</v>
      </c>
      <c r="BD330" s="95" t="s">
        <v>1081</v>
      </c>
      <c r="BE330" s="95"/>
      <c r="BF330" s="95" t="s">
        <v>1080</v>
      </c>
      <c r="BG330" s="95" t="s">
        <v>1081</v>
      </c>
      <c r="BH330" s="95"/>
      <c r="BI330" s="95" t="s">
        <v>1080</v>
      </c>
      <c r="BJ330" s="95" t="s">
        <v>1081</v>
      </c>
      <c r="BK330" s="95"/>
      <c r="BL330" s="95" t="s">
        <v>1080</v>
      </c>
      <c r="BM330" s="95" t="s">
        <v>1081</v>
      </c>
      <c r="BN330" s="95"/>
      <c r="BO330" s="95" t="s">
        <v>1080</v>
      </c>
      <c r="BP330" s="95" t="s">
        <v>1081</v>
      </c>
      <c r="BQ330" s="95"/>
      <c r="BR330" s="95" t="s">
        <v>1080</v>
      </c>
      <c r="BS330" s="95" t="s">
        <v>1081</v>
      </c>
      <c r="BT330" s="95"/>
      <c r="BU330" s="95" t="s">
        <v>1080</v>
      </c>
      <c r="BV330" s="95" t="s">
        <v>1081</v>
      </c>
      <c r="BW330" s="95"/>
      <c r="BX330" s="95" t="s">
        <v>1080</v>
      </c>
      <c r="BY330" s="95" t="s">
        <v>1081</v>
      </c>
      <c r="BZ330" s="64"/>
      <c r="CA330" s="83" t="s">
        <v>1080</v>
      </c>
      <c r="CB330" s="83" t="s">
        <v>1081</v>
      </c>
    </row>
    <row r="331" spans="2:81">
      <c r="C331" s="187" t="s">
        <v>1136</v>
      </c>
      <c r="D331" s="18">
        <v>0.05</v>
      </c>
      <c r="E331" s="18">
        <v>0.05</v>
      </c>
      <c r="F331" s="18">
        <v>0.05</v>
      </c>
      <c r="H331" s="6">
        <f>D331</f>
        <v>0.05</v>
      </c>
      <c r="I331" s="6">
        <f t="shared" ref="I331:J332" si="120">E331</f>
        <v>0.05</v>
      </c>
      <c r="J331" s="6">
        <f t="shared" si="120"/>
        <v>0.05</v>
      </c>
      <c r="K331" s="441"/>
      <c r="L331" s="142"/>
      <c r="M331" s="142"/>
      <c r="N331" s="154">
        <f>D331</f>
        <v>0.05</v>
      </c>
      <c r="O331" s="154">
        <f t="shared" ref="O331:P332" si="121">E331</f>
        <v>0.05</v>
      </c>
      <c r="P331" s="154">
        <f t="shared" si="121"/>
        <v>0.05</v>
      </c>
      <c r="Q331" s="142"/>
      <c r="R331" s="142"/>
      <c r="S331" s="142"/>
      <c r="T331" s="142"/>
      <c r="U331" s="142"/>
      <c r="V331" s="142"/>
      <c r="W331" s="142"/>
      <c r="X331" s="142"/>
      <c r="Y331" s="142"/>
      <c r="AD331" s="125">
        <f t="shared" ref="AD331:AF333" si="122">D331</f>
        <v>0.05</v>
      </c>
      <c r="AE331" s="442">
        <f t="shared" si="122"/>
        <v>0.05</v>
      </c>
      <c r="AF331" s="437">
        <f t="shared" si="122"/>
        <v>0.05</v>
      </c>
      <c r="AG331" s="437"/>
      <c r="AH331" s="87"/>
      <c r="AI331" s="134"/>
      <c r="AJ331" s="87"/>
      <c r="AK331" s="87"/>
      <c r="AL331" s="87"/>
      <c r="AM331" s="87"/>
      <c r="AN331" s="87"/>
      <c r="AO331" s="87"/>
      <c r="AP331" s="87"/>
      <c r="AQ331" s="87"/>
      <c r="AR331" s="87"/>
      <c r="AS331" s="87"/>
      <c r="AT331" s="87"/>
      <c r="AU331" s="87"/>
      <c r="AV331" s="87"/>
      <c r="AW331" s="87"/>
      <c r="AX331" s="87"/>
      <c r="AY331" s="87"/>
      <c r="AZ331" s="87"/>
      <c r="BA331" s="87"/>
      <c r="BB331" s="87"/>
      <c r="BC331" s="87"/>
      <c r="BD331" s="87"/>
      <c r="BE331" s="125">
        <f t="shared" ref="BE331:BG332" si="123">D331</f>
        <v>0.05</v>
      </c>
      <c r="BF331" s="437">
        <f t="shared" si="123"/>
        <v>0.05</v>
      </c>
      <c r="BG331" s="437">
        <f t="shared" si="123"/>
        <v>0.05</v>
      </c>
      <c r="BH331" s="437"/>
      <c r="BI331" s="87"/>
      <c r="BJ331" s="87"/>
      <c r="BK331" s="87"/>
      <c r="BL331" s="87"/>
      <c r="BM331" s="87"/>
      <c r="BN331" s="87"/>
      <c r="BO331" s="87"/>
      <c r="BP331" s="87"/>
      <c r="BQ331" s="87"/>
      <c r="BR331" s="87"/>
      <c r="BS331" s="87"/>
      <c r="BT331" s="87"/>
      <c r="BU331" s="87"/>
      <c r="BV331" s="87"/>
      <c r="BW331" s="125">
        <f>D331</f>
        <v>0.05</v>
      </c>
      <c r="BX331" s="125">
        <f t="shared" ref="BX331:BY332" si="124">E331</f>
        <v>0.05</v>
      </c>
      <c r="BY331" s="125">
        <f t="shared" si="124"/>
        <v>0.05</v>
      </c>
    </row>
    <row r="332" spans="2:81">
      <c r="C332" s="187" t="s">
        <v>1137</v>
      </c>
      <c r="D332" s="18">
        <v>0.1</v>
      </c>
      <c r="E332" s="18">
        <v>0.1</v>
      </c>
      <c r="F332" s="18">
        <v>0.1</v>
      </c>
      <c r="H332" s="6">
        <f>D332</f>
        <v>0.1</v>
      </c>
      <c r="I332" s="6">
        <f t="shared" si="120"/>
        <v>0.1</v>
      </c>
      <c r="J332" s="6">
        <f t="shared" si="120"/>
        <v>0.1</v>
      </c>
      <c r="K332" s="126"/>
      <c r="L332" s="87"/>
      <c r="M332" s="87"/>
      <c r="N332" s="125">
        <f>D332</f>
        <v>0.1</v>
      </c>
      <c r="O332" s="125">
        <f t="shared" si="121"/>
        <v>0.1</v>
      </c>
      <c r="P332" s="125">
        <f t="shared" si="121"/>
        <v>0.1</v>
      </c>
      <c r="Q332" s="87"/>
      <c r="R332" s="87"/>
      <c r="S332" s="87"/>
      <c r="T332" s="87"/>
      <c r="U332" s="87"/>
      <c r="V332" s="87"/>
      <c r="W332" s="87"/>
      <c r="X332" s="87"/>
      <c r="Y332" s="87"/>
      <c r="AD332" s="125">
        <f t="shared" si="122"/>
        <v>0.1</v>
      </c>
      <c r="AE332" s="442">
        <f t="shared" si="122"/>
        <v>0.1</v>
      </c>
      <c r="AF332" s="437">
        <f t="shared" si="122"/>
        <v>0.1</v>
      </c>
      <c r="AG332" s="437"/>
      <c r="AH332" s="87"/>
      <c r="AI332" s="134"/>
      <c r="AJ332" s="87"/>
      <c r="AK332" s="87"/>
      <c r="AL332" s="87"/>
      <c r="AM332" s="87"/>
      <c r="AN332" s="87"/>
      <c r="AO332" s="87"/>
      <c r="AP332" s="87"/>
      <c r="AQ332" s="87"/>
      <c r="AR332" s="87"/>
      <c r="AS332" s="87"/>
      <c r="AT332" s="87"/>
      <c r="AU332" s="87"/>
      <c r="AV332" s="87"/>
      <c r="AW332" s="87"/>
      <c r="AX332" s="87"/>
      <c r="AY332" s="87"/>
      <c r="AZ332" s="87"/>
      <c r="BA332" s="87"/>
      <c r="BB332" s="87"/>
      <c r="BC332" s="87"/>
      <c r="BD332" s="87"/>
      <c r="BE332" s="125">
        <f t="shared" si="123"/>
        <v>0.1</v>
      </c>
      <c r="BF332" s="176">
        <f t="shared" si="123"/>
        <v>0.1</v>
      </c>
      <c r="BG332" s="176">
        <f t="shared" si="123"/>
        <v>0.1</v>
      </c>
      <c r="BH332" s="176"/>
      <c r="BI332" s="87"/>
      <c r="BJ332" s="87"/>
      <c r="BK332" s="87"/>
      <c r="BL332" s="87"/>
      <c r="BM332" s="87"/>
      <c r="BN332" s="87"/>
      <c r="BO332" s="87"/>
      <c r="BP332" s="87"/>
      <c r="BQ332" s="87"/>
      <c r="BR332" s="87"/>
      <c r="BS332" s="87"/>
      <c r="BT332" s="87"/>
      <c r="BU332" s="87"/>
      <c r="BV332" s="87"/>
      <c r="BW332" s="125">
        <f>D332</f>
        <v>0.1</v>
      </c>
      <c r="BX332" s="125">
        <f t="shared" si="124"/>
        <v>0.1</v>
      </c>
      <c r="BY332" s="125">
        <f t="shared" si="124"/>
        <v>0.1</v>
      </c>
    </row>
    <row r="333" spans="2:81">
      <c r="C333" s="187" t="s">
        <v>1138</v>
      </c>
      <c r="D333" s="18">
        <v>0.5</v>
      </c>
      <c r="E333" s="18">
        <v>0.5</v>
      </c>
      <c r="F333" s="18">
        <v>0.5</v>
      </c>
      <c r="I333" s="87"/>
      <c r="J333" s="125"/>
      <c r="K333" s="125"/>
      <c r="L333" s="125"/>
      <c r="M333" s="87"/>
      <c r="N333" s="87"/>
      <c r="O333" s="87"/>
      <c r="P333" s="87"/>
      <c r="Q333" s="87"/>
      <c r="R333" s="87"/>
      <c r="S333" s="87"/>
      <c r="T333" s="87"/>
      <c r="U333" s="87"/>
      <c r="V333" s="87"/>
      <c r="W333" s="87"/>
      <c r="X333" s="87"/>
      <c r="Y333" s="87"/>
      <c r="AD333" s="125">
        <f t="shared" si="122"/>
        <v>0.5</v>
      </c>
      <c r="AE333" s="165">
        <f t="shared" si="122"/>
        <v>0.5</v>
      </c>
      <c r="AF333" s="125">
        <f t="shared" si="122"/>
        <v>0.5</v>
      </c>
      <c r="AG333" s="125"/>
      <c r="AH333" s="87"/>
      <c r="AI333" s="134"/>
      <c r="AJ333" s="87"/>
      <c r="AK333" s="87"/>
      <c r="AL333" s="87"/>
      <c r="AM333" s="87"/>
      <c r="AN333" s="87"/>
      <c r="AO333" s="87"/>
      <c r="AP333" s="87"/>
      <c r="AQ333" s="87"/>
      <c r="AR333" s="87"/>
      <c r="AS333" s="87"/>
      <c r="AT333" s="87"/>
      <c r="AU333" s="87"/>
      <c r="AV333" s="87"/>
      <c r="AW333" s="87"/>
      <c r="AX333" s="87"/>
      <c r="AY333" s="87"/>
      <c r="AZ333" s="87"/>
      <c r="BA333" s="87"/>
      <c r="BB333" s="87"/>
      <c r="BC333" s="87"/>
      <c r="BD333" s="87"/>
      <c r="BE333" s="87"/>
      <c r="BF333" s="125"/>
      <c r="BG333" s="125"/>
      <c r="BH333" s="125"/>
      <c r="BI333" s="87"/>
      <c r="BJ333" s="87"/>
      <c r="BK333" s="87"/>
      <c r="BL333" s="87"/>
      <c r="BM333" s="87"/>
      <c r="BN333" s="87"/>
      <c r="BO333" s="87"/>
      <c r="BP333" s="87"/>
      <c r="BQ333" s="87"/>
      <c r="BR333" s="87"/>
      <c r="BS333" s="87"/>
      <c r="BT333" s="87"/>
      <c r="BU333" s="87"/>
      <c r="BV333" s="87"/>
      <c r="BW333" s="87"/>
      <c r="BX333" s="87"/>
      <c r="BY333" s="87"/>
    </row>
    <row r="334" spans="2:81">
      <c r="C334" s="187" t="s">
        <v>1139</v>
      </c>
      <c r="D334" s="22">
        <v>0.2</v>
      </c>
      <c r="E334" s="22">
        <v>0.2</v>
      </c>
      <c r="F334" s="22">
        <v>0.2</v>
      </c>
      <c r="I334" s="87"/>
      <c r="J334" s="87"/>
      <c r="K334" s="87"/>
      <c r="L334" s="87"/>
      <c r="M334" s="87"/>
      <c r="N334" s="87"/>
      <c r="O334" s="87"/>
      <c r="P334" s="87"/>
      <c r="Q334" s="87"/>
      <c r="R334" s="87"/>
      <c r="S334" s="87"/>
      <c r="T334" s="87"/>
      <c r="U334" s="87"/>
      <c r="V334" s="87"/>
      <c r="W334" s="87"/>
      <c r="X334" s="87"/>
      <c r="Y334" s="87"/>
      <c r="AE334" s="344"/>
      <c r="AF334" s="131"/>
      <c r="AG334" s="131"/>
      <c r="AH334" s="130"/>
      <c r="AI334" s="405"/>
      <c r="AJ334" s="130"/>
      <c r="AK334" s="130"/>
      <c r="AL334" s="130"/>
      <c r="AM334" s="130"/>
      <c r="AN334" s="130"/>
      <c r="AO334" s="130"/>
      <c r="AP334" s="130"/>
      <c r="AQ334" s="130"/>
      <c r="AR334" s="130"/>
      <c r="AS334" s="130"/>
      <c r="AT334" s="130"/>
      <c r="AU334" s="130"/>
      <c r="AV334" s="130"/>
      <c r="AW334" s="130"/>
      <c r="AX334" s="130"/>
      <c r="AY334" s="130"/>
      <c r="AZ334" s="130"/>
      <c r="BA334" s="130"/>
      <c r="BB334" s="130"/>
      <c r="BC334" s="130"/>
      <c r="BD334" s="130"/>
      <c r="BE334" s="131">
        <f t="shared" ref="BE334:BG335" si="125">D334</f>
        <v>0.2</v>
      </c>
      <c r="BF334" s="131">
        <f t="shared" si="125"/>
        <v>0.2</v>
      </c>
      <c r="BG334" s="131">
        <f t="shared" si="125"/>
        <v>0.2</v>
      </c>
      <c r="BH334" s="131"/>
      <c r="BI334" s="130"/>
      <c r="BJ334" s="130"/>
      <c r="BK334" s="130"/>
      <c r="BL334" s="130"/>
      <c r="BM334" s="130"/>
      <c r="BN334" s="130"/>
      <c r="BO334" s="130"/>
      <c r="BP334" s="130"/>
      <c r="BQ334" s="130"/>
      <c r="BR334" s="130"/>
      <c r="BS334" s="130"/>
      <c r="BT334" s="130"/>
      <c r="BU334" s="130"/>
      <c r="BV334" s="130"/>
      <c r="BW334" s="130"/>
      <c r="BX334" s="130"/>
      <c r="BY334" s="130"/>
    </row>
    <row r="335" spans="2:81">
      <c r="C335" s="187" t="s">
        <v>1115</v>
      </c>
      <c r="D335" s="22">
        <v>0.05</v>
      </c>
      <c r="E335" s="22">
        <v>0.05</v>
      </c>
      <c r="F335" s="22">
        <v>0.05</v>
      </c>
      <c r="I335" s="130"/>
      <c r="J335" s="130"/>
      <c r="K335" s="130"/>
      <c r="L335" s="130"/>
      <c r="M335" s="130"/>
      <c r="N335" s="130"/>
      <c r="O335" s="130"/>
      <c r="P335" s="130"/>
      <c r="Q335" s="130"/>
      <c r="R335" s="130"/>
      <c r="S335" s="130"/>
      <c r="T335" s="130"/>
      <c r="U335" s="130"/>
      <c r="V335" s="130"/>
      <c r="W335" s="130"/>
      <c r="X335" s="130"/>
      <c r="Y335" s="130"/>
      <c r="AD335" s="125">
        <f>D335</f>
        <v>0.05</v>
      </c>
      <c r="AE335" s="443">
        <f>E335</f>
        <v>0.05</v>
      </c>
      <c r="AF335" s="438">
        <f>F335</f>
        <v>0.05</v>
      </c>
      <c r="AG335" s="438"/>
      <c r="AH335" s="130"/>
      <c r="AI335" s="405"/>
      <c r="AJ335" s="130"/>
      <c r="AK335" s="130"/>
      <c r="AL335" s="130"/>
      <c r="AM335" s="130"/>
      <c r="AN335" s="130"/>
      <c r="AO335" s="130"/>
      <c r="AP335" s="130"/>
      <c r="AQ335" s="130"/>
      <c r="AR335" s="130"/>
      <c r="AS335" s="130"/>
      <c r="AT335" s="130"/>
      <c r="AU335" s="130"/>
      <c r="AV335" s="130"/>
      <c r="AW335" s="130"/>
      <c r="AX335" s="130"/>
      <c r="AY335" s="130"/>
      <c r="AZ335" s="130"/>
      <c r="BA335" s="130"/>
      <c r="BB335" s="130"/>
      <c r="BC335" s="130"/>
      <c r="BD335" s="130"/>
      <c r="BE335" s="131">
        <f t="shared" si="125"/>
        <v>0.05</v>
      </c>
      <c r="BF335" s="438">
        <f t="shared" si="125"/>
        <v>0.05</v>
      </c>
      <c r="BG335" s="438">
        <f t="shared" si="125"/>
        <v>0.05</v>
      </c>
      <c r="BH335" s="438"/>
      <c r="BI335" s="130"/>
      <c r="BJ335" s="130"/>
      <c r="BK335" s="130"/>
      <c r="BL335" s="130"/>
      <c r="BM335" s="130"/>
      <c r="BN335" s="130"/>
      <c r="BO335" s="130"/>
      <c r="BP335" s="130"/>
      <c r="BQ335" s="130"/>
      <c r="BR335" s="130"/>
      <c r="BS335" s="130"/>
      <c r="BT335" s="130"/>
      <c r="BU335" s="130"/>
      <c r="BV335" s="130"/>
      <c r="BW335" s="131">
        <f>D335</f>
        <v>0.05</v>
      </c>
      <c r="BX335" s="131">
        <f t="shared" ref="BX335:BY335" si="126">E335</f>
        <v>0.05</v>
      </c>
      <c r="BY335" s="131">
        <f t="shared" si="126"/>
        <v>0.05</v>
      </c>
    </row>
    <row r="336" spans="2:81" s="1" customFormat="1">
      <c r="C336" s="10"/>
      <c r="D336" s="19">
        <f>SUM(D331:D335)</f>
        <v>0.90000000000000013</v>
      </c>
      <c r="E336" s="19">
        <f>SUM(E331:E335)</f>
        <v>0.90000000000000013</v>
      </c>
      <c r="F336" s="19">
        <f>SUM(F331:F335)</f>
        <v>0.90000000000000013</v>
      </c>
      <c r="H336" s="33">
        <f>SUM(H331:H335)</f>
        <v>0.15000000000000002</v>
      </c>
      <c r="I336" s="33">
        <f>SUM(I331:I335)</f>
        <v>0.15000000000000002</v>
      </c>
      <c r="J336" s="33">
        <f>SUM(J331:J335)</f>
        <v>0.15000000000000002</v>
      </c>
      <c r="N336" s="33">
        <f>SUM(N331:N335)</f>
        <v>0.15000000000000002</v>
      </c>
      <c r="O336" s="33">
        <f>SUM(O331:O335)</f>
        <v>0.15000000000000002</v>
      </c>
      <c r="P336" s="33">
        <f>SUM(P331:P335)</f>
        <v>0.15000000000000002</v>
      </c>
      <c r="Q336" s="33" t="e">
        <f>SUM(#REF!)</f>
        <v>#REF!</v>
      </c>
      <c r="R336" s="33" t="e">
        <f>SUM(#REF!)</f>
        <v>#REF!</v>
      </c>
      <c r="S336" s="33" t="e">
        <f>SUM(#REF!)</f>
        <v>#REF!</v>
      </c>
      <c r="T336" s="33" t="e">
        <f>SUM(#REF!)</f>
        <v>#REF!</v>
      </c>
      <c r="U336" s="33" t="e">
        <f>SUM(#REF!)</f>
        <v>#REF!</v>
      </c>
      <c r="V336" s="33" t="e">
        <f>SUM(#REF!)</f>
        <v>#REF!</v>
      </c>
      <c r="AD336" s="139">
        <f>SUM(AD331:AD335)</f>
        <v>0.70000000000000007</v>
      </c>
      <c r="AE336" s="440">
        <f>SUM(AE331:AE335)</f>
        <v>0.70000000000000007</v>
      </c>
      <c r="AF336" s="440">
        <f>SUM(AF331:AF335)</f>
        <v>0.70000000000000007</v>
      </c>
      <c r="AJ336" s="393"/>
      <c r="BE336" s="33">
        <f>SUM(BE331:BE335)</f>
        <v>0.4</v>
      </c>
      <c r="BF336" s="440">
        <f>SUM(BF331:BF335)</f>
        <v>0.4</v>
      </c>
      <c r="BG336" s="440">
        <f>SUM(BG331:BG335)</f>
        <v>0.4</v>
      </c>
      <c r="BW336" s="33">
        <f>SUM(BW331:BW335)</f>
        <v>0.2</v>
      </c>
      <c r="BX336" s="33">
        <f>SUM(BX331:BX335)</f>
        <v>0.2</v>
      </c>
      <c r="BY336" s="33">
        <f>SUM(BY331:BY335)</f>
        <v>0.2</v>
      </c>
    </row>
    <row r="337" spans="2:81">
      <c r="C337" s="11"/>
      <c r="D337" s="15"/>
      <c r="E337" s="51">
        <f>D336-E336</f>
        <v>0</v>
      </c>
      <c r="F337" s="51">
        <f>E336-F336</f>
        <v>0</v>
      </c>
    </row>
    <row r="338" spans="2:81">
      <c r="C338" s="11"/>
      <c r="D338" s="15"/>
      <c r="E338" s="15"/>
      <c r="F338" s="15"/>
    </row>
    <row r="339" spans="2:81">
      <c r="C339" s="11"/>
      <c r="D339" s="15"/>
      <c r="E339" s="15"/>
      <c r="F339" s="15"/>
    </row>
    <row r="340" spans="2:81">
      <c r="C340" s="10" t="s">
        <v>359</v>
      </c>
      <c r="D340" s="82">
        <v>3</v>
      </c>
      <c r="E340" s="16"/>
      <c r="F340" s="16"/>
    </row>
    <row r="341" spans="2:81">
      <c r="C341" s="53"/>
      <c r="D341" s="56"/>
      <c r="E341" s="54"/>
      <c r="F341" s="54"/>
    </row>
    <row r="342" spans="2:81">
      <c r="C342" s="53"/>
      <c r="D342" s="56"/>
      <c r="E342" s="54"/>
      <c r="F342" s="54"/>
    </row>
    <row r="343" spans="2:81">
      <c r="C343" s="11" t="s">
        <v>360</v>
      </c>
      <c r="D343" s="15"/>
      <c r="E343" s="15"/>
      <c r="F343" s="15"/>
    </row>
    <row r="344" spans="2:81">
      <c r="C344" s="11" t="s">
        <v>361</v>
      </c>
      <c r="D344" s="15"/>
      <c r="E344" s="15"/>
      <c r="F344" s="15"/>
    </row>
    <row r="345" spans="2:81">
      <c r="C345" s="11" t="s">
        <v>362</v>
      </c>
      <c r="D345" s="15"/>
      <c r="E345" s="15"/>
      <c r="F345" s="15"/>
    </row>
    <row r="346" spans="2:81">
      <c r="C346" s="11" t="s">
        <v>363</v>
      </c>
      <c r="D346" s="15"/>
      <c r="E346" s="15"/>
      <c r="F346" s="15"/>
    </row>
    <row r="347" spans="2:81">
      <c r="C347" s="109"/>
      <c r="D347" s="168"/>
      <c r="E347" s="169"/>
      <c r="F347" s="110"/>
      <c r="G347" s="100"/>
      <c r="H347" s="100"/>
      <c r="I347" s="100"/>
      <c r="J347" s="100"/>
      <c r="K347" s="100"/>
      <c r="L347" s="100"/>
      <c r="M347" s="100"/>
      <c r="N347" s="100"/>
      <c r="O347" s="100"/>
      <c r="P347" s="100"/>
      <c r="Q347" s="100"/>
      <c r="R347" s="100"/>
      <c r="S347" s="100"/>
      <c r="T347" s="100"/>
      <c r="U347" s="100"/>
      <c r="V347" s="100"/>
      <c r="W347" s="100"/>
      <c r="X347" s="100"/>
      <c r="Y347" s="100"/>
      <c r="Z347" s="100"/>
      <c r="AA347" s="100"/>
      <c r="AB347" s="100"/>
      <c r="AC347" s="100"/>
      <c r="AD347" s="332"/>
      <c r="AE347" s="100"/>
      <c r="AF347" s="100"/>
      <c r="AG347" s="100"/>
      <c r="AH347" s="100"/>
      <c r="AI347" s="100"/>
      <c r="AJ347" s="392"/>
      <c r="AK347" s="100"/>
      <c r="AL347" s="100"/>
      <c r="AM347" s="100"/>
      <c r="AN347" s="100"/>
      <c r="AO347" s="100"/>
      <c r="AP347" s="100"/>
      <c r="AQ347" s="100"/>
      <c r="AR347" s="100"/>
      <c r="AS347" s="100"/>
      <c r="AT347" s="100"/>
      <c r="AU347" s="100"/>
      <c r="AV347" s="100"/>
      <c r="AW347" s="100"/>
      <c r="AX347" s="100"/>
      <c r="AY347" s="100"/>
      <c r="AZ347" s="100"/>
      <c r="BA347" s="100"/>
      <c r="BB347" s="100"/>
      <c r="BC347" s="100"/>
      <c r="BD347" s="100"/>
      <c r="BE347" s="100"/>
      <c r="BF347" s="100"/>
      <c r="BG347" s="100"/>
      <c r="BH347" s="100"/>
      <c r="BI347" s="100"/>
      <c r="BJ347" s="100"/>
      <c r="BK347" s="100"/>
      <c r="BL347" s="100"/>
      <c r="BM347" s="100"/>
      <c r="BN347" s="100"/>
      <c r="BO347" s="100"/>
      <c r="BP347" s="100"/>
      <c r="BQ347" s="100"/>
      <c r="BR347" s="100"/>
      <c r="BS347" s="100"/>
      <c r="BT347" s="100"/>
      <c r="BU347" s="100"/>
      <c r="BV347" s="100"/>
      <c r="BW347" s="100"/>
      <c r="BX347" s="100"/>
      <c r="BY347" s="100"/>
      <c r="BZ347" s="100"/>
      <c r="CA347" s="100"/>
      <c r="CB347" s="100"/>
      <c r="CC347" s="100"/>
    </row>
    <row r="348" spans="2:81">
      <c r="C348" s="11"/>
      <c r="D348" s="15"/>
      <c r="E348" s="15"/>
      <c r="F348" s="15"/>
    </row>
    <row r="349" spans="2:81" ht="15" customHeight="1">
      <c r="C349" s="11"/>
      <c r="D349" s="15"/>
      <c r="E349" s="15"/>
      <c r="F349" s="15"/>
      <c r="I349" s="893"/>
      <c r="J349" s="893"/>
      <c r="K349" s="893"/>
      <c r="L349" s="893"/>
      <c r="M349" s="893"/>
      <c r="N349" s="893"/>
      <c r="O349" s="893"/>
      <c r="P349" s="893"/>
      <c r="Q349" s="893"/>
      <c r="R349" s="893"/>
      <c r="S349" s="893"/>
      <c r="T349" s="893"/>
      <c r="U349" s="893"/>
      <c r="V349" s="893"/>
      <c r="W349" s="893"/>
      <c r="X349" s="893"/>
      <c r="Y349" s="893"/>
      <c r="AE349" s="918" t="s">
        <v>349</v>
      </c>
      <c r="AF349" s="918"/>
      <c r="AG349" s="918"/>
      <c r="AH349" s="918"/>
      <c r="AI349" s="918"/>
      <c r="AJ349" s="918"/>
      <c r="AK349" s="918"/>
      <c r="AL349" s="918"/>
      <c r="AM349" s="918"/>
      <c r="AN349" s="918"/>
      <c r="AO349" s="918"/>
      <c r="AP349" s="918"/>
      <c r="AQ349" s="918"/>
      <c r="AR349" s="918"/>
      <c r="AS349" s="918"/>
      <c r="AT349" s="918"/>
      <c r="AU349" s="918"/>
      <c r="AV349" s="918"/>
      <c r="AW349" s="918"/>
      <c r="AX349" s="918"/>
      <c r="AY349" s="918"/>
      <c r="AZ349" s="918"/>
      <c r="BA349" s="918"/>
      <c r="BB349" s="918"/>
      <c r="BC349" s="918"/>
      <c r="BD349" s="918"/>
      <c r="BE349" s="918"/>
      <c r="BF349" s="918"/>
      <c r="BG349" s="918"/>
      <c r="BH349" s="918"/>
      <c r="BI349" s="918"/>
      <c r="BJ349" s="918"/>
      <c r="BK349" s="918"/>
      <c r="BL349" s="918"/>
      <c r="BM349" s="918"/>
      <c r="BN349" s="918"/>
      <c r="BO349" s="918"/>
      <c r="BP349" s="918"/>
      <c r="BQ349" s="918"/>
      <c r="BR349" s="918"/>
      <c r="BS349" s="918"/>
      <c r="BT349" s="918"/>
      <c r="BU349" s="918"/>
      <c r="BV349" s="918"/>
      <c r="BW349" s="918"/>
      <c r="BX349" s="918"/>
      <c r="BY349" s="918"/>
      <c r="BZ349" s="239"/>
      <c r="CA349" s="239"/>
      <c r="CB349" s="239"/>
    </row>
    <row r="350" spans="2:81" ht="15" customHeight="1">
      <c r="C350" s="11"/>
      <c r="D350" s="15"/>
      <c r="E350" s="15"/>
      <c r="F350" s="15"/>
      <c r="I350" s="892"/>
      <c r="J350" s="892"/>
      <c r="K350" s="892"/>
      <c r="L350" s="892"/>
      <c r="M350" s="892"/>
      <c r="N350" s="892"/>
      <c r="O350" s="892"/>
      <c r="P350" s="892"/>
      <c r="Q350" s="892"/>
      <c r="R350" s="892"/>
      <c r="S350" s="892"/>
      <c r="T350" s="892"/>
      <c r="U350" s="892"/>
      <c r="V350" s="892"/>
      <c r="W350" s="892"/>
      <c r="X350" s="892"/>
      <c r="Y350" s="95"/>
      <c r="AE350" s="339" t="s">
        <v>716</v>
      </c>
      <c r="AF350" s="95"/>
      <c r="AG350" s="95"/>
      <c r="AH350" s="95"/>
      <c r="AI350" s="403"/>
      <c r="AJ350" s="95"/>
      <c r="AK350" s="95"/>
      <c r="AL350" s="95"/>
      <c r="AM350" s="95"/>
      <c r="AN350" s="95"/>
      <c r="AO350" s="95"/>
      <c r="AP350" s="95"/>
      <c r="AQ350" s="95"/>
      <c r="AR350" s="95"/>
      <c r="AS350" s="95"/>
      <c r="AT350" s="95"/>
      <c r="AU350" s="95"/>
      <c r="AV350" s="95"/>
      <c r="AW350" s="95"/>
      <c r="AX350" s="95"/>
      <c r="AY350" s="95"/>
      <c r="AZ350" s="95"/>
      <c r="BA350" s="95"/>
      <c r="BB350" s="95"/>
      <c r="BC350" s="95"/>
      <c r="BD350" s="95"/>
      <c r="BE350" s="95"/>
      <c r="BF350" s="95"/>
      <c r="BG350" s="95"/>
      <c r="BH350" s="95"/>
      <c r="BI350" s="95"/>
      <c r="BJ350" s="95"/>
      <c r="BK350" s="95"/>
      <c r="BL350" s="95"/>
      <c r="BM350" s="95"/>
      <c r="BN350" s="95"/>
      <c r="BO350" s="95"/>
      <c r="BP350" s="95"/>
      <c r="BQ350" s="95"/>
      <c r="BR350" s="95"/>
      <c r="BS350" s="95"/>
      <c r="BT350" s="95"/>
      <c r="BU350" s="95"/>
      <c r="BV350" s="95"/>
      <c r="BW350" s="95"/>
      <c r="BX350" s="95"/>
      <c r="BY350" s="95"/>
      <c r="BZ350" s="64"/>
      <c r="CA350" s="64"/>
      <c r="CB350" s="64"/>
    </row>
    <row r="351" spans="2:81" ht="15" customHeight="1">
      <c r="C351" s="11"/>
      <c r="D351" s="15"/>
      <c r="E351" s="15"/>
      <c r="F351" s="15"/>
      <c r="I351" s="837"/>
      <c r="J351" s="837"/>
      <c r="K351" s="93"/>
      <c r="L351" s="837"/>
      <c r="M351" s="837"/>
      <c r="N351" s="93"/>
      <c r="O351" s="837"/>
      <c r="P351" s="837"/>
      <c r="Q351" s="278"/>
      <c r="R351" s="892"/>
      <c r="S351" s="892"/>
      <c r="T351" s="94"/>
      <c r="U351" s="837"/>
      <c r="V351" s="837"/>
      <c r="W351" s="93"/>
      <c r="X351" s="837"/>
      <c r="Y351" s="837"/>
      <c r="AE351" s="829" t="s">
        <v>1049</v>
      </c>
      <c r="AF351" s="829"/>
      <c r="AG351" s="271"/>
      <c r="AH351" s="837" t="s">
        <v>1050</v>
      </c>
      <c r="AI351" s="837"/>
      <c r="AJ351" s="93"/>
      <c r="AK351" s="837" t="s">
        <v>1051</v>
      </c>
      <c r="AL351" s="837"/>
      <c r="AM351" s="93"/>
      <c r="AN351" s="837" t="s">
        <v>1052</v>
      </c>
      <c r="AO351" s="837"/>
      <c r="AP351" s="93"/>
      <c r="AQ351" s="837" t="s">
        <v>1053</v>
      </c>
      <c r="AR351" s="837"/>
      <c r="AS351" s="93"/>
      <c r="AT351" s="837" t="s">
        <v>1054</v>
      </c>
      <c r="AU351" s="837"/>
      <c r="AV351" s="93"/>
      <c r="AW351" s="837" t="s">
        <v>1055</v>
      </c>
      <c r="AX351" s="837"/>
      <c r="AY351" s="93"/>
      <c r="AZ351" s="837" t="s">
        <v>1056</v>
      </c>
      <c r="BA351" s="837"/>
      <c r="BB351" s="93"/>
      <c r="BC351" s="892" t="s">
        <v>1057</v>
      </c>
      <c r="BD351" s="892"/>
      <c r="BE351" s="94"/>
      <c r="BF351" s="837" t="s">
        <v>1058</v>
      </c>
      <c r="BG351" s="837"/>
      <c r="BH351" s="171"/>
      <c r="BI351" s="920" t="s">
        <v>1059</v>
      </c>
      <c r="BJ351" s="920"/>
      <c r="BK351" s="171"/>
      <c r="BL351" s="920" t="s">
        <v>1060</v>
      </c>
      <c r="BM351" s="920"/>
      <c r="BN351" s="171"/>
      <c r="BO351" s="920" t="s">
        <v>1061</v>
      </c>
      <c r="BP351" s="920"/>
      <c r="BQ351" s="171"/>
      <c r="BR351" s="920" t="s">
        <v>1062</v>
      </c>
      <c r="BS351" s="920"/>
      <c r="BT351" s="171"/>
      <c r="BU351" s="920" t="s">
        <v>1063</v>
      </c>
      <c r="BV351" s="920"/>
      <c r="BW351" s="829" t="s">
        <v>1064</v>
      </c>
      <c r="BX351" s="830"/>
      <c r="BY351" s="831"/>
      <c r="BZ351" s="96"/>
      <c r="CA351" s="96"/>
      <c r="CB351" s="96"/>
    </row>
    <row r="352" spans="2:81" ht="28.8">
      <c r="B352" s="519" t="s">
        <v>1079</v>
      </c>
      <c r="C352" s="12" t="s">
        <v>6</v>
      </c>
      <c r="D352" s="16" t="s">
        <v>353</v>
      </c>
      <c r="E352" s="16" t="s">
        <v>354</v>
      </c>
      <c r="F352" s="16" t="s">
        <v>355</v>
      </c>
      <c r="I352" s="164" t="s">
        <v>1080</v>
      </c>
      <c r="J352" s="113" t="s">
        <v>1081</v>
      </c>
      <c r="K352" s="113"/>
      <c r="L352" s="95" t="s">
        <v>1080</v>
      </c>
      <c r="M352" s="95" t="s">
        <v>1081</v>
      </c>
      <c r="N352" s="95"/>
      <c r="O352" s="95" t="s">
        <v>1080</v>
      </c>
      <c r="P352" s="95" t="s">
        <v>1081</v>
      </c>
      <c r="Q352" s="95" t="s">
        <v>1081</v>
      </c>
      <c r="R352" s="95" t="s">
        <v>1080</v>
      </c>
      <c r="S352" s="95" t="s">
        <v>1081</v>
      </c>
      <c r="T352" s="95"/>
      <c r="U352" s="95" t="s">
        <v>1080</v>
      </c>
      <c r="V352" s="95" t="s">
        <v>1081</v>
      </c>
      <c r="W352" s="95"/>
      <c r="X352" s="95" t="s">
        <v>1080</v>
      </c>
      <c r="Y352" s="95" t="s">
        <v>1081</v>
      </c>
      <c r="AE352" s="340" t="s">
        <v>1080</v>
      </c>
      <c r="AF352" s="95" t="s">
        <v>1081</v>
      </c>
      <c r="AG352" s="95"/>
      <c r="AH352" s="95" t="s">
        <v>1080</v>
      </c>
      <c r="AI352" s="403" t="s">
        <v>1081</v>
      </c>
      <c r="AJ352" s="95"/>
      <c r="AK352" s="95" t="s">
        <v>1080</v>
      </c>
      <c r="AL352" s="95" t="s">
        <v>1081</v>
      </c>
      <c r="AM352" s="95"/>
      <c r="AN352" s="95" t="s">
        <v>1080</v>
      </c>
      <c r="AO352" s="95" t="s">
        <v>1081</v>
      </c>
      <c r="AP352" s="95"/>
      <c r="AQ352" s="95" t="s">
        <v>1080</v>
      </c>
      <c r="AR352" s="95" t="s">
        <v>1081</v>
      </c>
      <c r="AS352" s="95"/>
      <c r="AT352" s="95" t="s">
        <v>1080</v>
      </c>
      <c r="AU352" s="95" t="s">
        <v>1081</v>
      </c>
      <c r="AV352" s="95"/>
      <c r="AW352" s="95" t="s">
        <v>1080</v>
      </c>
      <c r="AX352" s="95" t="s">
        <v>1081</v>
      </c>
      <c r="AY352" s="95"/>
      <c r="AZ352" s="95" t="s">
        <v>1080</v>
      </c>
      <c r="BA352" s="95" t="s">
        <v>1081</v>
      </c>
      <c r="BB352" s="95"/>
      <c r="BC352" s="95" t="s">
        <v>1080</v>
      </c>
      <c r="BD352" s="95" t="s">
        <v>1081</v>
      </c>
      <c r="BE352" s="95"/>
      <c r="BF352" s="95" t="s">
        <v>1080</v>
      </c>
      <c r="BG352" s="95" t="s">
        <v>1081</v>
      </c>
      <c r="BH352" s="95"/>
      <c r="BI352" s="95" t="s">
        <v>1080</v>
      </c>
      <c r="BJ352" s="95" t="s">
        <v>1081</v>
      </c>
      <c r="BK352" s="95"/>
      <c r="BL352" s="95" t="s">
        <v>1080</v>
      </c>
      <c r="BM352" s="95" t="s">
        <v>1081</v>
      </c>
      <c r="BN352" s="95"/>
      <c r="BO352" s="95" t="s">
        <v>1080</v>
      </c>
      <c r="BP352" s="95" t="s">
        <v>1081</v>
      </c>
      <c r="BQ352" s="95"/>
      <c r="BR352" s="95" t="s">
        <v>1080</v>
      </c>
      <c r="BS352" s="95" t="s">
        <v>1081</v>
      </c>
      <c r="BT352" s="95"/>
      <c r="BU352" s="95" t="s">
        <v>1080</v>
      </c>
      <c r="BV352" s="95" t="s">
        <v>1081</v>
      </c>
      <c r="BW352" s="95"/>
      <c r="BX352" s="95" t="s">
        <v>1080</v>
      </c>
      <c r="BY352" s="95" t="s">
        <v>1081</v>
      </c>
      <c r="BZ352" s="64"/>
      <c r="CA352" s="64"/>
      <c r="CB352" s="64"/>
    </row>
    <row r="353" spans="3:81">
      <c r="C353" s="187" t="s">
        <v>1140</v>
      </c>
      <c r="D353" s="18">
        <v>0.05</v>
      </c>
      <c r="E353" s="18">
        <v>0.05</v>
      </c>
      <c r="F353" s="18">
        <v>0.05</v>
      </c>
      <c r="H353" s="126">
        <f t="shared" ref="H353:J354" si="127">D353</f>
        <v>0.05</v>
      </c>
      <c r="I353" s="126">
        <f t="shared" si="127"/>
        <v>0.05</v>
      </c>
      <c r="J353" s="126">
        <f t="shared" si="127"/>
        <v>0.05</v>
      </c>
      <c r="K353" s="126"/>
      <c r="L353" s="133"/>
      <c r="M353" s="87"/>
      <c r="N353" s="125">
        <f t="shared" ref="N353:P354" si="128">D353</f>
        <v>0.05</v>
      </c>
      <c r="O353" s="126">
        <f t="shared" si="128"/>
        <v>0.05</v>
      </c>
      <c r="P353" s="126">
        <f t="shared" si="128"/>
        <v>0.05</v>
      </c>
      <c r="Q353" s="87"/>
      <c r="R353" s="87"/>
      <c r="S353" s="87"/>
      <c r="T353" s="87"/>
      <c r="U353" s="87"/>
      <c r="V353" s="87"/>
      <c r="W353" s="87"/>
      <c r="X353" s="87"/>
      <c r="Y353" s="87"/>
      <c r="AD353" s="126">
        <f>D353</f>
        <v>0.05</v>
      </c>
      <c r="AE353" s="442">
        <f>E353</f>
        <v>0.05</v>
      </c>
      <c r="AF353" s="437">
        <f>F353</f>
        <v>0.05</v>
      </c>
      <c r="AG353" s="437"/>
      <c r="AH353" s="87"/>
      <c r="AI353" s="134"/>
      <c r="AJ353" s="87"/>
      <c r="AK353" s="87"/>
      <c r="AL353" s="87"/>
      <c r="AM353" s="87"/>
      <c r="AN353" s="87"/>
      <c r="AO353" s="87"/>
      <c r="AP353" s="87"/>
      <c r="AQ353" s="87"/>
      <c r="AR353" s="87"/>
      <c r="AS353" s="87"/>
      <c r="AT353" s="87"/>
      <c r="AU353" s="87"/>
      <c r="AV353" s="87"/>
      <c r="AW353" s="87"/>
      <c r="AX353" s="87"/>
      <c r="AY353" s="87"/>
      <c r="AZ353" s="87"/>
      <c r="BA353" s="87"/>
      <c r="BB353" s="87"/>
      <c r="BC353" s="87"/>
      <c r="BD353" s="87"/>
      <c r="BE353" s="125">
        <f t="shared" ref="BE353:BG354" si="129">D353</f>
        <v>0.05</v>
      </c>
      <c r="BF353" s="437">
        <f t="shared" si="129"/>
        <v>0.05</v>
      </c>
      <c r="BG353" s="437">
        <f t="shared" si="129"/>
        <v>0.05</v>
      </c>
      <c r="BH353" s="437"/>
      <c r="BI353" s="87"/>
      <c r="BJ353" s="87"/>
      <c r="BK353" s="87"/>
      <c r="BL353" s="87"/>
      <c r="BM353" s="87"/>
      <c r="BN353" s="87"/>
      <c r="BO353" s="87"/>
      <c r="BP353" s="87"/>
      <c r="BQ353" s="87"/>
      <c r="BR353" s="87"/>
      <c r="BS353" s="87"/>
      <c r="BT353" s="87"/>
      <c r="BU353" s="87"/>
      <c r="BV353" s="87"/>
      <c r="BW353" s="125">
        <f>D353</f>
        <v>0.05</v>
      </c>
      <c r="BX353" s="125">
        <f t="shared" ref="BX353:BY353" si="130">E353</f>
        <v>0.05</v>
      </c>
      <c r="BY353" s="125">
        <f t="shared" si="130"/>
        <v>0.05</v>
      </c>
    </row>
    <row r="354" spans="3:81">
      <c r="C354" s="187" t="s">
        <v>1137</v>
      </c>
      <c r="D354" s="18">
        <v>0.1</v>
      </c>
      <c r="E354" s="18">
        <v>0.1</v>
      </c>
      <c r="F354" s="18">
        <v>0.1</v>
      </c>
      <c r="H354" s="126">
        <f t="shared" si="127"/>
        <v>0.1</v>
      </c>
      <c r="I354" s="126">
        <f t="shared" si="127"/>
        <v>0.1</v>
      </c>
      <c r="J354" s="126">
        <f t="shared" si="127"/>
        <v>0.1</v>
      </c>
      <c r="K354" s="126"/>
      <c r="L354" s="133"/>
      <c r="M354" s="87"/>
      <c r="N354" s="125">
        <f t="shared" si="128"/>
        <v>0.1</v>
      </c>
      <c r="O354" s="126">
        <f t="shared" si="128"/>
        <v>0.1</v>
      </c>
      <c r="P354" s="126">
        <f t="shared" si="128"/>
        <v>0.1</v>
      </c>
      <c r="Q354" s="87"/>
      <c r="R354" s="87"/>
      <c r="S354" s="87"/>
      <c r="T354" s="87"/>
      <c r="U354" s="87"/>
      <c r="V354" s="87"/>
      <c r="W354" s="87"/>
      <c r="X354" s="87"/>
      <c r="Y354" s="87"/>
      <c r="AD354" s="126">
        <f t="shared" ref="AD354:AE356" si="131">D354</f>
        <v>0.1</v>
      </c>
      <c r="AE354" s="442">
        <f t="shared" si="131"/>
        <v>0.1</v>
      </c>
      <c r="AF354" s="437">
        <f>E354</f>
        <v>0.1</v>
      </c>
      <c r="AG354" s="437"/>
      <c r="AH354" s="87"/>
      <c r="AI354" s="134"/>
      <c r="AJ354" s="87"/>
      <c r="AK354" s="87"/>
      <c r="AL354" s="87"/>
      <c r="AM354" s="87"/>
      <c r="AN354" s="87"/>
      <c r="AO354" s="87"/>
      <c r="AP354" s="87"/>
      <c r="AQ354" s="87"/>
      <c r="AR354" s="87"/>
      <c r="AS354" s="87"/>
      <c r="AT354" s="87"/>
      <c r="AU354" s="87"/>
      <c r="AV354" s="87"/>
      <c r="AW354" s="87"/>
      <c r="AX354" s="87"/>
      <c r="AY354" s="87"/>
      <c r="AZ354" s="87"/>
      <c r="BA354" s="87"/>
      <c r="BB354" s="87"/>
      <c r="BC354" s="87"/>
      <c r="BD354" s="87"/>
      <c r="BE354" s="125">
        <f t="shared" si="129"/>
        <v>0.1</v>
      </c>
      <c r="BF354" s="437">
        <f t="shared" si="129"/>
        <v>0.1</v>
      </c>
      <c r="BG354" s="437">
        <f t="shared" si="129"/>
        <v>0.1</v>
      </c>
      <c r="BH354" s="437"/>
      <c r="BI354" s="87"/>
      <c r="BJ354" s="87"/>
      <c r="BK354" s="87"/>
      <c r="BL354" s="87"/>
      <c r="BM354" s="87"/>
      <c r="BN354" s="87"/>
      <c r="BO354" s="87"/>
      <c r="BP354" s="87"/>
      <c r="BQ354" s="87"/>
      <c r="BR354" s="87"/>
      <c r="BS354" s="87"/>
      <c r="BT354" s="87"/>
      <c r="BU354" s="87"/>
      <c r="BV354" s="87"/>
      <c r="BW354" s="87"/>
      <c r="BX354" s="87"/>
      <c r="BY354" s="87"/>
    </row>
    <row r="355" spans="3:81" ht="28.8">
      <c r="C355" s="187" t="s">
        <v>1141</v>
      </c>
      <c r="D355" s="18">
        <v>0.1</v>
      </c>
      <c r="E355" s="18">
        <v>0.1</v>
      </c>
      <c r="F355" s="18">
        <v>0.1</v>
      </c>
      <c r="H355" s="128"/>
      <c r="I355" s="128"/>
      <c r="J355" s="128"/>
      <c r="K355" s="128"/>
      <c r="L355" s="133"/>
      <c r="M355" s="87"/>
      <c r="N355" s="87"/>
      <c r="O355" s="87"/>
      <c r="P355" s="87"/>
      <c r="Q355" s="87"/>
      <c r="R355" s="87"/>
      <c r="S355" s="87"/>
      <c r="T355" s="87"/>
      <c r="U355" s="87"/>
      <c r="V355" s="87"/>
      <c r="W355" s="87"/>
      <c r="X355" s="87"/>
      <c r="Y355" s="87"/>
      <c r="AD355" s="126">
        <f t="shared" si="131"/>
        <v>0.1</v>
      </c>
      <c r="AE355" s="364">
        <f t="shared" si="131"/>
        <v>0.1</v>
      </c>
      <c r="AF355" s="126">
        <f>F355</f>
        <v>0.1</v>
      </c>
      <c r="AG355" s="126"/>
      <c r="AH355" s="87"/>
      <c r="AI355" s="134"/>
      <c r="AJ355" s="87"/>
      <c r="AK355" s="87"/>
      <c r="AL355" s="87"/>
      <c r="AM355" s="87"/>
      <c r="AN355" s="87"/>
      <c r="AO355" s="87"/>
      <c r="AP355" s="87"/>
      <c r="AQ355" s="87"/>
      <c r="AR355" s="87"/>
      <c r="AS355" s="87"/>
      <c r="AT355" s="87"/>
      <c r="AU355" s="87"/>
      <c r="AV355" s="87"/>
      <c r="AW355" s="87"/>
      <c r="AX355" s="87"/>
      <c r="AY355" s="87"/>
      <c r="AZ355" s="87"/>
      <c r="BA355" s="87"/>
      <c r="BB355" s="87"/>
      <c r="BC355" s="87"/>
      <c r="BD355" s="87"/>
      <c r="BE355" s="87"/>
      <c r="BF355" s="126"/>
      <c r="BG355" s="126"/>
      <c r="BH355" s="126"/>
      <c r="BI355" s="87"/>
      <c r="BJ355" s="87"/>
      <c r="BK355" s="87"/>
      <c r="BL355" s="87"/>
      <c r="BM355" s="87"/>
      <c r="BN355" s="87"/>
      <c r="BO355" s="87"/>
      <c r="BP355" s="87"/>
      <c r="BQ355" s="87"/>
      <c r="BR355" s="87"/>
      <c r="BS355" s="87"/>
      <c r="BT355" s="87"/>
      <c r="BU355" s="87"/>
      <c r="BV355" s="87"/>
      <c r="BW355" s="87"/>
      <c r="BX355" s="87"/>
      <c r="BY355" s="87"/>
    </row>
    <row r="356" spans="3:81">
      <c r="C356" s="187" t="s">
        <v>1142</v>
      </c>
      <c r="D356" s="18">
        <v>0.4</v>
      </c>
      <c r="E356" s="18">
        <v>0.4</v>
      </c>
      <c r="F356" s="18">
        <v>0.4</v>
      </c>
      <c r="I356" s="142"/>
      <c r="J356" s="142"/>
      <c r="K356" s="142"/>
      <c r="L356" s="87"/>
      <c r="M356" s="87"/>
      <c r="N356" s="87"/>
      <c r="O356" s="87"/>
      <c r="P356" s="87"/>
      <c r="Q356" s="87"/>
      <c r="R356" s="87"/>
      <c r="S356" s="87"/>
      <c r="T356" s="87"/>
      <c r="U356" s="87"/>
      <c r="V356" s="87"/>
      <c r="W356" s="87"/>
      <c r="X356" s="87"/>
      <c r="Y356" s="87"/>
      <c r="AD356" s="126">
        <f t="shared" si="131"/>
        <v>0.4</v>
      </c>
      <c r="AE356" s="443">
        <f t="shared" si="131"/>
        <v>0.4</v>
      </c>
      <c r="AF356" s="438">
        <f>F356</f>
        <v>0.4</v>
      </c>
      <c r="AG356" s="438"/>
      <c r="AH356" s="130"/>
      <c r="AI356" s="405"/>
      <c r="AJ356" s="130"/>
      <c r="AK356" s="130"/>
      <c r="AL356" s="130"/>
      <c r="AM356" s="130"/>
      <c r="AN356" s="130"/>
      <c r="AO356" s="130"/>
      <c r="AP356" s="130"/>
      <c r="AQ356" s="130"/>
      <c r="AR356" s="130"/>
      <c r="AS356" s="130"/>
      <c r="AT356" s="130"/>
      <c r="AU356" s="130"/>
      <c r="AV356" s="130"/>
      <c r="AW356" s="130"/>
      <c r="AX356" s="130"/>
      <c r="AY356" s="130"/>
      <c r="AZ356" s="130"/>
      <c r="BA356" s="130"/>
      <c r="BB356" s="130"/>
      <c r="BC356" s="130"/>
      <c r="BD356" s="130"/>
      <c r="BE356" s="130"/>
      <c r="BF356" s="438"/>
      <c r="BG356" s="438"/>
      <c r="BH356" s="438"/>
      <c r="BI356" s="130"/>
      <c r="BJ356" s="130"/>
      <c r="BK356" s="130"/>
      <c r="BL356" s="130"/>
      <c r="BM356" s="130"/>
      <c r="BN356" s="130"/>
      <c r="BO356" s="130"/>
      <c r="BP356" s="130"/>
      <c r="BQ356" s="130"/>
      <c r="BR356" s="130"/>
      <c r="BS356" s="130"/>
      <c r="BT356" s="130"/>
      <c r="BU356" s="130"/>
      <c r="BV356" s="130"/>
      <c r="BW356" s="130"/>
      <c r="BX356" s="130"/>
      <c r="BY356" s="130"/>
    </row>
    <row r="357" spans="3:81">
      <c r="C357" s="187" t="s">
        <v>1143</v>
      </c>
      <c r="D357" s="22">
        <v>0.2</v>
      </c>
      <c r="E357" s="22">
        <v>0.2</v>
      </c>
      <c r="F357" s="22">
        <v>0.2</v>
      </c>
      <c r="I357" s="130"/>
      <c r="J357" s="130"/>
      <c r="K357" s="130"/>
      <c r="L357" s="130"/>
      <c r="M357" s="130"/>
      <c r="N357" s="130"/>
      <c r="O357" s="130"/>
      <c r="P357" s="130"/>
      <c r="Q357" s="130"/>
      <c r="R357" s="130"/>
      <c r="S357" s="130"/>
      <c r="T357" s="130"/>
      <c r="U357" s="130"/>
      <c r="V357" s="130"/>
      <c r="W357" s="130"/>
      <c r="X357" s="130"/>
      <c r="Y357" s="130"/>
      <c r="AD357" s="128"/>
      <c r="AE357" s="443"/>
      <c r="AF357" s="438"/>
      <c r="AG357" s="438"/>
      <c r="AH357" s="130"/>
      <c r="AI357" s="405"/>
      <c r="AJ357" s="130"/>
      <c r="AK357" s="130"/>
      <c r="AL357" s="130"/>
      <c r="AM357" s="130"/>
      <c r="AN357" s="130"/>
      <c r="AO357" s="130"/>
      <c r="AP357" s="130"/>
      <c r="AQ357" s="130"/>
      <c r="AR357" s="130"/>
      <c r="AS357" s="130"/>
      <c r="AT357" s="130"/>
      <c r="AU357" s="130"/>
      <c r="AV357" s="130"/>
      <c r="AW357" s="130"/>
      <c r="AX357" s="130"/>
      <c r="AY357" s="130"/>
      <c r="AZ357" s="130"/>
      <c r="BA357" s="130"/>
      <c r="BB357" s="130"/>
      <c r="BC357" s="130"/>
      <c r="BD357" s="130"/>
      <c r="BE357" s="131">
        <f t="shared" ref="BE357:BG358" si="132">D357</f>
        <v>0.2</v>
      </c>
      <c r="BF357" s="438">
        <f t="shared" si="132"/>
        <v>0.2</v>
      </c>
      <c r="BG357" s="438">
        <f t="shared" si="132"/>
        <v>0.2</v>
      </c>
      <c r="BH357" s="438"/>
      <c r="BI357" s="130"/>
      <c r="BJ357" s="130"/>
      <c r="BK357" s="130"/>
      <c r="BL357" s="130"/>
      <c r="BM357" s="130"/>
      <c r="BN357" s="130"/>
      <c r="BO357" s="130"/>
      <c r="BP357" s="130"/>
      <c r="BQ357" s="130"/>
      <c r="BR357" s="130"/>
      <c r="BS357" s="130"/>
      <c r="BT357" s="130"/>
      <c r="BU357" s="130"/>
      <c r="BV357" s="130"/>
      <c r="BW357" s="130"/>
      <c r="BX357" s="130"/>
      <c r="BY357" s="130"/>
    </row>
    <row r="358" spans="3:81">
      <c r="C358" s="187" t="s">
        <v>1115</v>
      </c>
      <c r="D358" s="22">
        <v>0.05</v>
      </c>
      <c r="E358" s="22">
        <v>0.05</v>
      </c>
      <c r="F358" s="22">
        <v>0.05</v>
      </c>
      <c r="I358" s="130"/>
      <c r="J358" s="130"/>
      <c r="K358" s="130"/>
      <c r="L358" s="130"/>
      <c r="M358" s="130"/>
      <c r="N358" s="130"/>
      <c r="O358" s="130"/>
      <c r="P358" s="130"/>
      <c r="Q358" s="130"/>
      <c r="R358" s="130"/>
      <c r="S358" s="130"/>
      <c r="T358" s="130"/>
      <c r="U358" s="130"/>
      <c r="V358" s="130"/>
      <c r="W358" s="130"/>
      <c r="X358" s="130"/>
      <c r="Y358" s="130"/>
      <c r="AD358" s="126">
        <f>D358</f>
        <v>0.05</v>
      </c>
      <c r="AE358" s="443">
        <f>E358</f>
        <v>0.05</v>
      </c>
      <c r="AF358" s="438">
        <f>F358</f>
        <v>0.05</v>
      </c>
      <c r="AG358" s="438"/>
      <c r="AH358" s="130"/>
      <c r="AI358" s="405"/>
      <c r="AJ358" s="130"/>
      <c r="AK358" s="130"/>
      <c r="AL358" s="130"/>
      <c r="AM358" s="130"/>
      <c r="AN358" s="130"/>
      <c r="AO358" s="130"/>
      <c r="AP358" s="130"/>
      <c r="AQ358" s="130"/>
      <c r="AR358" s="130"/>
      <c r="AS358" s="130"/>
      <c r="AT358" s="130"/>
      <c r="AU358" s="130"/>
      <c r="AV358" s="130"/>
      <c r="AW358" s="130"/>
      <c r="AX358" s="130"/>
      <c r="AY358" s="130"/>
      <c r="AZ358" s="130"/>
      <c r="BA358" s="130"/>
      <c r="BB358" s="130"/>
      <c r="BC358" s="130"/>
      <c r="BD358" s="130"/>
      <c r="BE358" s="131">
        <f t="shared" si="132"/>
        <v>0.05</v>
      </c>
      <c r="BF358" s="438">
        <f t="shared" si="132"/>
        <v>0.05</v>
      </c>
      <c r="BG358" s="438">
        <f t="shared" si="132"/>
        <v>0.05</v>
      </c>
      <c r="BH358" s="438"/>
      <c r="BI358" s="130"/>
      <c r="BJ358" s="130"/>
      <c r="BK358" s="130"/>
      <c r="BL358" s="130"/>
      <c r="BM358" s="130"/>
      <c r="BN358" s="130"/>
      <c r="BO358" s="130"/>
      <c r="BP358" s="130"/>
      <c r="BQ358" s="130"/>
      <c r="BR358" s="130"/>
      <c r="BS358" s="130"/>
      <c r="BT358" s="130"/>
      <c r="BU358" s="130"/>
      <c r="BV358" s="130"/>
      <c r="BW358" s="131">
        <f>D358</f>
        <v>0.05</v>
      </c>
      <c r="BX358" s="131">
        <f t="shared" ref="BX358:BY358" si="133">E358</f>
        <v>0.05</v>
      </c>
      <c r="BY358" s="131">
        <f t="shared" si="133"/>
        <v>0.05</v>
      </c>
    </row>
    <row r="359" spans="3:81">
      <c r="C359" s="187" t="s">
        <v>378</v>
      </c>
      <c r="D359" s="51">
        <v>0.1</v>
      </c>
      <c r="E359" s="51">
        <v>0.1</v>
      </c>
      <c r="F359" s="51">
        <v>0.1</v>
      </c>
      <c r="I359" s="87"/>
      <c r="J359" s="87"/>
      <c r="K359" s="87"/>
      <c r="L359" s="87"/>
      <c r="M359" s="87"/>
      <c r="N359" s="87"/>
      <c r="O359" s="87"/>
      <c r="P359" s="87"/>
      <c r="Q359" s="126">
        <f>D359</f>
        <v>0.1</v>
      </c>
      <c r="R359" s="126">
        <f>E359</f>
        <v>0.1</v>
      </c>
      <c r="S359" s="126">
        <f>F359</f>
        <v>0.1</v>
      </c>
      <c r="T359" s="126">
        <f>D359</f>
        <v>0.1</v>
      </c>
      <c r="U359" s="126">
        <f>E359</f>
        <v>0.1</v>
      </c>
      <c r="V359" s="126">
        <f>F359</f>
        <v>0.1</v>
      </c>
      <c r="W359" s="126"/>
      <c r="X359" s="87"/>
      <c r="Y359" s="87"/>
      <c r="AE359" s="133"/>
      <c r="AF359" s="87"/>
      <c r="AG359" s="87"/>
      <c r="AH359" s="87"/>
      <c r="AI359" s="134"/>
      <c r="AJ359" s="87"/>
      <c r="AK359" s="87"/>
      <c r="AL359" s="87"/>
      <c r="AM359" s="87"/>
      <c r="AN359" s="87"/>
      <c r="AO359" s="87"/>
      <c r="AP359" s="87"/>
      <c r="AQ359" s="87"/>
      <c r="AR359" s="87"/>
      <c r="AS359" s="87"/>
      <c r="AT359" s="87"/>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row>
    <row r="360" spans="3:81">
      <c r="C360" s="11"/>
      <c r="D360" s="15"/>
      <c r="E360" s="18" t="e">
        <f>#REF!-#REF!</f>
        <v>#REF!</v>
      </c>
      <c r="F360" s="18" t="e">
        <f>#REF!-#REF!</f>
        <v>#REF!</v>
      </c>
    </row>
    <row r="361" spans="3:81">
      <c r="C361" s="11"/>
      <c r="D361" s="15"/>
      <c r="E361" s="15"/>
      <c r="F361" s="15"/>
    </row>
    <row r="362" spans="3:81">
      <c r="C362" s="10" t="s">
        <v>359</v>
      </c>
      <c r="D362" s="15">
        <v>3</v>
      </c>
      <c r="E362" s="15"/>
      <c r="F362" s="15"/>
    </row>
    <row r="363" spans="3:81">
      <c r="C363" s="11"/>
      <c r="D363" s="15"/>
      <c r="E363" s="15"/>
      <c r="F363" s="15"/>
    </row>
    <row r="364" spans="3:81">
      <c r="C364" s="11" t="s">
        <v>360</v>
      </c>
      <c r="D364" s="15"/>
      <c r="E364" s="15"/>
      <c r="F364" s="15"/>
    </row>
    <row r="365" spans="3:81">
      <c r="C365" s="11" t="s">
        <v>361</v>
      </c>
      <c r="D365" s="15"/>
      <c r="E365" s="15"/>
      <c r="F365" s="15"/>
    </row>
    <row r="366" spans="3:81">
      <c r="C366" s="11" t="s">
        <v>362</v>
      </c>
      <c r="D366" s="15"/>
      <c r="E366" s="15"/>
      <c r="F366" s="15"/>
    </row>
    <row r="367" spans="3:81">
      <c r="C367" s="11" t="s">
        <v>363</v>
      </c>
      <c r="D367" s="54"/>
      <c r="E367" s="54"/>
      <c r="F367" s="54"/>
    </row>
    <row r="368" spans="3:81">
      <c r="C368" s="109"/>
      <c r="D368" s="168"/>
      <c r="E368" s="169"/>
      <c r="F368" s="110"/>
      <c r="G368" s="100"/>
      <c r="H368" s="100"/>
      <c r="I368" s="100"/>
      <c r="J368" s="100"/>
      <c r="K368" s="100"/>
      <c r="L368" s="100"/>
      <c r="M368" s="100"/>
      <c r="N368" s="100"/>
      <c r="O368" s="100"/>
      <c r="P368" s="100"/>
      <c r="Q368" s="100"/>
      <c r="R368" s="100"/>
      <c r="S368" s="100"/>
      <c r="T368" s="100"/>
      <c r="U368" s="100"/>
      <c r="V368" s="100"/>
      <c r="W368" s="100"/>
      <c r="X368" s="100"/>
      <c r="Y368" s="100"/>
      <c r="Z368" s="100"/>
      <c r="AA368" s="100"/>
      <c r="AB368" s="100"/>
      <c r="AC368" s="100"/>
      <c r="AD368" s="332"/>
      <c r="AE368" s="100"/>
      <c r="AF368" s="100"/>
      <c r="AG368" s="100"/>
      <c r="AH368" s="100"/>
      <c r="AI368" s="100"/>
      <c r="AJ368" s="392"/>
      <c r="AK368" s="100"/>
      <c r="AL368" s="100"/>
      <c r="AM368" s="100"/>
      <c r="AN368" s="100"/>
      <c r="AO368" s="100"/>
      <c r="AP368" s="100"/>
      <c r="AQ368" s="100"/>
      <c r="AR368" s="100"/>
      <c r="AS368" s="100"/>
      <c r="AT368" s="100"/>
      <c r="AU368" s="100"/>
      <c r="AV368" s="100"/>
      <c r="AW368" s="100"/>
      <c r="AX368" s="100"/>
      <c r="AY368" s="100"/>
      <c r="AZ368" s="100"/>
      <c r="BA368" s="100"/>
      <c r="BB368" s="100"/>
      <c r="BC368" s="100"/>
      <c r="BD368" s="100"/>
      <c r="BE368" s="100"/>
      <c r="BF368" s="100"/>
      <c r="BG368" s="100"/>
      <c r="BH368" s="100"/>
      <c r="BI368" s="100"/>
      <c r="BJ368" s="100"/>
      <c r="BK368" s="100"/>
      <c r="BL368" s="100"/>
      <c r="BM368" s="100"/>
      <c r="BN368" s="100"/>
      <c r="BO368" s="100"/>
      <c r="BP368" s="100"/>
      <c r="BQ368" s="100"/>
      <c r="BR368" s="100"/>
      <c r="BS368" s="100"/>
      <c r="BT368" s="100"/>
      <c r="BU368" s="100"/>
      <c r="BV368" s="100"/>
      <c r="BW368" s="100"/>
      <c r="BX368" s="100"/>
      <c r="BY368" s="100"/>
      <c r="BZ368" s="100"/>
      <c r="CA368" s="100"/>
      <c r="CB368" s="100"/>
      <c r="CC368" s="100"/>
    </row>
    <row r="369" spans="2:113">
      <c r="C369" s="11"/>
      <c r="D369" s="54"/>
      <c r="E369" s="54"/>
      <c r="F369" s="54"/>
    </row>
    <row r="370" spans="2:113">
      <c r="C370" s="11"/>
      <c r="D370" s="54"/>
      <c r="E370" s="54"/>
      <c r="F370" s="54"/>
      <c r="I370" s="893"/>
      <c r="J370" s="893"/>
      <c r="K370" s="893"/>
      <c r="L370" s="893"/>
      <c r="M370" s="893"/>
      <c r="N370" s="893"/>
      <c r="O370" s="893"/>
      <c r="P370" s="893"/>
      <c r="Q370" s="893"/>
      <c r="R370" s="893"/>
      <c r="S370" s="893"/>
      <c r="T370" s="893"/>
      <c r="U370" s="893"/>
      <c r="V370" s="893"/>
      <c r="W370" s="893"/>
      <c r="X370" s="893"/>
      <c r="Y370" s="893"/>
    </row>
    <row r="371" spans="2:113">
      <c r="C371" s="11"/>
      <c r="D371" s="54"/>
      <c r="E371" s="54"/>
      <c r="F371" s="54"/>
      <c r="I371" s="892"/>
      <c r="J371" s="892"/>
      <c r="K371" s="892"/>
      <c r="L371" s="892"/>
      <c r="M371" s="892"/>
      <c r="N371" s="892"/>
      <c r="O371" s="892"/>
      <c r="P371" s="892"/>
      <c r="Q371" s="892"/>
      <c r="R371" s="892"/>
      <c r="S371" s="892"/>
      <c r="T371" s="892"/>
      <c r="U371" s="892"/>
      <c r="V371" s="892"/>
      <c r="W371" s="892"/>
      <c r="X371" s="892"/>
      <c r="Y371" s="95"/>
    </row>
    <row r="372" spans="2:113" ht="15" customHeight="1">
      <c r="C372" s="11"/>
      <c r="D372" s="54"/>
      <c r="E372" s="54"/>
      <c r="F372" s="54"/>
      <c r="I372" s="837"/>
      <c r="J372" s="837"/>
      <c r="K372" s="93"/>
      <c r="L372" s="837"/>
      <c r="M372" s="837"/>
      <c r="N372" s="93"/>
      <c r="O372" s="837"/>
      <c r="P372" s="837"/>
      <c r="Q372" s="278"/>
      <c r="R372" s="892"/>
      <c r="S372" s="892"/>
      <c r="T372" s="94"/>
      <c r="U372" s="837"/>
      <c r="V372" s="837"/>
      <c r="W372" s="93"/>
      <c r="X372" s="837"/>
      <c r="Y372" s="837"/>
    </row>
    <row r="373" spans="2:113">
      <c r="C373" s="11"/>
      <c r="D373" s="54"/>
      <c r="E373" s="54"/>
      <c r="F373" s="54"/>
      <c r="I373" s="171"/>
      <c r="J373" s="95"/>
      <c r="K373" s="95"/>
      <c r="L373" s="95"/>
      <c r="M373" s="95"/>
      <c r="N373" s="95"/>
      <c r="O373" s="95"/>
      <c r="P373" s="95"/>
      <c r="Q373" s="95"/>
      <c r="R373" s="95"/>
      <c r="S373" s="95"/>
      <c r="T373" s="95"/>
      <c r="U373" s="95"/>
      <c r="V373" s="95"/>
      <c r="W373" s="95"/>
      <c r="X373" s="95"/>
      <c r="Y373" s="95"/>
    </row>
    <row r="374" spans="2:113">
      <c r="C374" s="11"/>
      <c r="D374" s="54"/>
      <c r="E374" s="54"/>
      <c r="F374" s="54"/>
    </row>
    <row r="375" spans="2:113">
      <c r="B375" s="519" t="s">
        <v>1079</v>
      </c>
      <c r="C375" s="12" t="s">
        <v>7</v>
      </c>
      <c r="D375" s="16" t="s">
        <v>353</v>
      </c>
      <c r="E375" s="16" t="s">
        <v>354</v>
      </c>
      <c r="F375" s="16" t="s">
        <v>355</v>
      </c>
    </row>
    <row r="376" spans="2:113" ht="28.8">
      <c r="C376" s="187" t="s">
        <v>1144</v>
      </c>
      <c r="D376" s="170">
        <v>0.01</v>
      </c>
      <c r="E376" s="170">
        <v>0.01</v>
      </c>
      <c r="F376" s="170">
        <v>0.01</v>
      </c>
      <c r="AG376" s="357">
        <f t="shared" ref="AG376:AI381" si="134">D376</f>
        <v>0.01</v>
      </c>
      <c r="AH376" s="444">
        <f t="shared" si="134"/>
        <v>0.01</v>
      </c>
      <c r="AI376" s="444">
        <f t="shared" si="134"/>
        <v>0.01</v>
      </c>
      <c r="AJ376" s="445"/>
      <c r="BE376" s="6">
        <f t="shared" ref="BE376:BG381" si="135">D376</f>
        <v>0.01</v>
      </c>
      <c r="BF376" s="126">
        <f t="shared" si="135"/>
        <v>0.01</v>
      </c>
      <c r="BG376" s="126">
        <f t="shared" si="135"/>
        <v>0.01</v>
      </c>
      <c r="BH376" s="126"/>
      <c r="DA376" s="6">
        <f>D376</f>
        <v>0.01</v>
      </c>
      <c r="DB376" s="6">
        <f t="shared" ref="DB376:DC377" si="136">E376</f>
        <v>0.01</v>
      </c>
      <c r="DC376" s="6">
        <f t="shared" si="136"/>
        <v>0.01</v>
      </c>
      <c r="DD376" s="6">
        <f>D376</f>
        <v>0.01</v>
      </c>
      <c r="DE376" s="6">
        <f t="shared" ref="DE376:DF377" si="137">E376</f>
        <v>0.01</v>
      </c>
      <c r="DF376" s="6">
        <f t="shared" si="137"/>
        <v>0.01</v>
      </c>
      <c r="DG376" s="6">
        <f>D376</f>
        <v>0.01</v>
      </c>
      <c r="DH376" s="6">
        <f t="shared" ref="DH376:DI377" si="138">E376</f>
        <v>0.01</v>
      </c>
      <c r="DI376" s="6">
        <f t="shared" si="138"/>
        <v>0.01</v>
      </c>
    </row>
    <row r="377" spans="2:113">
      <c r="C377" s="187" t="s">
        <v>1145</v>
      </c>
      <c r="D377" s="170">
        <v>0.05</v>
      </c>
      <c r="E377" s="170">
        <v>0.05</v>
      </c>
      <c r="F377" s="170">
        <v>0.05</v>
      </c>
      <c r="AG377" s="357">
        <f t="shared" si="134"/>
        <v>0.05</v>
      </c>
      <c r="AH377" s="357">
        <f t="shared" si="134"/>
        <v>0.05</v>
      </c>
      <c r="AI377" s="357">
        <f t="shared" si="134"/>
        <v>0.05</v>
      </c>
      <c r="AJ377" s="446"/>
      <c r="BE377" s="6">
        <f t="shared" si="135"/>
        <v>0.05</v>
      </c>
      <c r="BF377" s="126">
        <f t="shared" si="135"/>
        <v>0.05</v>
      </c>
      <c r="BG377" s="126">
        <f t="shared" si="135"/>
        <v>0.05</v>
      </c>
      <c r="BH377" s="126"/>
      <c r="DA377" s="6">
        <f>D377</f>
        <v>0.05</v>
      </c>
      <c r="DB377" s="6">
        <f t="shared" si="136"/>
        <v>0.05</v>
      </c>
      <c r="DC377" s="6">
        <f t="shared" si="136"/>
        <v>0.05</v>
      </c>
      <c r="DD377" s="6">
        <f>D377</f>
        <v>0.05</v>
      </c>
      <c r="DE377" s="6">
        <f t="shared" si="137"/>
        <v>0.05</v>
      </c>
      <c r="DF377" s="6">
        <f t="shared" si="137"/>
        <v>0.05</v>
      </c>
      <c r="DG377" s="6">
        <f>D377</f>
        <v>0.05</v>
      </c>
      <c r="DH377" s="6">
        <f t="shared" si="138"/>
        <v>0.05</v>
      </c>
      <c r="DI377" s="6">
        <f t="shared" si="138"/>
        <v>0.05</v>
      </c>
    </row>
    <row r="378" spans="2:113" ht="28.8">
      <c r="C378" s="187" t="s">
        <v>1146</v>
      </c>
      <c r="D378" s="170">
        <v>0.01</v>
      </c>
      <c r="E378" s="170">
        <v>0.01</v>
      </c>
      <c r="F378" s="170">
        <v>0.01</v>
      </c>
      <c r="AG378" s="357">
        <f t="shared" si="134"/>
        <v>0.01</v>
      </c>
      <c r="AH378" s="357">
        <f t="shared" si="134"/>
        <v>0.01</v>
      </c>
      <c r="AI378" s="357">
        <f t="shared" si="134"/>
        <v>0.01</v>
      </c>
      <c r="AJ378" s="446"/>
      <c r="BE378" s="6">
        <f t="shared" si="135"/>
        <v>0.01</v>
      </c>
      <c r="BF378" s="126">
        <f t="shared" si="135"/>
        <v>0.01</v>
      </c>
      <c r="BG378" s="126">
        <f t="shared" si="135"/>
        <v>0.01</v>
      </c>
      <c r="BH378" s="126"/>
    </row>
    <row r="379" spans="2:113">
      <c r="C379" s="187" t="s">
        <v>1147</v>
      </c>
      <c r="D379" s="170"/>
      <c r="E379" s="170"/>
      <c r="F379" s="170"/>
      <c r="AG379" s="357"/>
      <c r="AH379" s="357"/>
      <c r="AI379" s="357"/>
      <c r="AJ379" s="446"/>
      <c r="BE379" s="6"/>
      <c r="BF379" s="126"/>
      <c r="BG379" s="126"/>
      <c r="BH379" s="126"/>
    </row>
    <row r="380" spans="2:113" ht="43.2">
      <c r="C380" s="187" t="s">
        <v>1148</v>
      </c>
      <c r="D380" s="170">
        <v>0.08</v>
      </c>
      <c r="E380" s="170">
        <v>0.08</v>
      </c>
      <c r="F380" s="170">
        <v>0.08</v>
      </c>
      <c r="AG380" s="357">
        <f t="shared" si="134"/>
        <v>0.08</v>
      </c>
      <c r="AH380" s="357">
        <f t="shared" si="134"/>
        <v>0.08</v>
      </c>
      <c r="AI380" s="357">
        <f t="shared" si="134"/>
        <v>0.08</v>
      </c>
      <c r="AJ380" s="446"/>
      <c r="BE380" s="6">
        <f t="shared" si="135"/>
        <v>0.08</v>
      </c>
      <c r="BF380" s="126">
        <f t="shared" si="135"/>
        <v>0.08</v>
      </c>
      <c r="BG380" s="126">
        <f t="shared" si="135"/>
        <v>0.08</v>
      </c>
      <c r="BH380" s="126"/>
    </row>
    <row r="381" spans="2:113" ht="28.8">
      <c r="C381" s="187" t="s">
        <v>1149</v>
      </c>
      <c r="D381" s="170">
        <v>0.08</v>
      </c>
      <c r="E381" s="170">
        <v>0.08</v>
      </c>
      <c r="F381" s="170">
        <v>0.08</v>
      </c>
      <c r="AG381" s="357">
        <f t="shared" si="134"/>
        <v>0.08</v>
      </c>
      <c r="AH381" s="357">
        <f t="shared" si="134"/>
        <v>0.08</v>
      </c>
      <c r="AI381" s="357">
        <f t="shared" si="134"/>
        <v>0.08</v>
      </c>
      <c r="AJ381" s="446"/>
      <c r="BE381" s="6">
        <f t="shared" si="135"/>
        <v>0.08</v>
      </c>
      <c r="BF381" s="126">
        <f t="shared" si="135"/>
        <v>0.08</v>
      </c>
      <c r="BG381" s="126">
        <f t="shared" si="135"/>
        <v>0.08</v>
      </c>
      <c r="BH381" s="126"/>
    </row>
    <row r="382" spans="2:113" ht="28.8">
      <c r="C382" s="187" t="s">
        <v>1150</v>
      </c>
      <c r="D382" s="170">
        <v>0.05</v>
      </c>
      <c r="E382" s="170">
        <v>0.05</v>
      </c>
      <c r="F382" s="170">
        <v>0.05</v>
      </c>
      <c r="Q382" s="6">
        <f t="shared" ref="Q382:S382" si="139">D382</f>
        <v>0.05</v>
      </c>
      <c r="R382" s="6">
        <f t="shared" si="139"/>
        <v>0.05</v>
      </c>
      <c r="S382" s="6">
        <f t="shared" si="139"/>
        <v>0.05</v>
      </c>
      <c r="T382" s="6">
        <f>D382</f>
        <v>0.05</v>
      </c>
      <c r="U382" s="6">
        <f t="shared" ref="U382:V382" si="140">E382</f>
        <v>0.05</v>
      </c>
      <c r="V382" s="6">
        <f t="shared" si="140"/>
        <v>0.05</v>
      </c>
      <c r="AG382" s="50"/>
      <c r="AH382" s="50"/>
      <c r="AI382" s="50"/>
      <c r="AJ382" s="394"/>
    </row>
    <row r="383" spans="2:113">
      <c r="C383" s="252"/>
      <c r="D383" s="244"/>
      <c r="E383" s="245"/>
      <c r="F383" s="245"/>
    </row>
    <row r="384" spans="2:113">
      <c r="C384" s="89" t="s">
        <v>1151</v>
      </c>
      <c r="D384" s="250" t="s">
        <v>1152</v>
      </c>
      <c r="E384" s="251"/>
      <c r="F384" s="251"/>
    </row>
    <row r="386" spans="2:90">
      <c r="C386" t="s">
        <v>360</v>
      </c>
    </row>
    <row r="387" spans="2:90">
      <c r="C387" t="s">
        <v>361</v>
      </c>
    </row>
    <row r="388" spans="2:90">
      <c r="C388" t="s">
        <v>362</v>
      </c>
    </row>
    <row r="389" spans="2:90">
      <c r="C389" t="s">
        <v>363</v>
      </c>
    </row>
    <row r="390" spans="2:90" s="91" customFormat="1">
      <c r="C390" s="246"/>
      <c r="D390" s="247"/>
      <c r="E390" s="248"/>
      <c r="F390" s="249"/>
      <c r="G390" s="100"/>
      <c r="H390" s="100"/>
      <c r="I390" s="100"/>
      <c r="J390" s="100"/>
      <c r="K390" s="100"/>
      <c r="L390" s="100"/>
      <c r="M390" s="100"/>
      <c r="N390" s="100"/>
      <c r="O390" s="100"/>
      <c r="P390" s="100"/>
      <c r="Q390" s="100"/>
      <c r="R390" s="100"/>
      <c r="S390" s="100"/>
      <c r="T390" s="100"/>
      <c r="U390" s="100"/>
      <c r="V390" s="100"/>
      <c r="W390" s="100"/>
      <c r="X390" s="100"/>
      <c r="Y390" s="100"/>
      <c r="Z390" s="100"/>
      <c r="AA390" s="100"/>
      <c r="AB390" s="100"/>
      <c r="AC390" s="100"/>
      <c r="AD390" s="332"/>
      <c r="AE390" s="100"/>
      <c r="AF390" s="100"/>
      <c r="AG390" s="100"/>
      <c r="AH390" s="100"/>
      <c r="AI390" s="100"/>
      <c r="AJ390" s="392"/>
      <c r="AK390" s="100"/>
      <c r="AL390" s="100"/>
      <c r="AM390" s="100"/>
      <c r="AN390" s="100"/>
      <c r="AO390" s="100"/>
      <c r="AP390" s="100"/>
      <c r="AQ390" s="100"/>
      <c r="AR390" s="100"/>
      <c r="AS390" s="100"/>
      <c r="AT390" s="100"/>
      <c r="AU390" s="100"/>
      <c r="AV390" s="100"/>
      <c r="AW390" s="100"/>
      <c r="AX390" s="100"/>
      <c r="AY390" s="100"/>
      <c r="AZ390" s="100"/>
      <c r="BA390" s="100"/>
      <c r="BB390" s="100"/>
      <c r="BC390" s="100"/>
      <c r="BD390" s="100"/>
      <c r="BE390" s="100"/>
      <c r="BF390" s="100"/>
      <c r="BG390" s="100"/>
      <c r="BH390" s="100"/>
      <c r="BI390" s="100"/>
      <c r="BJ390" s="100"/>
      <c r="BK390" s="100"/>
      <c r="BL390" s="100"/>
      <c r="BM390" s="100"/>
      <c r="BN390" s="100"/>
      <c r="BO390" s="100"/>
      <c r="BP390" s="100"/>
      <c r="BQ390" s="100"/>
      <c r="BR390" s="100"/>
      <c r="BS390" s="100"/>
      <c r="BT390" s="100"/>
      <c r="BU390" s="100"/>
      <c r="BV390" s="100"/>
      <c r="BW390" s="100"/>
      <c r="BX390" s="100"/>
      <c r="BY390" s="100"/>
      <c r="BZ390" s="100"/>
      <c r="CA390" s="100"/>
      <c r="CB390" s="100"/>
      <c r="CC390" s="100"/>
      <c r="CD390"/>
      <c r="CE390"/>
      <c r="CF390"/>
    </row>
    <row r="391" spans="2:90">
      <c r="C391" s="11"/>
      <c r="D391" s="54"/>
      <c r="E391" s="54"/>
      <c r="F391" s="54"/>
    </row>
    <row r="392" spans="2:90">
      <c r="C392" s="11"/>
      <c r="D392" s="54"/>
      <c r="E392" s="54"/>
      <c r="F392" s="54"/>
    </row>
    <row r="393" spans="2:90" ht="15" customHeight="1">
      <c r="C393" s="11"/>
      <c r="D393" s="54"/>
      <c r="E393" s="54"/>
      <c r="F393" s="54"/>
      <c r="I393" s="893"/>
      <c r="J393" s="893"/>
      <c r="K393" s="893"/>
      <c r="L393" s="893"/>
      <c r="M393" s="893"/>
      <c r="N393" s="893"/>
      <c r="O393" s="893"/>
      <c r="P393" s="893"/>
      <c r="Q393" s="893"/>
      <c r="R393" s="893"/>
      <c r="S393" s="893"/>
      <c r="T393" s="893"/>
      <c r="U393" s="893"/>
      <c r="V393" s="893"/>
      <c r="W393" s="893"/>
      <c r="X393" s="893"/>
      <c r="Y393" s="893"/>
      <c r="AE393" s="857"/>
      <c r="AF393" s="857"/>
      <c r="AG393" s="857"/>
      <c r="AH393" s="857"/>
      <c r="AI393" s="857"/>
      <c r="AJ393" s="857"/>
      <c r="AK393" s="857"/>
      <c r="AL393" s="857"/>
      <c r="AM393" s="331"/>
    </row>
    <row r="394" spans="2:90" ht="15" customHeight="1">
      <c r="C394" s="11"/>
      <c r="D394" s="54"/>
      <c r="E394" s="54"/>
      <c r="F394" s="54"/>
      <c r="I394" s="221"/>
      <c r="J394" s="221"/>
      <c r="K394" s="221"/>
      <c r="L394" s="221"/>
      <c r="M394" s="221"/>
      <c r="N394" s="221"/>
      <c r="O394" s="221"/>
      <c r="P394" s="221"/>
      <c r="Q394" s="221"/>
      <c r="R394" s="221"/>
      <c r="S394" s="221"/>
      <c r="T394" s="221"/>
      <c r="U394" s="221"/>
      <c r="V394" s="221"/>
      <c r="W394" s="221"/>
      <c r="X394" s="221"/>
      <c r="Y394" s="221"/>
      <c r="AE394" s="219"/>
      <c r="AF394" s="219"/>
      <c r="AG394" s="219"/>
      <c r="AH394" s="219"/>
      <c r="AI394" s="219"/>
      <c r="AJ394" s="359"/>
      <c r="AK394" s="219"/>
      <c r="AL394" s="220"/>
      <c r="AM394" s="331"/>
    </row>
    <row r="395" spans="2:90" ht="15" customHeight="1">
      <c r="C395" s="11"/>
      <c r="D395" s="54"/>
      <c r="E395" s="54"/>
      <c r="F395" s="54"/>
      <c r="I395" s="892"/>
      <c r="J395" s="892"/>
      <c r="K395" s="892"/>
      <c r="L395" s="892"/>
      <c r="M395" s="892"/>
      <c r="N395" s="892"/>
      <c r="O395" s="892"/>
      <c r="P395" s="892"/>
      <c r="Q395" s="892"/>
      <c r="R395" s="892"/>
      <c r="S395" s="892"/>
      <c r="T395" s="892"/>
      <c r="U395" s="892"/>
      <c r="V395" s="892"/>
      <c r="W395" s="892"/>
      <c r="X395" s="892"/>
      <c r="Y395" s="95"/>
      <c r="AE395" s="854"/>
      <c r="AF395" s="854"/>
      <c r="AG395" s="854"/>
      <c r="AH395" s="854"/>
      <c r="AI395" s="854"/>
      <c r="AJ395" s="854"/>
      <c r="AK395" s="854"/>
      <c r="AL395" s="854"/>
      <c r="AM395" s="329"/>
    </row>
    <row r="396" spans="2:90" ht="15" customHeight="1">
      <c r="C396" s="11"/>
      <c r="D396" s="54"/>
      <c r="E396" s="54"/>
      <c r="F396" s="54"/>
      <c r="I396" s="837"/>
      <c r="J396" s="837"/>
      <c r="K396" s="93"/>
      <c r="L396" s="837"/>
      <c r="M396" s="837"/>
      <c r="N396" s="93"/>
      <c r="O396" s="837"/>
      <c r="P396" s="837"/>
      <c r="Q396" s="278"/>
      <c r="R396" s="892"/>
      <c r="S396" s="892"/>
      <c r="T396" s="94"/>
      <c r="U396" s="837"/>
      <c r="V396" s="837"/>
      <c r="W396" s="93"/>
      <c r="X396" s="837"/>
      <c r="Y396" s="837"/>
      <c r="AE396" s="829"/>
      <c r="AF396" s="829"/>
      <c r="AG396" s="271"/>
      <c r="AH396" s="829"/>
      <c r="AI396" s="829"/>
      <c r="AJ396" s="271"/>
      <c r="AK396" s="867"/>
      <c r="AL396" s="867"/>
      <c r="AM396" s="2"/>
    </row>
    <row r="397" spans="2:90">
      <c r="B397" s="503" t="s">
        <v>1079</v>
      </c>
      <c r="C397" s="512" t="s">
        <v>1153</v>
      </c>
      <c r="D397" s="16" t="s">
        <v>353</v>
      </c>
      <c r="E397" s="16" t="s">
        <v>354</v>
      </c>
      <c r="F397" s="16" t="s">
        <v>355</v>
      </c>
      <c r="I397" s="171"/>
      <c r="J397" s="95"/>
      <c r="K397" s="95"/>
      <c r="L397" s="95"/>
      <c r="M397" s="95"/>
      <c r="N397" s="95"/>
      <c r="O397" s="95"/>
      <c r="P397" s="95"/>
      <c r="Q397" s="95"/>
      <c r="R397" s="95"/>
      <c r="S397" s="95"/>
      <c r="T397" s="95"/>
      <c r="U397" s="95"/>
      <c r="V397" s="95"/>
      <c r="W397" s="95"/>
      <c r="X397" s="95"/>
      <c r="Y397" s="95"/>
      <c r="AE397" s="278"/>
      <c r="AF397" s="94"/>
      <c r="AG397" s="94"/>
      <c r="AH397" s="93"/>
      <c r="AI397" s="406"/>
      <c r="AJ397" s="94"/>
      <c r="AK397" s="93"/>
      <c r="AL397" s="94"/>
      <c r="AM397" s="62"/>
    </row>
    <row r="398" spans="2:90" ht="16.5" customHeight="1">
      <c r="C398" s="492" t="s">
        <v>1154</v>
      </c>
      <c r="D398" s="18">
        <v>0.02</v>
      </c>
      <c r="E398" s="21">
        <v>0.02</v>
      </c>
      <c r="F398" s="18">
        <v>0</v>
      </c>
      <c r="H398" s="125">
        <f>D398</f>
        <v>0.02</v>
      </c>
      <c r="I398" s="165">
        <f>E398</f>
        <v>0.02</v>
      </c>
      <c r="J398" s="125">
        <f>F398</f>
        <v>0</v>
      </c>
      <c r="K398" s="125"/>
      <c r="L398" s="87"/>
      <c r="M398" s="87"/>
      <c r="N398" s="87"/>
      <c r="O398" s="125"/>
      <c r="P398" s="125"/>
      <c r="Q398" s="125"/>
      <c r="R398" s="87"/>
      <c r="S398" s="87"/>
      <c r="T398" s="87"/>
      <c r="U398" s="87"/>
      <c r="V398" s="87"/>
      <c r="W398" s="87"/>
      <c r="X398" s="87"/>
      <c r="Y398" s="134"/>
      <c r="Z398" s="125">
        <f>D398</f>
        <v>0.02</v>
      </c>
      <c r="AA398" s="125">
        <f>E398</f>
        <v>0.02</v>
      </c>
      <c r="AB398" s="125">
        <f>F398</f>
        <v>0</v>
      </c>
      <c r="AE398" s="346"/>
      <c r="AF398" s="98"/>
      <c r="AG398" s="98"/>
      <c r="AH398" s="98"/>
      <c r="AI398" s="338"/>
      <c r="AJ398" s="98"/>
      <c r="AK398" s="125"/>
      <c r="AL398" s="125"/>
      <c r="AM398" s="6"/>
      <c r="CA398" s="6">
        <f>D398</f>
        <v>0.02</v>
      </c>
      <c r="CB398" s="6">
        <f>E398</f>
        <v>0.02</v>
      </c>
      <c r="CC398" s="6">
        <f>F398</f>
        <v>0</v>
      </c>
      <c r="CD398" s="6">
        <f>D398</f>
        <v>0.02</v>
      </c>
      <c r="CE398" s="6">
        <f>E398</f>
        <v>0.02</v>
      </c>
      <c r="CF398" s="6">
        <f>F398</f>
        <v>0</v>
      </c>
    </row>
    <row r="399" spans="2:90">
      <c r="C399" s="187" t="s">
        <v>1155</v>
      </c>
      <c r="D399" s="18"/>
      <c r="E399" s="21"/>
      <c r="F399" s="18"/>
      <c r="H399" s="125"/>
      <c r="I399" s="165"/>
      <c r="J399" s="125"/>
      <c r="K399" s="125"/>
      <c r="L399" s="87"/>
      <c r="M399" s="87"/>
      <c r="N399" s="87"/>
      <c r="O399" s="125"/>
      <c r="P399" s="125"/>
      <c r="Q399" s="125"/>
      <c r="R399" s="87"/>
      <c r="S399" s="87"/>
      <c r="T399" s="87"/>
      <c r="U399" s="87"/>
      <c r="V399" s="87"/>
      <c r="W399" s="87"/>
      <c r="X399" s="87"/>
      <c r="Y399" s="134"/>
      <c r="Z399" s="125"/>
      <c r="AA399" s="125"/>
      <c r="AB399" s="125"/>
      <c r="AE399" s="346"/>
      <c r="AF399" s="98"/>
      <c r="AG399" s="98"/>
      <c r="AH399" s="98"/>
      <c r="AI399" s="338"/>
      <c r="AJ399" s="98"/>
      <c r="AK399" s="125"/>
      <c r="AL399" s="125"/>
      <c r="AM399" s="6"/>
      <c r="CA399" s="6"/>
      <c r="CB399" s="6"/>
      <c r="CC399" s="6"/>
      <c r="CD399" s="6"/>
      <c r="CE399" s="6"/>
      <c r="CF399" s="6"/>
    </row>
    <row r="400" spans="2:90">
      <c r="C400" s="492" t="s">
        <v>1156</v>
      </c>
      <c r="D400" s="18">
        <v>0.02</v>
      </c>
      <c r="E400" s="21">
        <v>0.02</v>
      </c>
      <c r="F400" s="18">
        <v>0.02</v>
      </c>
      <c r="H400" s="87"/>
      <c r="I400" s="133"/>
      <c r="J400" s="87"/>
      <c r="K400" s="87"/>
      <c r="L400" s="87"/>
      <c r="M400" s="87"/>
      <c r="N400" s="87"/>
      <c r="O400" s="87"/>
      <c r="P400" s="87"/>
      <c r="Q400" s="87"/>
      <c r="R400" s="87"/>
      <c r="S400" s="87"/>
      <c r="T400" s="125">
        <f t="shared" ref="T400:V400" si="141">D400</f>
        <v>0.02</v>
      </c>
      <c r="U400" s="125">
        <f t="shared" si="141"/>
        <v>0.02</v>
      </c>
      <c r="V400" s="125">
        <f t="shared" si="141"/>
        <v>0.02</v>
      </c>
      <c r="W400" s="125"/>
      <c r="X400" s="87"/>
      <c r="Y400" s="134"/>
      <c r="Z400" s="87"/>
      <c r="AA400" s="87"/>
      <c r="AB400" s="87"/>
      <c r="AE400" s="346"/>
      <c r="AF400" s="98"/>
      <c r="AG400" s="98"/>
      <c r="AH400" s="98"/>
      <c r="AI400" s="338"/>
      <c r="AJ400" s="98"/>
      <c r="AK400" s="125"/>
      <c r="AL400" s="125"/>
      <c r="AM400" s="6"/>
      <c r="CG400" s="6">
        <f t="shared" ref="CG400:CI400" si="142">D400</f>
        <v>0.02</v>
      </c>
      <c r="CH400" s="6">
        <f t="shared" si="142"/>
        <v>0.02</v>
      </c>
      <c r="CI400" s="6">
        <f t="shared" si="142"/>
        <v>0.02</v>
      </c>
      <c r="CJ400" s="6">
        <f t="shared" ref="CJ400:CL400" si="143">D400</f>
        <v>0.02</v>
      </c>
      <c r="CK400" s="6">
        <f t="shared" si="143"/>
        <v>0.02</v>
      </c>
      <c r="CL400" s="6">
        <f t="shared" si="143"/>
        <v>0.02</v>
      </c>
    </row>
    <row r="401" spans="3:119">
      <c r="C401" s="492" t="s">
        <v>1157</v>
      </c>
      <c r="D401" s="18">
        <v>0.2</v>
      </c>
      <c r="E401" s="21">
        <v>0.2</v>
      </c>
      <c r="F401" s="18">
        <v>0.1</v>
      </c>
      <c r="H401" s="87"/>
      <c r="I401" s="133"/>
      <c r="J401" s="87"/>
      <c r="K401" s="87"/>
      <c r="L401" s="87"/>
      <c r="M401" s="87"/>
      <c r="N401" s="87"/>
      <c r="O401" s="87"/>
      <c r="P401" s="87"/>
      <c r="Q401" s="87"/>
      <c r="R401" s="125"/>
      <c r="S401" s="125"/>
      <c r="T401" s="125"/>
      <c r="U401" s="125"/>
      <c r="V401" s="125"/>
      <c r="W401" s="125"/>
      <c r="X401" s="87"/>
      <c r="Y401" s="134"/>
      <c r="Z401" s="87"/>
      <c r="AA401" s="87"/>
      <c r="AB401" s="87"/>
      <c r="AE401" s="346"/>
      <c r="AF401" s="97"/>
      <c r="AG401" s="97"/>
      <c r="AH401" s="98"/>
      <c r="AI401" s="338"/>
      <c r="AJ401" s="98"/>
      <c r="AK401" s="125"/>
      <c r="AL401" s="125"/>
      <c r="AM401" s="6"/>
      <c r="DM401" s="6">
        <f t="shared" ref="DM401:DO401" si="144">D401</f>
        <v>0.2</v>
      </c>
      <c r="DN401" s="6">
        <f t="shared" si="144"/>
        <v>0.2</v>
      </c>
      <c r="DO401" s="6">
        <f t="shared" si="144"/>
        <v>0.1</v>
      </c>
    </row>
    <row r="402" spans="3:119">
      <c r="C402" s="492" t="s">
        <v>1158</v>
      </c>
      <c r="D402" s="18">
        <v>0.05</v>
      </c>
      <c r="E402" s="21">
        <v>0.05</v>
      </c>
      <c r="F402" s="18">
        <v>0</v>
      </c>
      <c r="H402" s="87"/>
      <c r="I402" s="133"/>
      <c r="J402" s="87"/>
      <c r="K402" s="87"/>
      <c r="L402" s="87"/>
      <c r="M402" s="87"/>
      <c r="N402" s="87"/>
      <c r="O402" s="87"/>
      <c r="P402" s="87"/>
      <c r="Q402" s="87"/>
      <c r="R402" s="125"/>
      <c r="S402" s="125"/>
      <c r="T402" s="125"/>
      <c r="U402" s="125"/>
      <c r="V402" s="125"/>
      <c r="W402" s="125"/>
      <c r="X402" s="87"/>
      <c r="Y402" s="134"/>
      <c r="Z402" s="87"/>
      <c r="AA402" s="87"/>
      <c r="AB402" s="87"/>
      <c r="AE402" s="347"/>
      <c r="AF402" s="98"/>
      <c r="AG402" s="98"/>
      <c r="AH402" s="98"/>
      <c r="AI402" s="338"/>
      <c r="AJ402" s="98"/>
      <c r="AK402" s="125"/>
      <c r="AL402" s="125"/>
      <c r="AM402" s="6"/>
      <c r="DM402" s="6">
        <f t="shared" ref="DM402:DO402" si="145">D402</f>
        <v>0.05</v>
      </c>
      <c r="DN402" s="6">
        <f t="shared" si="145"/>
        <v>0.05</v>
      </c>
      <c r="DO402" s="6">
        <f t="shared" si="145"/>
        <v>0</v>
      </c>
    </row>
    <row r="403" spans="3:119">
      <c r="C403" s="187"/>
      <c r="D403" s="18"/>
      <c r="E403" s="21"/>
      <c r="F403" s="18"/>
      <c r="H403" s="87"/>
      <c r="I403" s="133"/>
      <c r="J403" s="87"/>
      <c r="K403" s="87"/>
      <c r="L403" s="87"/>
      <c r="M403" s="87"/>
      <c r="N403" s="87"/>
      <c r="O403" s="87"/>
      <c r="P403" s="87"/>
      <c r="Q403" s="87"/>
      <c r="R403" s="125"/>
      <c r="S403" s="125"/>
      <c r="T403" s="125"/>
      <c r="U403" s="125"/>
      <c r="V403" s="125"/>
      <c r="W403" s="125"/>
      <c r="X403" s="87"/>
      <c r="Y403" s="134"/>
      <c r="Z403" s="87"/>
      <c r="AA403" s="87"/>
      <c r="AB403" s="87"/>
      <c r="AE403" s="165"/>
      <c r="AF403" s="125"/>
      <c r="AG403" s="125"/>
      <c r="AH403" s="125"/>
      <c r="AI403" s="132"/>
      <c r="AJ403" s="125"/>
      <c r="AK403" s="125"/>
      <c r="AL403" s="125"/>
      <c r="AM403" s="6"/>
      <c r="DM403" s="6">
        <f t="shared" ref="DM403:DO403" si="146">D403</f>
        <v>0</v>
      </c>
      <c r="DN403" s="6">
        <f t="shared" si="146"/>
        <v>0</v>
      </c>
      <c r="DO403" s="6">
        <f t="shared" si="146"/>
        <v>0</v>
      </c>
    </row>
    <row r="404" spans="3:119">
      <c r="C404" s="187"/>
      <c r="D404" s="18"/>
      <c r="E404" s="21"/>
      <c r="F404" s="18"/>
      <c r="H404" s="125">
        <f t="shared" ref="H404:J404" si="147">D404</f>
        <v>0</v>
      </c>
      <c r="I404" s="165">
        <f t="shared" si="147"/>
        <v>0</v>
      </c>
      <c r="J404" s="125">
        <f t="shared" si="147"/>
        <v>0</v>
      </c>
      <c r="K404" s="125">
        <f t="shared" ref="K404:M404" si="148">D404</f>
        <v>0</v>
      </c>
      <c r="L404" s="125">
        <f t="shared" si="148"/>
        <v>0</v>
      </c>
      <c r="M404" s="125">
        <f t="shared" si="148"/>
        <v>0</v>
      </c>
      <c r="N404" s="125"/>
      <c r="O404" s="87"/>
      <c r="P404" s="87"/>
      <c r="Q404" s="125"/>
      <c r="R404" s="125"/>
      <c r="S404" s="125"/>
      <c r="T404" s="125"/>
      <c r="U404" s="125"/>
      <c r="V404" s="125"/>
      <c r="W404" s="125"/>
      <c r="X404" s="87"/>
      <c r="Y404" s="134"/>
      <c r="Z404" s="125">
        <f t="shared" ref="Z404:AB404" si="149">D404</f>
        <v>0</v>
      </c>
      <c r="AA404" s="125">
        <f t="shared" si="149"/>
        <v>0</v>
      </c>
      <c r="AB404" s="125">
        <f t="shared" si="149"/>
        <v>0</v>
      </c>
      <c r="AE404" s="165"/>
      <c r="AF404" s="125"/>
      <c r="AG404" s="125"/>
      <c r="AH404" s="125"/>
      <c r="AI404" s="132"/>
      <c r="AJ404" s="125"/>
      <c r="AK404" s="125"/>
      <c r="AL404" s="125"/>
      <c r="AM404" s="6"/>
      <c r="CA404" s="6">
        <f t="shared" ref="CA404:CC404" si="150">D404</f>
        <v>0</v>
      </c>
      <c r="CB404" s="6">
        <f t="shared" si="150"/>
        <v>0</v>
      </c>
      <c r="CC404" s="6">
        <f t="shared" si="150"/>
        <v>0</v>
      </c>
    </row>
    <row r="405" spans="3:119">
      <c r="C405" s="187"/>
      <c r="D405" s="18"/>
      <c r="E405" s="21"/>
      <c r="F405" s="18"/>
      <c r="H405" s="87"/>
      <c r="I405" s="133"/>
      <c r="J405" s="87"/>
      <c r="K405" s="87"/>
      <c r="L405" s="87"/>
      <c r="M405" s="87"/>
      <c r="N405" s="87"/>
      <c r="O405" s="87"/>
      <c r="P405" s="87"/>
      <c r="Q405" s="87"/>
      <c r="R405" s="125"/>
      <c r="S405" s="125"/>
      <c r="T405" s="125"/>
      <c r="U405" s="125"/>
      <c r="V405" s="125"/>
      <c r="W405" s="125"/>
      <c r="X405" s="87"/>
      <c r="Y405" s="134"/>
      <c r="Z405" s="87"/>
      <c r="AA405" s="87"/>
      <c r="AB405" s="87"/>
      <c r="AE405" s="165"/>
      <c r="AF405" s="125"/>
      <c r="AG405" s="125"/>
      <c r="AH405" s="125"/>
      <c r="AI405" s="132"/>
      <c r="AJ405" s="125"/>
      <c r="AK405" s="125"/>
      <c r="AL405" s="125"/>
      <c r="AM405" s="6"/>
      <c r="DM405" s="43">
        <f t="shared" ref="DM405:DO405" si="151">D405</f>
        <v>0</v>
      </c>
      <c r="DN405" s="43">
        <f t="shared" si="151"/>
        <v>0</v>
      </c>
      <c r="DO405" s="43">
        <f t="shared" si="151"/>
        <v>0</v>
      </c>
    </row>
    <row r="406" spans="3:119">
      <c r="C406" s="187"/>
      <c r="D406" s="18"/>
      <c r="E406" s="21"/>
      <c r="F406" s="18"/>
      <c r="H406" s="87"/>
      <c r="I406" s="133"/>
      <c r="J406" s="87"/>
      <c r="K406" s="87"/>
      <c r="L406" s="87"/>
      <c r="M406" s="87"/>
      <c r="N406" s="87"/>
      <c r="O406" s="87"/>
      <c r="P406" s="87"/>
      <c r="Q406" s="87"/>
      <c r="R406" s="125"/>
      <c r="S406" s="125"/>
      <c r="T406" s="125">
        <f t="shared" ref="T406:V406" si="152">D406</f>
        <v>0</v>
      </c>
      <c r="U406" s="125">
        <f t="shared" si="152"/>
        <v>0</v>
      </c>
      <c r="V406" s="125">
        <f t="shared" si="152"/>
        <v>0</v>
      </c>
      <c r="W406" s="125"/>
      <c r="X406" s="87"/>
      <c r="Y406" s="134"/>
      <c r="Z406" s="125">
        <f t="shared" ref="Z406:AB406" si="153">D406</f>
        <v>0</v>
      </c>
      <c r="AA406" s="125">
        <f t="shared" si="153"/>
        <v>0</v>
      </c>
      <c r="AB406" s="125">
        <f t="shared" si="153"/>
        <v>0</v>
      </c>
      <c r="AE406" s="165"/>
      <c r="AF406" s="125"/>
      <c r="AG406" s="125"/>
      <c r="AH406" s="125"/>
      <c r="AI406" s="132"/>
      <c r="AJ406" s="125"/>
      <c r="AK406" s="125"/>
      <c r="AL406" s="125"/>
      <c r="AM406" s="6"/>
      <c r="CD406" s="6">
        <f t="shared" ref="CD406:CF406" si="154">D406</f>
        <v>0</v>
      </c>
      <c r="CE406" s="6">
        <f t="shared" si="154"/>
        <v>0</v>
      </c>
      <c r="CF406" s="6">
        <f t="shared" si="154"/>
        <v>0</v>
      </c>
      <c r="CG406" s="6">
        <f t="shared" ref="CG406:CI406" si="155">D406</f>
        <v>0</v>
      </c>
      <c r="CH406" s="6">
        <f t="shared" si="155"/>
        <v>0</v>
      </c>
      <c r="CI406" s="6">
        <f t="shared" si="155"/>
        <v>0</v>
      </c>
      <c r="DM406" s="6">
        <f t="shared" ref="DM406:DO406" si="156">D406</f>
        <v>0</v>
      </c>
      <c r="DN406" s="6">
        <f t="shared" si="156"/>
        <v>0</v>
      </c>
      <c r="DO406" s="6">
        <f t="shared" si="156"/>
        <v>0</v>
      </c>
    </row>
    <row r="407" spans="3:119">
      <c r="C407" s="187"/>
      <c r="D407" s="18"/>
      <c r="E407" s="21"/>
      <c r="F407" s="18"/>
      <c r="H407" s="87"/>
      <c r="I407" s="133"/>
      <c r="J407" s="87"/>
      <c r="K407" s="87"/>
      <c r="L407" s="87"/>
      <c r="M407" s="87"/>
      <c r="N407" s="87"/>
      <c r="O407" s="87"/>
      <c r="P407" s="87"/>
      <c r="Q407" s="87"/>
      <c r="R407" s="125"/>
      <c r="S407" s="125"/>
      <c r="T407" s="125">
        <f t="shared" ref="T407:V407" si="157">D407</f>
        <v>0</v>
      </c>
      <c r="U407" s="125">
        <f t="shared" si="157"/>
        <v>0</v>
      </c>
      <c r="V407" s="125">
        <f t="shared" si="157"/>
        <v>0</v>
      </c>
      <c r="W407" s="125"/>
      <c r="X407" s="87"/>
      <c r="Y407" s="134"/>
      <c r="Z407" s="125">
        <f t="shared" ref="Z407:AB407" si="158">D407</f>
        <v>0</v>
      </c>
      <c r="AA407" s="125">
        <f t="shared" si="158"/>
        <v>0</v>
      </c>
      <c r="AB407" s="125">
        <f t="shared" si="158"/>
        <v>0</v>
      </c>
      <c r="AE407" s="165"/>
      <c r="AF407" s="125"/>
      <c r="AG407" s="125"/>
      <c r="AH407" s="125"/>
      <c r="AI407" s="132"/>
      <c r="AJ407" s="125"/>
      <c r="AK407" s="125"/>
      <c r="AL407" s="125"/>
      <c r="AM407" s="6"/>
      <c r="CD407" s="6">
        <f t="shared" ref="CD407:CF407" si="159">D407</f>
        <v>0</v>
      </c>
      <c r="CE407" s="6">
        <f t="shared" si="159"/>
        <v>0</v>
      </c>
      <c r="CF407" s="6">
        <f t="shared" si="159"/>
        <v>0</v>
      </c>
      <c r="CG407" s="6">
        <f t="shared" ref="CG407:CI407" si="160">D407</f>
        <v>0</v>
      </c>
      <c r="CH407" s="6">
        <f t="shared" si="160"/>
        <v>0</v>
      </c>
      <c r="CI407" s="6">
        <f t="shared" si="160"/>
        <v>0</v>
      </c>
    </row>
    <row r="408" spans="3:119">
      <c r="C408" s="187"/>
      <c r="D408" s="22">
        <f>SUM(D398:D407)</f>
        <v>0.29000000000000004</v>
      </c>
      <c r="E408" s="230">
        <f>SUM(E398:E407)</f>
        <v>0.29000000000000004</v>
      </c>
      <c r="F408" s="22">
        <f>SUM(F398:F407)</f>
        <v>0.12000000000000001</v>
      </c>
    </row>
    <row r="409" spans="3:119">
      <c r="C409" s="11"/>
      <c r="D409" s="15"/>
      <c r="E409" s="21">
        <f>D408-E408</f>
        <v>0</v>
      </c>
      <c r="F409" s="22">
        <f>E408-F408</f>
        <v>0.17000000000000004</v>
      </c>
    </row>
    <row r="410" spans="3:119">
      <c r="C410" s="23" t="s">
        <v>379</v>
      </c>
      <c r="D410" s="15" t="s">
        <v>137</v>
      </c>
      <c r="E410" s="15"/>
      <c r="F410" s="22"/>
    </row>
    <row r="411" spans="3:119">
      <c r="C411" s="11"/>
      <c r="D411" s="15"/>
      <c r="E411" s="15"/>
      <c r="F411" s="22"/>
    </row>
    <row r="412" spans="3:119">
      <c r="C412" s="11"/>
      <c r="D412" s="15"/>
      <c r="E412" s="15"/>
      <c r="F412" s="22"/>
    </row>
    <row r="413" spans="3:119">
      <c r="C413" s="11" t="s">
        <v>359</v>
      </c>
      <c r="D413" s="15"/>
      <c r="E413" s="15"/>
      <c r="F413" s="15"/>
    </row>
    <row r="414" spans="3:119">
      <c r="C414" s="11" t="s">
        <v>360</v>
      </c>
      <c r="D414" s="15"/>
      <c r="E414" s="15"/>
      <c r="F414" s="15"/>
    </row>
    <row r="415" spans="3:119">
      <c r="C415" s="11" t="s">
        <v>361</v>
      </c>
      <c r="D415" s="15"/>
      <c r="E415" s="15"/>
      <c r="F415" s="15"/>
    </row>
    <row r="416" spans="3:119">
      <c r="C416" s="11" t="s">
        <v>362</v>
      </c>
      <c r="D416" s="15"/>
      <c r="E416" s="15"/>
      <c r="F416" s="15"/>
    </row>
    <row r="417" spans="2:81">
      <c r="C417" s="11" t="s">
        <v>363</v>
      </c>
      <c r="D417" s="15"/>
      <c r="E417" s="15"/>
      <c r="F417" s="15"/>
    </row>
    <row r="418" spans="2:81">
      <c r="C418" s="109"/>
      <c r="D418" s="168"/>
      <c r="E418" s="169"/>
      <c r="F418" s="110"/>
      <c r="G418" s="100"/>
      <c r="H418" s="100"/>
      <c r="I418" s="100"/>
      <c r="J418" s="100"/>
      <c r="K418" s="100"/>
      <c r="L418" s="100"/>
      <c r="M418" s="100"/>
      <c r="N418" s="100"/>
      <c r="O418" s="100"/>
      <c r="P418" s="100"/>
      <c r="Q418" s="100"/>
      <c r="R418" s="100"/>
      <c r="S418" s="100"/>
      <c r="T418" s="100"/>
      <c r="U418" s="100"/>
      <c r="V418" s="100"/>
      <c r="W418" s="100"/>
      <c r="X418" s="100"/>
      <c r="Y418" s="100"/>
      <c r="Z418" s="100"/>
      <c r="AA418" s="100"/>
      <c r="AB418" s="100"/>
      <c r="AC418" s="100"/>
      <c r="AD418" s="332"/>
      <c r="AE418" s="100"/>
      <c r="AF418" s="100"/>
      <c r="AG418" s="100"/>
      <c r="AH418" s="100"/>
      <c r="AI418" s="100"/>
      <c r="AJ418" s="392"/>
      <c r="AK418" s="100"/>
      <c r="AL418" s="100"/>
      <c r="AM418" s="100"/>
      <c r="AN418" s="100"/>
      <c r="AO418" s="100"/>
      <c r="AP418" s="100"/>
      <c r="AQ418" s="100"/>
      <c r="AR418" s="100"/>
      <c r="AS418" s="100"/>
      <c r="AT418" s="100"/>
      <c r="AU418" s="100"/>
      <c r="AV418" s="100"/>
      <c r="AW418" s="100"/>
      <c r="AX418" s="100"/>
      <c r="AY418" s="100"/>
      <c r="AZ418" s="100"/>
      <c r="BA418" s="100"/>
      <c r="BB418" s="100"/>
      <c r="BC418" s="100"/>
      <c r="BD418" s="100"/>
      <c r="BE418" s="100"/>
      <c r="BF418" s="100"/>
      <c r="BG418" s="100"/>
      <c r="BH418" s="100"/>
      <c r="BI418" s="100"/>
      <c r="BJ418" s="100"/>
      <c r="BK418" s="100"/>
      <c r="BL418" s="100"/>
      <c r="BM418" s="100"/>
      <c r="BN418" s="100"/>
      <c r="BO418" s="100"/>
      <c r="BP418" s="100"/>
      <c r="BQ418" s="100"/>
      <c r="BR418" s="100"/>
      <c r="BS418" s="100"/>
      <c r="BT418" s="100"/>
      <c r="BU418" s="100"/>
      <c r="BV418" s="100"/>
      <c r="BW418" s="100"/>
      <c r="BX418" s="100"/>
      <c r="BY418" s="100"/>
      <c r="BZ418" s="100"/>
      <c r="CA418" s="100"/>
      <c r="CB418" s="100"/>
      <c r="CC418" s="100"/>
    </row>
    <row r="419" spans="2:81">
      <c r="C419" s="11"/>
      <c r="D419" s="15"/>
      <c r="E419" s="15"/>
      <c r="F419" s="15"/>
    </row>
    <row r="420" spans="2:81" ht="15">
      <c r="B420" s="519" t="s">
        <v>1079</v>
      </c>
      <c r="C420" s="512" t="s">
        <v>1159</v>
      </c>
      <c r="D420" s="506" t="s">
        <v>353</v>
      </c>
      <c r="E420" s="506" t="s">
        <v>354</v>
      </c>
      <c r="F420" s="506" t="s">
        <v>355</v>
      </c>
    </row>
    <row r="421" spans="2:81">
      <c r="C421" s="553" t="s">
        <v>1160</v>
      </c>
      <c r="D421" s="508">
        <v>0.1</v>
      </c>
      <c r="E421" s="508">
        <v>0.1</v>
      </c>
      <c r="F421" s="508">
        <v>0.1</v>
      </c>
    </row>
    <row r="422" spans="2:81">
      <c r="C422" s="553" t="s">
        <v>1161</v>
      </c>
      <c r="D422" s="508">
        <v>0.2</v>
      </c>
      <c r="E422" s="508">
        <v>0.2</v>
      </c>
      <c r="F422" s="508">
        <v>0.2</v>
      </c>
    </row>
    <row r="423" spans="2:81" ht="28.8">
      <c r="C423" s="553" t="s">
        <v>1162</v>
      </c>
      <c r="D423" s="508">
        <v>0.1</v>
      </c>
      <c r="E423" s="508">
        <v>0.1</v>
      </c>
      <c r="F423" s="508">
        <v>0.1</v>
      </c>
    </row>
    <row r="424" spans="2:81" ht="28.8">
      <c r="C424" s="553" t="s">
        <v>1163</v>
      </c>
      <c r="D424" s="508">
        <v>0.4</v>
      </c>
      <c r="E424" s="508">
        <v>0.4</v>
      </c>
      <c r="F424" s="508">
        <v>0.4</v>
      </c>
    </row>
    <row r="425" spans="2:81" ht="28.8">
      <c r="C425" s="553" t="s">
        <v>1164</v>
      </c>
      <c r="D425" s="508">
        <v>0.2</v>
      </c>
      <c r="E425" s="508">
        <v>0.2</v>
      </c>
      <c r="F425" s="508">
        <v>0.2</v>
      </c>
    </row>
    <row r="426" spans="2:81">
      <c r="C426" s="507"/>
      <c r="D426" s="510">
        <v>1</v>
      </c>
      <c r="E426" s="510">
        <v>1</v>
      </c>
      <c r="F426" s="510">
        <v>1</v>
      </c>
    </row>
    <row r="427" spans="2:81">
      <c r="C427" s="507"/>
      <c r="D427" s="511"/>
      <c r="E427" s="510">
        <v>0</v>
      </c>
      <c r="F427" s="510">
        <v>0</v>
      </c>
    </row>
    <row r="428" spans="2:81">
      <c r="C428" s="10"/>
      <c r="D428" s="15"/>
      <c r="E428" s="15"/>
      <c r="F428" s="15"/>
    </row>
    <row r="429" spans="2:81">
      <c r="C429" s="12" t="s">
        <v>380</v>
      </c>
      <c r="D429" s="15"/>
      <c r="E429" s="15"/>
      <c r="F429" s="15"/>
    </row>
    <row r="430" spans="2:81">
      <c r="C430" s="11" t="s">
        <v>381</v>
      </c>
      <c r="D430" s="15"/>
      <c r="E430" s="15"/>
      <c r="F430" s="15"/>
    </row>
    <row r="431" spans="2:81">
      <c r="C431" s="11" t="s">
        <v>380</v>
      </c>
      <c r="D431" s="15"/>
      <c r="E431" s="15"/>
      <c r="F431" s="15"/>
    </row>
    <row r="432" spans="2:81">
      <c r="C432" s="10" t="s">
        <v>382</v>
      </c>
      <c r="D432" s="15"/>
      <c r="E432" s="15"/>
      <c r="F432" s="15"/>
    </row>
    <row r="433" spans="3:81">
      <c r="C433" s="10"/>
      <c r="D433" s="15"/>
      <c r="E433" s="15"/>
      <c r="F433" s="15"/>
    </row>
    <row r="434" spans="3:81">
      <c r="C434" s="10"/>
      <c r="D434" s="15"/>
      <c r="E434" s="15"/>
      <c r="F434" s="15"/>
    </row>
    <row r="435" spans="3:81">
      <c r="C435" s="10"/>
      <c r="D435" s="15"/>
      <c r="E435" s="15"/>
      <c r="F435" s="15"/>
    </row>
    <row r="436" spans="3:81">
      <c r="C436" s="12" t="s">
        <v>383</v>
      </c>
      <c r="D436" s="15"/>
      <c r="E436" s="15"/>
      <c r="F436" s="22"/>
    </row>
    <row r="437" spans="3:81">
      <c r="C437" s="11"/>
      <c r="D437" s="15"/>
      <c r="E437" s="15"/>
      <c r="F437" s="22"/>
    </row>
    <row r="438" spans="3:81">
      <c r="C438" s="11"/>
      <c r="D438" s="15"/>
      <c r="E438" s="15"/>
      <c r="F438" s="22"/>
    </row>
    <row r="439" spans="3:81">
      <c r="C439" s="11" t="s">
        <v>359</v>
      </c>
      <c r="D439" s="15"/>
      <c r="E439" s="15"/>
      <c r="F439" s="15"/>
    </row>
    <row r="440" spans="3:81">
      <c r="C440" s="11" t="s">
        <v>360</v>
      </c>
      <c r="D440" s="15"/>
      <c r="E440" s="15"/>
      <c r="F440" s="15"/>
    </row>
    <row r="441" spans="3:81">
      <c r="C441" s="11" t="s">
        <v>361</v>
      </c>
      <c r="D441" s="15"/>
      <c r="E441" s="15"/>
      <c r="F441" s="15"/>
    </row>
    <row r="442" spans="3:81">
      <c r="C442" s="11" t="s">
        <v>362</v>
      </c>
      <c r="D442" s="15"/>
      <c r="E442" s="15"/>
      <c r="F442" s="15"/>
    </row>
    <row r="443" spans="3:81">
      <c r="C443" s="11" t="s">
        <v>363</v>
      </c>
      <c r="D443" s="15"/>
      <c r="E443" s="15"/>
      <c r="F443" s="15"/>
    </row>
    <row r="444" spans="3:81">
      <c r="C444" s="109"/>
      <c r="D444" s="168"/>
      <c r="E444" s="169"/>
      <c r="F444" s="110"/>
      <c r="G444" s="100"/>
      <c r="H444" s="100"/>
      <c r="I444" s="100"/>
      <c r="J444" s="100"/>
      <c r="K444" s="100"/>
      <c r="L444" s="100"/>
      <c r="M444" s="100"/>
      <c r="N444" s="100"/>
      <c r="O444" s="100"/>
      <c r="P444" s="100"/>
      <c r="Q444" s="100"/>
      <c r="R444" s="100"/>
      <c r="S444" s="100"/>
      <c r="T444" s="100"/>
      <c r="U444" s="100"/>
      <c r="V444" s="100"/>
      <c r="W444" s="100"/>
      <c r="X444" s="100"/>
      <c r="Y444" s="100"/>
      <c r="Z444" s="100"/>
      <c r="AA444" s="100"/>
      <c r="AB444" s="100"/>
      <c r="AC444" s="100"/>
      <c r="AD444" s="332"/>
      <c r="AE444" s="100"/>
      <c r="AF444" s="100"/>
      <c r="AG444" s="100"/>
      <c r="AH444" s="100"/>
      <c r="AI444" s="100"/>
      <c r="AJ444" s="392"/>
      <c r="AK444" s="100"/>
      <c r="AL444" s="100"/>
      <c r="AM444" s="100"/>
      <c r="AN444" s="100"/>
      <c r="AO444" s="100"/>
      <c r="AP444" s="100"/>
      <c r="AQ444" s="100"/>
      <c r="AR444" s="100"/>
      <c r="AS444" s="100"/>
      <c r="AT444" s="100"/>
      <c r="AU444" s="100"/>
      <c r="AV444" s="100"/>
      <c r="AW444" s="100"/>
      <c r="AX444" s="100"/>
      <c r="AY444" s="100"/>
      <c r="AZ444" s="100"/>
      <c r="BA444" s="100"/>
      <c r="BB444" s="100"/>
      <c r="BC444" s="100"/>
      <c r="BD444" s="100"/>
      <c r="BE444" s="100"/>
      <c r="BF444" s="100"/>
      <c r="BG444" s="100"/>
      <c r="BH444" s="100"/>
      <c r="BI444" s="100"/>
      <c r="BJ444" s="100"/>
      <c r="BK444" s="100"/>
      <c r="BL444" s="100"/>
      <c r="BM444" s="100"/>
      <c r="BN444" s="100"/>
      <c r="BO444" s="100"/>
      <c r="BP444" s="100"/>
      <c r="BQ444" s="100"/>
      <c r="BR444" s="100"/>
      <c r="BS444" s="100"/>
      <c r="BT444" s="100"/>
      <c r="BU444" s="100"/>
      <c r="BV444" s="100"/>
      <c r="BW444" s="100"/>
      <c r="BX444" s="100"/>
      <c r="BY444" s="100"/>
      <c r="BZ444" s="100"/>
      <c r="CA444" s="100"/>
      <c r="CB444" s="100"/>
      <c r="CC444" s="100"/>
    </row>
    <row r="445" spans="3:81">
      <c r="C445" s="10"/>
      <c r="D445" s="15"/>
      <c r="E445" s="15"/>
      <c r="F445" s="15"/>
    </row>
    <row r="446" spans="3:81" ht="15" customHeight="1">
      <c r="C446" s="10"/>
      <c r="D446" s="15"/>
      <c r="E446" s="15"/>
      <c r="F446" s="15"/>
      <c r="I446" s="857" t="s">
        <v>1037</v>
      </c>
      <c r="J446" s="857"/>
      <c r="K446" s="857"/>
      <c r="L446" s="857"/>
      <c r="M446" s="857"/>
      <c r="N446" s="857"/>
      <c r="O446" s="857"/>
      <c r="P446" s="857"/>
    </row>
    <row r="447" spans="3:81" ht="15" customHeight="1">
      <c r="C447" s="10"/>
      <c r="D447" s="15"/>
      <c r="E447" s="15"/>
      <c r="F447" s="15"/>
      <c r="I447" s="854" t="s">
        <v>1042</v>
      </c>
      <c r="J447" s="854"/>
      <c r="K447" s="854"/>
      <c r="L447" s="854"/>
      <c r="M447" s="854"/>
      <c r="N447" s="854"/>
      <c r="O447" s="854"/>
      <c r="P447" s="854"/>
    </row>
    <row r="448" spans="3:81" ht="15" customHeight="1">
      <c r="C448" s="10"/>
      <c r="D448" s="15"/>
      <c r="E448" s="15"/>
      <c r="F448" s="15"/>
      <c r="I448" s="829" t="s">
        <v>1076</v>
      </c>
      <c r="J448" s="829"/>
      <c r="K448" s="271"/>
      <c r="L448" s="829" t="s">
        <v>1077</v>
      </c>
      <c r="M448" s="829"/>
      <c r="N448" s="271"/>
      <c r="O448" s="867" t="s">
        <v>1078</v>
      </c>
      <c r="P448" s="867"/>
    </row>
    <row r="449" spans="2:81" ht="28.8">
      <c r="B449" s="519" t="s">
        <v>1079</v>
      </c>
      <c r="C449" s="554" t="s">
        <v>1165</v>
      </c>
      <c r="D449" s="16" t="s">
        <v>353</v>
      </c>
      <c r="E449" s="16" t="s">
        <v>354</v>
      </c>
      <c r="F449" s="16" t="s">
        <v>355</v>
      </c>
      <c r="I449" s="93" t="s">
        <v>1080</v>
      </c>
      <c r="J449" s="94" t="s">
        <v>1081</v>
      </c>
      <c r="K449" s="94"/>
      <c r="L449" s="93" t="s">
        <v>1080</v>
      </c>
      <c r="M449" s="94" t="s">
        <v>1081</v>
      </c>
      <c r="N449" s="94"/>
      <c r="O449" s="93" t="s">
        <v>1080</v>
      </c>
      <c r="P449" s="94" t="s">
        <v>1081</v>
      </c>
    </row>
    <row r="450" spans="2:81">
      <c r="C450" s="819" t="s">
        <v>1166</v>
      </c>
      <c r="D450" s="16"/>
      <c r="E450" s="16"/>
      <c r="F450" s="16"/>
      <c r="I450" s="93"/>
      <c r="J450" s="94"/>
      <c r="K450" s="94"/>
      <c r="L450" s="93"/>
      <c r="M450" s="94"/>
      <c r="N450" s="94"/>
      <c r="O450" s="93"/>
      <c r="P450" s="94"/>
    </row>
    <row r="451" spans="2:81">
      <c r="C451" s="11"/>
      <c r="D451" s="58" t="e">
        <f>SUM(#REF!)</f>
        <v>#REF!</v>
      </c>
      <c r="E451" s="58" t="e">
        <f>SUM(#REF!)</f>
        <v>#REF!</v>
      </c>
      <c r="F451" s="58" t="e">
        <f>SUM(#REF!)</f>
        <v>#REF!</v>
      </c>
      <c r="I451" s="6"/>
      <c r="J451" s="6"/>
      <c r="K451" s="6"/>
      <c r="L451" s="6"/>
      <c r="M451" s="6"/>
      <c r="N451" s="6"/>
      <c r="O451" s="6"/>
      <c r="P451" s="6"/>
    </row>
    <row r="452" spans="2:81">
      <c r="C452" s="10"/>
      <c r="D452" s="58"/>
      <c r="E452" s="58" t="e">
        <f>D451-E451</f>
        <v>#REF!</v>
      </c>
      <c r="F452" s="58" t="e">
        <f>E451-F451</f>
        <v>#REF!</v>
      </c>
      <c r="I452" s="6"/>
      <c r="J452" s="6"/>
      <c r="K452" s="6"/>
      <c r="L452" s="6"/>
      <c r="M452" s="6"/>
      <c r="N452" s="6"/>
      <c r="O452" s="6"/>
      <c r="P452" s="6"/>
    </row>
    <row r="453" spans="2:81">
      <c r="C453" s="12" t="s">
        <v>384</v>
      </c>
      <c r="D453" s="58" t="s">
        <v>385</v>
      </c>
      <c r="E453" s="58"/>
      <c r="F453" s="58"/>
      <c r="I453" s="213"/>
      <c r="J453" s="213"/>
      <c r="K453" s="213"/>
      <c r="L453" s="65"/>
      <c r="M453" s="65"/>
      <c r="N453" s="65"/>
      <c r="O453" s="6"/>
      <c r="P453" s="6"/>
    </row>
    <row r="454" spans="2:81">
      <c r="C454" s="53"/>
      <c r="D454" s="59"/>
      <c r="E454" s="59"/>
      <c r="F454" s="59"/>
      <c r="I454" s="65"/>
      <c r="J454" s="65"/>
      <c r="K454" s="65"/>
      <c r="L454" s="65"/>
      <c r="M454" s="65"/>
      <c r="N454" s="65"/>
      <c r="O454" s="6"/>
      <c r="P454" s="6"/>
    </row>
    <row r="455" spans="2:81">
      <c r="C455" s="53"/>
      <c r="D455" s="59"/>
      <c r="E455" s="59"/>
      <c r="F455" s="59"/>
      <c r="I455" s="6"/>
      <c r="J455" s="6"/>
      <c r="K455" s="6"/>
      <c r="L455" s="6"/>
      <c r="M455" s="6"/>
      <c r="N455" s="6"/>
      <c r="O455" s="6"/>
      <c r="P455" s="6"/>
    </row>
    <row r="456" spans="2:81">
      <c r="C456" s="11" t="s">
        <v>359</v>
      </c>
      <c r="D456" s="15"/>
      <c r="E456" s="15"/>
      <c r="F456" s="15"/>
      <c r="I456" s="6"/>
      <c r="J456" s="6"/>
      <c r="K456" s="6"/>
      <c r="L456" s="6"/>
      <c r="M456" s="6"/>
      <c r="N456" s="6"/>
      <c r="O456" s="6"/>
      <c r="P456" s="6"/>
    </row>
    <row r="457" spans="2:81">
      <c r="C457" s="11" t="s">
        <v>360</v>
      </c>
      <c r="D457" s="15"/>
      <c r="E457" s="15"/>
      <c r="F457" s="15"/>
      <c r="I457" s="6"/>
      <c r="J457" s="6"/>
      <c r="K457" s="6"/>
      <c r="L457" s="6"/>
      <c r="M457" s="6"/>
      <c r="N457" s="6"/>
      <c r="O457" s="6"/>
      <c r="P457" s="6"/>
    </row>
    <row r="458" spans="2:81">
      <c r="C458" s="11" t="s">
        <v>361</v>
      </c>
      <c r="D458" s="15"/>
      <c r="E458" s="15"/>
      <c r="F458" s="15"/>
      <c r="I458" s="6"/>
      <c r="J458" s="6"/>
      <c r="K458" s="6"/>
      <c r="L458" s="6"/>
      <c r="M458" s="6"/>
      <c r="N458" s="6"/>
      <c r="O458" s="6"/>
      <c r="P458" s="6"/>
    </row>
    <row r="459" spans="2:81">
      <c r="C459" s="11" t="s">
        <v>362</v>
      </c>
      <c r="D459" s="15"/>
      <c r="E459" s="15"/>
      <c r="F459" s="15"/>
      <c r="I459" s="6"/>
      <c r="J459" s="6"/>
      <c r="K459" s="6"/>
      <c r="L459" s="6"/>
      <c r="M459" s="6"/>
      <c r="N459" s="6"/>
      <c r="O459" s="6"/>
      <c r="P459" s="6"/>
    </row>
    <row r="460" spans="2:81">
      <c r="C460" s="11" t="s">
        <v>363</v>
      </c>
      <c r="D460" s="15"/>
      <c r="E460" s="15"/>
      <c r="F460" s="15"/>
    </row>
    <row r="461" spans="2:81">
      <c r="C461" s="109"/>
      <c r="D461" s="168"/>
      <c r="E461" s="169"/>
      <c r="F461" s="110"/>
      <c r="G461" s="100"/>
      <c r="H461" s="100"/>
      <c r="I461" s="100"/>
      <c r="J461" s="100"/>
      <c r="K461" s="100"/>
      <c r="L461" s="100"/>
      <c r="M461" s="100"/>
      <c r="N461" s="100"/>
      <c r="O461" s="100"/>
      <c r="P461" s="100"/>
      <c r="Q461" s="100"/>
      <c r="R461" s="100"/>
      <c r="S461" s="100"/>
      <c r="T461" s="100"/>
      <c r="U461" s="100"/>
      <c r="V461" s="100"/>
      <c r="W461" s="100"/>
      <c r="X461" s="100"/>
      <c r="Y461" s="100"/>
      <c r="Z461" s="100"/>
      <c r="AA461" s="100"/>
      <c r="AB461" s="100"/>
      <c r="AC461" s="100"/>
      <c r="AD461" s="332"/>
      <c r="AE461" s="100"/>
      <c r="AF461" s="100"/>
      <c r="AG461" s="100"/>
      <c r="AH461" s="100"/>
      <c r="AI461" s="100"/>
      <c r="AJ461" s="392"/>
      <c r="AK461" s="100"/>
      <c r="AL461" s="100"/>
      <c r="AM461" s="100"/>
      <c r="AN461" s="100"/>
      <c r="AO461" s="100"/>
      <c r="AP461" s="100"/>
      <c r="AQ461" s="100"/>
      <c r="AR461" s="100"/>
      <c r="AS461" s="100"/>
      <c r="AT461" s="100"/>
      <c r="AU461" s="100"/>
      <c r="AV461" s="100"/>
      <c r="AW461" s="100"/>
      <c r="AX461" s="100"/>
      <c r="AY461" s="100"/>
      <c r="AZ461" s="100"/>
      <c r="BA461" s="100"/>
      <c r="BB461" s="100"/>
      <c r="BC461" s="100"/>
      <c r="BD461" s="100"/>
      <c r="BE461" s="100"/>
      <c r="BF461" s="100"/>
      <c r="BG461" s="100"/>
      <c r="BH461" s="100"/>
      <c r="BI461" s="100"/>
      <c r="BJ461" s="100"/>
      <c r="BK461" s="100"/>
      <c r="BL461" s="100"/>
      <c r="BM461" s="100"/>
      <c r="BN461" s="100"/>
      <c r="BO461" s="100"/>
      <c r="BP461" s="100"/>
      <c r="BQ461" s="100"/>
      <c r="BR461" s="100"/>
      <c r="BS461" s="100"/>
      <c r="BT461" s="100"/>
      <c r="BU461" s="100"/>
      <c r="BV461" s="100"/>
      <c r="BW461" s="100"/>
      <c r="BX461" s="100"/>
      <c r="BY461" s="100"/>
      <c r="BZ461" s="100"/>
      <c r="CA461" s="100"/>
      <c r="CB461" s="100"/>
      <c r="CC461" s="100"/>
    </row>
    <row r="462" spans="2:81">
      <c r="C462" s="10"/>
      <c r="D462" s="15"/>
      <c r="E462" s="15"/>
      <c r="F462" s="15"/>
    </row>
    <row r="463" spans="2:81">
      <c r="C463" s="10"/>
      <c r="D463" s="15"/>
      <c r="E463" s="15"/>
      <c r="F463" s="15"/>
      <c r="I463" s="857" t="s">
        <v>1037</v>
      </c>
      <c r="J463" s="857"/>
      <c r="K463" s="857"/>
      <c r="L463" s="857"/>
      <c r="M463" s="857"/>
      <c r="N463" s="857"/>
      <c r="O463" s="857"/>
      <c r="P463" s="857"/>
    </row>
    <row r="464" spans="2:81">
      <c r="C464" s="10"/>
      <c r="D464" s="15"/>
      <c r="E464" s="15"/>
      <c r="F464" s="15"/>
      <c r="I464" s="854" t="s">
        <v>1042</v>
      </c>
      <c r="J464" s="854"/>
      <c r="K464" s="854"/>
      <c r="L464" s="854"/>
      <c r="M464" s="854"/>
      <c r="N464" s="854"/>
      <c r="O464" s="854"/>
      <c r="P464" s="854"/>
    </row>
    <row r="465" spans="2:81">
      <c r="C465" s="10"/>
      <c r="D465" s="58"/>
      <c r="E465" s="58"/>
      <c r="F465" s="58"/>
      <c r="I465" s="829" t="s">
        <v>1076</v>
      </c>
      <c r="J465" s="829"/>
      <c r="K465" s="271"/>
      <c r="L465" s="829" t="s">
        <v>1077</v>
      </c>
      <c r="M465" s="829"/>
      <c r="N465" s="271"/>
      <c r="O465" s="867" t="s">
        <v>1078</v>
      </c>
      <c r="P465" s="867"/>
    </row>
    <row r="466" spans="2:81" ht="28.8">
      <c r="B466" s="519" t="s">
        <v>1079</v>
      </c>
      <c r="C466" s="555" t="s">
        <v>1167</v>
      </c>
      <c r="D466" s="16" t="s">
        <v>353</v>
      </c>
      <c r="E466" s="16" t="s">
        <v>354</v>
      </c>
      <c r="F466" s="16" t="s">
        <v>355</v>
      </c>
      <c r="I466" s="93" t="s">
        <v>1080</v>
      </c>
      <c r="J466" s="94" t="s">
        <v>1081</v>
      </c>
      <c r="K466" s="94"/>
      <c r="L466" s="93" t="s">
        <v>1080</v>
      </c>
      <c r="M466" s="94" t="s">
        <v>1081</v>
      </c>
      <c r="N466" s="94"/>
      <c r="O466" s="93" t="s">
        <v>1080</v>
      </c>
      <c r="P466" s="94" t="s">
        <v>1081</v>
      </c>
    </row>
    <row r="467" spans="2:81">
      <c r="C467" s="577" t="s">
        <v>1166</v>
      </c>
      <c r="D467" s="16"/>
      <c r="E467" s="16"/>
      <c r="F467" s="16"/>
      <c r="I467" s="93"/>
      <c r="J467" s="94"/>
      <c r="K467" s="94"/>
      <c r="L467" s="93"/>
      <c r="M467" s="94"/>
      <c r="N467" s="94"/>
      <c r="O467" s="93"/>
      <c r="P467" s="94"/>
    </row>
    <row r="468" spans="2:81">
      <c r="C468" s="11"/>
      <c r="D468" s="58" t="e">
        <f>SUM(#REF!)</f>
        <v>#REF!</v>
      </c>
      <c r="E468" s="58" t="e">
        <f>SUM(#REF!)</f>
        <v>#REF!</v>
      </c>
      <c r="F468" s="58" t="e">
        <f>SUM(#REF!)</f>
        <v>#REF!</v>
      </c>
      <c r="I468" s="65"/>
      <c r="J468" s="65"/>
      <c r="K468" s="65"/>
      <c r="L468" s="65"/>
      <c r="M468" s="65"/>
      <c r="N468" s="65"/>
      <c r="O468" s="6"/>
      <c r="P468" s="6"/>
    </row>
    <row r="469" spans="2:81">
      <c r="C469" s="11"/>
      <c r="D469" s="58"/>
      <c r="E469" s="58" t="e">
        <f>D468-E468</f>
        <v>#REF!</v>
      </c>
      <c r="F469" s="58" t="e">
        <f>E468-F468</f>
        <v>#REF!</v>
      </c>
      <c r="I469" s="6"/>
      <c r="J469" s="6"/>
      <c r="K469" s="6"/>
      <c r="L469" s="6"/>
      <c r="M469" s="6"/>
      <c r="N469" s="6"/>
      <c r="O469" s="6"/>
      <c r="P469" s="6"/>
    </row>
    <row r="470" spans="2:81">
      <c r="C470" s="12" t="s">
        <v>386</v>
      </c>
      <c r="D470" s="58" t="s">
        <v>385</v>
      </c>
      <c r="E470" s="58"/>
      <c r="F470" s="58"/>
    </row>
    <row r="471" spans="2:81">
      <c r="C471" s="53"/>
      <c r="D471" s="58"/>
      <c r="E471" s="58"/>
      <c r="F471" s="58"/>
    </row>
    <row r="472" spans="2:81">
      <c r="C472" s="53"/>
      <c r="D472" s="58"/>
      <c r="E472" s="58"/>
      <c r="F472" s="58"/>
    </row>
    <row r="473" spans="2:81">
      <c r="C473" s="11" t="s">
        <v>359</v>
      </c>
      <c r="D473" s="15"/>
      <c r="E473" s="15"/>
      <c r="F473" s="15"/>
    </row>
    <row r="474" spans="2:81">
      <c r="C474" s="11" t="s">
        <v>360</v>
      </c>
      <c r="D474" s="15"/>
      <c r="E474" s="15"/>
      <c r="F474" s="15"/>
    </row>
    <row r="475" spans="2:81">
      <c r="C475" s="11" t="s">
        <v>361</v>
      </c>
      <c r="D475" s="15"/>
      <c r="E475" s="15"/>
      <c r="F475" s="15"/>
    </row>
    <row r="476" spans="2:81">
      <c r="C476" s="11" t="s">
        <v>362</v>
      </c>
      <c r="D476" s="15"/>
      <c r="E476" s="15"/>
      <c r="F476" s="15"/>
    </row>
    <row r="477" spans="2:81">
      <c r="C477" s="11" t="s">
        <v>363</v>
      </c>
      <c r="D477" s="15"/>
      <c r="E477" s="15"/>
      <c r="F477" s="15"/>
    </row>
    <row r="478" spans="2:81">
      <c r="C478" s="109"/>
      <c r="D478" s="168"/>
      <c r="E478" s="169"/>
      <c r="F478" s="110"/>
      <c r="G478" s="100"/>
      <c r="H478" s="100"/>
      <c r="I478" s="100"/>
      <c r="J478" s="100"/>
      <c r="K478" s="100"/>
      <c r="L478" s="100"/>
      <c r="M478" s="100"/>
      <c r="N478" s="100"/>
      <c r="O478" s="100"/>
      <c r="P478" s="100"/>
      <c r="Q478" s="100"/>
      <c r="R478" s="100"/>
      <c r="S478" s="100"/>
      <c r="T478" s="100"/>
      <c r="U478" s="100"/>
      <c r="V478" s="100"/>
      <c r="W478" s="100"/>
      <c r="X478" s="100"/>
      <c r="Y478" s="100"/>
      <c r="Z478" s="100"/>
      <c r="AA478" s="100"/>
      <c r="AB478" s="100"/>
      <c r="AC478" s="100"/>
      <c r="AD478" s="332"/>
      <c r="AE478" s="100"/>
      <c r="AF478" s="100"/>
      <c r="AG478" s="100"/>
      <c r="AH478" s="100"/>
      <c r="AI478" s="100"/>
      <c r="AJ478" s="392"/>
      <c r="AK478" s="100"/>
      <c r="AL478" s="100"/>
      <c r="AM478" s="100"/>
      <c r="AN478" s="100"/>
      <c r="AO478" s="100"/>
      <c r="AP478" s="100"/>
      <c r="AQ478" s="100"/>
      <c r="AR478" s="100"/>
      <c r="AS478" s="100"/>
      <c r="AT478" s="100"/>
      <c r="AU478" s="100"/>
      <c r="AV478" s="100"/>
      <c r="AW478" s="100"/>
      <c r="AX478" s="100"/>
      <c r="AY478" s="100"/>
      <c r="AZ478" s="100"/>
      <c r="BA478" s="100"/>
      <c r="BB478" s="100"/>
      <c r="BC478" s="100"/>
      <c r="BD478" s="100"/>
      <c r="BE478" s="100"/>
      <c r="BF478" s="100"/>
      <c r="BG478" s="100"/>
      <c r="BH478" s="100"/>
      <c r="BI478" s="100"/>
      <c r="BJ478" s="100"/>
      <c r="BK478" s="100"/>
      <c r="BL478" s="100"/>
      <c r="BM478" s="100"/>
      <c r="BN478" s="100"/>
      <c r="BO478" s="100"/>
      <c r="BP478" s="100"/>
      <c r="BQ478" s="100"/>
      <c r="BR478" s="100"/>
      <c r="BS478" s="100"/>
      <c r="BT478" s="100"/>
      <c r="BU478" s="100"/>
      <c r="BV478" s="100"/>
      <c r="BW478" s="100"/>
      <c r="BX478" s="100"/>
      <c r="BY478" s="100"/>
      <c r="BZ478" s="100"/>
      <c r="CA478" s="100"/>
      <c r="CB478" s="100"/>
      <c r="CC478" s="100"/>
    </row>
    <row r="479" spans="2:81">
      <c r="C479" s="10"/>
      <c r="D479" s="15"/>
      <c r="E479" s="15"/>
      <c r="F479" s="15"/>
    </row>
    <row r="480" spans="2:81">
      <c r="C480" s="10"/>
      <c r="D480" s="15"/>
      <c r="E480" s="15"/>
      <c r="F480" s="15"/>
      <c r="I480" s="893" t="s">
        <v>1037</v>
      </c>
      <c r="J480" s="893"/>
      <c r="K480" s="893"/>
      <c r="L480" s="893"/>
      <c r="M480" s="893"/>
      <c r="N480" s="893"/>
      <c r="O480" s="893"/>
      <c r="P480" s="893"/>
      <c r="Q480" s="893"/>
      <c r="R480" s="893"/>
      <c r="S480" s="893"/>
      <c r="T480" s="893"/>
      <c r="U480" s="893"/>
      <c r="V480" s="893"/>
      <c r="W480" s="893"/>
      <c r="X480" s="893"/>
      <c r="Y480" s="893"/>
    </row>
    <row r="481" spans="2:25">
      <c r="C481" s="10"/>
      <c r="D481" s="15"/>
      <c r="E481" s="15"/>
      <c r="F481" s="15"/>
      <c r="I481" s="892" t="s">
        <v>1039</v>
      </c>
      <c r="J481" s="892"/>
      <c r="K481" s="892"/>
      <c r="L481" s="892"/>
      <c r="M481" s="892"/>
      <c r="N481" s="892"/>
      <c r="O481" s="892"/>
      <c r="P481" s="892"/>
      <c r="Q481" s="892"/>
      <c r="R481" s="892"/>
      <c r="S481" s="892"/>
      <c r="T481" s="892"/>
      <c r="U481" s="892"/>
      <c r="V481" s="892"/>
      <c r="W481" s="892"/>
      <c r="X481" s="892"/>
      <c r="Y481" s="95"/>
    </row>
    <row r="482" spans="2:25" ht="15" customHeight="1">
      <c r="C482" s="10"/>
      <c r="D482" s="15"/>
      <c r="E482" s="15"/>
      <c r="F482" s="15"/>
      <c r="I482" s="837" t="s">
        <v>1045</v>
      </c>
      <c r="J482" s="837"/>
      <c r="K482" s="93"/>
      <c r="L482" s="837" t="s">
        <v>1046</v>
      </c>
      <c r="M482" s="837"/>
      <c r="N482" s="93"/>
      <c r="O482" s="837" t="s">
        <v>350</v>
      </c>
      <c r="P482" s="837"/>
      <c r="Q482" s="278"/>
      <c r="R482" s="892" t="s">
        <v>351</v>
      </c>
      <c r="S482" s="892"/>
      <c r="T482" s="94"/>
      <c r="U482" s="837" t="s">
        <v>352</v>
      </c>
      <c r="V482" s="837"/>
      <c r="W482" s="93"/>
      <c r="X482" s="837" t="s">
        <v>1047</v>
      </c>
      <c r="Y482" s="837"/>
    </row>
    <row r="483" spans="2:25" ht="28.8">
      <c r="B483" s="519" t="s">
        <v>1079</v>
      </c>
      <c r="C483" s="214" t="s">
        <v>387</v>
      </c>
      <c r="D483" s="16" t="s">
        <v>353</v>
      </c>
      <c r="E483" s="16" t="s">
        <v>354</v>
      </c>
      <c r="F483" s="16" t="s">
        <v>355</v>
      </c>
      <c r="I483" s="171" t="s">
        <v>1080</v>
      </c>
      <c r="J483" s="95" t="s">
        <v>1081</v>
      </c>
      <c r="K483" s="95"/>
      <c r="L483" s="95" t="s">
        <v>1080</v>
      </c>
      <c r="M483" s="95" t="s">
        <v>1081</v>
      </c>
      <c r="N483" s="95"/>
      <c r="O483" s="95" t="s">
        <v>1080</v>
      </c>
      <c r="P483" s="95" t="s">
        <v>1081</v>
      </c>
      <c r="Q483" s="95" t="s">
        <v>1081</v>
      </c>
      <c r="R483" s="95" t="s">
        <v>1080</v>
      </c>
      <c r="S483" s="95" t="s">
        <v>1081</v>
      </c>
      <c r="T483" s="95"/>
      <c r="U483" s="95" t="s">
        <v>1080</v>
      </c>
      <c r="V483" s="95" t="s">
        <v>1081</v>
      </c>
      <c r="W483" s="95"/>
      <c r="X483" s="95" t="s">
        <v>1080</v>
      </c>
      <c r="Y483" s="95" t="s">
        <v>1081</v>
      </c>
    </row>
    <row r="484" spans="2:25">
      <c r="C484" s="187" t="s">
        <v>1168</v>
      </c>
      <c r="D484" s="18">
        <v>0.3</v>
      </c>
      <c r="E484" s="18">
        <v>0.3</v>
      </c>
      <c r="F484" s="18">
        <v>0.3</v>
      </c>
      <c r="I484" s="125"/>
      <c r="J484" s="125"/>
      <c r="K484" s="125"/>
      <c r="L484" s="87"/>
      <c r="M484" s="87"/>
      <c r="N484" s="87"/>
      <c r="O484" s="124">
        <f t="shared" ref="O484:P489" si="161">E484</f>
        <v>0.3</v>
      </c>
      <c r="P484" s="124">
        <f t="shared" si="161"/>
        <v>0.3</v>
      </c>
      <c r="Q484" s="125"/>
      <c r="R484" s="124">
        <f>E484</f>
        <v>0.3</v>
      </c>
      <c r="S484" s="124">
        <f>F484</f>
        <v>0.3</v>
      </c>
      <c r="T484" s="124"/>
      <c r="U484" s="124">
        <f>E484</f>
        <v>0.3</v>
      </c>
      <c r="V484" s="124">
        <f>F484</f>
        <v>0.3</v>
      </c>
      <c r="W484" s="124"/>
      <c r="X484" s="87"/>
      <c r="Y484" s="87"/>
    </row>
    <row r="485" spans="2:25">
      <c r="C485" s="187" t="s">
        <v>1169</v>
      </c>
      <c r="D485" s="18"/>
      <c r="E485" s="18"/>
      <c r="F485" s="18"/>
      <c r="I485" s="125"/>
      <c r="J485" s="125"/>
      <c r="K485" s="125"/>
      <c r="L485" s="87"/>
      <c r="M485" s="87"/>
      <c r="N485" s="87"/>
      <c r="O485" s="124"/>
      <c r="P485" s="124"/>
      <c r="Q485" s="125"/>
      <c r="R485" s="124"/>
      <c r="S485" s="124"/>
      <c r="T485" s="124"/>
      <c r="U485" s="124"/>
      <c r="V485" s="124"/>
      <c r="W485" s="124"/>
      <c r="X485" s="87"/>
      <c r="Y485" s="87"/>
    </row>
    <row r="486" spans="2:25">
      <c r="C486" s="187" t="s">
        <v>1170</v>
      </c>
      <c r="D486" s="18"/>
      <c r="E486" s="18"/>
      <c r="F486" s="18"/>
      <c r="I486" s="125"/>
      <c r="J486" s="125"/>
      <c r="K486" s="125"/>
      <c r="L486" s="87"/>
      <c r="M486" s="87"/>
      <c r="N486" s="87"/>
      <c r="O486" s="124"/>
      <c r="P486" s="124"/>
      <c r="Q486" s="125"/>
      <c r="R486" s="124"/>
      <c r="S486" s="124"/>
      <c r="T486" s="124"/>
      <c r="U486" s="124"/>
      <c r="V486" s="124"/>
      <c r="W486" s="124"/>
      <c r="X486" s="87"/>
      <c r="Y486" s="87"/>
    </row>
    <row r="487" spans="2:25">
      <c r="C487" s="187" t="s">
        <v>1171</v>
      </c>
      <c r="D487" s="18"/>
      <c r="E487" s="18"/>
      <c r="F487" s="18"/>
      <c r="I487" s="125"/>
      <c r="J487" s="125"/>
      <c r="K487" s="125"/>
      <c r="L487" s="87"/>
      <c r="M487" s="87"/>
      <c r="N487" s="87"/>
      <c r="O487" s="124"/>
      <c r="P487" s="124"/>
      <c r="Q487" s="125"/>
      <c r="R487" s="124"/>
      <c r="S487" s="124"/>
      <c r="T487" s="124"/>
      <c r="U487" s="124"/>
      <c r="V487" s="124"/>
      <c r="W487" s="124"/>
      <c r="X487" s="87"/>
      <c r="Y487" s="87"/>
    </row>
    <row r="488" spans="2:25" ht="28.8">
      <c r="C488" s="187" t="s">
        <v>1172</v>
      </c>
      <c r="D488" s="18">
        <v>0.3</v>
      </c>
      <c r="E488" s="18">
        <v>0.3</v>
      </c>
      <c r="F488" s="18">
        <v>0</v>
      </c>
      <c r="I488" s="87"/>
      <c r="J488" s="87"/>
      <c r="K488" s="87"/>
      <c r="L488" s="87"/>
      <c r="M488" s="87"/>
      <c r="N488" s="87"/>
      <c r="O488" s="125">
        <f t="shared" si="161"/>
        <v>0.3</v>
      </c>
      <c r="P488" s="125">
        <f t="shared" si="161"/>
        <v>0</v>
      </c>
      <c r="Q488" s="87"/>
      <c r="R488" s="87"/>
      <c r="S488" s="87"/>
      <c r="T488" s="87"/>
      <c r="U488" s="125"/>
      <c r="V488" s="125"/>
      <c r="W488" s="125"/>
      <c r="X488" s="87"/>
      <c r="Y488" s="87"/>
    </row>
    <row r="489" spans="2:25" ht="28.8">
      <c r="C489" s="187" t="s">
        <v>1173</v>
      </c>
      <c r="D489" s="18">
        <v>0.15</v>
      </c>
      <c r="E489" s="18">
        <v>0.15</v>
      </c>
      <c r="F489" s="18">
        <v>0.15</v>
      </c>
      <c r="I489" s="87"/>
      <c r="J489" s="87"/>
      <c r="K489" s="87"/>
      <c r="L489" s="87"/>
      <c r="M489" s="87"/>
      <c r="N489" s="87"/>
      <c r="O489" s="124">
        <f t="shared" si="161"/>
        <v>0.15</v>
      </c>
      <c r="P489" s="124">
        <f t="shared" si="161"/>
        <v>0.15</v>
      </c>
      <c r="Q489" s="87"/>
      <c r="R489" s="124">
        <f t="shared" ref="R489:S489" si="162">E489</f>
        <v>0.15</v>
      </c>
      <c r="S489" s="124">
        <f t="shared" si="162"/>
        <v>0.15</v>
      </c>
      <c r="T489" s="124"/>
      <c r="U489" s="124">
        <f t="shared" ref="U489:V489" si="163">E489</f>
        <v>0.15</v>
      </c>
      <c r="V489" s="124">
        <f t="shared" si="163"/>
        <v>0.15</v>
      </c>
      <c r="W489" s="124"/>
      <c r="X489" s="87"/>
      <c r="Y489" s="87"/>
    </row>
    <row r="490" spans="2:25">
      <c r="C490" s="10"/>
      <c r="D490" s="27">
        <f>SUM(D484:D489)</f>
        <v>0.75</v>
      </c>
      <c r="E490" s="27">
        <f>SUM(E484:E489)</f>
        <v>0.75</v>
      </c>
      <c r="F490" s="27">
        <f>SUM(F484:F489)</f>
        <v>0.44999999999999996</v>
      </c>
      <c r="R490" s="6"/>
      <c r="S490" s="6"/>
      <c r="T490" s="6"/>
      <c r="U490" s="6"/>
      <c r="V490" s="6"/>
      <c r="W490" s="6"/>
    </row>
    <row r="491" spans="2:25">
      <c r="C491" s="10"/>
      <c r="D491" s="16"/>
      <c r="E491" s="27">
        <f>D490-E490</f>
        <v>0</v>
      </c>
      <c r="F491" s="22">
        <f>E490-F490</f>
        <v>0.30000000000000004</v>
      </c>
      <c r="R491" s="6"/>
      <c r="S491" s="6"/>
      <c r="T491" s="6"/>
      <c r="U491" s="6"/>
      <c r="V491" s="6"/>
      <c r="W491" s="6"/>
    </row>
    <row r="492" spans="2:25">
      <c r="C492" s="10"/>
      <c r="D492" s="16"/>
      <c r="E492" s="16"/>
      <c r="F492" s="16"/>
      <c r="R492" s="6"/>
      <c r="S492" s="6"/>
      <c r="T492" s="6"/>
      <c r="U492" s="6"/>
      <c r="V492" s="6"/>
      <c r="W492" s="6"/>
    </row>
    <row r="493" spans="2:25">
      <c r="C493" s="12" t="s">
        <v>386</v>
      </c>
      <c r="D493" s="16" t="s">
        <v>375</v>
      </c>
      <c r="E493" s="58"/>
      <c r="F493" s="58"/>
      <c r="R493" s="6"/>
      <c r="S493" s="6"/>
      <c r="T493" s="6"/>
      <c r="U493" s="6"/>
      <c r="V493" s="6"/>
      <c r="W493" s="6"/>
    </row>
    <row r="494" spans="2:25">
      <c r="C494" s="53"/>
      <c r="D494" s="58"/>
      <c r="E494" s="58"/>
      <c r="F494" s="58"/>
      <c r="R494" s="6"/>
      <c r="S494" s="6"/>
      <c r="T494" s="6"/>
      <c r="U494" s="6"/>
      <c r="V494" s="6"/>
      <c r="W494" s="6"/>
    </row>
    <row r="495" spans="2:25">
      <c r="C495" s="53"/>
      <c r="D495" s="58"/>
      <c r="E495" s="58"/>
      <c r="F495" s="58"/>
      <c r="I495" s="6"/>
      <c r="J495" s="6"/>
      <c r="K495" s="6"/>
      <c r="L495" s="6"/>
      <c r="M495" s="6"/>
      <c r="N495" s="6"/>
      <c r="Q495" s="6"/>
      <c r="R495" s="6"/>
      <c r="S495" s="6"/>
      <c r="T495" s="6"/>
      <c r="U495" s="6"/>
      <c r="V495" s="6"/>
      <c r="W495" s="6"/>
    </row>
    <row r="496" spans="2:25">
      <c r="C496" s="11" t="s">
        <v>359</v>
      </c>
      <c r="D496" s="15"/>
      <c r="E496" s="15"/>
      <c r="F496" s="15"/>
      <c r="R496" s="6"/>
      <c r="S496" s="6"/>
      <c r="T496" s="6"/>
      <c r="U496" s="6"/>
      <c r="V496" s="6"/>
      <c r="W496" s="6"/>
    </row>
    <row r="497" spans="2:81">
      <c r="C497" s="11" t="s">
        <v>360</v>
      </c>
      <c r="D497" s="15"/>
      <c r="E497" s="15"/>
      <c r="F497" s="15"/>
      <c r="R497" s="6"/>
      <c r="S497" s="6"/>
      <c r="T497" s="6"/>
      <c r="U497" s="6"/>
      <c r="V497" s="6"/>
      <c r="W497" s="6"/>
    </row>
    <row r="498" spans="2:81">
      <c r="C498" s="11" t="s">
        <v>361</v>
      </c>
      <c r="D498" s="15"/>
      <c r="E498" s="15"/>
      <c r="F498" s="15"/>
      <c r="R498" s="6"/>
      <c r="S498" s="6"/>
      <c r="T498" s="6"/>
      <c r="U498" s="6"/>
      <c r="V498" s="6"/>
      <c r="W498" s="6"/>
    </row>
    <row r="499" spans="2:81">
      <c r="C499" s="11" t="s">
        <v>362</v>
      </c>
      <c r="D499" s="15"/>
      <c r="E499" s="15"/>
      <c r="F499" s="15"/>
    </row>
    <row r="500" spans="2:81">
      <c r="C500" s="11" t="s">
        <v>363</v>
      </c>
      <c r="D500" s="15"/>
      <c r="E500" s="15"/>
      <c r="F500" s="15"/>
    </row>
    <row r="501" spans="2:81">
      <c r="C501" s="109"/>
      <c r="D501" s="168"/>
      <c r="E501" s="169"/>
      <c r="F501" s="110"/>
      <c r="G501" s="100"/>
      <c r="H501" s="100"/>
      <c r="I501" s="100"/>
      <c r="J501" s="100"/>
      <c r="K501" s="100"/>
      <c r="L501" s="100"/>
      <c r="M501" s="100"/>
      <c r="N501" s="100"/>
      <c r="O501" s="100"/>
      <c r="P501" s="100"/>
      <c r="Q501" s="100"/>
      <c r="R501" s="100"/>
      <c r="S501" s="100"/>
      <c r="T501" s="100"/>
      <c r="U501" s="100"/>
      <c r="V501" s="100"/>
      <c r="W501" s="100"/>
      <c r="X501" s="100"/>
      <c r="Y501" s="100"/>
      <c r="Z501" s="100"/>
      <c r="AA501" s="100"/>
      <c r="AB501" s="100"/>
      <c r="AC501" s="100"/>
      <c r="AD501" s="332"/>
      <c r="AE501" s="100"/>
      <c r="AF501" s="100"/>
      <c r="AG501" s="100"/>
      <c r="AH501" s="100"/>
      <c r="AI501" s="100"/>
      <c r="AJ501" s="392"/>
      <c r="AK501" s="100"/>
      <c r="AL501" s="100"/>
      <c r="AM501" s="100"/>
      <c r="AN501" s="100"/>
      <c r="AO501" s="100"/>
      <c r="AP501" s="100"/>
      <c r="AQ501" s="100"/>
      <c r="AR501" s="100"/>
      <c r="AS501" s="100"/>
      <c r="AT501" s="100"/>
      <c r="AU501" s="100"/>
      <c r="AV501" s="100"/>
      <c r="AW501" s="100"/>
      <c r="AX501" s="100"/>
      <c r="AY501" s="100"/>
      <c r="AZ501" s="100"/>
      <c r="BA501" s="100"/>
      <c r="BB501" s="100"/>
      <c r="BC501" s="100"/>
      <c r="BD501" s="100"/>
      <c r="BE501" s="100"/>
      <c r="BF501" s="100"/>
      <c r="BG501" s="100"/>
      <c r="BH501" s="100"/>
      <c r="BI501" s="100"/>
      <c r="BJ501" s="100"/>
      <c r="BK501" s="100"/>
      <c r="BL501" s="100"/>
      <c r="BM501" s="100"/>
      <c r="BN501" s="100"/>
      <c r="BO501" s="100"/>
      <c r="BP501" s="100"/>
      <c r="BQ501" s="100"/>
      <c r="BR501" s="100"/>
      <c r="BS501" s="100"/>
      <c r="BT501" s="100"/>
      <c r="BU501" s="100"/>
      <c r="BV501" s="100"/>
      <c r="BW501" s="100"/>
      <c r="BX501" s="100"/>
      <c r="BY501" s="100"/>
      <c r="BZ501" s="100"/>
      <c r="CA501" s="100"/>
      <c r="CB501" s="100"/>
      <c r="CC501" s="100"/>
    </row>
    <row r="502" spans="2:81" s="50" customFormat="1">
      <c r="C502" s="13"/>
      <c r="D502" s="170"/>
      <c r="E502" s="60"/>
      <c r="F502" s="52"/>
      <c r="AD502" s="128"/>
      <c r="AJ502" s="394"/>
    </row>
    <row r="503" spans="2:81" s="50" customFormat="1">
      <c r="C503" s="13"/>
      <c r="D503" s="170"/>
      <c r="E503" s="60"/>
      <c r="F503" s="52"/>
      <c r="I503" s="893" t="s">
        <v>1037</v>
      </c>
      <c r="J503" s="893"/>
      <c r="K503" s="893"/>
      <c r="L503" s="893"/>
      <c r="M503" s="893"/>
      <c r="N503" s="893"/>
      <c r="O503" s="893"/>
      <c r="P503" s="893"/>
      <c r="Q503" s="893"/>
      <c r="R503" s="893"/>
      <c r="S503" s="893"/>
      <c r="T503" s="893"/>
      <c r="U503" s="893"/>
      <c r="V503" s="893"/>
      <c r="W503" s="893"/>
      <c r="X503" s="893"/>
      <c r="Y503" s="893"/>
      <c r="AD503" s="128"/>
      <c r="AJ503" s="394"/>
    </row>
    <row r="504" spans="2:81" s="50" customFormat="1">
      <c r="C504" s="13"/>
      <c r="D504" s="170"/>
      <c r="E504" s="60"/>
      <c r="F504" s="52"/>
      <c r="I504" s="892" t="s">
        <v>1039</v>
      </c>
      <c r="J504" s="892"/>
      <c r="K504" s="892"/>
      <c r="L504" s="892"/>
      <c r="M504" s="892"/>
      <c r="N504" s="892"/>
      <c r="O504" s="892"/>
      <c r="P504" s="892"/>
      <c r="Q504" s="892"/>
      <c r="R504" s="892"/>
      <c r="S504" s="892"/>
      <c r="T504" s="892"/>
      <c r="U504" s="892"/>
      <c r="V504" s="892"/>
      <c r="W504" s="892"/>
      <c r="X504" s="892"/>
      <c r="Y504" s="95"/>
      <c r="AD504" s="128"/>
      <c r="AJ504" s="394"/>
    </row>
    <row r="505" spans="2:81" s="50" customFormat="1" ht="15" customHeight="1">
      <c r="C505" s="13"/>
      <c r="D505" s="170"/>
      <c r="E505" s="60"/>
      <c r="F505" s="52"/>
      <c r="I505" s="837" t="s">
        <v>1045</v>
      </c>
      <c r="J505" s="837"/>
      <c r="K505" s="93"/>
      <c r="L505" s="837" t="s">
        <v>1046</v>
      </c>
      <c r="M505" s="837"/>
      <c r="N505" s="93"/>
      <c r="O505" s="837" t="s">
        <v>350</v>
      </c>
      <c r="P505" s="837"/>
      <c r="Q505" s="278"/>
      <c r="R505" s="892" t="s">
        <v>351</v>
      </c>
      <c r="S505" s="892"/>
      <c r="T505" s="94"/>
      <c r="U505" s="837" t="s">
        <v>352</v>
      </c>
      <c r="V505" s="837"/>
      <c r="W505" s="93"/>
      <c r="X505" s="837" t="s">
        <v>1047</v>
      </c>
      <c r="Y505" s="837"/>
      <c r="AD505" s="128"/>
      <c r="AJ505" s="394"/>
    </row>
    <row r="506" spans="2:81" ht="28.8">
      <c r="B506" s="519" t="s">
        <v>1079</v>
      </c>
      <c r="C506" s="469" t="s">
        <v>1174</v>
      </c>
      <c r="D506" s="16" t="s">
        <v>353</v>
      </c>
      <c r="E506" s="16" t="s">
        <v>354</v>
      </c>
      <c r="F506" s="16" t="s">
        <v>355</v>
      </c>
      <c r="I506" s="164" t="s">
        <v>1080</v>
      </c>
      <c r="J506" s="113" t="s">
        <v>1081</v>
      </c>
      <c r="K506" s="113"/>
      <c r="L506" s="113" t="s">
        <v>1080</v>
      </c>
      <c r="M506" s="113" t="s">
        <v>1081</v>
      </c>
      <c r="N506" s="113"/>
      <c r="O506" s="113" t="s">
        <v>1080</v>
      </c>
      <c r="P506" s="113" t="s">
        <v>1081</v>
      </c>
      <c r="Q506" s="113" t="s">
        <v>1081</v>
      </c>
      <c r="R506" s="113" t="s">
        <v>1080</v>
      </c>
      <c r="S506" s="113" t="s">
        <v>1081</v>
      </c>
      <c r="T506" s="113"/>
      <c r="U506" s="113" t="s">
        <v>1080</v>
      </c>
      <c r="V506" s="113" t="s">
        <v>1081</v>
      </c>
      <c r="W506" s="113"/>
      <c r="X506" s="113" t="s">
        <v>1080</v>
      </c>
      <c r="Y506" s="113" t="s">
        <v>1081</v>
      </c>
    </row>
    <row r="507" spans="2:81" s="50" customFormat="1">
      <c r="C507" s="556" t="s">
        <v>1175</v>
      </c>
      <c r="D507" s="170">
        <v>0.05</v>
      </c>
      <c r="E507" s="170">
        <v>0.05</v>
      </c>
      <c r="F507" s="170">
        <v>0.03</v>
      </c>
      <c r="I507" s="276"/>
      <c r="J507" s="277"/>
      <c r="K507" s="277"/>
      <c r="L507" s="277"/>
      <c r="M507" s="277"/>
      <c r="N507" s="277"/>
      <c r="O507" s="129">
        <f t="shared" ref="O507:P513" si="164">E507</f>
        <v>0.05</v>
      </c>
      <c r="P507" s="129">
        <f t="shared" si="164"/>
        <v>0.03</v>
      </c>
      <c r="Q507" s="129">
        <f t="shared" ref="Q507:R513" si="165">E507</f>
        <v>0.05</v>
      </c>
      <c r="R507" s="129">
        <f t="shared" si="165"/>
        <v>0.03</v>
      </c>
      <c r="S507" s="277"/>
      <c r="T507" s="277"/>
      <c r="U507" s="277"/>
      <c r="V507" s="277"/>
      <c r="W507" s="277"/>
      <c r="X507" s="277"/>
      <c r="Y507" s="277"/>
      <c r="AD507" s="128"/>
      <c r="AJ507" s="394"/>
    </row>
    <row r="508" spans="2:81" s="50" customFormat="1" ht="28.8">
      <c r="C508" s="556" t="s">
        <v>1176</v>
      </c>
      <c r="D508" s="170">
        <v>0.45</v>
      </c>
      <c r="E508" s="170">
        <v>0.45</v>
      </c>
      <c r="F508" s="170">
        <v>0.2</v>
      </c>
      <c r="I508" s="276"/>
      <c r="J508" s="277"/>
      <c r="K508" s="277"/>
      <c r="L508" s="277"/>
      <c r="M508" s="277"/>
      <c r="N508" s="277"/>
      <c r="O508" s="129">
        <f t="shared" si="164"/>
        <v>0.45</v>
      </c>
      <c r="P508" s="129">
        <f t="shared" si="164"/>
        <v>0.2</v>
      </c>
      <c r="Q508" s="129">
        <f t="shared" si="165"/>
        <v>0.45</v>
      </c>
      <c r="R508" s="129">
        <f t="shared" si="165"/>
        <v>0.2</v>
      </c>
      <c r="S508" s="277"/>
      <c r="T508" s="277"/>
      <c r="U508" s="277"/>
      <c r="V508" s="277"/>
      <c r="W508" s="277"/>
      <c r="X508" s="277"/>
      <c r="Y508" s="277"/>
      <c r="AD508" s="128"/>
      <c r="AJ508" s="394"/>
    </row>
    <row r="509" spans="2:81" s="50" customFormat="1">
      <c r="C509" s="486" t="s">
        <v>1177</v>
      </c>
      <c r="D509" s="170">
        <v>0.1</v>
      </c>
      <c r="E509" s="170">
        <v>0.1</v>
      </c>
      <c r="F509" s="170">
        <v>0.1</v>
      </c>
      <c r="I509" s="276"/>
      <c r="J509" s="277"/>
      <c r="K509" s="277"/>
      <c r="L509" s="277"/>
      <c r="M509" s="277"/>
      <c r="N509" s="277"/>
      <c r="O509" s="129">
        <f t="shared" si="164"/>
        <v>0.1</v>
      </c>
      <c r="P509" s="129">
        <f t="shared" si="164"/>
        <v>0.1</v>
      </c>
      <c r="Q509" s="129">
        <f t="shared" si="165"/>
        <v>0.1</v>
      </c>
      <c r="R509" s="129">
        <f t="shared" si="165"/>
        <v>0.1</v>
      </c>
      <c r="S509" s="277"/>
      <c r="T509" s="277"/>
      <c r="U509" s="277"/>
      <c r="V509" s="277"/>
      <c r="W509" s="277"/>
      <c r="X509" s="277"/>
      <c r="Y509" s="277"/>
      <c r="AD509" s="128"/>
      <c r="AJ509" s="394"/>
    </row>
    <row r="510" spans="2:81" s="50" customFormat="1" ht="28.8">
      <c r="C510" s="486" t="s">
        <v>1178</v>
      </c>
      <c r="D510" s="170">
        <v>0.3</v>
      </c>
      <c r="E510" s="170">
        <v>0.3</v>
      </c>
      <c r="F510" s="170">
        <v>0.1</v>
      </c>
      <c r="I510" s="276"/>
      <c r="J510" s="277"/>
      <c r="K510" s="277"/>
      <c r="L510" s="277"/>
      <c r="M510" s="277"/>
      <c r="N510" s="277"/>
      <c r="O510" s="129">
        <f t="shared" si="164"/>
        <v>0.3</v>
      </c>
      <c r="P510" s="129">
        <f t="shared" si="164"/>
        <v>0.1</v>
      </c>
      <c r="Q510" s="129">
        <f t="shared" si="165"/>
        <v>0.3</v>
      </c>
      <c r="R510" s="129">
        <f t="shared" si="165"/>
        <v>0.1</v>
      </c>
      <c r="S510" s="277"/>
      <c r="T510" s="277"/>
      <c r="U510" s="277"/>
      <c r="V510" s="277"/>
      <c r="W510" s="277"/>
      <c r="X510" s="277"/>
      <c r="Y510" s="277"/>
      <c r="AD510" s="128"/>
      <c r="AJ510" s="394"/>
    </row>
    <row r="511" spans="2:81" s="50" customFormat="1">
      <c r="C511" s="486" t="s">
        <v>1179</v>
      </c>
      <c r="D511" s="170"/>
      <c r="E511" s="170"/>
      <c r="F511" s="170"/>
      <c r="I511" s="276"/>
      <c r="J511" s="277"/>
      <c r="K511" s="277"/>
      <c r="L511" s="277"/>
      <c r="M511" s="277"/>
      <c r="N511" s="277"/>
      <c r="O511" s="129"/>
      <c r="P511" s="129"/>
      <c r="Q511" s="129"/>
      <c r="R511" s="129"/>
      <c r="S511" s="277"/>
      <c r="T511" s="277"/>
      <c r="U511" s="277"/>
      <c r="V511" s="277"/>
      <c r="W511" s="277"/>
      <c r="X511" s="277"/>
      <c r="Y511" s="277"/>
      <c r="AD511" s="128"/>
      <c r="AJ511" s="394"/>
    </row>
    <row r="512" spans="2:81" s="50" customFormat="1">
      <c r="C512" s="486" t="s">
        <v>1180</v>
      </c>
      <c r="D512" s="170"/>
      <c r="E512" s="170"/>
      <c r="F512" s="170"/>
      <c r="I512" s="276"/>
      <c r="J512" s="277"/>
      <c r="K512" s="277"/>
      <c r="L512" s="277"/>
      <c r="M512" s="277"/>
      <c r="N512" s="277"/>
      <c r="O512" s="129"/>
      <c r="P512" s="129"/>
      <c r="Q512" s="129"/>
      <c r="R512" s="129"/>
      <c r="S512" s="277"/>
      <c r="T512" s="277"/>
      <c r="U512" s="277"/>
      <c r="V512" s="277"/>
      <c r="W512" s="277"/>
      <c r="X512" s="277"/>
      <c r="Y512" s="277"/>
      <c r="AD512" s="128"/>
      <c r="AJ512" s="394"/>
    </row>
    <row r="513" spans="2:81" s="50" customFormat="1">
      <c r="C513" s="486" t="s">
        <v>1181</v>
      </c>
      <c r="D513" s="170">
        <v>0.1</v>
      </c>
      <c r="E513" s="170">
        <v>0.1</v>
      </c>
      <c r="F513" s="170">
        <v>0.1</v>
      </c>
      <c r="I513" s="276"/>
      <c r="J513" s="277"/>
      <c r="K513" s="277"/>
      <c r="L513" s="277"/>
      <c r="M513" s="277"/>
      <c r="N513" s="277"/>
      <c r="O513" s="129">
        <f t="shared" si="164"/>
        <v>0.1</v>
      </c>
      <c r="P513" s="129">
        <f t="shared" si="164"/>
        <v>0.1</v>
      </c>
      <c r="Q513" s="129">
        <f t="shared" si="165"/>
        <v>0.1</v>
      </c>
      <c r="R513" s="129">
        <f t="shared" si="165"/>
        <v>0.1</v>
      </c>
      <c r="S513" s="277"/>
      <c r="T513" s="277"/>
      <c r="U513" s="277"/>
      <c r="V513" s="277"/>
      <c r="W513" s="277"/>
      <c r="X513" s="277"/>
      <c r="Y513" s="277"/>
      <c r="AD513" s="128"/>
      <c r="AJ513" s="394"/>
    </row>
    <row r="514" spans="2:81" s="50" customFormat="1">
      <c r="C514" s="53"/>
      <c r="D514" s="170">
        <f>SUM(D507:D513)</f>
        <v>0.99999999999999989</v>
      </c>
      <c r="E514" s="170">
        <f>SUM(E507:E513)</f>
        <v>0.99999999999999989</v>
      </c>
      <c r="F514" s="170">
        <f>SUM(F507:F513)</f>
        <v>0.53</v>
      </c>
      <c r="I514" s="276"/>
      <c r="J514" s="277"/>
      <c r="K514" s="277"/>
      <c r="L514" s="277"/>
      <c r="M514" s="277"/>
      <c r="N514" s="277"/>
      <c r="O514" s="277"/>
      <c r="P514" s="277"/>
      <c r="Q514" s="277"/>
      <c r="R514" s="277"/>
      <c r="S514" s="277"/>
      <c r="T514" s="277"/>
      <c r="U514" s="277"/>
      <c r="V514" s="277"/>
      <c r="W514" s="277"/>
      <c r="X514" s="277"/>
      <c r="Y514" s="277"/>
      <c r="AD514" s="128"/>
      <c r="AJ514" s="394"/>
    </row>
    <row r="515" spans="2:81">
      <c r="C515" s="10"/>
      <c r="D515" s="16"/>
      <c r="E515" s="22">
        <f>D514-E514</f>
        <v>0</v>
      </c>
      <c r="F515" s="22">
        <f>E514-F514</f>
        <v>0.46999999999999986</v>
      </c>
      <c r="I515" s="87"/>
      <c r="J515" s="87"/>
      <c r="K515" s="87"/>
      <c r="L515" s="87"/>
      <c r="M515" s="87"/>
      <c r="N515" s="87"/>
      <c r="O515" s="87"/>
      <c r="P515" s="87"/>
      <c r="Q515" s="87"/>
      <c r="R515" s="87"/>
      <c r="S515" s="87"/>
      <c r="T515" s="87"/>
      <c r="U515" s="87"/>
      <c r="V515" s="87"/>
      <c r="W515" s="87"/>
      <c r="X515" s="87"/>
      <c r="Y515" s="87"/>
    </row>
    <row r="516" spans="2:81">
      <c r="C516" s="12" t="s">
        <v>386</v>
      </c>
      <c r="D516" s="16" t="s">
        <v>737</v>
      </c>
      <c r="E516" s="16"/>
      <c r="F516" s="16"/>
    </row>
    <row r="517" spans="2:81">
      <c r="C517" s="53"/>
      <c r="D517" s="58"/>
      <c r="E517" s="16"/>
      <c r="F517" s="16"/>
    </row>
    <row r="518" spans="2:81">
      <c r="C518" s="53"/>
      <c r="D518" s="58"/>
      <c r="E518" s="16"/>
      <c r="F518" s="16"/>
    </row>
    <row r="519" spans="2:81">
      <c r="C519" s="11" t="s">
        <v>359</v>
      </c>
      <c r="D519" s="15"/>
      <c r="E519" s="16"/>
      <c r="F519" s="16"/>
    </row>
    <row r="520" spans="2:81">
      <c r="C520" s="11" t="s">
        <v>360</v>
      </c>
      <c r="D520" s="15"/>
      <c r="E520" s="16"/>
      <c r="F520" s="16"/>
    </row>
    <row r="521" spans="2:81">
      <c r="C521" s="11" t="s">
        <v>361</v>
      </c>
      <c r="D521" s="15"/>
      <c r="E521" s="16"/>
      <c r="F521" s="16"/>
    </row>
    <row r="522" spans="2:81">
      <c r="C522" s="11" t="s">
        <v>362</v>
      </c>
      <c r="D522" s="15"/>
      <c r="E522" s="16"/>
      <c r="F522" s="16"/>
    </row>
    <row r="523" spans="2:81">
      <c r="C523" s="11" t="s">
        <v>363</v>
      </c>
      <c r="D523" s="15"/>
      <c r="E523" s="16"/>
      <c r="F523" s="16"/>
    </row>
    <row r="524" spans="2:81">
      <c r="C524" s="109"/>
      <c r="D524" s="168"/>
      <c r="E524" s="169"/>
      <c r="F524" s="110"/>
      <c r="G524" s="100"/>
      <c r="H524" s="100"/>
      <c r="I524" s="100"/>
      <c r="J524" s="100"/>
      <c r="K524" s="100"/>
      <c r="L524" s="100"/>
      <c r="M524" s="100"/>
      <c r="N524" s="100"/>
      <c r="O524" s="100"/>
      <c r="P524" s="100"/>
      <c r="Q524" s="100"/>
      <c r="R524" s="100"/>
      <c r="S524" s="100"/>
      <c r="T524" s="100"/>
      <c r="U524" s="100"/>
      <c r="V524" s="100"/>
      <c r="W524" s="100"/>
      <c r="X524" s="100"/>
      <c r="Y524" s="100"/>
      <c r="Z524" s="100"/>
      <c r="AA524" s="100"/>
      <c r="AB524" s="100"/>
      <c r="AC524" s="100"/>
      <c r="AD524" s="332"/>
      <c r="AE524" s="100"/>
      <c r="AF524" s="100"/>
      <c r="AG524" s="100"/>
      <c r="AH524" s="100"/>
      <c r="AI524" s="100"/>
      <c r="AJ524" s="392"/>
      <c r="AK524" s="100"/>
      <c r="AL524" s="100"/>
      <c r="AM524" s="100"/>
      <c r="AN524" s="100"/>
      <c r="AO524" s="100"/>
      <c r="AP524" s="100"/>
      <c r="AQ524" s="100"/>
      <c r="AR524" s="100"/>
      <c r="AS524" s="100"/>
      <c r="AT524" s="100"/>
      <c r="AU524" s="100"/>
      <c r="AV524" s="100"/>
      <c r="AW524" s="100"/>
      <c r="AX524" s="100"/>
      <c r="AY524" s="100"/>
      <c r="AZ524" s="100"/>
      <c r="BA524" s="100"/>
      <c r="BB524" s="100"/>
      <c r="BC524" s="100"/>
      <c r="BD524" s="100"/>
      <c r="BE524" s="100"/>
      <c r="BF524" s="100"/>
      <c r="BG524" s="100"/>
      <c r="BH524" s="100"/>
      <c r="BI524" s="100"/>
      <c r="BJ524" s="100"/>
      <c r="BK524" s="100"/>
      <c r="BL524" s="100"/>
      <c r="BM524" s="100"/>
      <c r="BN524" s="100"/>
      <c r="BO524" s="100"/>
      <c r="BP524" s="100"/>
      <c r="BQ524" s="100"/>
      <c r="BR524" s="100"/>
      <c r="BS524" s="100"/>
      <c r="BT524" s="100"/>
      <c r="BU524" s="100"/>
      <c r="BV524" s="100"/>
      <c r="BW524" s="100"/>
      <c r="BX524" s="100"/>
      <c r="BY524" s="100"/>
      <c r="BZ524" s="100"/>
      <c r="CA524" s="100"/>
      <c r="CB524" s="100"/>
      <c r="CC524" s="100"/>
    </row>
    <row r="525" spans="2:81">
      <c r="C525" s="11"/>
      <c r="D525" s="15"/>
      <c r="E525" s="16"/>
      <c r="F525" s="16"/>
    </row>
    <row r="526" spans="2:81">
      <c r="B526" s="503" t="s">
        <v>1079</v>
      </c>
      <c r="C526" s="512" t="s">
        <v>2</v>
      </c>
      <c r="D526" s="513" t="s">
        <v>353</v>
      </c>
      <c r="E526" s="513" t="s">
        <v>354</v>
      </c>
      <c r="F526" s="513" t="s">
        <v>355</v>
      </c>
    </row>
    <row r="527" spans="2:81">
      <c r="B527" s="518"/>
      <c r="C527" s="514" t="s">
        <v>1182</v>
      </c>
      <c r="D527" s="513"/>
      <c r="E527" s="513"/>
      <c r="F527" s="513"/>
    </row>
    <row r="528" spans="2:81">
      <c r="B528" s="518"/>
      <c r="C528" s="492" t="s">
        <v>1183</v>
      </c>
      <c r="D528" s="513"/>
      <c r="E528" s="513"/>
      <c r="F528" s="513"/>
    </row>
    <row r="529" spans="3:81" s="290" customFormat="1">
      <c r="C529" s="514" t="s">
        <v>1184</v>
      </c>
      <c r="D529" s="494">
        <v>0.08</v>
      </c>
      <c r="E529" s="494">
        <v>0.08</v>
      </c>
      <c r="F529" s="494">
        <v>0</v>
      </c>
      <c r="AD529" s="460"/>
      <c r="AJ529" s="477"/>
    </row>
    <row r="530" spans="3:81" s="290" customFormat="1">
      <c r="C530" s="514" t="s">
        <v>1185</v>
      </c>
      <c r="D530" s="494">
        <v>0.08</v>
      </c>
      <c r="E530" s="494">
        <v>0.08</v>
      </c>
      <c r="F530" s="494">
        <v>0.08</v>
      </c>
      <c r="AD530" s="460"/>
      <c r="AJ530" s="477"/>
    </row>
    <row r="531" spans="3:81" s="290" customFormat="1">
      <c r="C531" s="491" t="s">
        <v>1186</v>
      </c>
      <c r="D531" s="494">
        <v>0.05</v>
      </c>
      <c r="E531" s="494">
        <v>0.05</v>
      </c>
      <c r="F531" s="494">
        <v>0.02</v>
      </c>
      <c r="AD531" s="460"/>
      <c r="AJ531" s="477"/>
    </row>
    <row r="532" spans="3:81" s="290" customFormat="1">
      <c r="C532" s="514" t="s">
        <v>1187</v>
      </c>
      <c r="D532" s="494">
        <v>0.1</v>
      </c>
      <c r="E532" s="494">
        <v>0.1</v>
      </c>
      <c r="F532" s="494">
        <v>0.1</v>
      </c>
      <c r="AD532" s="460"/>
      <c r="AJ532" s="477"/>
    </row>
    <row r="533" spans="3:81" s="290" customFormat="1">
      <c r="C533" s="514" t="s">
        <v>1188</v>
      </c>
      <c r="D533" s="494"/>
      <c r="E533" s="494"/>
      <c r="F533" s="494"/>
      <c r="AD533" s="460"/>
      <c r="AJ533" s="477"/>
    </row>
    <row r="534" spans="3:81" s="290" customFormat="1">
      <c r="C534" s="515"/>
      <c r="D534" s="516">
        <f>SUM(D529:D533)</f>
        <v>0.31000000000000005</v>
      </c>
      <c r="E534" s="516">
        <f>SUM(E529:E533)</f>
        <v>0.31000000000000005</v>
      </c>
      <c r="F534" s="516">
        <f>SUM(F529:F533)</f>
        <v>0.2</v>
      </c>
      <c r="AD534" s="460"/>
      <c r="AJ534" s="477"/>
    </row>
    <row r="535" spans="3:81" s="290" customFormat="1">
      <c r="C535" s="515"/>
      <c r="D535" s="517"/>
      <c r="E535" s="516">
        <f>D534-E534</f>
        <v>0</v>
      </c>
      <c r="F535" s="516">
        <f>E534-F534</f>
        <v>0.11000000000000004</v>
      </c>
      <c r="AD535" s="460"/>
      <c r="AJ535" s="477"/>
    </row>
    <row r="536" spans="3:81">
      <c r="C536" s="10"/>
      <c r="D536" s="15"/>
      <c r="E536" s="22"/>
      <c r="F536" s="22"/>
    </row>
    <row r="537" spans="3:81">
      <c r="C537" s="12" t="s">
        <v>389</v>
      </c>
      <c r="D537" s="15" t="s">
        <v>390</v>
      </c>
      <c r="E537" s="15"/>
      <c r="F537" s="15"/>
    </row>
    <row r="538" spans="3:81">
      <c r="C538" s="10"/>
      <c r="D538" s="15"/>
      <c r="E538" s="15"/>
      <c r="F538" s="15"/>
    </row>
    <row r="539" spans="3:81">
      <c r="C539" s="11" t="s">
        <v>359</v>
      </c>
      <c r="D539" s="15"/>
      <c r="E539" s="15"/>
      <c r="F539" s="15"/>
    </row>
    <row r="540" spans="3:81">
      <c r="C540" s="11" t="s">
        <v>360</v>
      </c>
      <c r="D540" s="15"/>
      <c r="E540" s="15"/>
      <c r="F540" s="15"/>
    </row>
    <row r="541" spans="3:81">
      <c r="C541" s="11" t="s">
        <v>361</v>
      </c>
      <c r="D541" s="15"/>
      <c r="E541" s="15"/>
      <c r="F541" s="15"/>
    </row>
    <row r="542" spans="3:81">
      <c r="C542" s="11" t="s">
        <v>362</v>
      </c>
      <c r="D542" s="15"/>
      <c r="E542" s="15"/>
      <c r="F542" s="15"/>
    </row>
    <row r="543" spans="3:81">
      <c r="C543" s="11" t="s">
        <v>363</v>
      </c>
      <c r="D543" s="15"/>
      <c r="E543" s="15"/>
      <c r="F543" s="15"/>
    </row>
    <row r="544" spans="3:81">
      <c r="C544" s="109"/>
      <c r="D544" s="168"/>
      <c r="E544" s="169"/>
      <c r="F544" s="110"/>
      <c r="G544" s="100"/>
      <c r="H544" s="100"/>
      <c r="I544" s="100"/>
      <c r="J544" s="100"/>
      <c r="K544" s="100"/>
      <c r="L544" s="100"/>
      <c r="M544" s="100"/>
      <c r="N544" s="100"/>
      <c r="O544" s="100"/>
      <c r="P544" s="100"/>
      <c r="Q544" s="100"/>
      <c r="R544" s="100"/>
      <c r="S544" s="100"/>
      <c r="T544" s="100"/>
      <c r="U544" s="100"/>
      <c r="V544" s="100"/>
      <c r="W544" s="100"/>
      <c r="X544" s="100"/>
      <c r="Y544" s="100"/>
      <c r="Z544" s="100"/>
      <c r="AA544" s="100"/>
      <c r="AB544" s="100"/>
      <c r="AC544" s="100"/>
      <c r="AD544" s="332"/>
      <c r="AE544" s="100"/>
      <c r="AF544" s="100"/>
      <c r="AG544" s="100"/>
      <c r="AH544" s="100"/>
      <c r="AI544" s="100"/>
      <c r="AJ544" s="392"/>
      <c r="AK544" s="100"/>
      <c r="AL544" s="100"/>
      <c r="AM544" s="100"/>
      <c r="AN544" s="100"/>
      <c r="AO544" s="100"/>
      <c r="AP544" s="100"/>
      <c r="AQ544" s="100"/>
      <c r="AR544" s="100"/>
      <c r="AS544" s="100"/>
      <c r="AT544" s="100"/>
      <c r="AU544" s="100"/>
      <c r="AV544" s="100"/>
      <c r="AW544" s="100"/>
      <c r="AX544" s="100"/>
      <c r="AY544" s="100"/>
      <c r="AZ544" s="100"/>
      <c r="BA544" s="100"/>
      <c r="BB544" s="100"/>
      <c r="BC544" s="100"/>
      <c r="BD544" s="100"/>
      <c r="BE544" s="100"/>
      <c r="BF544" s="100"/>
      <c r="BG544" s="100"/>
      <c r="BH544" s="100"/>
      <c r="BI544" s="100"/>
      <c r="BJ544" s="100"/>
      <c r="BK544" s="100"/>
      <c r="BL544" s="100"/>
      <c r="BM544" s="100"/>
      <c r="BN544" s="100"/>
      <c r="BO544" s="100"/>
      <c r="BP544" s="100"/>
      <c r="BQ544" s="100"/>
      <c r="BR544" s="100"/>
      <c r="BS544" s="100"/>
      <c r="BT544" s="100"/>
      <c r="BU544" s="100"/>
      <c r="BV544" s="100"/>
      <c r="BW544" s="100"/>
      <c r="BX544" s="100"/>
      <c r="BY544" s="100"/>
      <c r="BZ544" s="100"/>
      <c r="CA544" s="100"/>
      <c r="CB544" s="100"/>
      <c r="CC544" s="100"/>
    </row>
    <row r="545" spans="2:81">
      <c r="C545" s="10"/>
      <c r="D545" s="15"/>
      <c r="E545" s="15"/>
      <c r="F545" s="15"/>
    </row>
    <row r="546" spans="2:81">
      <c r="B546" s="519" t="s">
        <v>1079</v>
      </c>
      <c r="C546" s="214" t="s">
        <v>1189</v>
      </c>
      <c r="D546" s="546" t="s">
        <v>353</v>
      </c>
      <c r="E546" s="546" t="s">
        <v>354</v>
      </c>
      <c r="F546" s="546" t="s">
        <v>355</v>
      </c>
    </row>
    <row r="547" spans="2:81" ht="36" customHeight="1">
      <c r="C547" s="544" t="s">
        <v>1190</v>
      </c>
      <c r="D547" s="264">
        <v>0.02</v>
      </c>
      <c r="E547" s="264">
        <v>0.02</v>
      </c>
      <c r="F547" s="264">
        <v>0</v>
      </c>
    </row>
    <row r="548" spans="2:81" ht="36" customHeight="1">
      <c r="C548" s="544" t="s">
        <v>1191</v>
      </c>
      <c r="D548" s="264"/>
      <c r="E548" s="264"/>
      <c r="F548" s="264"/>
    </row>
    <row r="549" spans="2:81" ht="36" customHeight="1">
      <c r="C549" s="544" t="s">
        <v>1192</v>
      </c>
      <c r="D549" s="264"/>
      <c r="E549" s="264"/>
      <c r="F549" s="264"/>
    </row>
    <row r="550" spans="2:81" ht="36" customHeight="1">
      <c r="C550" s="544" t="s">
        <v>1193</v>
      </c>
      <c r="D550" s="264"/>
      <c r="E550" s="264"/>
      <c r="F550" s="264"/>
    </row>
    <row r="551" spans="2:81">
      <c r="C551" s="218"/>
      <c r="D551" s="545"/>
      <c r="E551" s="262"/>
      <c r="F551" s="262"/>
    </row>
    <row r="552" spans="2:81">
      <c r="C552" s="214" t="s">
        <v>389</v>
      </c>
      <c r="D552" s="262" t="s">
        <v>391</v>
      </c>
      <c r="E552" s="262"/>
      <c r="F552" s="262"/>
    </row>
    <row r="553" spans="2:81">
      <c r="C553" s="217" t="s">
        <v>359</v>
      </c>
      <c r="D553" s="262"/>
      <c r="E553" s="262"/>
      <c r="F553" s="262"/>
    </row>
    <row r="554" spans="2:81">
      <c r="C554" s="217" t="s">
        <v>360</v>
      </c>
      <c r="D554" s="262"/>
      <c r="E554" s="262"/>
      <c r="F554" s="262"/>
    </row>
    <row r="555" spans="2:81">
      <c r="C555" s="217" t="s">
        <v>361</v>
      </c>
      <c r="D555" s="262"/>
      <c r="E555" s="262"/>
      <c r="F555" s="262"/>
    </row>
    <row r="556" spans="2:81">
      <c r="C556" s="217" t="s">
        <v>362</v>
      </c>
      <c r="D556" s="262"/>
      <c r="E556" s="262"/>
      <c r="F556" s="262"/>
    </row>
    <row r="557" spans="2:81">
      <c r="C557" s="217" t="s">
        <v>363</v>
      </c>
      <c r="D557" s="262"/>
      <c r="E557" s="262"/>
      <c r="F557" s="262"/>
    </row>
    <row r="558" spans="2:81">
      <c r="C558" s="109"/>
      <c r="D558" s="168"/>
      <c r="E558" s="169"/>
      <c r="F558" s="110"/>
      <c r="G558" s="100"/>
      <c r="H558" s="100"/>
      <c r="I558" s="100"/>
      <c r="J558" s="100"/>
      <c r="K558" s="100"/>
      <c r="L558" s="100"/>
      <c r="M558" s="100"/>
      <c r="N558" s="100"/>
      <c r="O558" s="100"/>
      <c r="P558" s="100"/>
      <c r="Q558" s="100"/>
      <c r="R558" s="100"/>
      <c r="S558" s="100"/>
      <c r="T558" s="100"/>
      <c r="U558" s="100"/>
      <c r="V558" s="100"/>
      <c r="W558" s="100"/>
      <c r="X558" s="100"/>
      <c r="Y558" s="100"/>
      <c r="Z558" s="100"/>
      <c r="AA558" s="100"/>
      <c r="AB558" s="100"/>
      <c r="AC558" s="100"/>
      <c r="AD558" s="332"/>
      <c r="AE558" s="100"/>
      <c r="AF558" s="100"/>
      <c r="AG558" s="100"/>
      <c r="AH558" s="100"/>
      <c r="AI558" s="100"/>
      <c r="AJ558" s="392"/>
      <c r="AK558" s="100"/>
      <c r="AL558" s="100"/>
      <c r="AM558" s="100"/>
      <c r="AN558" s="100"/>
      <c r="AO558" s="100"/>
      <c r="AP558" s="100"/>
      <c r="AQ558" s="100"/>
      <c r="AR558" s="100"/>
      <c r="AS558" s="100"/>
      <c r="AT558" s="100"/>
      <c r="AU558" s="100"/>
      <c r="AV558" s="100"/>
      <c r="AW558" s="100"/>
      <c r="AX558" s="100"/>
      <c r="AY558" s="100"/>
      <c r="AZ558" s="100"/>
      <c r="BA558" s="100"/>
      <c r="BB558" s="100"/>
      <c r="BC558" s="100"/>
      <c r="BD558" s="100"/>
      <c r="BE558" s="100"/>
      <c r="BF558" s="100"/>
      <c r="BG558" s="100"/>
      <c r="BH558" s="100"/>
      <c r="BI558" s="100"/>
      <c r="BJ558" s="100"/>
      <c r="BK558" s="100"/>
      <c r="BL558" s="100"/>
      <c r="BM558" s="100"/>
      <c r="BN558" s="100"/>
      <c r="BO558" s="100"/>
      <c r="BP558" s="100"/>
      <c r="BQ558" s="100"/>
      <c r="BR558" s="100"/>
      <c r="BS558" s="100"/>
      <c r="BT558" s="100"/>
      <c r="BU558" s="100"/>
      <c r="BV558" s="100"/>
      <c r="BW558" s="100"/>
      <c r="BX558" s="100"/>
      <c r="BY558" s="100"/>
      <c r="BZ558" s="100"/>
      <c r="CA558" s="100"/>
      <c r="CB558" s="100"/>
      <c r="CC558" s="100"/>
    </row>
    <row r="559" spans="2:81">
      <c r="C559" s="10"/>
      <c r="D559" s="15"/>
      <c r="E559" s="15"/>
      <c r="F559" s="15"/>
    </row>
    <row r="560" spans="2:81">
      <c r="B560" s="519" t="s">
        <v>1079</v>
      </c>
      <c r="C560" s="12" t="s">
        <v>1194</v>
      </c>
      <c r="D560" s="16" t="s">
        <v>353</v>
      </c>
      <c r="E560" s="16" t="s">
        <v>354</v>
      </c>
      <c r="F560" s="16" t="s">
        <v>355</v>
      </c>
    </row>
    <row r="561" spans="2:81" ht="28.8">
      <c r="C561" s="544" t="s">
        <v>1195</v>
      </c>
      <c r="D561" s="264">
        <v>0.05</v>
      </c>
      <c r="E561" s="264">
        <v>0.05</v>
      </c>
      <c r="F561" s="264">
        <v>0</v>
      </c>
    </row>
    <row r="562" spans="2:81">
      <c r="C562" s="544" t="s">
        <v>1196</v>
      </c>
      <c r="D562" s="264"/>
      <c r="E562" s="264"/>
      <c r="F562" s="264"/>
    </row>
    <row r="563" spans="2:81">
      <c r="C563" s="12" t="s">
        <v>392</v>
      </c>
      <c r="D563" s="15" t="s">
        <v>393</v>
      </c>
      <c r="E563" s="15"/>
      <c r="F563" s="15"/>
    </row>
    <row r="564" spans="2:81">
      <c r="C564" s="10"/>
      <c r="D564" s="15"/>
      <c r="E564" s="15"/>
      <c r="F564" s="15"/>
    </row>
    <row r="565" spans="2:81">
      <c r="C565" s="10"/>
      <c r="D565" s="15"/>
      <c r="E565" s="15"/>
      <c r="F565" s="15"/>
    </row>
    <row r="566" spans="2:81">
      <c r="C566" s="11" t="s">
        <v>359</v>
      </c>
      <c r="D566" s="15"/>
      <c r="E566" s="15"/>
      <c r="F566" s="15"/>
    </row>
    <row r="567" spans="2:81">
      <c r="C567" s="11" t="s">
        <v>360</v>
      </c>
      <c r="D567" s="15"/>
      <c r="E567" s="15"/>
      <c r="F567" s="15"/>
    </row>
    <row r="568" spans="2:81">
      <c r="C568" s="11" t="s">
        <v>361</v>
      </c>
      <c r="D568" s="15"/>
      <c r="E568" s="15"/>
      <c r="F568" s="15"/>
    </row>
    <row r="569" spans="2:81">
      <c r="C569" s="11" t="s">
        <v>362</v>
      </c>
      <c r="D569" s="15"/>
      <c r="E569" s="15"/>
      <c r="F569" s="15"/>
    </row>
    <row r="570" spans="2:81">
      <c r="C570" s="11" t="s">
        <v>363</v>
      </c>
      <c r="D570" s="15"/>
      <c r="E570" s="15"/>
      <c r="F570" s="15"/>
    </row>
    <row r="571" spans="2:81">
      <c r="C571" s="109"/>
      <c r="D571" s="168"/>
      <c r="E571" s="169"/>
      <c r="F571" s="110"/>
      <c r="G571" s="100"/>
      <c r="H571" s="100"/>
      <c r="I571" s="100"/>
      <c r="J571" s="100"/>
      <c r="K571" s="100"/>
      <c r="L571" s="100"/>
      <c r="M571" s="100"/>
      <c r="N571" s="100"/>
      <c r="O571" s="100"/>
      <c r="P571" s="100"/>
      <c r="Q571" s="100"/>
      <c r="R571" s="100"/>
      <c r="S571" s="100"/>
      <c r="T571" s="100"/>
      <c r="U571" s="100"/>
      <c r="V571" s="100"/>
      <c r="W571" s="100"/>
      <c r="X571" s="100"/>
      <c r="Y571" s="100"/>
      <c r="Z571" s="100"/>
      <c r="AA571" s="100"/>
      <c r="AB571" s="100"/>
      <c r="AC571" s="100"/>
      <c r="AD571" s="332"/>
      <c r="AE571" s="100"/>
      <c r="AF571" s="100"/>
      <c r="AG571" s="100"/>
      <c r="AH571" s="100"/>
      <c r="AI571" s="100"/>
      <c r="AJ571" s="392"/>
      <c r="AK571" s="100"/>
      <c r="AL571" s="100"/>
      <c r="AM571" s="100"/>
      <c r="AN571" s="100"/>
      <c r="AO571" s="100"/>
      <c r="AP571" s="100"/>
      <c r="AQ571" s="100"/>
      <c r="AR571" s="100"/>
      <c r="AS571" s="100"/>
      <c r="AT571" s="100"/>
      <c r="AU571" s="100"/>
      <c r="AV571" s="100"/>
      <c r="AW571" s="100"/>
      <c r="AX571" s="100"/>
      <c r="AY571" s="100"/>
      <c r="AZ571" s="100"/>
      <c r="BA571" s="100"/>
      <c r="BB571" s="100"/>
      <c r="BC571" s="100"/>
      <c r="BD571" s="100"/>
      <c r="BE571" s="100"/>
      <c r="BF571" s="100"/>
      <c r="BG571" s="100"/>
      <c r="BH571" s="100"/>
      <c r="BI571" s="100"/>
      <c r="BJ571" s="100"/>
      <c r="BK571" s="100"/>
      <c r="BL571" s="100"/>
      <c r="BM571" s="100"/>
      <c r="BN571" s="100"/>
      <c r="BO571" s="100"/>
      <c r="BP571" s="100"/>
      <c r="BQ571" s="100"/>
      <c r="BR571" s="100"/>
      <c r="BS571" s="100"/>
      <c r="BT571" s="100"/>
      <c r="BU571" s="100"/>
      <c r="BV571" s="100"/>
      <c r="BW571" s="100"/>
      <c r="BX571" s="100"/>
      <c r="BY571" s="100"/>
      <c r="BZ571" s="100"/>
      <c r="CA571" s="100"/>
      <c r="CB571" s="100"/>
      <c r="CC571" s="100"/>
    </row>
    <row r="572" spans="2:81">
      <c r="C572" s="10"/>
      <c r="D572" s="15"/>
      <c r="E572" s="15"/>
      <c r="F572" s="15"/>
    </row>
    <row r="573" spans="2:81">
      <c r="B573" s="519" t="s">
        <v>1079</v>
      </c>
      <c r="C573" s="12" t="s">
        <v>1197</v>
      </c>
      <c r="D573" s="16" t="s">
        <v>353</v>
      </c>
      <c r="E573" s="16" t="s">
        <v>354</v>
      </c>
      <c r="F573" s="16" t="s">
        <v>355</v>
      </c>
    </row>
    <row r="574" spans="2:81" ht="28.8">
      <c r="C574" s="187" t="s">
        <v>1198</v>
      </c>
      <c r="D574" s="18">
        <v>0.05</v>
      </c>
      <c r="E574" s="21">
        <v>0.05</v>
      </c>
      <c r="F574" s="18">
        <v>0.05</v>
      </c>
    </row>
    <row r="575" spans="2:81">
      <c r="C575" s="11" t="s">
        <v>1199</v>
      </c>
      <c r="D575" s="18">
        <v>0.05</v>
      </c>
      <c r="E575" s="21">
        <v>2.5000000000000001E-2</v>
      </c>
      <c r="F575" s="18">
        <v>0</v>
      </c>
    </row>
    <row r="576" spans="2:81" ht="28.8">
      <c r="C576" s="497" t="s">
        <v>1085</v>
      </c>
      <c r="D576" s="18">
        <v>0.5</v>
      </c>
      <c r="E576" s="21">
        <v>0.35</v>
      </c>
      <c r="F576" s="18">
        <v>0.5</v>
      </c>
    </row>
    <row r="577" spans="2:81">
      <c r="C577" s="497" t="s">
        <v>1086</v>
      </c>
      <c r="D577" s="18">
        <v>0.3</v>
      </c>
      <c r="E577" s="21">
        <v>0.15</v>
      </c>
      <c r="F577" s="18">
        <v>0.05</v>
      </c>
    </row>
    <row r="578" spans="2:81">
      <c r="C578" s="498" t="s">
        <v>1200</v>
      </c>
      <c r="D578" s="18">
        <v>0.05</v>
      </c>
      <c r="E578" s="21">
        <v>2.5000000000000001E-2</v>
      </c>
      <c r="F578" s="18">
        <v>0</v>
      </c>
    </row>
    <row r="579" spans="2:81">
      <c r="C579" s="497" t="s">
        <v>1201</v>
      </c>
      <c r="D579" s="18">
        <v>0.05</v>
      </c>
      <c r="E579" s="21">
        <v>2.5000000000000001E-2</v>
      </c>
      <c r="F579" s="18">
        <v>0.01</v>
      </c>
    </row>
    <row r="580" spans="2:81">
      <c r="C580" s="497" t="s">
        <v>1087</v>
      </c>
      <c r="D580" s="22"/>
      <c r="E580" s="230"/>
      <c r="F580" s="22"/>
    </row>
    <row r="581" spans="2:81">
      <c r="C581" s="497" t="s">
        <v>1088</v>
      </c>
      <c r="D581" s="16"/>
      <c r="E581" s="22"/>
      <c r="F581" s="22"/>
    </row>
    <row r="582" spans="2:81">
      <c r="C582" s="10"/>
      <c r="D582" s="15"/>
      <c r="E582" s="15"/>
      <c r="F582" s="15"/>
    </row>
    <row r="583" spans="2:81">
      <c r="C583" s="12" t="s">
        <v>389</v>
      </c>
      <c r="D583" s="15" t="s">
        <v>394</v>
      </c>
      <c r="E583" s="15"/>
      <c r="F583" s="15"/>
    </row>
    <row r="584" spans="2:81">
      <c r="C584" s="53"/>
      <c r="D584" s="15"/>
      <c r="E584" s="15"/>
      <c r="F584" s="15"/>
    </row>
    <row r="585" spans="2:81">
      <c r="C585" s="11" t="s">
        <v>359</v>
      </c>
      <c r="D585" s="15"/>
      <c r="E585" s="15"/>
      <c r="F585" s="15"/>
    </row>
    <row r="586" spans="2:81">
      <c r="C586" s="11" t="s">
        <v>360</v>
      </c>
      <c r="D586" s="15"/>
      <c r="E586" s="15"/>
      <c r="F586" s="15"/>
    </row>
    <row r="587" spans="2:81">
      <c r="C587" s="11" t="s">
        <v>361</v>
      </c>
      <c r="D587" s="15"/>
      <c r="E587" s="15"/>
      <c r="F587" s="15"/>
    </row>
    <row r="588" spans="2:81">
      <c r="C588" s="11" t="s">
        <v>362</v>
      </c>
      <c r="D588" s="15"/>
      <c r="E588" s="15"/>
      <c r="F588" s="15"/>
    </row>
    <row r="589" spans="2:81">
      <c r="C589" s="11" t="s">
        <v>363</v>
      </c>
      <c r="D589" s="15"/>
      <c r="E589" s="15"/>
      <c r="F589" s="15"/>
    </row>
    <row r="590" spans="2:81">
      <c r="C590" s="109"/>
      <c r="D590" s="168"/>
      <c r="E590" s="169"/>
      <c r="F590" s="110"/>
      <c r="G590" s="100"/>
      <c r="H590" s="100"/>
      <c r="I590" s="100"/>
      <c r="J590" s="100"/>
      <c r="K590" s="100"/>
      <c r="L590" s="100"/>
      <c r="M590" s="100"/>
      <c r="N590" s="100"/>
      <c r="O590" s="100"/>
      <c r="P590" s="100"/>
      <c r="Q590" s="100"/>
      <c r="R590" s="100"/>
      <c r="S590" s="100"/>
      <c r="T590" s="100"/>
      <c r="U590" s="100"/>
      <c r="V590" s="100"/>
      <c r="W590" s="100"/>
      <c r="X590" s="100"/>
      <c r="Y590" s="100"/>
      <c r="Z590" s="100"/>
      <c r="AA590" s="100"/>
      <c r="AB590" s="100"/>
      <c r="AC590" s="100"/>
      <c r="AD590" s="332"/>
      <c r="AE590" s="100"/>
      <c r="AF590" s="100"/>
      <c r="AG590" s="100"/>
      <c r="AH590" s="100"/>
      <c r="AI590" s="100"/>
      <c r="AJ590" s="392"/>
      <c r="AK590" s="100"/>
      <c r="AL590" s="100"/>
      <c r="AM590" s="100"/>
      <c r="AN590" s="100"/>
      <c r="AO590" s="100"/>
      <c r="AP590" s="100"/>
      <c r="AQ590" s="100"/>
      <c r="AR590" s="100"/>
      <c r="AS590" s="100"/>
      <c r="AT590" s="100"/>
      <c r="AU590" s="100"/>
      <c r="AV590" s="100"/>
      <c r="AW590" s="100"/>
      <c r="AX590" s="100"/>
      <c r="AY590" s="100"/>
      <c r="AZ590" s="100"/>
      <c r="BA590" s="100"/>
      <c r="BB590" s="100"/>
      <c r="BC590" s="100"/>
      <c r="BD590" s="100"/>
      <c r="BE590" s="100"/>
      <c r="BF590" s="100"/>
      <c r="BG590" s="100"/>
      <c r="BH590" s="100"/>
      <c r="BI590" s="100"/>
      <c r="BJ590" s="100"/>
      <c r="BK590" s="100"/>
      <c r="BL590" s="100"/>
      <c r="BM590" s="100"/>
      <c r="BN590" s="100"/>
      <c r="BO590" s="100"/>
      <c r="BP590" s="100"/>
      <c r="BQ590" s="100"/>
      <c r="BR590" s="100"/>
      <c r="BS590" s="100"/>
      <c r="BT590" s="100"/>
      <c r="BU590" s="100"/>
      <c r="BV590" s="100"/>
      <c r="BW590" s="100"/>
      <c r="BX590" s="100"/>
      <c r="BY590" s="100"/>
      <c r="BZ590" s="100"/>
      <c r="CA590" s="100"/>
      <c r="CB590" s="100"/>
      <c r="CC590" s="100"/>
    </row>
    <row r="591" spans="2:81">
      <c r="C591" s="10"/>
      <c r="D591" s="15"/>
      <c r="E591" s="15"/>
      <c r="F591" s="15"/>
    </row>
    <row r="592" spans="2:81" s="290" customFormat="1">
      <c r="B592" s="557" t="s">
        <v>1202</v>
      </c>
      <c r="C592" s="214" t="s">
        <v>1203</v>
      </c>
      <c r="D592" s="546" t="s">
        <v>353</v>
      </c>
      <c r="E592" s="546" t="s">
        <v>354</v>
      </c>
      <c r="F592" s="546" t="s">
        <v>355</v>
      </c>
      <c r="AD592" s="460"/>
      <c r="AJ592" s="477"/>
    </row>
    <row r="593" spans="2:36" s="290" customFormat="1">
      <c r="C593" s="217" t="s">
        <v>1204</v>
      </c>
      <c r="D593" s="264">
        <v>0</v>
      </c>
      <c r="E593" s="264">
        <v>0</v>
      </c>
      <c r="F593" s="545">
        <v>0</v>
      </c>
      <c r="AD593" s="460"/>
      <c r="AJ593" s="477"/>
    </row>
    <row r="594" spans="2:36" s="290" customFormat="1" ht="28.8">
      <c r="C594" s="216" t="s">
        <v>1205</v>
      </c>
      <c r="D594" s="264">
        <v>0.5</v>
      </c>
      <c r="E594" s="264">
        <v>0.5</v>
      </c>
      <c r="F594" s="545">
        <v>0.5</v>
      </c>
      <c r="AD594" s="460"/>
      <c r="AJ594" s="477"/>
    </row>
    <row r="595" spans="2:36" s="290" customFormat="1">
      <c r="C595" s="217" t="s">
        <v>1206</v>
      </c>
      <c r="D595" s="264">
        <v>0.2</v>
      </c>
      <c r="E595" s="264">
        <v>0.2</v>
      </c>
      <c r="F595" s="264">
        <v>0.05</v>
      </c>
      <c r="AD595" s="460"/>
      <c r="AJ595" s="477"/>
    </row>
    <row r="596" spans="2:36" s="290" customFormat="1" ht="28.8">
      <c r="C596" s="539" t="s">
        <v>1207</v>
      </c>
      <c r="D596" s="264">
        <v>0.3</v>
      </c>
      <c r="E596" s="264">
        <v>0.3</v>
      </c>
      <c r="F596" s="264">
        <v>0.3</v>
      </c>
      <c r="AD596" s="460"/>
      <c r="AJ596" s="477"/>
    </row>
    <row r="597" spans="2:36" ht="28.8">
      <c r="C597" s="539" t="s">
        <v>1208</v>
      </c>
      <c r="D597" s="22">
        <f>SUM(D593:D596)</f>
        <v>1</v>
      </c>
      <c r="E597" s="22">
        <f t="shared" ref="E597:F597" si="166">SUM(E593:E596)</f>
        <v>1</v>
      </c>
      <c r="F597" s="22">
        <f t="shared" si="166"/>
        <v>0.85000000000000009</v>
      </c>
    </row>
    <row r="598" spans="2:36">
      <c r="D598" s="18"/>
      <c r="E598" s="18">
        <f>D597-E597</f>
        <v>0</v>
      </c>
      <c r="F598" s="18">
        <f>E597-F597</f>
        <v>0.14999999999999991</v>
      </c>
    </row>
    <row r="599" spans="2:36">
      <c r="C599" s="12" t="s">
        <v>366</v>
      </c>
      <c r="D599" s="18" t="s">
        <v>1209</v>
      </c>
      <c r="E599" s="18"/>
      <c r="F599" s="18"/>
    </row>
    <row r="600" spans="2:36">
      <c r="D600" s="18"/>
      <c r="E600" s="18"/>
      <c r="F600" s="18"/>
    </row>
    <row r="601" spans="2:36" s="290" customFormat="1">
      <c r="B601" s="558" t="s">
        <v>1079</v>
      </c>
      <c r="C601" s="559" t="s">
        <v>1210</v>
      </c>
      <c r="D601" s="546" t="s">
        <v>353</v>
      </c>
      <c r="E601" s="546" t="s">
        <v>354</v>
      </c>
      <c r="F601" s="546" t="s">
        <v>355</v>
      </c>
      <c r="AD601" s="460"/>
      <c r="AJ601" s="477"/>
    </row>
    <row r="602" spans="2:36" s="290" customFormat="1">
      <c r="C602" s="216" t="s">
        <v>1211</v>
      </c>
      <c r="D602" s="264">
        <v>0.2</v>
      </c>
      <c r="E602" s="264">
        <v>0.2</v>
      </c>
      <c r="F602" s="264">
        <v>0.2</v>
      </c>
      <c r="AD602" s="460"/>
      <c r="AJ602" s="477"/>
    </row>
    <row r="603" spans="2:36" s="290" customFormat="1" ht="28.8">
      <c r="C603" s="216" t="s">
        <v>1212</v>
      </c>
      <c r="D603" s="264">
        <v>0.2</v>
      </c>
      <c r="E603" s="264">
        <v>0.2</v>
      </c>
      <c r="F603" s="264">
        <v>0.2</v>
      </c>
      <c r="AD603" s="460"/>
      <c r="AJ603" s="477"/>
    </row>
    <row r="604" spans="2:36" s="290" customFormat="1" ht="28.8">
      <c r="C604" s="216" t="s">
        <v>1213</v>
      </c>
      <c r="D604" s="264">
        <v>0.1</v>
      </c>
      <c r="E604" s="264">
        <v>0.1</v>
      </c>
      <c r="F604" s="264">
        <v>0.1</v>
      </c>
      <c r="AD604" s="460"/>
      <c r="AJ604" s="477"/>
    </row>
    <row r="605" spans="2:36" s="290" customFormat="1" ht="28.8">
      <c r="C605" s="216" t="s">
        <v>1214</v>
      </c>
      <c r="D605" s="264">
        <v>0.1</v>
      </c>
      <c r="E605" s="264">
        <v>0.1</v>
      </c>
      <c r="F605" s="264">
        <v>0.1</v>
      </c>
      <c r="AD605" s="460"/>
      <c r="AJ605" s="477"/>
    </row>
    <row r="606" spans="2:36" s="290" customFormat="1" ht="28.8">
      <c r="C606" s="216" t="s">
        <v>1215</v>
      </c>
      <c r="D606" s="264">
        <v>0.05</v>
      </c>
      <c r="E606" s="264">
        <v>0.05</v>
      </c>
      <c r="F606" s="264">
        <v>0.05</v>
      </c>
      <c r="AD606" s="460"/>
      <c r="AJ606" s="477"/>
    </row>
    <row r="607" spans="2:36" s="290" customFormat="1">
      <c r="C607" s="216" t="s">
        <v>1216</v>
      </c>
      <c r="D607" s="264"/>
      <c r="E607" s="264"/>
      <c r="F607" s="264"/>
      <c r="AD607" s="460"/>
      <c r="AJ607" s="477"/>
    </row>
    <row r="608" spans="2:36" s="290" customFormat="1" ht="28.8">
      <c r="C608" s="216" t="s">
        <v>1217</v>
      </c>
      <c r="D608" s="264">
        <v>0.05</v>
      </c>
      <c r="E608" s="264">
        <v>0.05</v>
      </c>
      <c r="F608" s="264">
        <v>0.02</v>
      </c>
      <c r="AD608" s="460"/>
      <c r="AJ608" s="477"/>
    </row>
    <row r="609" spans="2:81" s="290" customFormat="1">
      <c r="C609" s="218"/>
      <c r="D609" s="545">
        <f>SUM(D602:D608)</f>
        <v>0.70000000000000007</v>
      </c>
      <c r="E609" s="545">
        <f>SUM(E602:E608)</f>
        <v>0.70000000000000007</v>
      </c>
      <c r="F609" s="545">
        <f>SUM(F602:F608)</f>
        <v>0.67</v>
      </c>
      <c r="AD609" s="460"/>
      <c r="AJ609" s="477"/>
    </row>
    <row r="610" spans="2:81" s="290" customFormat="1">
      <c r="C610" s="218"/>
      <c r="D610" s="262"/>
      <c r="E610" s="545">
        <f>D609-E609</f>
        <v>0</v>
      </c>
      <c r="F610" s="545">
        <f>E609-F609</f>
        <v>3.0000000000000027E-2</v>
      </c>
      <c r="AD610" s="460"/>
      <c r="AJ610" s="477"/>
    </row>
    <row r="611" spans="2:81" s="290" customFormat="1">
      <c r="C611" s="214" t="s">
        <v>1218</v>
      </c>
      <c r="D611" s="262"/>
      <c r="E611" s="545"/>
      <c r="F611" s="545"/>
      <c r="AD611" s="460"/>
      <c r="AJ611" s="477"/>
    </row>
    <row r="612" spans="2:81">
      <c r="C612" s="53"/>
      <c r="D612" s="15"/>
      <c r="E612" s="22"/>
      <c r="F612" s="22"/>
    </row>
    <row r="613" spans="2:81">
      <c r="C613" s="11" t="s">
        <v>359</v>
      </c>
      <c r="D613" s="15"/>
      <c r="E613" s="15"/>
      <c r="F613" s="15"/>
    </row>
    <row r="614" spans="2:81">
      <c r="C614" s="11" t="s">
        <v>360</v>
      </c>
      <c r="D614" s="15"/>
      <c r="E614" s="15"/>
      <c r="F614" s="15"/>
    </row>
    <row r="615" spans="2:81">
      <c r="C615" s="11" t="s">
        <v>361</v>
      </c>
      <c r="D615" s="15"/>
      <c r="E615" s="15"/>
      <c r="F615" s="15"/>
    </row>
    <row r="616" spans="2:81">
      <c r="C616" s="11" t="s">
        <v>362</v>
      </c>
      <c r="D616" s="15"/>
      <c r="E616" s="15"/>
      <c r="F616" s="15"/>
    </row>
    <row r="617" spans="2:81">
      <c r="C617" s="11" t="s">
        <v>363</v>
      </c>
      <c r="D617" s="15"/>
      <c r="E617" s="15"/>
      <c r="F617" s="15"/>
    </row>
    <row r="618" spans="2:81">
      <c r="C618" s="109"/>
      <c r="D618" s="168"/>
      <c r="E618" s="169"/>
      <c r="F618" s="110"/>
      <c r="G618" s="100"/>
      <c r="H618" s="100"/>
      <c r="I618" s="100"/>
      <c r="J618" s="100"/>
      <c r="K618" s="100"/>
      <c r="L618" s="100"/>
      <c r="M618" s="100"/>
      <c r="N618" s="100"/>
      <c r="O618" s="100"/>
      <c r="P618" s="100"/>
      <c r="Q618" s="100"/>
      <c r="R618" s="100"/>
      <c r="S618" s="100"/>
      <c r="T618" s="100"/>
      <c r="U618" s="100"/>
      <c r="V618" s="100"/>
      <c r="W618" s="100"/>
      <c r="X618" s="100"/>
      <c r="Y618" s="100"/>
      <c r="Z618" s="100"/>
      <c r="AA618" s="100"/>
      <c r="AB618" s="100"/>
      <c r="AC618" s="100"/>
      <c r="AD618" s="332"/>
      <c r="AE618" s="100"/>
      <c r="AF618" s="100"/>
      <c r="AG618" s="100"/>
      <c r="AH618" s="100"/>
      <c r="AI618" s="100"/>
      <c r="AJ618" s="392"/>
      <c r="AK618" s="100"/>
      <c r="AL618" s="100"/>
      <c r="AM618" s="100"/>
      <c r="AN618" s="100"/>
      <c r="AO618" s="100"/>
      <c r="AP618" s="100"/>
      <c r="AQ618" s="100"/>
      <c r="AR618" s="100"/>
      <c r="AS618" s="100"/>
      <c r="AT618" s="100"/>
      <c r="AU618" s="100"/>
      <c r="AV618" s="100"/>
      <c r="AW618" s="100"/>
      <c r="AX618" s="100"/>
      <c r="AY618" s="100"/>
      <c r="AZ618" s="100"/>
      <c r="BA618" s="100"/>
      <c r="BB618" s="100"/>
      <c r="BC618" s="100"/>
      <c r="BD618" s="100"/>
      <c r="BE618" s="100"/>
      <c r="BF618" s="100"/>
      <c r="BG618" s="100"/>
      <c r="BH618" s="100"/>
      <c r="BI618" s="100"/>
      <c r="BJ618" s="100"/>
      <c r="BK618" s="100"/>
      <c r="BL618" s="100"/>
      <c r="BM618" s="100"/>
      <c r="BN618" s="100"/>
      <c r="BO618" s="100"/>
      <c r="BP618" s="100"/>
      <c r="BQ618" s="100"/>
      <c r="BR618" s="100"/>
      <c r="BS618" s="100"/>
      <c r="BT618" s="100"/>
      <c r="BU618" s="100"/>
      <c r="BV618" s="100"/>
      <c r="BW618" s="100"/>
      <c r="BX618" s="100"/>
      <c r="BY618" s="100"/>
      <c r="BZ618" s="100"/>
      <c r="CA618" s="100"/>
      <c r="CB618" s="100"/>
      <c r="CC618" s="100"/>
    </row>
    <row r="619" spans="2:81">
      <c r="C619" s="10"/>
      <c r="D619" s="15"/>
      <c r="E619" s="22"/>
      <c r="F619" s="22"/>
    </row>
    <row r="620" spans="2:81">
      <c r="C620" s="11"/>
      <c r="D620" s="16"/>
      <c r="E620" s="22"/>
      <c r="F620" s="22"/>
    </row>
    <row r="621" spans="2:81">
      <c r="C621" s="11"/>
      <c r="D621" s="16"/>
      <c r="E621" s="22"/>
      <c r="F621" s="22"/>
    </row>
    <row r="622" spans="2:81">
      <c r="C622" s="10"/>
      <c r="D622" s="15"/>
      <c r="E622" s="22"/>
      <c r="F622" s="22"/>
    </row>
    <row r="623" spans="2:81">
      <c r="B623" s="561" t="s">
        <v>1202</v>
      </c>
      <c r="C623" s="12" t="s">
        <v>3</v>
      </c>
      <c r="D623" s="16" t="s">
        <v>353</v>
      </c>
      <c r="E623" s="16" t="s">
        <v>354</v>
      </c>
      <c r="F623" s="16" t="s">
        <v>355</v>
      </c>
    </row>
    <row r="624" spans="2:81">
      <c r="C624" s="11" t="s">
        <v>396</v>
      </c>
      <c r="D624" s="18">
        <v>0.2</v>
      </c>
      <c r="E624" s="18">
        <v>0.2</v>
      </c>
      <c r="F624" s="18">
        <v>0.2</v>
      </c>
    </row>
    <row r="625" spans="3:6">
      <c r="C625" s="11" t="s">
        <v>397</v>
      </c>
      <c r="D625" s="18">
        <v>0.1</v>
      </c>
      <c r="E625" s="18">
        <v>0.1</v>
      </c>
      <c r="F625" s="18">
        <v>0.02</v>
      </c>
    </row>
    <row r="626" spans="3:6">
      <c r="C626" s="11" t="s">
        <v>398</v>
      </c>
      <c r="D626" s="18">
        <v>0.05</v>
      </c>
      <c r="E626" s="18">
        <v>0.05</v>
      </c>
      <c r="F626" s="18">
        <v>0.05</v>
      </c>
    </row>
    <row r="627" spans="3:6">
      <c r="C627" s="11" t="s">
        <v>399</v>
      </c>
      <c r="D627" s="18">
        <v>0.1</v>
      </c>
      <c r="E627" s="18">
        <v>0.1</v>
      </c>
      <c r="F627" s="18">
        <v>0.05</v>
      </c>
    </row>
    <row r="628" spans="3:6">
      <c r="C628" s="11" t="s">
        <v>400</v>
      </c>
      <c r="D628" s="18">
        <v>0.05</v>
      </c>
      <c r="E628" s="18">
        <v>0.05</v>
      </c>
      <c r="F628" s="18">
        <v>0</v>
      </c>
    </row>
    <row r="629" spans="3:6">
      <c r="C629" s="11" t="s">
        <v>401</v>
      </c>
      <c r="D629" s="18">
        <v>0.01</v>
      </c>
      <c r="E629" s="18">
        <v>0.01</v>
      </c>
      <c r="F629" s="18">
        <v>0.01</v>
      </c>
    </row>
    <row r="630" spans="3:6">
      <c r="C630" s="11" t="s">
        <v>402</v>
      </c>
      <c r="D630" s="18">
        <v>0.02</v>
      </c>
      <c r="E630" s="18">
        <v>0.02</v>
      </c>
      <c r="F630" s="18">
        <v>0.02</v>
      </c>
    </row>
    <row r="631" spans="3:6">
      <c r="C631" s="11" t="s">
        <v>403</v>
      </c>
      <c r="D631" s="18">
        <v>0.2</v>
      </c>
      <c r="E631" s="18">
        <v>0.2</v>
      </c>
      <c r="F631" s="18">
        <v>0.2</v>
      </c>
    </row>
    <row r="632" spans="3:6">
      <c r="C632" s="11" t="s">
        <v>404</v>
      </c>
      <c r="D632" s="18">
        <v>0.1</v>
      </c>
      <c r="E632" s="18">
        <v>0.1</v>
      </c>
      <c r="F632" s="18">
        <v>0.1</v>
      </c>
    </row>
    <row r="633" spans="3:6">
      <c r="C633" s="11" t="s">
        <v>405</v>
      </c>
      <c r="D633" s="18">
        <v>0.05</v>
      </c>
      <c r="E633" s="18">
        <v>0.05</v>
      </c>
      <c r="F633" s="18">
        <v>0.02</v>
      </c>
    </row>
    <row r="634" spans="3:6">
      <c r="C634" s="11" t="s">
        <v>406</v>
      </c>
      <c r="D634" s="18">
        <v>0.02</v>
      </c>
      <c r="E634" s="18">
        <v>0.02</v>
      </c>
      <c r="F634" s="18">
        <v>0.01</v>
      </c>
    </row>
    <row r="635" spans="3:6">
      <c r="C635" s="11" t="s">
        <v>407</v>
      </c>
      <c r="D635" s="18">
        <v>0.02</v>
      </c>
      <c r="E635" s="18">
        <v>0.02</v>
      </c>
      <c r="F635" s="18">
        <v>0.02</v>
      </c>
    </row>
    <row r="636" spans="3:6">
      <c r="C636" s="11" t="s">
        <v>408</v>
      </c>
      <c r="D636" s="18">
        <v>0.01</v>
      </c>
      <c r="E636" s="18">
        <v>0.01</v>
      </c>
      <c r="F636" s="18">
        <v>0.01</v>
      </c>
    </row>
    <row r="637" spans="3:6">
      <c r="C637" s="11" t="s">
        <v>388</v>
      </c>
      <c r="D637" s="18">
        <v>0.05</v>
      </c>
      <c r="E637" s="18">
        <v>0.05</v>
      </c>
      <c r="F637" s="18">
        <v>0.05</v>
      </c>
    </row>
    <row r="638" spans="3:6">
      <c r="C638" s="11" t="s">
        <v>409</v>
      </c>
      <c r="D638" s="18">
        <v>0.02</v>
      </c>
      <c r="E638" s="18">
        <v>0.02</v>
      </c>
      <c r="F638" s="18">
        <v>0.02</v>
      </c>
    </row>
    <row r="639" spans="3:6">
      <c r="C639" s="10"/>
      <c r="D639" s="22">
        <f>SUM(D624:D638)</f>
        <v>1.0000000000000002</v>
      </c>
      <c r="E639" s="22">
        <f>SUM(E624:E638)</f>
        <v>1.0000000000000002</v>
      </c>
      <c r="F639" s="22">
        <f>SUM(F624:F638)</f>
        <v>0.78000000000000014</v>
      </c>
    </row>
    <row r="640" spans="3:6">
      <c r="C640" s="10"/>
      <c r="D640" s="16"/>
      <c r="E640" s="22">
        <f>D639-E639</f>
        <v>0</v>
      </c>
      <c r="F640" s="22">
        <f>E639-F639</f>
        <v>0.22000000000000008</v>
      </c>
    </row>
    <row r="641" spans="3:81">
      <c r="C641" s="10"/>
      <c r="D641" s="16"/>
      <c r="E641" s="22"/>
      <c r="F641" s="22"/>
    </row>
    <row r="642" spans="3:81">
      <c r="C642" s="12" t="s">
        <v>389</v>
      </c>
      <c r="D642" s="15" t="s">
        <v>410</v>
      </c>
      <c r="E642" s="15"/>
      <c r="F642" s="15"/>
    </row>
    <row r="643" spans="3:81">
      <c r="C643" s="53"/>
      <c r="D643" s="15"/>
      <c r="E643" s="15"/>
      <c r="F643" s="15"/>
    </row>
    <row r="644" spans="3:81">
      <c r="C644" s="53"/>
      <c r="D644" s="15"/>
      <c r="E644" s="15"/>
      <c r="F644" s="15"/>
    </row>
    <row r="645" spans="3:81">
      <c r="C645" s="53"/>
      <c r="D645" s="15"/>
      <c r="E645" s="15"/>
      <c r="F645" s="15"/>
    </row>
    <row r="646" spans="3:81">
      <c r="C646" s="11" t="s">
        <v>359</v>
      </c>
      <c r="D646" s="15"/>
      <c r="E646" s="15"/>
      <c r="F646" s="15"/>
    </row>
    <row r="647" spans="3:81">
      <c r="C647" s="11" t="s">
        <v>360</v>
      </c>
      <c r="D647" s="15"/>
      <c r="E647" s="15"/>
      <c r="F647" s="15"/>
    </row>
    <row r="648" spans="3:81">
      <c r="C648" s="11" t="s">
        <v>361</v>
      </c>
      <c r="D648" s="15"/>
      <c r="E648" s="15"/>
      <c r="F648" s="15"/>
    </row>
    <row r="649" spans="3:81">
      <c r="C649" s="11" t="s">
        <v>362</v>
      </c>
      <c r="D649" s="15"/>
      <c r="E649" s="15"/>
      <c r="F649" s="15"/>
    </row>
    <row r="650" spans="3:81">
      <c r="C650" s="11" t="s">
        <v>363</v>
      </c>
      <c r="D650" s="15"/>
      <c r="E650" s="15"/>
      <c r="F650" s="15"/>
    </row>
    <row r="651" spans="3:81">
      <c r="C651" s="109"/>
      <c r="D651" s="168"/>
      <c r="E651" s="169"/>
      <c r="F651" s="110"/>
      <c r="G651" s="100"/>
      <c r="H651" s="100"/>
      <c r="I651" s="100"/>
      <c r="J651" s="100"/>
      <c r="K651" s="100"/>
      <c r="L651" s="100"/>
      <c r="M651" s="100"/>
      <c r="N651" s="100"/>
      <c r="O651" s="100"/>
      <c r="P651" s="100"/>
      <c r="Q651" s="100"/>
      <c r="R651" s="100"/>
      <c r="S651" s="100"/>
      <c r="T651" s="100"/>
      <c r="U651" s="100"/>
      <c r="V651" s="100"/>
      <c r="W651" s="100"/>
      <c r="X651" s="100"/>
      <c r="Y651" s="100"/>
      <c r="Z651" s="100"/>
      <c r="AA651" s="100"/>
      <c r="AB651" s="100"/>
      <c r="AC651" s="100"/>
      <c r="AD651" s="332"/>
      <c r="AE651" s="100"/>
      <c r="AF651" s="100"/>
      <c r="AG651" s="100"/>
      <c r="AH651" s="100"/>
      <c r="AI651" s="100"/>
      <c r="AJ651" s="392"/>
      <c r="AK651" s="100"/>
      <c r="AL651" s="100"/>
      <c r="AM651" s="100"/>
      <c r="AN651" s="100"/>
      <c r="AO651" s="100"/>
      <c r="AP651" s="100"/>
      <c r="AQ651" s="100"/>
      <c r="AR651" s="100"/>
      <c r="AS651" s="100"/>
      <c r="AT651" s="100"/>
      <c r="AU651" s="100"/>
      <c r="AV651" s="100"/>
      <c r="AW651" s="100"/>
      <c r="AX651" s="100"/>
      <c r="AY651" s="100"/>
      <c r="AZ651" s="100"/>
      <c r="BA651" s="100"/>
      <c r="BB651" s="100"/>
      <c r="BC651" s="100"/>
      <c r="BD651" s="100"/>
      <c r="BE651" s="100"/>
      <c r="BF651" s="100"/>
      <c r="BG651" s="100"/>
      <c r="BH651" s="100"/>
      <c r="BI651" s="100"/>
      <c r="BJ651" s="100"/>
      <c r="BK651" s="100"/>
      <c r="BL651" s="100"/>
      <c r="BM651" s="100"/>
      <c r="BN651" s="100"/>
      <c r="BO651" s="100"/>
      <c r="BP651" s="100"/>
      <c r="BQ651" s="100"/>
      <c r="BR651" s="100"/>
      <c r="BS651" s="100"/>
      <c r="BT651" s="100"/>
      <c r="BU651" s="100"/>
      <c r="BV651" s="100"/>
      <c r="BW651" s="100"/>
      <c r="BX651" s="100"/>
      <c r="BY651" s="100"/>
      <c r="BZ651" s="100"/>
      <c r="CA651" s="100"/>
      <c r="CB651" s="100"/>
      <c r="CC651" s="100"/>
    </row>
    <row r="652" spans="3:81">
      <c r="C652" s="11"/>
      <c r="D652" s="15"/>
      <c r="E652" s="15"/>
      <c r="F652" s="15"/>
    </row>
    <row r="653" spans="3:81">
      <c r="C653" s="11"/>
      <c r="D653" s="15"/>
      <c r="E653" s="15"/>
      <c r="F653" s="15"/>
    </row>
    <row r="654" spans="3:81">
      <c r="C654" s="11"/>
      <c r="D654" s="15"/>
      <c r="E654" s="15"/>
      <c r="F654" s="15"/>
      <c r="I654" s="893" t="s">
        <v>1037</v>
      </c>
      <c r="J654" s="893"/>
      <c r="K654" s="893"/>
      <c r="L654" s="893"/>
      <c r="M654" s="893"/>
      <c r="N654" s="893"/>
      <c r="O654" s="893"/>
      <c r="P654" s="893"/>
      <c r="Q654" s="893"/>
      <c r="R654" s="893"/>
      <c r="S654" s="893"/>
      <c r="T654" s="893"/>
      <c r="U654" s="893"/>
      <c r="V654" s="893"/>
      <c r="W654" s="893"/>
      <c r="X654" s="893"/>
      <c r="Y654" s="893"/>
    </row>
    <row r="655" spans="3:81">
      <c r="C655" s="11"/>
      <c r="D655" s="15"/>
      <c r="E655" s="15"/>
      <c r="F655" s="15"/>
      <c r="I655" s="892" t="s">
        <v>1039</v>
      </c>
      <c r="J655" s="892"/>
      <c r="K655" s="892"/>
      <c r="L655" s="892"/>
      <c r="M655" s="892"/>
      <c r="N655" s="892"/>
      <c r="O655" s="892"/>
      <c r="P655" s="892"/>
      <c r="Q655" s="892"/>
      <c r="R655" s="892"/>
      <c r="S655" s="892"/>
      <c r="T655" s="892"/>
      <c r="U655" s="892"/>
      <c r="V655" s="892"/>
      <c r="W655" s="892"/>
      <c r="X655" s="892"/>
      <c r="Y655" s="95"/>
    </row>
    <row r="656" spans="3:81" ht="15" customHeight="1">
      <c r="C656" s="11"/>
      <c r="D656" s="15"/>
      <c r="E656" s="15"/>
      <c r="F656" s="15"/>
      <c r="I656" s="837" t="s">
        <v>1045</v>
      </c>
      <c r="J656" s="837"/>
      <c r="K656" s="93"/>
      <c r="L656" s="837" t="s">
        <v>1046</v>
      </c>
      <c r="M656" s="837"/>
      <c r="N656" s="93"/>
      <c r="O656" s="837" t="s">
        <v>350</v>
      </c>
      <c r="P656" s="837"/>
      <c r="Q656" s="278"/>
      <c r="R656" s="892" t="s">
        <v>351</v>
      </c>
      <c r="S656" s="892"/>
      <c r="T656" s="94"/>
      <c r="U656" s="837" t="s">
        <v>352</v>
      </c>
      <c r="V656" s="837"/>
      <c r="W656" s="93"/>
      <c r="X656" s="837" t="s">
        <v>1047</v>
      </c>
      <c r="Y656" s="837"/>
    </row>
    <row r="657" spans="2:25" ht="28.8">
      <c r="B657" s="519" t="s">
        <v>1079</v>
      </c>
      <c r="C657" s="562" t="s">
        <v>1219</v>
      </c>
      <c r="D657" s="563" t="s">
        <v>353</v>
      </c>
      <c r="E657" s="563" t="s">
        <v>354</v>
      </c>
      <c r="F657" s="563" t="s">
        <v>355</v>
      </c>
      <c r="I657" s="171" t="s">
        <v>1080</v>
      </c>
      <c r="J657" s="95" t="s">
        <v>1081</v>
      </c>
      <c r="K657" s="95"/>
      <c r="L657" s="95" t="s">
        <v>1080</v>
      </c>
      <c r="M657" s="95" t="s">
        <v>1081</v>
      </c>
      <c r="N657" s="95"/>
      <c r="O657" s="95" t="s">
        <v>1080</v>
      </c>
      <c r="P657" s="95" t="s">
        <v>1081</v>
      </c>
      <c r="Q657" s="95" t="s">
        <v>1081</v>
      </c>
      <c r="R657" s="95" t="s">
        <v>1080</v>
      </c>
      <c r="S657" s="95" t="s">
        <v>1081</v>
      </c>
      <c r="T657" s="95"/>
      <c r="U657" s="95" t="s">
        <v>1080</v>
      </c>
      <c r="V657" s="95" t="s">
        <v>1081</v>
      </c>
      <c r="W657" s="95"/>
      <c r="X657" s="95" t="s">
        <v>1080</v>
      </c>
      <c r="Y657" s="95" t="s">
        <v>1081</v>
      </c>
    </row>
    <row r="658" spans="2:25">
      <c r="C658" s="564" t="s">
        <v>1220</v>
      </c>
      <c r="D658" s="565">
        <v>0.05</v>
      </c>
      <c r="E658" s="566">
        <v>0.05</v>
      </c>
      <c r="F658" s="565">
        <v>0</v>
      </c>
      <c r="I658" s="126">
        <f t="shared" ref="I658:J658" si="167">E658</f>
        <v>0.05</v>
      </c>
      <c r="J658" s="126">
        <f t="shared" si="167"/>
        <v>0</v>
      </c>
      <c r="K658" s="126"/>
      <c r="L658" s="87"/>
      <c r="M658" s="87"/>
      <c r="N658" s="87"/>
      <c r="O658" s="126"/>
      <c r="P658" s="126"/>
      <c r="Q658" s="125"/>
      <c r="R658" s="87"/>
      <c r="S658" s="87"/>
      <c r="T658" s="87"/>
      <c r="U658" s="87"/>
      <c r="V658" s="87"/>
      <c r="W658" s="87"/>
      <c r="X658" s="87"/>
      <c r="Y658" s="87"/>
    </row>
    <row r="659" spans="2:25" ht="28.8">
      <c r="C659" s="564" t="s">
        <v>1221</v>
      </c>
      <c r="D659" s="565">
        <v>0.35</v>
      </c>
      <c r="E659" s="566">
        <v>7.4999999999999997E-2</v>
      </c>
      <c r="F659" s="565">
        <v>0</v>
      </c>
      <c r="I659" s="126"/>
      <c r="J659" s="126"/>
      <c r="K659" s="126"/>
      <c r="L659" s="125"/>
      <c r="M659" s="125"/>
      <c r="N659" s="125"/>
      <c r="O659" s="125">
        <f>E659</f>
        <v>7.4999999999999997E-2</v>
      </c>
      <c r="P659" s="125">
        <f>F659</f>
        <v>0</v>
      </c>
      <c r="Q659" s="125"/>
      <c r="R659" s="125"/>
      <c r="S659" s="125"/>
      <c r="T659" s="125"/>
      <c r="U659" s="125"/>
      <c r="V659" s="125"/>
      <c r="W659" s="125"/>
      <c r="X659" s="87"/>
      <c r="Y659" s="87"/>
    </row>
    <row r="660" spans="2:25" ht="28.8">
      <c r="C660" s="564" t="s">
        <v>1222</v>
      </c>
      <c r="D660" s="565">
        <v>0</v>
      </c>
      <c r="E660" s="566">
        <v>0</v>
      </c>
      <c r="F660" s="565">
        <v>0</v>
      </c>
      <c r="I660" s="87"/>
      <c r="J660" s="87"/>
      <c r="K660" s="87"/>
      <c r="L660" s="87"/>
      <c r="M660" s="87"/>
      <c r="N660" s="87"/>
      <c r="O660" s="125"/>
      <c r="P660" s="125"/>
      <c r="Q660" s="87"/>
      <c r="R660" s="125"/>
      <c r="S660" s="125"/>
      <c r="T660" s="125"/>
      <c r="U660" s="125"/>
      <c r="V660" s="125"/>
      <c r="W660" s="125"/>
      <c r="X660" s="87"/>
      <c r="Y660" s="87"/>
    </row>
    <row r="661" spans="2:25">
      <c r="C661" s="564" t="s">
        <v>1223</v>
      </c>
      <c r="D661" s="565">
        <v>0.35</v>
      </c>
      <c r="E661" s="566">
        <v>0.05</v>
      </c>
      <c r="F661" s="565">
        <v>0.05</v>
      </c>
      <c r="I661" s="87"/>
      <c r="J661" s="87"/>
      <c r="K661" s="87"/>
      <c r="L661" s="87"/>
      <c r="M661" s="87"/>
      <c r="N661" s="87"/>
      <c r="O661" s="125">
        <f>E661</f>
        <v>0.05</v>
      </c>
      <c r="P661" s="125">
        <f>F661</f>
        <v>0.05</v>
      </c>
      <c r="Q661" s="87"/>
      <c r="R661" s="125"/>
      <c r="S661" s="125"/>
      <c r="T661" s="125"/>
      <c r="U661" s="125"/>
      <c r="V661" s="125"/>
      <c r="W661" s="125"/>
      <c r="X661" s="87"/>
      <c r="Y661" s="87"/>
    </row>
    <row r="662" spans="2:25">
      <c r="C662" s="564" t="s">
        <v>1224</v>
      </c>
      <c r="D662" s="565">
        <v>0.05</v>
      </c>
      <c r="E662" s="566">
        <v>0.3</v>
      </c>
      <c r="F662" s="565">
        <v>0</v>
      </c>
      <c r="I662" s="87"/>
      <c r="J662" s="87"/>
      <c r="K662" s="87"/>
      <c r="L662" s="87"/>
      <c r="M662" s="87"/>
      <c r="N662" s="87"/>
      <c r="O662" s="125">
        <f>E662</f>
        <v>0.3</v>
      </c>
      <c r="P662" s="125">
        <f>F662</f>
        <v>0</v>
      </c>
      <c r="Q662" s="87"/>
      <c r="R662" s="125"/>
      <c r="S662" s="125"/>
      <c r="T662" s="125"/>
      <c r="U662" s="125"/>
      <c r="V662" s="125"/>
      <c r="W662" s="125"/>
      <c r="X662" s="87"/>
      <c r="Y662" s="87"/>
    </row>
    <row r="663" spans="2:25">
      <c r="C663" s="567"/>
      <c r="D663" s="568">
        <f>SUM(D658:D662)</f>
        <v>0.8</v>
      </c>
      <c r="E663" s="569">
        <f>SUM(E658:E662)</f>
        <v>0.47499999999999998</v>
      </c>
      <c r="F663" s="568">
        <f>SUM(F658:F662)</f>
        <v>0.05</v>
      </c>
    </row>
    <row r="664" spans="2:25">
      <c r="E664" s="43">
        <f>D663-E663</f>
        <v>0.32500000000000007</v>
      </c>
      <c r="F664" s="6">
        <f>E663-F663</f>
        <v>0.42499999999999999</v>
      </c>
    </row>
    <row r="665" spans="2:25">
      <c r="C665" s="11"/>
      <c r="D665" s="22"/>
      <c r="E665" s="22"/>
      <c r="F665" s="15"/>
    </row>
    <row r="666" spans="2:25">
      <c r="C666" s="12" t="s">
        <v>389</v>
      </c>
      <c r="D666" s="15" t="s">
        <v>1225</v>
      </c>
      <c r="E666" s="15"/>
      <c r="F666" s="15"/>
    </row>
    <row r="667" spans="2:25">
      <c r="C667" s="53"/>
      <c r="D667" s="15"/>
      <c r="E667" s="15"/>
      <c r="F667" s="15"/>
    </row>
    <row r="668" spans="2:25">
      <c r="C668" s="11" t="s">
        <v>359</v>
      </c>
      <c r="D668" s="15"/>
      <c r="E668" s="15"/>
      <c r="F668" s="15"/>
    </row>
    <row r="669" spans="2:25">
      <c r="C669" s="11" t="s">
        <v>360</v>
      </c>
      <c r="D669" s="15"/>
      <c r="E669" s="15"/>
      <c r="F669" s="15"/>
    </row>
    <row r="670" spans="2:25">
      <c r="C670" s="11" t="s">
        <v>361</v>
      </c>
      <c r="D670" s="15"/>
      <c r="E670" s="15"/>
      <c r="F670" s="15"/>
    </row>
    <row r="671" spans="2:25">
      <c r="C671" s="11" t="s">
        <v>362</v>
      </c>
      <c r="D671" s="15"/>
      <c r="E671" s="15"/>
      <c r="F671" s="15"/>
    </row>
    <row r="672" spans="2:25">
      <c r="C672" s="11" t="s">
        <v>363</v>
      </c>
      <c r="D672" s="15"/>
      <c r="E672" s="15"/>
      <c r="F672" s="15"/>
    </row>
    <row r="673" spans="2:81">
      <c r="C673" s="109"/>
      <c r="D673" s="168"/>
      <c r="E673" s="169"/>
      <c r="F673" s="110"/>
      <c r="G673" s="100"/>
      <c r="H673" s="100"/>
      <c r="I673" s="100"/>
      <c r="J673" s="100"/>
      <c r="K673" s="100"/>
      <c r="L673" s="100"/>
      <c r="M673" s="100"/>
      <c r="N673" s="100"/>
      <c r="O673" s="100"/>
      <c r="P673" s="100"/>
      <c r="Q673" s="100"/>
      <c r="R673" s="100"/>
      <c r="S673" s="100"/>
      <c r="T673" s="100"/>
      <c r="U673" s="100"/>
      <c r="V673" s="100"/>
      <c r="W673" s="100"/>
      <c r="X673" s="100"/>
      <c r="Y673" s="100"/>
      <c r="Z673" s="100"/>
      <c r="AA673" s="100"/>
      <c r="AB673" s="100"/>
      <c r="AC673" s="100"/>
      <c r="AD673" s="332"/>
      <c r="AE673" s="100"/>
      <c r="AF673" s="100"/>
      <c r="AG673" s="100"/>
      <c r="AH673" s="100"/>
      <c r="AI673" s="100"/>
      <c r="AJ673" s="392"/>
      <c r="AK673" s="100"/>
      <c r="AL673" s="100"/>
      <c r="AM673" s="100"/>
      <c r="AN673" s="100"/>
      <c r="AO673" s="100"/>
      <c r="AP673" s="100"/>
      <c r="AQ673" s="100"/>
      <c r="AR673" s="100"/>
      <c r="AS673" s="100"/>
      <c r="AT673" s="100"/>
      <c r="AU673" s="100"/>
      <c r="AV673" s="100"/>
      <c r="AW673" s="100"/>
      <c r="AX673" s="100"/>
      <c r="AY673" s="100"/>
      <c r="AZ673" s="100"/>
      <c r="BA673" s="100"/>
      <c r="BB673" s="100"/>
      <c r="BC673" s="100"/>
      <c r="BD673" s="100"/>
      <c r="BE673" s="100"/>
      <c r="BF673" s="100"/>
      <c r="BG673" s="100"/>
      <c r="BH673" s="100"/>
      <c r="BI673" s="100"/>
      <c r="BJ673" s="100"/>
      <c r="BK673" s="100"/>
      <c r="BL673" s="100"/>
      <c r="BM673" s="100"/>
      <c r="BN673" s="100"/>
      <c r="BO673" s="100"/>
      <c r="BP673" s="100"/>
      <c r="BQ673" s="100"/>
      <c r="BR673" s="100"/>
      <c r="BS673" s="100"/>
      <c r="BT673" s="100"/>
      <c r="BU673" s="100"/>
      <c r="BV673" s="100"/>
      <c r="BW673" s="100"/>
      <c r="BX673" s="100"/>
      <c r="BY673" s="100"/>
      <c r="BZ673" s="100"/>
      <c r="CA673" s="100"/>
      <c r="CB673" s="100"/>
      <c r="CC673" s="100"/>
    </row>
    <row r="674" spans="2:81">
      <c r="C674" s="11"/>
      <c r="D674" s="15"/>
      <c r="E674" s="15"/>
      <c r="F674" s="15"/>
    </row>
    <row r="675" spans="2:81">
      <c r="C675" s="11"/>
      <c r="D675" s="15"/>
      <c r="E675" s="15"/>
      <c r="F675" s="15"/>
    </row>
    <row r="676" spans="2:81">
      <c r="C676" s="11"/>
      <c r="D676" s="15"/>
      <c r="E676" s="15"/>
      <c r="F676" s="15"/>
      <c r="I676" s="893" t="s">
        <v>1037</v>
      </c>
      <c r="J676" s="893"/>
      <c r="K676" s="893"/>
      <c r="L676" s="893"/>
      <c r="M676" s="893"/>
      <c r="N676" s="893"/>
      <c r="O676" s="893"/>
      <c r="P676" s="893"/>
      <c r="Q676" s="893"/>
      <c r="R676" s="893"/>
      <c r="S676" s="893"/>
      <c r="T676" s="893"/>
      <c r="U676" s="893"/>
      <c r="V676" s="893"/>
      <c r="W676" s="893"/>
      <c r="X676" s="893"/>
      <c r="Y676" s="893"/>
    </row>
    <row r="677" spans="2:81">
      <c r="C677" s="11"/>
      <c r="D677" s="15"/>
      <c r="E677" s="15"/>
      <c r="F677" s="15"/>
      <c r="I677" s="892" t="s">
        <v>1039</v>
      </c>
      <c r="J677" s="892"/>
      <c r="K677" s="892"/>
      <c r="L677" s="892"/>
      <c r="M677" s="892"/>
      <c r="N677" s="892"/>
      <c r="O677" s="892"/>
      <c r="P677" s="892"/>
      <c r="Q677" s="892"/>
      <c r="R677" s="892"/>
      <c r="S677" s="892"/>
      <c r="T677" s="892"/>
      <c r="U677" s="892"/>
      <c r="V677" s="892"/>
      <c r="W677" s="892"/>
      <c r="X677" s="892"/>
      <c r="Y677" s="95"/>
    </row>
    <row r="678" spans="2:81" ht="15" customHeight="1">
      <c r="C678" s="11"/>
      <c r="D678" s="15"/>
      <c r="E678" s="15"/>
      <c r="F678" s="15"/>
      <c r="I678" s="837" t="s">
        <v>1045</v>
      </c>
      <c r="J678" s="837"/>
      <c r="K678" s="93"/>
      <c r="L678" s="837" t="s">
        <v>1046</v>
      </c>
      <c r="M678" s="837"/>
      <c r="N678" s="93"/>
      <c r="O678" s="837" t="s">
        <v>350</v>
      </c>
      <c r="P678" s="837"/>
      <c r="Q678" s="278"/>
      <c r="R678" s="892" t="s">
        <v>351</v>
      </c>
      <c r="S678" s="892"/>
      <c r="T678" s="94"/>
      <c r="U678" s="837" t="s">
        <v>352</v>
      </c>
      <c r="V678" s="837"/>
      <c r="W678" s="93"/>
      <c r="X678" s="837" t="s">
        <v>1047</v>
      </c>
      <c r="Y678" s="837"/>
    </row>
    <row r="679" spans="2:81" ht="28.8">
      <c r="B679" s="519" t="s">
        <v>1079</v>
      </c>
      <c r="C679" s="12" t="s">
        <v>1226</v>
      </c>
      <c r="D679" s="16" t="s">
        <v>353</v>
      </c>
      <c r="E679" s="16" t="s">
        <v>354</v>
      </c>
      <c r="F679" s="16" t="s">
        <v>355</v>
      </c>
      <c r="I679" s="171" t="s">
        <v>1080</v>
      </c>
      <c r="J679" s="95" t="s">
        <v>1081</v>
      </c>
      <c r="K679" s="95"/>
      <c r="L679" s="95" t="s">
        <v>1080</v>
      </c>
      <c r="M679" s="95" t="s">
        <v>1081</v>
      </c>
      <c r="N679" s="95"/>
      <c r="O679" s="95" t="s">
        <v>1080</v>
      </c>
      <c r="P679" s="95" t="s">
        <v>1081</v>
      </c>
      <c r="Q679" s="95" t="s">
        <v>1081</v>
      </c>
      <c r="R679" s="95" t="s">
        <v>1080</v>
      </c>
      <c r="S679" s="95" t="s">
        <v>1081</v>
      </c>
      <c r="T679" s="95"/>
      <c r="U679" s="95" t="s">
        <v>1080</v>
      </c>
      <c r="V679" s="95" t="s">
        <v>1081</v>
      </c>
      <c r="W679" s="95"/>
      <c r="X679" s="95" t="s">
        <v>1080</v>
      </c>
      <c r="Y679" s="95" t="s">
        <v>1081</v>
      </c>
    </row>
    <row r="680" spans="2:81">
      <c r="C680" s="187" t="s">
        <v>1227</v>
      </c>
      <c r="D680" s="18">
        <v>0.3</v>
      </c>
      <c r="E680" s="18">
        <v>0</v>
      </c>
      <c r="F680" s="18">
        <v>0</v>
      </c>
      <c r="I680" s="125"/>
      <c r="J680" s="125"/>
      <c r="K680" s="125"/>
      <c r="L680" s="87"/>
      <c r="M680" s="87"/>
      <c r="N680" s="87"/>
      <c r="O680" s="125"/>
      <c r="P680" s="125"/>
      <c r="Q680" s="125"/>
      <c r="R680" s="87"/>
      <c r="S680" s="87"/>
      <c r="T680" s="87"/>
      <c r="U680" s="87"/>
      <c r="V680" s="87"/>
      <c r="W680" s="87"/>
      <c r="X680" s="87"/>
      <c r="Y680" s="87"/>
    </row>
    <row r="681" spans="2:81">
      <c r="C681" s="11"/>
      <c r="D681" s="22">
        <f>SUM(D680:D680)</f>
        <v>0.3</v>
      </c>
      <c r="E681" s="18">
        <f>SUM(E680:E680)</f>
        <v>0</v>
      </c>
      <c r="F681" s="18">
        <f>SUM(F680:F680)</f>
        <v>0</v>
      </c>
      <c r="O681" s="6"/>
      <c r="P681" s="6"/>
      <c r="R681" s="6"/>
      <c r="S681" s="6"/>
      <c r="T681" s="6"/>
      <c r="U681" s="6"/>
      <c r="V681" s="6"/>
      <c r="W681" s="6"/>
    </row>
    <row r="682" spans="2:81">
      <c r="C682" s="11"/>
      <c r="D682" s="22"/>
      <c r="E682" s="18">
        <f>D681-E681</f>
        <v>0.3</v>
      </c>
      <c r="F682" s="18">
        <f>E681-F681</f>
        <v>0</v>
      </c>
      <c r="O682" s="6"/>
      <c r="P682" s="6"/>
      <c r="R682" s="6"/>
      <c r="S682" s="6"/>
      <c r="T682" s="6"/>
      <c r="U682" s="6"/>
      <c r="V682" s="6"/>
      <c r="W682" s="6"/>
    </row>
    <row r="683" spans="2:81">
      <c r="C683" s="11"/>
      <c r="D683" s="15"/>
      <c r="E683" s="15"/>
      <c r="F683" s="15"/>
      <c r="O683" s="6"/>
      <c r="P683" s="6"/>
      <c r="R683" s="6"/>
      <c r="S683" s="6"/>
      <c r="T683" s="6"/>
      <c r="U683" s="6"/>
      <c r="V683" s="6"/>
      <c r="W683" s="6"/>
    </row>
    <row r="684" spans="2:81">
      <c r="C684" s="12" t="s">
        <v>389</v>
      </c>
      <c r="D684" s="15" t="s">
        <v>1228</v>
      </c>
      <c r="E684" s="15"/>
      <c r="F684" s="15"/>
      <c r="O684" s="6"/>
      <c r="P684" s="6"/>
      <c r="R684" s="6"/>
      <c r="S684" s="6"/>
      <c r="T684" s="6"/>
      <c r="U684" s="6"/>
      <c r="V684" s="6"/>
      <c r="W684" s="6"/>
    </row>
    <row r="685" spans="2:81">
      <c r="C685" s="53"/>
      <c r="D685" s="15"/>
      <c r="E685" s="15"/>
      <c r="F685" s="15"/>
      <c r="O685" s="6"/>
      <c r="P685" s="6"/>
      <c r="R685" s="6"/>
      <c r="S685" s="6"/>
      <c r="T685" s="6"/>
      <c r="U685" s="6"/>
      <c r="V685" s="6"/>
      <c r="W685" s="6"/>
    </row>
    <row r="686" spans="2:81">
      <c r="C686" s="11" t="s">
        <v>359</v>
      </c>
      <c r="D686" s="15"/>
      <c r="E686" s="15"/>
      <c r="F686" s="15"/>
      <c r="O686" s="6"/>
      <c r="P686" s="6"/>
      <c r="R686" s="6"/>
      <c r="S686" s="6"/>
      <c r="T686" s="6"/>
      <c r="U686" s="6"/>
      <c r="V686" s="6"/>
      <c r="W686" s="6"/>
    </row>
    <row r="687" spans="2:81">
      <c r="C687" s="11" t="s">
        <v>360</v>
      </c>
      <c r="D687" s="15"/>
      <c r="E687" s="15"/>
      <c r="F687" s="15"/>
    </row>
    <row r="688" spans="2:81">
      <c r="C688" s="11" t="s">
        <v>361</v>
      </c>
      <c r="D688" s="15"/>
      <c r="E688" s="15"/>
      <c r="F688" s="15"/>
    </row>
    <row r="689" spans="2:81">
      <c r="C689" s="11" t="s">
        <v>362</v>
      </c>
      <c r="D689" s="15"/>
      <c r="E689" s="15"/>
      <c r="F689" s="15"/>
    </row>
    <row r="690" spans="2:81">
      <c r="C690" s="11" t="s">
        <v>363</v>
      </c>
      <c r="D690" s="15"/>
      <c r="E690" s="15"/>
      <c r="F690" s="15"/>
    </row>
    <row r="691" spans="2:81">
      <c r="C691" s="109"/>
      <c r="D691" s="168"/>
      <c r="E691" s="169"/>
      <c r="F691" s="110"/>
      <c r="G691" s="100"/>
      <c r="H691" s="100"/>
      <c r="I691" s="100"/>
      <c r="J691" s="100"/>
      <c r="K691" s="100"/>
      <c r="L691" s="100"/>
      <c r="M691" s="100"/>
      <c r="N691" s="100"/>
      <c r="O691" s="100"/>
      <c r="P691" s="100"/>
      <c r="Q691" s="100"/>
      <c r="R691" s="100"/>
      <c r="S691" s="100"/>
      <c r="T691" s="100"/>
      <c r="U691" s="100"/>
      <c r="V691" s="100"/>
      <c r="W691" s="100"/>
      <c r="X691" s="100"/>
      <c r="Y691" s="100"/>
      <c r="Z691" s="100"/>
      <c r="AA691" s="100"/>
      <c r="AB691" s="100"/>
      <c r="AC691" s="100"/>
      <c r="AD691" s="332"/>
      <c r="AE691" s="100"/>
      <c r="AF691" s="100"/>
      <c r="AG691" s="100"/>
      <c r="AH691" s="100"/>
      <c r="AI691" s="100"/>
      <c r="AJ691" s="392"/>
      <c r="AK691" s="100"/>
      <c r="AL691" s="100"/>
      <c r="AM691" s="100"/>
      <c r="AN691" s="100"/>
      <c r="AO691" s="100"/>
      <c r="AP691" s="100"/>
      <c r="AQ691" s="100"/>
      <c r="AR691" s="100"/>
      <c r="AS691" s="100"/>
      <c r="AT691" s="100"/>
      <c r="AU691" s="100"/>
      <c r="AV691" s="100"/>
      <c r="AW691" s="100"/>
      <c r="AX691" s="100"/>
      <c r="AY691" s="100"/>
      <c r="AZ691" s="100"/>
      <c r="BA691" s="100"/>
      <c r="BB691" s="100"/>
      <c r="BC691" s="100"/>
      <c r="BD691" s="100"/>
      <c r="BE691" s="100"/>
      <c r="BF691" s="100"/>
      <c r="BG691" s="100"/>
      <c r="BH691" s="100"/>
      <c r="BI691" s="100"/>
      <c r="BJ691" s="100"/>
      <c r="BK691" s="100"/>
      <c r="BL691" s="100"/>
      <c r="BM691" s="100"/>
      <c r="BN691" s="100"/>
      <c r="BO691" s="100"/>
      <c r="BP691" s="100"/>
      <c r="BQ691" s="100"/>
      <c r="BR691" s="100"/>
      <c r="BS691" s="100"/>
      <c r="BT691" s="100"/>
      <c r="BU691" s="100"/>
      <c r="BV691" s="100"/>
      <c r="BW691" s="100"/>
      <c r="BX691" s="100"/>
      <c r="BY691" s="100"/>
      <c r="BZ691" s="100"/>
      <c r="CA691" s="100"/>
      <c r="CB691" s="100"/>
      <c r="CC691" s="100"/>
    </row>
    <row r="692" spans="2:81">
      <c r="C692" s="11"/>
      <c r="D692" s="22"/>
      <c r="E692" s="18"/>
      <c r="F692" s="15"/>
    </row>
    <row r="693" spans="2:81">
      <c r="B693" t="s">
        <v>321</v>
      </c>
      <c r="C693" s="11"/>
      <c r="D693" s="22"/>
      <c r="E693" s="18"/>
      <c r="F693" s="15"/>
    </row>
    <row r="694" spans="2:81">
      <c r="C694" s="11"/>
      <c r="D694" s="22"/>
      <c r="E694" s="18"/>
      <c r="F694" s="15"/>
    </row>
    <row r="695" spans="2:81">
      <c r="C695" s="11"/>
      <c r="D695" s="22"/>
      <c r="E695" s="18"/>
      <c r="F695" s="15"/>
      <c r="I695" s="893" t="s">
        <v>1037</v>
      </c>
      <c r="J695" s="893"/>
      <c r="K695" s="893"/>
      <c r="L695" s="893"/>
      <c r="M695" s="893"/>
      <c r="N695" s="893"/>
      <c r="O695" s="893"/>
      <c r="P695" s="893"/>
      <c r="Q695" s="893"/>
      <c r="R695" s="893"/>
      <c r="S695" s="893"/>
      <c r="T695" s="893"/>
      <c r="U695" s="893"/>
      <c r="V695" s="893"/>
      <c r="W695" s="893"/>
      <c r="X695" s="893"/>
      <c r="Y695" s="893"/>
    </row>
    <row r="696" spans="2:81">
      <c r="C696" s="11"/>
      <c r="D696" s="22"/>
      <c r="E696" s="18"/>
      <c r="F696" s="15"/>
      <c r="I696" s="892" t="s">
        <v>1039</v>
      </c>
      <c r="J696" s="892"/>
      <c r="K696" s="892"/>
      <c r="L696" s="892"/>
      <c r="M696" s="892"/>
      <c r="N696" s="892"/>
      <c r="O696" s="892"/>
      <c r="P696" s="892"/>
      <c r="Q696" s="892"/>
      <c r="R696" s="892"/>
      <c r="S696" s="892"/>
      <c r="T696" s="892"/>
      <c r="U696" s="892"/>
      <c r="V696" s="892"/>
      <c r="W696" s="892"/>
      <c r="X696" s="892"/>
      <c r="Y696" s="95"/>
    </row>
    <row r="697" spans="2:81" ht="15" customHeight="1">
      <c r="C697" s="11"/>
      <c r="D697" s="22"/>
      <c r="E697" s="18"/>
      <c r="F697" s="15"/>
      <c r="I697" s="837" t="s">
        <v>1045</v>
      </c>
      <c r="J697" s="837"/>
      <c r="K697" s="93"/>
      <c r="L697" s="837" t="s">
        <v>1046</v>
      </c>
      <c r="M697" s="837"/>
      <c r="N697" s="93"/>
      <c r="O697" s="837" t="s">
        <v>350</v>
      </c>
      <c r="P697" s="837"/>
      <c r="Q697" s="278"/>
      <c r="R697" s="892" t="s">
        <v>351</v>
      </c>
      <c r="S697" s="892"/>
      <c r="T697" s="94"/>
      <c r="U697" s="837" t="s">
        <v>352</v>
      </c>
      <c r="V697" s="837"/>
      <c r="W697" s="93"/>
      <c r="X697" s="837" t="s">
        <v>1047</v>
      </c>
      <c r="Y697" s="837"/>
    </row>
    <row r="698" spans="2:81" ht="28.8">
      <c r="B698" s="519" t="s">
        <v>1079</v>
      </c>
      <c r="C698" s="214" t="s">
        <v>8</v>
      </c>
      <c r="D698" s="16" t="s">
        <v>353</v>
      </c>
      <c r="E698" s="16" t="s">
        <v>354</v>
      </c>
      <c r="F698" s="16" t="s">
        <v>355</v>
      </c>
      <c r="I698" s="171" t="s">
        <v>1080</v>
      </c>
      <c r="J698" s="95" t="s">
        <v>1081</v>
      </c>
      <c r="K698" s="95"/>
      <c r="L698" s="95" t="s">
        <v>1080</v>
      </c>
      <c r="M698" s="95" t="s">
        <v>1081</v>
      </c>
      <c r="N698" s="95"/>
      <c r="O698" s="95" t="s">
        <v>1080</v>
      </c>
      <c r="P698" s="95" t="s">
        <v>1081</v>
      </c>
      <c r="Q698" s="95" t="s">
        <v>1081</v>
      </c>
      <c r="R698" s="95" t="s">
        <v>1080</v>
      </c>
      <c r="S698" s="95" t="s">
        <v>1081</v>
      </c>
      <c r="T698" s="95"/>
      <c r="U698" s="95" t="s">
        <v>1080</v>
      </c>
      <c r="V698" s="95" t="s">
        <v>1081</v>
      </c>
      <c r="W698" s="95"/>
      <c r="X698" s="95" t="s">
        <v>1080</v>
      </c>
      <c r="Y698" s="95" t="s">
        <v>1081</v>
      </c>
    </row>
    <row r="699" spans="2:81">
      <c r="C699" s="187" t="s">
        <v>1229</v>
      </c>
      <c r="D699" s="18">
        <v>0.2</v>
      </c>
      <c r="E699" s="18">
        <v>0</v>
      </c>
      <c r="F699" s="18">
        <v>0</v>
      </c>
      <c r="I699" s="125"/>
      <c r="J699" s="125"/>
      <c r="K699" s="125"/>
      <c r="L699" s="87"/>
      <c r="M699" s="87"/>
      <c r="N699" s="87"/>
      <c r="O699" s="125"/>
      <c r="P699" s="125"/>
      <c r="Q699" s="125"/>
      <c r="R699" s="87"/>
      <c r="S699" s="87"/>
      <c r="T699" s="87"/>
      <c r="U699" s="87"/>
      <c r="V699" s="87"/>
      <c r="W699" s="87"/>
      <c r="X699" s="87"/>
      <c r="Y699" s="87"/>
    </row>
    <row r="700" spans="2:81">
      <c r="C700" s="11"/>
      <c r="D700" s="22">
        <f>SUM(D699:D699)</f>
        <v>0.2</v>
      </c>
      <c r="E700" s="22">
        <f>SUM(E699:E699)</f>
        <v>0</v>
      </c>
      <c r="F700" s="22">
        <f>SUM(F699:F699)</f>
        <v>0</v>
      </c>
      <c r="O700" s="6"/>
      <c r="P700" s="6"/>
      <c r="R700" s="6"/>
      <c r="S700" s="6"/>
      <c r="T700" s="6"/>
      <c r="U700" s="6"/>
      <c r="V700" s="6"/>
      <c r="W700" s="6"/>
    </row>
    <row r="701" spans="2:81">
      <c r="C701" s="11"/>
      <c r="D701" s="22"/>
      <c r="E701" s="18">
        <f>D700-E700</f>
        <v>0.2</v>
      </c>
      <c r="F701" s="18">
        <f>E700-F700</f>
        <v>0</v>
      </c>
      <c r="O701" s="6"/>
      <c r="P701" s="6"/>
      <c r="R701" s="6"/>
      <c r="S701" s="6"/>
      <c r="T701" s="6"/>
      <c r="U701" s="6"/>
      <c r="V701" s="6"/>
      <c r="W701" s="6"/>
    </row>
    <row r="702" spans="2:81">
      <c r="C702" s="12" t="s">
        <v>389</v>
      </c>
      <c r="D702" s="545" t="s">
        <v>1099</v>
      </c>
      <c r="E702" s="18"/>
      <c r="F702" s="15"/>
      <c r="O702" s="6"/>
      <c r="P702" s="6"/>
      <c r="R702" s="6"/>
      <c r="S702" s="6"/>
      <c r="T702" s="6"/>
      <c r="U702" s="6"/>
      <c r="V702" s="6"/>
      <c r="W702" s="6"/>
    </row>
    <row r="703" spans="2:81">
      <c r="C703" s="53"/>
      <c r="D703" s="22"/>
      <c r="E703" s="18"/>
      <c r="F703" s="15"/>
      <c r="O703" s="6"/>
      <c r="P703" s="6"/>
      <c r="R703" s="6"/>
      <c r="S703" s="6"/>
      <c r="T703" s="6"/>
      <c r="U703" s="6"/>
      <c r="V703" s="6"/>
      <c r="W703" s="6"/>
    </row>
    <row r="704" spans="2:81">
      <c r="C704" s="11" t="s">
        <v>359</v>
      </c>
      <c r="D704" s="22"/>
      <c r="E704" s="18"/>
      <c r="F704" s="15"/>
      <c r="O704" s="6"/>
      <c r="P704" s="6"/>
      <c r="R704" s="6"/>
      <c r="S704" s="6"/>
      <c r="T704" s="6"/>
      <c r="U704" s="6"/>
      <c r="V704" s="6"/>
      <c r="W704" s="6"/>
    </row>
    <row r="705" spans="2:81">
      <c r="C705" s="11" t="s">
        <v>360</v>
      </c>
      <c r="D705" s="22"/>
      <c r="E705" s="18"/>
      <c r="F705" s="15"/>
    </row>
    <row r="706" spans="2:81">
      <c r="C706" s="11" t="s">
        <v>361</v>
      </c>
      <c r="D706" s="22"/>
      <c r="E706" s="18"/>
      <c r="F706" s="15"/>
    </row>
    <row r="707" spans="2:81">
      <c r="C707" s="11" t="s">
        <v>362</v>
      </c>
      <c r="D707" s="22"/>
      <c r="E707" s="18"/>
      <c r="F707" s="15"/>
    </row>
    <row r="708" spans="2:81">
      <c r="C708" s="11" t="s">
        <v>363</v>
      </c>
      <c r="D708" s="22"/>
      <c r="E708" s="18"/>
      <c r="F708" s="15"/>
    </row>
    <row r="709" spans="2:81">
      <c r="C709" s="109"/>
      <c r="D709" s="168"/>
      <c r="E709" s="169"/>
      <c r="F709" s="110"/>
      <c r="G709" s="100"/>
      <c r="H709" s="100"/>
      <c r="I709" s="100"/>
      <c r="J709" s="100"/>
      <c r="K709" s="100"/>
      <c r="L709" s="100"/>
      <c r="M709" s="100"/>
      <c r="N709" s="100"/>
      <c r="O709" s="100"/>
      <c r="P709" s="100"/>
      <c r="Q709" s="100"/>
      <c r="R709" s="100"/>
      <c r="S709" s="100"/>
      <c r="T709" s="100"/>
      <c r="U709" s="100"/>
      <c r="V709" s="100"/>
      <c r="W709" s="100"/>
      <c r="X709" s="100"/>
      <c r="Y709" s="100"/>
      <c r="Z709" s="100"/>
      <c r="AA709" s="100"/>
      <c r="AB709" s="100"/>
      <c r="AC709" s="100"/>
      <c r="AD709" s="332"/>
      <c r="AE709" s="100"/>
      <c r="AF709" s="100"/>
      <c r="AG709" s="100"/>
      <c r="AH709" s="100"/>
      <c r="AI709" s="100"/>
      <c r="AJ709" s="392"/>
      <c r="AK709" s="100"/>
      <c r="AL709" s="100"/>
      <c r="AM709" s="100"/>
      <c r="AN709" s="100"/>
      <c r="AO709" s="100"/>
      <c r="AP709" s="100"/>
      <c r="AQ709" s="100"/>
      <c r="AR709" s="100"/>
      <c r="AS709" s="100"/>
      <c r="AT709" s="100"/>
      <c r="AU709" s="100"/>
      <c r="AV709" s="100"/>
      <c r="AW709" s="100"/>
      <c r="AX709" s="100"/>
      <c r="AY709" s="100"/>
      <c r="AZ709" s="100"/>
      <c r="BA709" s="100"/>
      <c r="BB709" s="100"/>
      <c r="BC709" s="100"/>
      <c r="BD709" s="100"/>
      <c r="BE709" s="100"/>
      <c r="BF709" s="100"/>
      <c r="BG709" s="100"/>
      <c r="BH709" s="100"/>
      <c r="BI709" s="100"/>
      <c r="BJ709" s="100"/>
      <c r="BK709" s="100"/>
      <c r="BL709" s="100"/>
      <c r="BM709" s="100"/>
      <c r="BN709" s="100"/>
      <c r="BO709" s="100"/>
      <c r="BP709" s="100"/>
      <c r="BQ709" s="100"/>
      <c r="BR709" s="100"/>
      <c r="BS709" s="100"/>
      <c r="BT709" s="100"/>
      <c r="BU709" s="100"/>
      <c r="BV709" s="100"/>
      <c r="BW709" s="100"/>
      <c r="BX709" s="100"/>
      <c r="BY709" s="100"/>
      <c r="BZ709" s="100"/>
      <c r="CA709" s="100"/>
      <c r="CB709" s="100"/>
      <c r="CC709" s="100"/>
    </row>
    <row r="710" spans="2:81">
      <c r="C710" s="11"/>
      <c r="D710" s="22"/>
      <c r="E710" s="18"/>
      <c r="F710" s="15"/>
    </row>
    <row r="711" spans="2:81">
      <c r="C711" s="11"/>
      <c r="D711" s="22"/>
      <c r="E711" s="18"/>
      <c r="F711" s="15"/>
    </row>
    <row r="712" spans="2:81">
      <c r="C712" s="11"/>
      <c r="D712" s="22"/>
      <c r="E712" s="18"/>
      <c r="F712" s="15"/>
      <c r="I712" s="893" t="s">
        <v>1037</v>
      </c>
      <c r="J712" s="893"/>
      <c r="K712" s="893"/>
      <c r="L712" s="893"/>
      <c r="M712" s="893"/>
      <c r="N712" s="893"/>
      <c r="O712" s="893"/>
      <c r="P712" s="893"/>
      <c r="Q712" s="893"/>
      <c r="R712" s="893"/>
      <c r="S712" s="893"/>
      <c r="T712" s="893"/>
      <c r="U712" s="893"/>
      <c r="V712" s="893"/>
      <c r="W712" s="893"/>
      <c r="X712" s="893"/>
      <c r="Y712" s="893"/>
    </row>
    <row r="713" spans="2:81">
      <c r="C713" s="11"/>
      <c r="D713" s="22"/>
      <c r="E713" s="18"/>
      <c r="F713" s="15"/>
      <c r="I713" s="892" t="s">
        <v>1039</v>
      </c>
      <c r="J713" s="892"/>
      <c r="K713" s="892"/>
      <c r="L713" s="892"/>
      <c r="M713" s="892"/>
      <c r="N713" s="892"/>
      <c r="O713" s="892"/>
      <c r="P713" s="892"/>
      <c r="Q713" s="892"/>
      <c r="R713" s="892"/>
      <c r="S713" s="892"/>
      <c r="T713" s="892"/>
      <c r="U713" s="892"/>
      <c r="V713" s="892"/>
      <c r="W713" s="892"/>
      <c r="X713" s="892"/>
      <c r="Y713" s="95"/>
    </row>
    <row r="714" spans="2:81" ht="15" customHeight="1">
      <c r="C714" s="11"/>
      <c r="D714" s="22"/>
      <c r="E714" s="18"/>
      <c r="F714" s="15"/>
      <c r="I714" s="837" t="s">
        <v>1045</v>
      </c>
      <c r="J714" s="837"/>
      <c r="K714" s="93"/>
      <c r="L714" s="837" t="s">
        <v>1046</v>
      </c>
      <c r="M714" s="837"/>
      <c r="N714" s="93"/>
      <c r="O714" s="837" t="s">
        <v>350</v>
      </c>
      <c r="P714" s="837"/>
      <c r="Q714" s="278"/>
      <c r="R714" s="892" t="s">
        <v>351</v>
      </c>
      <c r="S714" s="892"/>
      <c r="T714" s="94"/>
      <c r="U714" s="837" t="s">
        <v>352</v>
      </c>
      <c r="V714" s="837"/>
      <c r="W714" s="93"/>
      <c r="X714" s="837" t="s">
        <v>1047</v>
      </c>
      <c r="Y714" s="837"/>
    </row>
    <row r="715" spans="2:81" ht="28.8">
      <c r="B715" s="519" t="s">
        <v>1079</v>
      </c>
      <c r="C715" s="214" t="s">
        <v>9</v>
      </c>
      <c r="D715" s="16" t="s">
        <v>353</v>
      </c>
      <c r="E715" s="16" t="s">
        <v>354</v>
      </c>
      <c r="F715" s="16" t="s">
        <v>355</v>
      </c>
      <c r="I715" s="171" t="s">
        <v>1080</v>
      </c>
      <c r="J715" s="95" t="s">
        <v>1081</v>
      </c>
      <c r="K715" s="95"/>
      <c r="L715" s="95" t="s">
        <v>1080</v>
      </c>
      <c r="M715" s="95" t="s">
        <v>1081</v>
      </c>
      <c r="N715" s="95"/>
      <c r="O715" s="95" t="s">
        <v>1080</v>
      </c>
      <c r="P715" s="95" t="s">
        <v>1081</v>
      </c>
      <c r="Q715" s="95" t="s">
        <v>1081</v>
      </c>
      <c r="R715" s="95" t="s">
        <v>1080</v>
      </c>
      <c r="S715" s="95" t="s">
        <v>1081</v>
      </c>
      <c r="T715" s="95"/>
      <c r="U715" s="95" t="s">
        <v>1080</v>
      </c>
      <c r="V715" s="95" t="s">
        <v>1081</v>
      </c>
      <c r="W715" s="95"/>
      <c r="X715" s="95" t="s">
        <v>1080</v>
      </c>
      <c r="Y715" s="95" t="s">
        <v>1081</v>
      </c>
    </row>
    <row r="716" spans="2:81" s="560" customFormat="1" ht="28.8">
      <c r="C716" s="216" t="s">
        <v>1230</v>
      </c>
      <c r="D716" s="262"/>
      <c r="E716" s="262"/>
      <c r="F716" s="262"/>
      <c r="I716" s="171"/>
      <c r="J716" s="95"/>
      <c r="K716" s="95"/>
      <c r="L716" s="95"/>
      <c r="M716" s="95"/>
      <c r="N716" s="95"/>
      <c r="O716" s="95"/>
      <c r="P716" s="95"/>
      <c r="Q716" s="95"/>
      <c r="R716" s="95"/>
      <c r="S716" s="95"/>
      <c r="T716" s="95"/>
      <c r="U716" s="95"/>
      <c r="V716" s="95"/>
      <c r="W716" s="95"/>
      <c r="X716" s="95"/>
      <c r="Y716" s="95"/>
      <c r="AD716" s="570"/>
      <c r="AJ716" s="571"/>
    </row>
    <row r="717" spans="2:81">
      <c r="C717" s="564" t="s">
        <v>1220</v>
      </c>
      <c r="D717" s="16"/>
      <c r="E717" s="16"/>
      <c r="F717" s="16"/>
      <c r="I717" s="171"/>
      <c r="J717" s="95"/>
      <c r="K717" s="95"/>
      <c r="L717" s="95"/>
      <c r="M717" s="95"/>
      <c r="N717" s="95"/>
      <c r="O717" s="95"/>
      <c r="P717" s="95"/>
      <c r="Q717" s="95"/>
      <c r="R717" s="95"/>
      <c r="S717" s="95"/>
      <c r="T717" s="95"/>
      <c r="U717" s="95"/>
      <c r="V717" s="95"/>
      <c r="W717" s="95"/>
      <c r="X717" s="95"/>
      <c r="Y717" s="95"/>
    </row>
    <row r="718" spans="2:81" ht="28.8">
      <c r="C718" s="564" t="s">
        <v>1221</v>
      </c>
      <c r="D718" s="16"/>
      <c r="E718" s="16"/>
      <c r="F718" s="16"/>
      <c r="I718" s="171"/>
      <c r="J718" s="95"/>
      <c r="K718" s="95"/>
      <c r="L718" s="95"/>
      <c r="M718" s="95"/>
      <c r="N718" s="95"/>
      <c r="O718" s="95"/>
      <c r="P718" s="95"/>
      <c r="Q718" s="95"/>
      <c r="R718" s="95"/>
      <c r="S718" s="95"/>
      <c r="T718" s="95"/>
      <c r="U718" s="95"/>
      <c r="V718" s="95"/>
      <c r="W718" s="95"/>
      <c r="X718" s="95"/>
      <c r="Y718" s="95"/>
    </row>
    <row r="719" spans="2:81" ht="28.8">
      <c r="C719" s="564" t="s">
        <v>1222</v>
      </c>
      <c r="D719" s="16"/>
      <c r="E719" s="16"/>
      <c r="F719" s="16"/>
      <c r="I719" s="171"/>
      <c r="J719" s="95"/>
      <c r="K719" s="95"/>
      <c r="L719" s="95"/>
      <c r="M719" s="95"/>
      <c r="N719" s="95"/>
      <c r="O719" s="95"/>
      <c r="P719" s="95"/>
      <c r="Q719" s="95"/>
      <c r="R719" s="95"/>
      <c r="S719" s="95"/>
      <c r="T719" s="95"/>
      <c r="U719" s="95"/>
      <c r="V719" s="95"/>
      <c r="W719" s="95"/>
      <c r="X719" s="95"/>
      <c r="Y719" s="95"/>
    </row>
    <row r="720" spans="2:81">
      <c r="C720" s="564" t="s">
        <v>1223</v>
      </c>
      <c r="D720" s="16"/>
      <c r="E720" s="16"/>
      <c r="F720" s="16"/>
      <c r="I720" s="171"/>
      <c r="J720" s="95"/>
      <c r="K720" s="95"/>
      <c r="L720" s="95"/>
      <c r="M720" s="95"/>
      <c r="N720" s="95"/>
      <c r="O720" s="95"/>
      <c r="P720" s="95"/>
      <c r="Q720" s="95"/>
      <c r="R720" s="95"/>
      <c r="S720" s="95"/>
      <c r="T720" s="95"/>
      <c r="U720" s="95"/>
      <c r="V720" s="95"/>
      <c r="W720" s="95"/>
      <c r="X720" s="95"/>
      <c r="Y720" s="95"/>
    </row>
    <row r="721" spans="3:81">
      <c r="C721" s="564" t="s">
        <v>1224</v>
      </c>
      <c r="D721" s="16"/>
      <c r="E721" s="16"/>
      <c r="F721" s="16"/>
      <c r="I721" s="171"/>
      <c r="J721" s="95"/>
      <c r="K721" s="95"/>
      <c r="L721" s="95"/>
      <c r="M721" s="95"/>
      <c r="N721" s="95"/>
      <c r="O721" s="95"/>
      <c r="P721" s="95"/>
      <c r="Q721" s="95"/>
      <c r="R721" s="95"/>
      <c r="S721" s="95"/>
      <c r="T721" s="95"/>
      <c r="U721" s="95"/>
      <c r="V721" s="95"/>
      <c r="W721" s="95"/>
      <c r="X721" s="95"/>
      <c r="Y721" s="95"/>
    </row>
    <row r="722" spans="3:81">
      <c r="C722" s="474"/>
      <c r="D722" s="16"/>
      <c r="E722" s="16"/>
      <c r="F722" s="16"/>
      <c r="I722" s="171"/>
      <c r="J722" s="95"/>
      <c r="K722" s="95"/>
      <c r="L722" s="95"/>
      <c r="M722" s="95"/>
      <c r="N722" s="95"/>
      <c r="O722" s="95"/>
      <c r="P722" s="95"/>
      <c r="Q722" s="95"/>
      <c r="R722" s="95"/>
      <c r="S722" s="95"/>
      <c r="T722" s="95"/>
      <c r="U722" s="95"/>
      <c r="V722" s="95"/>
      <c r="W722" s="95"/>
      <c r="X722" s="95"/>
      <c r="Y722" s="95"/>
    </row>
    <row r="723" spans="3:81">
      <c r="C723" s="11"/>
      <c r="D723" s="22"/>
      <c r="E723" s="230"/>
      <c r="F723" s="22"/>
    </row>
    <row r="724" spans="3:81">
      <c r="C724" s="11"/>
      <c r="D724" s="22"/>
      <c r="E724" s="22"/>
      <c r="F724" s="22"/>
    </row>
    <row r="725" spans="3:81">
      <c r="C725" s="12" t="s">
        <v>389</v>
      </c>
      <c r="D725" s="16">
        <v>10</v>
      </c>
      <c r="E725" s="18"/>
      <c r="F725" s="15"/>
    </row>
    <row r="726" spans="3:81">
      <c r="C726" s="11"/>
      <c r="D726" s="22"/>
      <c r="E726" s="18"/>
      <c r="F726" s="15"/>
    </row>
    <row r="727" spans="3:81">
      <c r="C727" s="11" t="s">
        <v>359</v>
      </c>
      <c r="D727" s="22"/>
      <c r="E727" s="18"/>
      <c r="F727" s="15"/>
    </row>
    <row r="728" spans="3:81">
      <c r="C728" s="11" t="s">
        <v>360</v>
      </c>
      <c r="D728" s="22"/>
      <c r="E728" s="18"/>
      <c r="F728" s="15"/>
    </row>
    <row r="729" spans="3:81">
      <c r="C729" s="11" t="s">
        <v>361</v>
      </c>
      <c r="D729" s="22"/>
      <c r="E729" s="18"/>
      <c r="F729" s="15"/>
    </row>
    <row r="730" spans="3:81">
      <c r="C730" s="11" t="s">
        <v>362</v>
      </c>
      <c r="D730" s="22"/>
      <c r="E730" s="18"/>
      <c r="F730" s="15"/>
    </row>
    <row r="731" spans="3:81">
      <c r="C731" s="11" t="s">
        <v>363</v>
      </c>
      <c r="D731" s="22"/>
      <c r="E731" s="18"/>
      <c r="F731" s="15"/>
    </row>
    <row r="732" spans="3:81">
      <c r="C732" s="109"/>
      <c r="D732" s="168"/>
      <c r="E732" s="169"/>
      <c r="F732" s="110"/>
      <c r="G732" s="100"/>
      <c r="H732" s="100"/>
      <c r="I732" s="100"/>
      <c r="J732" s="100"/>
      <c r="K732" s="100"/>
      <c r="L732" s="100"/>
      <c r="M732" s="100"/>
      <c r="N732" s="100"/>
      <c r="O732" s="100"/>
      <c r="P732" s="100"/>
      <c r="Q732" s="100"/>
      <c r="R732" s="100"/>
      <c r="S732" s="100"/>
      <c r="T732" s="100"/>
      <c r="U732" s="100"/>
      <c r="V732" s="100"/>
      <c r="W732" s="100"/>
      <c r="X732" s="100"/>
      <c r="Y732" s="100"/>
      <c r="Z732" s="100"/>
      <c r="AA732" s="100"/>
      <c r="AB732" s="100"/>
      <c r="AC732" s="100"/>
      <c r="AD732" s="332"/>
      <c r="AE732" s="100"/>
      <c r="AF732" s="100"/>
      <c r="AG732" s="100"/>
      <c r="AH732" s="100"/>
      <c r="AI732" s="100"/>
      <c r="AJ732" s="392"/>
      <c r="AK732" s="100"/>
      <c r="AL732" s="100"/>
      <c r="AM732" s="100"/>
      <c r="AN732" s="100"/>
      <c r="AO732" s="100"/>
      <c r="AP732" s="100"/>
      <c r="AQ732" s="100"/>
      <c r="AR732" s="100"/>
      <c r="AS732" s="100"/>
      <c r="AT732" s="100"/>
      <c r="AU732" s="100"/>
      <c r="AV732" s="100"/>
      <c r="AW732" s="100"/>
      <c r="AX732" s="100"/>
      <c r="AY732" s="100"/>
      <c r="AZ732" s="100"/>
      <c r="BA732" s="100"/>
      <c r="BB732" s="100"/>
      <c r="BC732" s="100"/>
      <c r="BD732" s="100"/>
      <c r="BE732" s="100"/>
      <c r="BF732" s="100"/>
      <c r="BG732" s="100"/>
      <c r="BH732" s="100"/>
      <c r="BI732" s="100"/>
      <c r="BJ732" s="100"/>
      <c r="BK732" s="100"/>
      <c r="BL732" s="100"/>
      <c r="BM732" s="100"/>
      <c r="BN732" s="100"/>
      <c r="BO732" s="100"/>
      <c r="BP732" s="100"/>
      <c r="BQ732" s="100"/>
      <c r="BR732" s="100"/>
      <c r="BS732" s="100"/>
      <c r="BT732" s="100"/>
      <c r="BU732" s="100"/>
      <c r="BV732" s="100"/>
      <c r="BW732" s="100"/>
      <c r="BX732" s="100"/>
      <c r="BY732" s="100"/>
      <c r="BZ732" s="100"/>
      <c r="CA732" s="100"/>
      <c r="CB732" s="100"/>
      <c r="CC732" s="100"/>
    </row>
    <row r="733" spans="3:81">
      <c r="C733" s="11"/>
      <c r="D733" s="22"/>
      <c r="E733" s="18"/>
      <c r="F733" s="15"/>
    </row>
    <row r="734" spans="3:81">
      <c r="C734" s="11"/>
      <c r="D734" s="22"/>
      <c r="E734" s="18"/>
      <c r="F734" s="15"/>
    </row>
    <row r="735" spans="3:81">
      <c r="C735" s="11"/>
      <c r="D735" s="22"/>
      <c r="E735" s="18"/>
      <c r="F735" s="15"/>
    </row>
    <row r="736" spans="3:81">
      <c r="C736" s="11"/>
      <c r="D736" s="22"/>
      <c r="E736" s="18"/>
      <c r="F736" s="15"/>
      <c r="I736" s="893" t="s">
        <v>1037</v>
      </c>
      <c r="J736" s="893"/>
      <c r="K736" s="893"/>
      <c r="L736" s="893"/>
      <c r="M736" s="893"/>
      <c r="N736" s="893"/>
      <c r="O736" s="893"/>
      <c r="P736" s="893"/>
      <c r="Q736" s="893"/>
      <c r="R736" s="893"/>
      <c r="S736" s="893"/>
      <c r="T736" s="893"/>
      <c r="U736" s="893"/>
      <c r="V736" s="893"/>
      <c r="W736" s="893"/>
      <c r="X736" s="893"/>
      <c r="Y736" s="893"/>
    </row>
    <row r="737" spans="2:81">
      <c r="C737" s="11"/>
      <c r="D737" s="22"/>
      <c r="E737" s="18"/>
      <c r="F737" s="15"/>
      <c r="I737" s="892" t="s">
        <v>1039</v>
      </c>
      <c r="J737" s="892"/>
      <c r="K737" s="892"/>
      <c r="L737" s="892"/>
      <c r="M737" s="892"/>
      <c r="N737" s="892"/>
      <c r="O737" s="892"/>
      <c r="P737" s="892"/>
      <c r="Q737" s="892"/>
      <c r="R737" s="892"/>
      <c r="S737" s="892"/>
      <c r="T737" s="892"/>
      <c r="U737" s="892"/>
      <c r="V737" s="892"/>
      <c r="W737" s="892"/>
      <c r="X737" s="892"/>
      <c r="Y737" s="95"/>
    </row>
    <row r="738" spans="2:81" ht="15" customHeight="1">
      <c r="C738" s="11"/>
      <c r="D738" s="22"/>
      <c r="E738" s="18"/>
      <c r="F738" s="15"/>
      <c r="I738" s="837" t="s">
        <v>1045</v>
      </c>
      <c r="J738" s="837"/>
      <c r="K738" s="93"/>
      <c r="L738" s="837" t="s">
        <v>1046</v>
      </c>
      <c r="M738" s="837"/>
      <c r="N738" s="93"/>
      <c r="O738" s="837" t="s">
        <v>350</v>
      </c>
      <c r="P738" s="837"/>
      <c r="Q738" s="278"/>
      <c r="R738" s="892" t="s">
        <v>351</v>
      </c>
      <c r="S738" s="892"/>
      <c r="T738" s="94"/>
      <c r="U738" s="837" t="s">
        <v>352</v>
      </c>
      <c r="V738" s="837"/>
      <c r="W738" s="93"/>
      <c r="X738" s="837" t="s">
        <v>1047</v>
      </c>
      <c r="Y738" s="837"/>
    </row>
    <row r="739" spans="2:81" ht="28.8">
      <c r="B739" s="519" t="s">
        <v>1079</v>
      </c>
      <c r="C739" s="12" t="s">
        <v>10</v>
      </c>
      <c r="D739" s="16" t="s">
        <v>353</v>
      </c>
      <c r="E739" s="16" t="s">
        <v>354</v>
      </c>
      <c r="F739" s="16" t="s">
        <v>355</v>
      </c>
      <c r="I739" s="171" t="s">
        <v>1080</v>
      </c>
      <c r="J739" s="95" t="s">
        <v>1081</v>
      </c>
      <c r="K739" s="95"/>
      <c r="L739" s="95" t="s">
        <v>1080</v>
      </c>
      <c r="M739" s="95" t="s">
        <v>1081</v>
      </c>
      <c r="N739" s="95"/>
      <c r="O739" s="95" t="s">
        <v>1080</v>
      </c>
      <c r="P739" s="95" t="s">
        <v>1081</v>
      </c>
      <c r="Q739" s="95" t="s">
        <v>1081</v>
      </c>
      <c r="R739" s="95" t="s">
        <v>1080</v>
      </c>
      <c r="S739" s="95" t="s">
        <v>1081</v>
      </c>
      <c r="T739" s="95"/>
      <c r="U739" s="95" t="s">
        <v>1080</v>
      </c>
      <c r="V739" s="95" t="s">
        <v>1081</v>
      </c>
      <c r="W739" s="95"/>
      <c r="X739" s="95" t="s">
        <v>1080</v>
      </c>
      <c r="Y739" s="95" t="s">
        <v>1081</v>
      </c>
    </row>
    <row r="740" spans="2:81" ht="28.8">
      <c r="C740" s="216" t="s">
        <v>1230</v>
      </c>
      <c r="D740" s="22">
        <v>0.02</v>
      </c>
      <c r="E740" s="18">
        <v>0.02</v>
      </c>
      <c r="F740" s="18">
        <v>0</v>
      </c>
      <c r="I740" s="125">
        <f t="shared" ref="I740:J741" si="168">E740</f>
        <v>0.02</v>
      </c>
      <c r="J740" s="125">
        <f t="shared" si="168"/>
        <v>0</v>
      </c>
      <c r="K740" s="125"/>
      <c r="L740" s="87"/>
      <c r="M740" s="87"/>
      <c r="N740" s="87"/>
      <c r="O740" s="125"/>
      <c r="P740" s="125"/>
      <c r="Q740" s="125"/>
      <c r="R740" s="87"/>
      <c r="S740" s="87"/>
      <c r="T740" s="87"/>
      <c r="U740" s="87"/>
      <c r="V740" s="87"/>
      <c r="W740" s="87"/>
      <c r="X740" s="87"/>
      <c r="Y740" s="87"/>
    </row>
    <row r="741" spans="2:81">
      <c r="C741" s="564" t="s">
        <v>1220</v>
      </c>
      <c r="D741" s="22">
        <v>0.3</v>
      </c>
      <c r="E741" s="18">
        <v>0.3</v>
      </c>
      <c r="F741" s="18">
        <v>0</v>
      </c>
      <c r="I741" s="125">
        <f t="shared" si="168"/>
        <v>0.3</v>
      </c>
      <c r="J741" s="125">
        <f t="shared" si="168"/>
        <v>0</v>
      </c>
      <c r="K741" s="125"/>
      <c r="L741" s="87"/>
      <c r="M741" s="87"/>
      <c r="N741" s="87"/>
      <c r="O741" s="125"/>
      <c r="P741" s="125"/>
      <c r="Q741" s="125"/>
      <c r="R741" s="125"/>
      <c r="S741" s="125"/>
      <c r="T741" s="125"/>
      <c r="U741" s="125"/>
      <c r="V741" s="125"/>
      <c r="W741" s="125"/>
      <c r="X741" s="87"/>
      <c r="Y741" s="87"/>
    </row>
    <row r="742" spans="2:81">
      <c r="C742" s="11" t="s">
        <v>1231</v>
      </c>
      <c r="D742" s="18">
        <v>0.15</v>
      </c>
      <c r="E742" s="18">
        <v>0.15</v>
      </c>
      <c r="F742" s="18">
        <v>0</v>
      </c>
      <c r="I742" s="87"/>
      <c r="J742" s="87"/>
      <c r="K742" s="87"/>
      <c r="L742" s="87"/>
      <c r="M742" s="87"/>
      <c r="N742" s="87"/>
      <c r="O742" s="125"/>
      <c r="P742" s="125"/>
      <c r="Q742" s="87"/>
      <c r="R742" s="125">
        <f>E742</f>
        <v>0.15</v>
      </c>
      <c r="S742" s="125">
        <f>F742</f>
        <v>0</v>
      </c>
      <c r="T742" s="125"/>
      <c r="U742" s="125"/>
      <c r="V742" s="125"/>
      <c r="W742" s="125"/>
      <c r="X742" s="87"/>
      <c r="Y742" s="87"/>
    </row>
    <row r="743" spans="2:81">
      <c r="C743" s="564" t="s">
        <v>1223</v>
      </c>
      <c r="D743" s="22">
        <f>SUM(D740:D742)</f>
        <v>0.47</v>
      </c>
      <c r="E743" s="22">
        <f>SUM(E740:E742)</f>
        <v>0.47</v>
      </c>
      <c r="F743" s="18">
        <f>SUM(F740:F742)</f>
        <v>0</v>
      </c>
      <c r="O743" s="6"/>
      <c r="P743" s="6"/>
      <c r="R743" s="6"/>
      <c r="S743" s="6"/>
      <c r="T743" s="6"/>
      <c r="U743" s="6"/>
      <c r="V743" s="6"/>
      <c r="W743" s="6"/>
    </row>
    <row r="744" spans="2:81">
      <c r="C744" s="11"/>
      <c r="D744" s="15"/>
      <c r="E744" s="22">
        <f>D743-E743</f>
        <v>0</v>
      </c>
      <c r="F744" s="18">
        <f>E743-F743</f>
        <v>0.47</v>
      </c>
      <c r="O744" s="6"/>
      <c r="P744" s="6"/>
      <c r="R744" s="6"/>
      <c r="S744" s="6"/>
      <c r="T744" s="6"/>
      <c r="U744" s="6"/>
      <c r="V744" s="6"/>
      <c r="W744" s="6"/>
    </row>
    <row r="745" spans="2:81">
      <c r="C745" s="12" t="s">
        <v>389</v>
      </c>
      <c r="D745" s="15">
        <v>5</v>
      </c>
      <c r="E745" s="22"/>
      <c r="F745" s="18"/>
      <c r="O745" s="6"/>
      <c r="P745" s="6"/>
      <c r="R745" s="6"/>
      <c r="S745" s="6"/>
      <c r="T745" s="6"/>
      <c r="U745" s="6"/>
      <c r="V745" s="6"/>
      <c r="W745" s="6"/>
    </row>
    <row r="746" spans="2:81">
      <c r="C746" s="11"/>
      <c r="D746" s="15"/>
      <c r="E746" s="22"/>
      <c r="F746" s="18"/>
    </row>
    <row r="747" spans="2:81">
      <c r="C747" s="11" t="s">
        <v>359</v>
      </c>
      <c r="D747" s="22"/>
      <c r="E747" s="18"/>
      <c r="F747" s="15"/>
    </row>
    <row r="748" spans="2:81">
      <c r="C748" s="11" t="s">
        <v>360</v>
      </c>
      <c r="D748" s="22"/>
      <c r="E748" s="18"/>
      <c r="F748" s="15"/>
    </row>
    <row r="749" spans="2:81">
      <c r="C749" s="11" t="s">
        <v>361</v>
      </c>
      <c r="D749" s="22"/>
      <c r="E749" s="18"/>
      <c r="F749" s="15"/>
    </row>
    <row r="750" spans="2:81">
      <c r="C750" s="11" t="s">
        <v>362</v>
      </c>
      <c r="D750" s="22"/>
      <c r="E750" s="18"/>
      <c r="F750" s="15"/>
    </row>
    <row r="751" spans="2:81">
      <c r="C751" s="11" t="s">
        <v>363</v>
      </c>
      <c r="D751" s="22"/>
      <c r="E751" s="18"/>
      <c r="F751" s="15"/>
    </row>
    <row r="752" spans="2:81">
      <c r="C752" s="109"/>
      <c r="D752" s="168"/>
      <c r="E752" s="169"/>
      <c r="F752" s="110"/>
      <c r="G752" s="100"/>
      <c r="H752" s="100"/>
      <c r="I752" s="100"/>
      <c r="J752" s="100"/>
      <c r="K752" s="100"/>
      <c r="L752" s="100"/>
      <c r="M752" s="100"/>
      <c r="N752" s="100"/>
      <c r="O752" s="100"/>
      <c r="P752" s="100"/>
      <c r="Q752" s="100"/>
      <c r="R752" s="100"/>
      <c r="S752" s="100"/>
      <c r="T752" s="100"/>
      <c r="U752" s="100"/>
      <c r="V752" s="100"/>
      <c r="W752" s="100"/>
      <c r="X752" s="100"/>
      <c r="Y752" s="100"/>
      <c r="Z752" s="100"/>
      <c r="AA752" s="100"/>
      <c r="AB752" s="100"/>
      <c r="AC752" s="100"/>
      <c r="AD752" s="332"/>
      <c r="AE752" s="100"/>
      <c r="AF752" s="100"/>
      <c r="AG752" s="100"/>
      <c r="AH752" s="100"/>
      <c r="AI752" s="100"/>
      <c r="AJ752" s="392"/>
      <c r="AK752" s="100"/>
      <c r="AL752" s="100"/>
      <c r="AM752" s="100"/>
      <c r="AN752" s="100"/>
      <c r="AO752" s="100"/>
      <c r="AP752" s="100"/>
      <c r="AQ752" s="100"/>
      <c r="AR752" s="100"/>
      <c r="AS752" s="100"/>
      <c r="AT752" s="100"/>
      <c r="AU752" s="100"/>
      <c r="AV752" s="100"/>
      <c r="AW752" s="100"/>
      <c r="AX752" s="100"/>
      <c r="AY752" s="100"/>
      <c r="AZ752" s="100"/>
      <c r="BA752" s="100"/>
      <c r="BB752" s="100"/>
      <c r="BC752" s="100"/>
      <c r="BD752" s="100"/>
      <c r="BE752" s="100"/>
      <c r="BF752" s="100"/>
      <c r="BG752" s="100"/>
      <c r="BH752" s="100"/>
      <c r="BI752" s="100"/>
      <c r="BJ752" s="100"/>
      <c r="BK752" s="100"/>
      <c r="BL752" s="100"/>
      <c r="BM752" s="100"/>
      <c r="BN752" s="100"/>
      <c r="BO752" s="100"/>
      <c r="BP752" s="100"/>
      <c r="BQ752" s="100"/>
      <c r="BR752" s="100"/>
      <c r="BS752" s="100"/>
      <c r="BT752" s="100"/>
      <c r="BU752" s="100"/>
      <c r="BV752" s="100"/>
      <c r="BW752" s="100"/>
      <c r="BX752" s="100"/>
      <c r="BY752" s="100"/>
      <c r="BZ752" s="100"/>
      <c r="CA752" s="100"/>
      <c r="CB752" s="100"/>
      <c r="CC752" s="100"/>
    </row>
    <row r="753" spans="2:25">
      <c r="C753" s="11"/>
      <c r="D753" s="15"/>
      <c r="E753" s="22"/>
      <c r="F753" s="18"/>
    </row>
    <row r="754" spans="2:25">
      <c r="C754" s="11"/>
      <c r="D754" s="15"/>
      <c r="E754" s="22"/>
      <c r="F754" s="18"/>
      <c r="I754" s="893" t="s">
        <v>1037</v>
      </c>
      <c r="J754" s="893"/>
      <c r="K754" s="893"/>
      <c r="L754" s="893"/>
      <c r="M754" s="893"/>
      <c r="N754" s="893"/>
      <c r="O754" s="893"/>
      <c r="P754" s="893"/>
      <c r="Q754" s="893"/>
      <c r="R754" s="893"/>
      <c r="S754" s="893"/>
      <c r="T754" s="893"/>
      <c r="U754" s="893"/>
      <c r="V754" s="893"/>
      <c r="W754" s="893"/>
      <c r="X754" s="893"/>
      <c r="Y754" s="893"/>
    </row>
    <row r="755" spans="2:25">
      <c r="C755" s="11"/>
      <c r="D755" s="15"/>
      <c r="E755" s="22"/>
      <c r="F755" s="18"/>
      <c r="I755" s="892" t="s">
        <v>1039</v>
      </c>
      <c r="J755" s="892"/>
      <c r="K755" s="892"/>
      <c r="L755" s="892"/>
      <c r="M755" s="892"/>
      <c r="N755" s="892"/>
      <c r="O755" s="892"/>
      <c r="P755" s="892"/>
      <c r="Q755" s="892"/>
      <c r="R755" s="892"/>
      <c r="S755" s="892"/>
      <c r="T755" s="892"/>
      <c r="U755" s="892"/>
      <c r="V755" s="892"/>
      <c r="W755" s="892"/>
      <c r="X755" s="892"/>
      <c r="Y755" s="95"/>
    </row>
    <row r="756" spans="2:25" ht="15" customHeight="1">
      <c r="C756" s="11"/>
      <c r="D756" s="15"/>
      <c r="E756" s="22"/>
      <c r="F756" s="18"/>
      <c r="I756" s="837" t="s">
        <v>1045</v>
      </c>
      <c r="J756" s="837"/>
      <c r="K756" s="93"/>
      <c r="L756" s="837" t="s">
        <v>1046</v>
      </c>
      <c r="M756" s="837"/>
      <c r="N756" s="93"/>
      <c r="O756" s="837" t="s">
        <v>350</v>
      </c>
      <c r="P756" s="837"/>
      <c r="Q756" s="278"/>
      <c r="R756" s="892" t="s">
        <v>351</v>
      </c>
      <c r="S756" s="892"/>
      <c r="T756" s="94"/>
      <c r="U756" s="837" t="s">
        <v>352</v>
      </c>
      <c r="V756" s="837"/>
      <c r="W756" s="93"/>
      <c r="X756" s="837" t="s">
        <v>1047</v>
      </c>
      <c r="Y756" s="837"/>
    </row>
    <row r="757" spans="2:25" ht="28.8">
      <c r="B757" s="519" t="s">
        <v>1079</v>
      </c>
      <c r="C757" s="12" t="s">
        <v>1232</v>
      </c>
      <c r="D757" s="16" t="s">
        <v>353</v>
      </c>
      <c r="E757" s="16" t="s">
        <v>354</v>
      </c>
      <c r="F757" s="16" t="s">
        <v>355</v>
      </c>
      <c r="I757" s="171" t="s">
        <v>1080</v>
      </c>
      <c r="J757" s="95" t="s">
        <v>1081</v>
      </c>
      <c r="K757" s="95"/>
      <c r="L757" s="95" t="s">
        <v>1080</v>
      </c>
      <c r="M757" s="95" t="s">
        <v>1081</v>
      </c>
      <c r="N757" s="95"/>
      <c r="O757" s="95" t="s">
        <v>1080</v>
      </c>
      <c r="P757" s="95" t="s">
        <v>1081</v>
      </c>
      <c r="Q757" s="95" t="s">
        <v>1081</v>
      </c>
      <c r="R757" s="95" t="s">
        <v>1080</v>
      </c>
      <c r="S757" s="95" t="s">
        <v>1081</v>
      </c>
      <c r="T757" s="95"/>
      <c r="U757" s="95" t="s">
        <v>1080</v>
      </c>
      <c r="V757" s="95" t="s">
        <v>1081</v>
      </c>
      <c r="W757" s="95"/>
      <c r="X757" s="95" t="s">
        <v>1080</v>
      </c>
      <c r="Y757" s="95" t="s">
        <v>1081</v>
      </c>
    </row>
    <row r="758" spans="2:25" ht="43.2">
      <c r="C758" s="187" t="s">
        <v>1233</v>
      </c>
      <c r="D758" s="18">
        <v>0.3</v>
      </c>
      <c r="E758" s="21">
        <v>0.3</v>
      </c>
      <c r="F758" s="18">
        <v>0</v>
      </c>
      <c r="I758" s="125">
        <f t="shared" ref="I758:J761" si="169">E758</f>
        <v>0.3</v>
      </c>
      <c r="J758" s="125">
        <f t="shared" si="169"/>
        <v>0</v>
      </c>
      <c r="K758" s="125"/>
      <c r="L758" s="87"/>
      <c r="M758" s="87"/>
      <c r="N758" s="87"/>
      <c r="O758" s="125"/>
      <c r="P758" s="125"/>
      <c r="Q758" s="125"/>
      <c r="R758" s="87"/>
      <c r="S758" s="87"/>
      <c r="T758" s="87"/>
      <c r="U758" s="87"/>
      <c r="V758" s="87"/>
      <c r="W758" s="87"/>
      <c r="X758" s="87"/>
      <c r="Y758" s="87"/>
    </row>
    <row r="759" spans="2:25" ht="28.8">
      <c r="C759" s="31" t="s">
        <v>1234</v>
      </c>
      <c r="D759" s="18"/>
      <c r="E759" s="21"/>
      <c r="F759" s="18"/>
      <c r="I759" s="125"/>
      <c r="J759" s="125"/>
      <c r="K759" s="125"/>
      <c r="L759" s="87"/>
      <c r="M759" s="87"/>
      <c r="N759" s="87"/>
      <c r="O759" s="125"/>
      <c r="P759" s="125"/>
      <c r="Q759" s="125"/>
      <c r="R759" s="87"/>
      <c r="S759" s="87"/>
      <c r="T759" s="87"/>
      <c r="U759" s="87"/>
      <c r="V759" s="87"/>
      <c r="W759" s="87"/>
      <c r="X759" s="87"/>
      <c r="Y759" s="87"/>
    </row>
    <row r="760" spans="2:25">
      <c r="C760" s="187" t="s">
        <v>1235</v>
      </c>
      <c r="D760" s="18"/>
      <c r="E760" s="21"/>
      <c r="F760" s="18"/>
      <c r="I760" s="125"/>
      <c r="J760" s="125"/>
      <c r="K760" s="125"/>
      <c r="L760" s="87"/>
      <c r="M760" s="87"/>
      <c r="N760" s="87"/>
      <c r="O760" s="125"/>
      <c r="P760" s="125"/>
      <c r="Q760" s="125"/>
      <c r="R760" s="87"/>
      <c r="S760" s="87"/>
      <c r="T760" s="87"/>
      <c r="U760" s="87"/>
      <c r="V760" s="87"/>
      <c r="W760" s="87"/>
      <c r="X760" s="87"/>
      <c r="Y760" s="87"/>
    </row>
    <row r="761" spans="2:25">
      <c r="C761" s="476" t="s">
        <v>1236</v>
      </c>
      <c r="D761" s="18">
        <v>0.2</v>
      </c>
      <c r="E761" s="21">
        <v>0.2</v>
      </c>
      <c r="F761" s="18">
        <v>0</v>
      </c>
      <c r="I761" s="125">
        <f t="shared" si="169"/>
        <v>0.2</v>
      </c>
      <c r="J761" s="125">
        <f t="shared" si="169"/>
        <v>0</v>
      </c>
      <c r="K761" s="125"/>
      <c r="L761" s="87"/>
      <c r="M761" s="87"/>
      <c r="N761" s="87"/>
      <c r="O761" s="125"/>
      <c r="P761" s="125"/>
      <c r="Q761" s="125"/>
      <c r="R761" s="125"/>
      <c r="S761" s="125"/>
      <c r="T761" s="125"/>
      <c r="U761" s="125"/>
      <c r="V761" s="125"/>
      <c r="W761" s="125"/>
      <c r="X761" s="87"/>
      <c r="Y761" s="87"/>
    </row>
    <row r="762" spans="2:25">
      <c r="C762" s="476" t="s">
        <v>1237</v>
      </c>
      <c r="D762" s="18"/>
      <c r="E762" s="21"/>
      <c r="F762" s="18"/>
      <c r="I762" s="131"/>
      <c r="J762" s="131"/>
      <c r="K762" s="131"/>
      <c r="L762" s="130"/>
      <c r="M762" s="130"/>
      <c r="N762" s="130"/>
      <c r="O762" s="131"/>
      <c r="P762" s="131"/>
      <c r="Q762" s="131"/>
      <c r="R762" s="131"/>
      <c r="S762" s="131"/>
      <c r="T762" s="131"/>
      <c r="U762" s="131"/>
      <c r="V762" s="131"/>
      <c r="W762" s="131"/>
      <c r="X762" s="130"/>
      <c r="Y762" s="130"/>
    </row>
    <row r="763" spans="2:25">
      <c r="C763" s="187" t="s">
        <v>1238</v>
      </c>
      <c r="D763" s="18">
        <v>0.15</v>
      </c>
      <c r="E763" s="21">
        <v>7.4999999999999997E-2</v>
      </c>
      <c r="F763" s="18">
        <v>0</v>
      </c>
      <c r="I763" s="131"/>
      <c r="J763" s="131"/>
      <c r="K763" s="131"/>
      <c r="L763" s="131"/>
      <c r="M763" s="131"/>
      <c r="N763" s="131"/>
      <c r="O763" s="131"/>
      <c r="P763" s="131"/>
      <c r="Q763" s="131"/>
      <c r="R763" s="131">
        <f>E763</f>
        <v>7.4999999999999997E-2</v>
      </c>
      <c r="S763" s="131">
        <f>F763</f>
        <v>0</v>
      </c>
      <c r="T763" s="131"/>
      <c r="U763" s="131"/>
      <c r="V763" s="131"/>
      <c r="W763" s="131"/>
      <c r="X763" s="130"/>
      <c r="Y763" s="130"/>
    </row>
    <row r="764" spans="2:25">
      <c r="C764" s="187"/>
      <c r="D764" s="18">
        <v>0.25</v>
      </c>
      <c r="E764" s="21">
        <v>0.25</v>
      </c>
      <c r="F764" s="18">
        <v>0.25</v>
      </c>
      <c r="I764" s="176">
        <f>E764</f>
        <v>0.25</v>
      </c>
      <c r="J764" s="176">
        <f>F764</f>
        <v>0.25</v>
      </c>
      <c r="K764" s="176"/>
      <c r="L764" s="176">
        <f>G764</f>
        <v>0</v>
      </c>
      <c r="M764" s="87"/>
      <c r="N764" s="87"/>
      <c r="O764" s="125"/>
      <c r="P764" s="125"/>
      <c r="Q764" s="87"/>
      <c r="R764" s="125"/>
      <c r="S764" s="125"/>
      <c r="T764" s="125"/>
      <c r="U764" s="125"/>
      <c r="V764" s="125"/>
      <c r="W764" s="125"/>
      <c r="X764" s="87"/>
      <c r="Y764" s="87"/>
    </row>
    <row r="765" spans="2:25">
      <c r="C765" s="11"/>
      <c r="D765" s="22">
        <f>SUM(D758:D764)</f>
        <v>0.9</v>
      </c>
      <c r="E765" s="230">
        <f>SUM(E758:E764)</f>
        <v>0.82499999999999996</v>
      </c>
      <c r="F765" s="18">
        <f>SUM(F761:F764)</f>
        <v>0.25</v>
      </c>
    </row>
    <row r="766" spans="2:25">
      <c r="C766" s="11"/>
      <c r="D766" s="15"/>
      <c r="E766" s="230">
        <f>D765-E765</f>
        <v>7.5000000000000067E-2</v>
      </c>
      <c r="F766" s="18">
        <f>E765-F765</f>
        <v>0.57499999999999996</v>
      </c>
    </row>
    <row r="767" spans="2:25">
      <c r="C767" s="11"/>
      <c r="D767" s="15"/>
      <c r="E767" s="15"/>
      <c r="F767" s="15"/>
    </row>
    <row r="768" spans="2:25">
      <c r="C768" s="12" t="s">
        <v>389</v>
      </c>
      <c r="D768" s="15" t="s">
        <v>1239</v>
      </c>
      <c r="E768" s="22"/>
      <c r="F768" s="18"/>
    </row>
    <row r="769" spans="2:81">
      <c r="C769" s="11"/>
      <c r="D769" s="15"/>
      <c r="E769" s="22"/>
      <c r="F769" s="18"/>
    </row>
    <row r="770" spans="2:81">
      <c r="C770" s="11" t="s">
        <v>359</v>
      </c>
      <c r="D770" s="22"/>
      <c r="E770" s="18"/>
      <c r="F770" s="15"/>
    </row>
    <row r="771" spans="2:81">
      <c r="C771" s="11" t="s">
        <v>360</v>
      </c>
      <c r="D771" s="22"/>
      <c r="E771" s="18"/>
      <c r="F771" s="15"/>
    </row>
    <row r="772" spans="2:81">
      <c r="C772" s="11" t="s">
        <v>361</v>
      </c>
      <c r="D772" s="22"/>
      <c r="E772" s="18"/>
      <c r="F772" s="15"/>
    </row>
    <row r="773" spans="2:81">
      <c r="C773" s="11" t="s">
        <v>362</v>
      </c>
      <c r="D773" s="22"/>
      <c r="E773" s="18"/>
      <c r="F773" s="15"/>
    </row>
    <row r="774" spans="2:81">
      <c r="C774" s="11" t="s">
        <v>363</v>
      </c>
      <c r="D774" s="22"/>
      <c r="E774" s="18"/>
      <c r="F774" s="15"/>
    </row>
    <row r="775" spans="2:81">
      <c r="C775" s="109"/>
      <c r="D775" s="168"/>
      <c r="E775" s="169"/>
      <c r="F775" s="110"/>
      <c r="G775" s="100"/>
      <c r="H775" s="100"/>
      <c r="I775" s="100"/>
      <c r="J775" s="100"/>
      <c r="K775" s="100"/>
      <c r="L775" s="100"/>
      <c r="M775" s="100"/>
      <c r="N775" s="100"/>
      <c r="O775" s="100"/>
      <c r="P775" s="100"/>
      <c r="Q775" s="100"/>
      <c r="R775" s="100"/>
      <c r="S775" s="100"/>
      <c r="T775" s="100"/>
      <c r="U775" s="100"/>
      <c r="V775" s="100"/>
      <c r="W775" s="100"/>
      <c r="X775" s="100"/>
      <c r="Y775" s="100"/>
      <c r="Z775" s="100"/>
      <c r="AA775" s="100"/>
      <c r="AB775" s="100"/>
      <c r="AC775" s="100"/>
      <c r="AD775" s="332"/>
      <c r="AE775" s="100"/>
      <c r="AF775" s="100"/>
      <c r="AG775" s="100"/>
      <c r="AH775" s="100"/>
      <c r="AI775" s="100"/>
      <c r="AJ775" s="392"/>
      <c r="AK775" s="100"/>
      <c r="AL775" s="100"/>
      <c r="AM775" s="100"/>
      <c r="AN775" s="100"/>
      <c r="AO775" s="100"/>
      <c r="AP775" s="100"/>
      <c r="AQ775" s="100"/>
      <c r="AR775" s="100"/>
      <c r="AS775" s="100"/>
      <c r="AT775" s="100"/>
      <c r="AU775" s="100"/>
      <c r="AV775" s="100"/>
      <c r="AW775" s="100"/>
      <c r="AX775" s="100"/>
      <c r="AY775" s="100"/>
      <c r="AZ775" s="100"/>
      <c r="BA775" s="100"/>
      <c r="BB775" s="100"/>
      <c r="BC775" s="100"/>
      <c r="BD775" s="100"/>
      <c r="BE775" s="100"/>
      <c r="BF775" s="100"/>
      <c r="BG775" s="100"/>
      <c r="BH775" s="100"/>
      <c r="BI775" s="100"/>
      <c r="BJ775" s="100"/>
      <c r="BK775" s="100"/>
      <c r="BL775" s="100"/>
      <c r="BM775" s="100"/>
      <c r="BN775" s="100"/>
      <c r="BO775" s="100"/>
      <c r="BP775" s="100"/>
      <c r="BQ775" s="100"/>
      <c r="BR775" s="100"/>
      <c r="BS775" s="100"/>
      <c r="BT775" s="100"/>
      <c r="BU775" s="100"/>
      <c r="BV775" s="100"/>
      <c r="BW775" s="100"/>
      <c r="BX775" s="100"/>
      <c r="BY775" s="100"/>
      <c r="BZ775" s="100"/>
      <c r="CA775" s="100"/>
      <c r="CB775" s="100"/>
      <c r="CC775" s="100"/>
    </row>
    <row r="776" spans="2:81">
      <c r="C776" s="11"/>
      <c r="D776" s="22"/>
      <c r="E776" s="18"/>
      <c r="F776" s="15"/>
    </row>
    <row r="777" spans="2:81">
      <c r="C777" s="11"/>
      <c r="D777" s="22"/>
      <c r="E777" s="18"/>
      <c r="F777" s="15"/>
      <c r="I777" s="893" t="s">
        <v>1037</v>
      </c>
      <c r="J777" s="893"/>
      <c r="K777" s="893"/>
      <c r="L777" s="893"/>
      <c r="M777" s="893"/>
      <c r="N777" s="893"/>
      <c r="O777" s="893"/>
      <c r="P777" s="893"/>
      <c r="Q777" s="893"/>
      <c r="R777" s="893"/>
      <c r="S777" s="893"/>
      <c r="T777" s="893"/>
      <c r="U777" s="893"/>
      <c r="V777" s="893"/>
      <c r="W777" s="893"/>
      <c r="X777" s="893"/>
      <c r="Y777" s="893"/>
    </row>
    <row r="778" spans="2:81">
      <c r="C778" s="11"/>
      <c r="D778" s="15"/>
      <c r="E778" s="15"/>
      <c r="F778" s="15"/>
      <c r="I778" s="892" t="s">
        <v>1039</v>
      </c>
      <c r="J778" s="892"/>
      <c r="K778" s="892"/>
      <c r="L778" s="892"/>
      <c r="M778" s="892"/>
      <c r="N778" s="892"/>
      <c r="O778" s="892"/>
      <c r="P778" s="892"/>
      <c r="Q778" s="892"/>
      <c r="R778" s="892"/>
      <c r="S778" s="892"/>
      <c r="T778" s="892"/>
      <c r="U778" s="892"/>
      <c r="V778" s="892"/>
      <c r="W778" s="892"/>
      <c r="X778" s="892"/>
      <c r="Y778" s="95"/>
    </row>
    <row r="779" spans="2:81" ht="15" customHeight="1">
      <c r="C779" s="11"/>
      <c r="D779" s="15"/>
      <c r="E779" s="15"/>
      <c r="F779" s="15"/>
      <c r="I779" s="837" t="s">
        <v>1045</v>
      </c>
      <c r="J779" s="837"/>
      <c r="K779" s="93"/>
      <c r="L779" s="837" t="s">
        <v>1046</v>
      </c>
      <c r="M779" s="837"/>
      <c r="N779" s="93"/>
      <c r="O779" s="837" t="s">
        <v>350</v>
      </c>
      <c r="P779" s="837"/>
      <c r="Q779" s="278"/>
      <c r="R779" s="892" t="s">
        <v>351</v>
      </c>
      <c r="S779" s="892"/>
      <c r="T779" s="94"/>
      <c r="U779" s="837" t="s">
        <v>352</v>
      </c>
      <c r="V779" s="837"/>
      <c r="W779" s="93"/>
      <c r="X779" s="837" t="s">
        <v>1047</v>
      </c>
      <c r="Y779" s="837"/>
    </row>
    <row r="780" spans="2:81" ht="28.8">
      <c r="B780" s="519" t="s">
        <v>1079</v>
      </c>
      <c r="C780" s="574" t="s">
        <v>12</v>
      </c>
      <c r="D780" s="16" t="s">
        <v>353</v>
      </c>
      <c r="E780" s="16" t="s">
        <v>354</v>
      </c>
      <c r="F780" s="16" t="s">
        <v>355</v>
      </c>
      <c r="I780" s="171" t="s">
        <v>1080</v>
      </c>
      <c r="J780" s="95" t="s">
        <v>1081</v>
      </c>
      <c r="K780" s="95"/>
      <c r="L780" s="95" t="s">
        <v>1080</v>
      </c>
      <c r="M780" s="95" t="s">
        <v>1081</v>
      </c>
      <c r="N780" s="95"/>
      <c r="O780" s="95" t="s">
        <v>1080</v>
      </c>
      <c r="P780" s="95" t="s">
        <v>1081</v>
      </c>
      <c r="Q780" s="95" t="s">
        <v>1081</v>
      </c>
      <c r="R780" s="95" t="s">
        <v>1080</v>
      </c>
      <c r="S780" s="95" t="s">
        <v>1081</v>
      </c>
      <c r="T780" s="95"/>
      <c r="U780" s="95" t="s">
        <v>1080</v>
      </c>
      <c r="V780" s="95" t="s">
        <v>1081</v>
      </c>
      <c r="W780" s="95"/>
      <c r="X780" s="95" t="s">
        <v>1080</v>
      </c>
      <c r="Y780" s="95" t="s">
        <v>1081</v>
      </c>
    </row>
    <row r="781" spans="2:81" ht="43.2">
      <c r="C781" s="191" t="s">
        <v>1233</v>
      </c>
      <c r="D781" s="291"/>
      <c r="E781" s="16"/>
      <c r="F781" s="16"/>
      <c r="I781" s="171"/>
      <c r="J781" s="95"/>
      <c r="K781" s="95"/>
      <c r="L781" s="95"/>
      <c r="M781" s="95"/>
      <c r="N781" s="95"/>
      <c r="O781" s="95"/>
      <c r="P781" s="95"/>
      <c r="Q781" s="95"/>
      <c r="R781" s="95"/>
      <c r="S781" s="95"/>
      <c r="T781" s="95"/>
      <c r="U781" s="95"/>
      <c r="V781" s="95"/>
      <c r="W781" s="95"/>
      <c r="X781" s="95"/>
      <c r="Y781" s="95"/>
    </row>
    <row r="782" spans="2:81" ht="28.8">
      <c r="C782" s="191" t="s">
        <v>1234</v>
      </c>
      <c r="D782" s="291"/>
      <c r="E782" s="16"/>
      <c r="F782" s="16"/>
      <c r="I782" s="171"/>
      <c r="J782" s="95"/>
      <c r="K782" s="95"/>
      <c r="L782" s="95"/>
      <c r="M782" s="95"/>
      <c r="N782" s="95"/>
      <c r="O782" s="95"/>
      <c r="P782" s="95"/>
      <c r="Q782" s="95"/>
      <c r="R782" s="95"/>
      <c r="S782" s="95"/>
      <c r="T782" s="95"/>
      <c r="U782" s="95"/>
      <c r="V782" s="95"/>
      <c r="W782" s="95"/>
      <c r="X782" s="95"/>
      <c r="Y782" s="95"/>
    </row>
    <row r="783" spans="2:81">
      <c r="C783" s="191" t="s">
        <v>1235</v>
      </c>
      <c r="D783" s="291"/>
      <c r="E783" s="16"/>
      <c r="F783" s="16"/>
      <c r="I783" s="171"/>
      <c r="J783" s="95"/>
      <c r="K783" s="95"/>
      <c r="L783" s="95"/>
      <c r="M783" s="95"/>
      <c r="N783" s="95"/>
      <c r="O783" s="95"/>
      <c r="P783" s="95"/>
      <c r="Q783" s="95"/>
      <c r="R783" s="95"/>
      <c r="S783" s="95"/>
      <c r="T783" s="95"/>
      <c r="U783" s="95"/>
      <c r="V783" s="95"/>
      <c r="W783" s="95"/>
      <c r="X783" s="95"/>
      <c r="Y783" s="95"/>
    </row>
    <row r="784" spans="2:81">
      <c r="C784" s="87" t="s">
        <v>1240</v>
      </c>
      <c r="D784" s="573">
        <v>0.35</v>
      </c>
      <c r="E784" s="18">
        <v>0.35</v>
      </c>
      <c r="F784" s="18">
        <v>0.35</v>
      </c>
      <c r="I784" s="125">
        <f>E784</f>
        <v>0.35</v>
      </c>
      <c r="J784" s="125">
        <f>F784</f>
        <v>0.35</v>
      </c>
      <c r="K784" s="125"/>
      <c r="L784" s="87"/>
      <c r="M784" s="87"/>
      <c r="N784" s="87"/>
      <c r="O784" s="125"/>
      <c r="P784" s="125"/>
      <c r="Q784" s="87"/>
      <c r="R784" s="125"/>
      <c r="S784" s="125"/>
      <c r="T784" s="125"/>
      <c r="U784" s="125"/>
      <c r="V784" s="125"/>
      <c r="W784" s="125"/>
      <c r="X784" s="87"/>
      <c r="Y784" s="87"/>
    </row>
    <row r="785" spans="3:81">
      <c r="C785" s="87" t="s">
        <v>1241</v>
      </c>
      <c r="D785" s="573"/>
      <c r="E785" s="18"/>
      <c r="F785" s="18"/>
      <c r="I785" s="125"/>
      <c r="J785" s="125"/>
      <c r="K785" s="125"/>
      <c r="L785" s="87"/>
      <c r="M785" s="87"/>
      <c r="N785" s="87"/>
      <c r="O785" s="125"/>
      <c r="P785" s="125"/>
      <c r="Q785" s="87"/>
      <c r="R785" s="125"/>
      <c r="S785" s="125"/>
      <c r="T785" s="125"/>
      <c r="U785" s="125"/>
      <c r="V785" s="125"/>
      <c r="W785" s="125"/>
      <c r="X785" s="87"/>
      <c r="Y785" s="87"/>
    </row>
    <row r="786" spans="3:81">
      <c r="C786" s="572" t="s">
        <v>1236</v>
      </c>
      <c r="D786" s="291"/>
      <c r="E786" s="16"/>
      <c r="F786" s="16"/>
      <c r="I786" s="171"/>
      <c r="J786" s="95"/>
      <c r="K786" s="95"/>
      <c r="L786" s="95"/>
      <c r="M786" s="95"/>
      <c r="N786" s="95"/>
      <c r="O786" s="95"/>
      <c r="P786" s="95"/>
      <c r="Q786" s="95"/>
      <c r="R786" s="95"/>
      <c r="S786" s="95"/>
      <c r="T786" s="95"/>
      <c r="U786" s="95"/>
      <c r="V786" s="95"/>
      <c r="W786" s="95"/>
      <c r="X786" s="95"/>
      <c r="Y786" s="95"/>
    </row>
    <row r="787" spans="3:81">
      <c r="C787" s="191" t="s">
        <v>1238</v>
      </c>
      <c r="D787" s="291"/>
      <c r="E787" s="16"/>
      <c r="F787" s="16"/>
      <c r="I787" s="171"/>
      <c r="J787" s="95"/>
      <c r="K787" s="95"/>
      <c r="L787" s="95"/>
      <c r="M787" s="95"/>
      <c r="N787" s="95"/>
      <c r="O787" s="95"/>
      <c r="P787" s="95"/>
      <c r="Q787" s="95"/>
      <c r="R787" s="95"/>
      <c r="S787" s="95"/>
      <c r="T787" s="95"/>
      <c r="U787" s="95"/>
      <c r="V787" s="95"/>
      <c r="W787" s="95"/>
      <c r="X787" s="95"/>
      <c r="Y787" s="95"/>
    </row>
    <row r="788" spans="3:81">
      <c r="C788" s="91"/>
      <c r="D788" s="22">
        <f>SUM(D784:D787)</f>
        <v>0.35</v>
      </c>
      <c r="E788" s="22">
        <f>SUM(E784:E787)</f>
        <v>0.35</v>
      </c>
      <c r="F788" s="22">
        <f>SUM(F784:F787)</f>
        <v>0.35</v>
      </c>
    </row>
    <row r="789" spans="3:81">
      <c r="C789" s="11"/>
      <c r="D789" s="15"/>
      <c r="E789" s="18">
        <f>D788-E788</f>
        <v>0</v>
      </c>
      <c r="F789" s="18">
        <f>E788-F788</f>
        <v>0</v>
      </c>
    </row>
    <row r="790" spans="3:81">
      <c r="C790" s="12" t="s">
        <v>389</v>
      </c>
      <c r="D790" s="15" t="s">
        <v>1011</v>
      </c>
      <c r="E790" s="22"/>
      <c r="F790" s="18"/>
    </row>
    <row r="791" spans="3:81">
      <c r="C791" s="11"/>
      <c r="D791" s="15"/>
      <c r="E791" s="22"/>
      <c r="F791" s="18"/>
    </row>
    <row r="792" spans="3:81">
      <c r="C792" s="11" t="s">
        <v>359</v>
      </c>
      <c r="D792" s="22"/>
      <c r="E792" s="18"/>
      <c r="F792" s="15"/>
    </row>
    <row r="793" spans="3:81">
      <c r="C793" s="11" t="s">
        <v>360</v>
      </c>
      <c r="D793" s="22"/>
      <c r="E793" s="18"/>
      <c r="F793" s="15"/>
    </row>
    <row r="794" spans="3:81">
      <c r="C794" s="11" t="s">
        <v>361</v>
      </c>
      <c r="D794" s="22"/>
      <c r="E794" s="18"/>
      <c r="F794" s="15"/>
    </row>
    <row r="795" spans="3:81">
      <c r="C795" s="11" t="s">
        <v>362</v>
      </c>
      <c r="D795" s="22"/>
      <c r="E795" s="18"/>
      <c r="F795" s="15"/>
    </row>
    <row r="796" spans="3:81">
      <c r="C796" s="11" t="s">
        <v>363</v>
      </c>
      <c r="D796" s="22"/>
      <c r="E796" s="18"/>
      <c r="F796" s="15"/>
    </row>
    <row r="797" spans="3:81">
      <c r="C797" s="109"/>
      <c r="D797" s="168"/>
      <c r="E797" s="169"/>
      <c r="F797" s="110"/>
      <c r="G797" s="100"/>
      <c r="H797" s="100"/>
      <c r="I797" s="100"/>
      <c r="J797" s="100"/>
      <c r="K797" s="100"/>
      <c r="L797" s="100"/>
      <c r="M797" s="100"/>
      <c r="N797" s="100"/>
      <c r="O797" s="100"/>
      <c r="P797" s="100"/>
      <c r="Q797" s="100"/>
      <c r="R797" s="100"/>
      <c r="S797" s="100"/>
      <c r="T797" s="100"/>
      <c r="U797" s="100"/>
      <c r="V797" s="100"/>
      <c r="W797" s="100"/>
      <c r="X797" s="100"/>
      <c r="Y797" s="100"/>
      <c r="Z797" s="100"/>
      <c r="AA797" s="100"/>
      <c r="AB797" s="100"/>
      <c r="AC797" s="100"/>
      <c r="AD797" s="332"/>
      <c r="AE797" s="100"/>
      <c r="AF797" s="100"/>
      <c r="AG797" s="100"/>
      <c r="AH797" s="100"/>
      <c r="AI797" s="100"/>
      <c r="AJ797" s="392"/>
      <c r="AK797" s="100"/>
      <c r="AL797" s="100"/>
      <c r="AM797" s="100"/>
      <c r="AN797" s="100"/>
      <c r="AO797" s="100"/>
      <c r="AP797" s="100"/>
      <c r="AQ797" s="100"/>
      <c r="AR797" s="100"/>
      <c r="AS797" s="100"/>
      <c r="AT797" s="100"/>
      <c r="AU797" s="100"/>
      <c r="AV797" s="100"/>
      <c r="AW797" s="100"/>
      <c r="AX797" s="100"/>
      <c r="AY797" s="100"/>
      <c r="AZ797" s="100"/>
      <c r="BA797" s="100"/>
      <c r="BB797" s="100"/>
      <c r="BC797" s="100"/>
      <c r="BD797" s="100"/>
      <c r="BE797" s="100"/>
      <c r="BF797" s="100"/>
      <c r="BG797" s="100"/>
      <c r="BH797" s="100"/>
      <c r="BI797" s="100"/>
      <c r="BJ797" s="100"/>
      <c r="BK797" s="100"/>
      <c r="BL797" s="100"/>
      <c r="BM797" s="100"/>
      <c r="BN797" s="100"/>
      <c r="BO797" s="100"/>
      <c r="BP797" s="100"/>
      <c r="BQ797" s="100"/>
      <c r="BR797" s="100"/>
      <c r="BS797" s="100"/>
      <c r="BT797" s="100"/>
      <c r="BU797" s="100"/>
      <c r="BV797" s="100"/>
      <c r="BW797" s="100"/>
      <c r="BX797" s="100"/>
      <c r="BY797" s="100"/>
      <c r="BZ797" s="100"/>
      <c r="CA797" s="100"/>
      <c r="CB797" s="100"/>
      <c r="CC797" s="100"/>
    </row>
    <row r="798" spans="3:81">
      <c r="C798" s="11"/>
      <c r="D798" s="22"/>
      <c r="E798" s="18"/>
      <c r="F798" s="15"/>
    </row>
    <row r="799" spans="3:81">
      <c r="C799" s="11"/>
      <c r="D799" s="22"/>
      <c r="E799" s="18"/>
      <c r="F799" s="15"/>
    </row>
    <row r="800" spans="3:81" ht="15" customHeight="1">
      <c r="C800" s="11"/>
      <c r="D800" s="22"/>
      <c r="E800" s="18"/>
      <c r="F800" s="15"/>
      <c r="I800" s="893" t="s">
        <v>1037</v>
      </c>
      <c r="J800" s="893"/>
      <c r="K800" s="893"/>
      <c r="L800" s="893"/>
      <c r="M800" s="893"/>
      <c r="N800" s="893"/>
      <c r="O800" s="893"/>
      <c r="P800" s="893"/>
      <c r="Q800" s="893"/>
      <c r="R800" s="893"/>
      <c r="S800" s="893"/>
      <c r="T800" s="893"/>
      <c r="U800" s="893"/>
      <c r="V800" s="893"/>
      <c r="W800" s="893"/>
      <c r="X800" s="893"/>
      <c r="Y800" s="893"/>
    </row>
    <row r="801" spans="2:25" ht="15" customHeight="1">
      <c r="C801" s="11"/>
      <c r="D801" s="22"/>
      <c r="E801" s="18"/>
      <c r="F801" s="15"/>
      <c r="I801" s="892" t="s">
        <v>1242</v>
      </c>
      <c r="J801" s="892"/>
      <c r="K801" s="892"/>
      <c r="L801" s="892"/>
      <c r="M801" s="892"/>
      <c r="N801" s="892"/>
      <c r="O801" s="892"/>
      <c r="P801" s="892"/>
      <c r="Q801" s="892"/>
      <c r="R801" s="892"/>
      <c r="S801" s="892"/>
      <c r="T801" s="892"/>
      <c r="U801" s="892"/>
      <c r="V801" s="892"/>
      <c r="W801" s="892"/>
      <c r="X801" s="892"/>
      <c r="Y801" s="95"/>
    </row>
    <row r="802" spans="2:25" ht="15" customHeight="1">
      <c r="C802" s="11"/>
      <c r="D802" s="22"/>
      <c r="E802" s="18"/>
      <c r="F802" s="15"/>
      <c r="I802" s="837" t="s">
        <v>1243</v>
      </c>
      <c r="J802" s="837"/>
      <c r="K802" s="323"/>
      <c r="L802" s="868" t="s">
        <v>1244</v>
      </c>
      <c r="M802" s="869"/>
      <c r="N802" s="278"/>
      <c r="O802" s="837" t="s">
        <v>1059</v>
      </c>
      <c r="P802" s="837"/>
      <c r="Q802" s="278"/>
      <c r="X802" s="837"/>
      <c r="Y802" s="837"/>
    </row>
    <row r="803" spans="2:25" ht="28.8">
      <c r="B803" s="519" t="s">
        <v>1079</v>
      </c>
      <c r="C803" s="12" t="s">
        <v>13</v>
      </c>
      <c r="D803" s="16" t="s">
        <v>353</v>
      </c>
      <c r="E803" s="16" t="s">
        <v>354</v>
      </c>
      <c r="F803" s="16" t="s">
        <v>355</v>
      </c>
      <c r="I803" s="171" t="s">
        <v>1080</v>
      </c>
      <c r="J803" s="95" t="s">
        <v>1081</v>
      </c>
      <c r="K803" s="95"/>
      <c r="L803" s="95" t="s">
        <v>1080</v>
      </c>
      <c r="M803" s="95" t="s">
        <v>1081</v>
      </c>
      <c r="N803" s="95"/>
      <c r="O803" s="95" t="s">
        <v>1080</v>
      </c>
      <c r="P803" s="95" t="s">
        <v>1081</v>
      </c>
      <c r="Q803" s="95" t="s">
        <v>1081</v>
      </c>
      <c r="R803" s="95" t="s">
        <v>1080</v>
      </c>
      <c r="S803" s="95" t="s">
        <v>1081</v>
      </c>
      <c r="T803" s="95"/>
      <c r="U803" s="95" t="s">
        <v>1080</v>
      </c>
      <c r="V803" s="95" t="s">
        <v>1081</v>
      </c>
      <c r="W803" s="95"/>
      <c r="X803" s="95" t="s">
        <v>1080</v>
      </c>
      <c r="Y803" s="95" t="s">
        <v>1081</v>
      </c>
    </row>
    <row r="804" spans="2:25" ht="28.8">
      <c r="C804" s="187" t="s">
        <v>1245</v>
      </c>
      <c r="D804" s="18">
        <v>0.02</v>
      </c>
      <c r="E804" s="18">
        <v>0.02</v>
      </c>
      <c r="F804" s="18">
        <v>0.02</v>
      </c>
      <c r="I804" s="125"/>
      <c r="J804" s="125"/>
      <c r="K804" s="125"/>
      <c r="L804" s="87"/>
      <c r="M804" s="87"/>
      <c r="N804" s="87"/>
      <c r="O804" s="125"/>
      <c r="P804" s="125"/>
      <c r="Q804" s="125"/>
      <c r="R804" s="87"/>
      <c r="S804" s="87"/>
      <c r="T804" s="87"/>
      <c r="U804" s="87"/>
      <c r="V804" s="87"/>
      <c r="W804" s="87"/>
      <c r="X804" s="87"/>
      <c r="Y804" s="87"/>
    </row>
    <row r="805" spans="2:25" ht="28.8">
      <c r="C805" s="187" t="s">
        <v>1246</v>
      </c>
      <c r="D805" s="18">
        <v>0.15</v>
      </c>
      <c r="E805" s="18">
        <v>0.15</v>
      </c>
      <c r="F805" s="18">
        <v>0</v>
      </c>
      <c r="I805" s="125"/>
      <c r="J805" s="125"/>
      <c r="K805" s="125"/>
      <c r="L805" s="87"/>
      <c r="M805" s="87"/>
      <c r="N805" s="87"/>
      <c r="O805" s="125"/>
      <c r="P805" s="125"/>
      <c r="Q805" s="125"/>
      <c r="R805" s="125"/>
      <c r="S805" s="125"/>
      <c r="T805" s="125"/>
      <c r="U805" s="125"/>
      <c r="V805" s="125"/>
      <c r="W805" s="125"/>
      <c r="X805" s="87"/>
      <c r="Y805" s="87"/>
    </row>
    <row r="806" spans="2:25">
      <c r="C806" s="216" t="s">
        <v>1247</v>
      </c>
      <c r="D806" s="18"/>
      <c r="E806" s="18"/>
      <c r="F806" s="18"/>
      <c r="I806" s="125"/>
      <c r="J806" s="125"/>
      <c r="K806" s="125"/>
      <c r="L806" s="87"/>
      <c r="M806" s="87"/>
      <c r="N806" s="87"/>
      <c r="O806" s="125"/>
      <c r="P806" s="125"/>
      <c r="Q806" s="125"/>
      <c r="R806" s="125"/>
      <c r="S806" s="125"/>
      <c r="T806" s="125"/>
      <c r="U806" s="125"/>
      <c r="V806" s="125"/>
      <c r="W806" s="125"/>
      <c r="X806" s="87"/>
      <c r="Y806" s="87"/>
    </row>
    <row r="807" spans="2:25">
      <c r="C807" s="187" t="s">
        <v>1248</v>
      </c>
      <c r="D807" s="18">
        <v>0.03</v>
      </c>
      <c r="E807" s="18">
        <v>0.03</v>
      </c>
      <c r="F807" s="18">
        <v>0.03</v>
      </c>
      <c r="I807" s="87"/>
      <c r="J807" s="87"/>
      <c r="K807" s="87"/>
      <c r="L807" s="87"/>
      <c r="M807" s="87"/>
      <c r="N807" s="87"/>
      <c r="O807" s="125"/>
      <c r="P807" s="125"/>
      <c r="Q807" s="87"/>
      <c r="R807" s="87"/>
      <c r="S807" s="87"/>
      <c r="T807" s="87"/>
      <c r="U807" s="125"/>
      <c r="V807" s="125"/>
      <c r="W807" s="125"/>
      <c r="X807" s="87"/>
      <c r="Y807" s="87"/>
    </row>
    <row r="808" spans="2:25">
      <c r="C808" s="187" t="s">
        <v>1249</v>
      </c>
      <c r="D808" s="18"/>
      <c r="E808" s="18"/>
      <c r="F808" s="18"/>
      <c r="I808" s="130"/>
      <c r="J808" s="130"/>
      <c r="K808" s="130"/>
      <c r="L808" s="130"/>
      <c r="M808" s="130"/>
      <c r="N808" s="130"/>
      <c r="O808" s="131"/>
      <c r="P808" s="131"/>
      <c r="Q808" s="130"/>
      <c r="R808" s="130"/>
      <c r="S808" s="130"/>
      <c r="T808" s="130"/>
      <c r="U808" s="131"/>
      <c r="V808" s="131"/>
      <c r="W808" s="131"/>
      <c r="X808" s="130"/>
      <c r="Y808" s="130"/>
    </row>
    <row r="809" spans="2:25">
      <c r="C809" s="216" t="s">
        <v>1250</v>
      </c>
      <c r="D809" s="18"/>
      <c r="E809" s="18"/>
      <c r="F809" s="18"/>
      <c r="I809" s="130"/>
      <c r="J809" s="130"/>
      <c r="K809" s="130"/>
      <c r="L809" s="130"/>
      <c r="M809" s="130"/>
      <c r="N809" s="130"/>
      <c r="O809" s="131"/>
      <c r="P809" s="131"/>
      <c r="Q809" s="130"/>
      <c r="R809" s="130"/>
      <c r="S809" s="130"/>
      <c r="T809" s="130"/>
      <c r="U809" s="131"/>
      <c r="V809" s="131"/>
      <c r="W809" s="131"/>
      <c r="X809" s="130"/>
      <c r="Y809" s="130"/>
    </row>
    <row r="810" spans="2:25" ht="28.8">
      <c r="C810" s="187" t="s">
        <v>1251</v>
      </c>
      <c r="D810" s="18"/>
      <c r="E810" s="18"/>
      <c r="F810" s="18"/>
      <c r="I810" s="130"/>
      <c r="J810" s="130"/>
      <c r="K810" s="130"/>
      <c r="L810" s="130"/>
      <c r="M810" s="130"/>
      <c r="N810" s="130"/>
      <c r="O810" s="131"/>
      <c r="P810" s="131"/>
      <c r="Q810" s="130"/>
      <c r="R810" s="130"/>
      <c r="S810" s="130"/>
      <c r="T810" s="130"/>
      <c r="U810" s="131"/>
      <c r="V810" s="131"/>
      <c r="W810" s="131"/>
      <c r="X810" s="130"/>
      <c r="Y810" s="130"/>
    </row>
    <row r="811" spans="2:25" ht="28.8">
      <c r="C811" s="187" t="s">
        <v>1252</v>
      </c>
      <c r="D811" s="18"/>
      <c r="E811" s="18"/>
      <c r="F811" s="18"/>
      <c r="I811" s="130"/>
      <c r="J811" s="130"/>
      <c r="K811" s="130"/>
      <c r="L811" s="130"/>
      <c r="M811" s="130"/>
      <c r="N811" s="130"/>
      <c r="O811" s="131"/>
      <c r="P811" s="131"/>
      <c r="Q811" s="130"/>
      <c r="R811" s="130"/>
      <c r="S811" s="130"/>
      <c r="T811" s="130"/>
      <c r="U811" s="131"/>
      <c r="V811" s="131"/>
      <c r="W811" s="131"/>
      <c r="X811" s="130"/>
      <c r="Y811" s="130"/>
    </row>
    <row r="812" spans="2:25">
      <c r="C812" s="187" t="s">
        <v>1253</v>
      </c>
      <c r="D812" s="18"/>
      <c r="E812" s="18"/>
      <c r="F812" s="18"/>
      <c r="I812" s="130"/>
      <c r="J812" s="130"/>
      <c r="K812" s="130"/>
      <c r="L812" s="130"/>
      <c r="M812" s="130"/>
      <c r="N812" s="130"/>
      <c r="O812" s="131"/>
      <c r="P812" s="131"/>
      <c r="Q812" s="130"/>
      <c r="R812" s="130"/>
      <c r="S812" s="130"/>
      <c r="T812" s="130"/>
      <c r="U812" s="131"/>
      <c r="V812" s="131"/>
      <c r="W812" s="131"/>
      <c r="X812" s="130"/>
      <c r="Y812" s="130"/>
    </row>
    <row r="813" spans="2:25" ht="28.8">
      <c r="C813" s="187" t="s">
        <v>1254</v>
      </c>
      <c r="D813" s="18"/>
      <c r="E813" s="18"/>
      <c r="F813" s="18"/>
      <c r="I813" s="130"/>
      <c r="J813" s="130"/>
      <c r="K813" s="130"/>
      <c r="L813" s="130"/>
      <c r="M813" s="130"/>
      <c r="N813" s="130"/>
      <c r="O813" s="131"/>
      <c r="P813" s="131"/>
      <c r="Q813" s="130"/>
      <c r="R813" s="130"/>
      <c r="S813" s="130"/>
      <c r="T813" s="130"/>
      <c r="U813" s="131"/>
      <c r="V813" s="131"/>
      <c r="W813" s="131"/>
      <c r="X813" s="130"/>
      <c r="Y813" s="130"/>
    </row>
    <row r="814" spans="2:25">
      <c r="C814" s="216" t="s">
        <v>1255</v>
      </c>
      <c r="D814" s="18">
        <v>0.03</v>
      </c>
      <c r="E814" s="18">
        <v>0.03</v>
      </c>
      <c r="F814" s="18">
        <v>0.03</v>
      </c>
      <c r="I814" s="87"/>
      <c r="J814" s="87"/>
      <c r="K814" s="87"/>
      <c r="L814" s="87"/>
      <c r="M814" s="87"/>
      <c r="N814" s="87"/>
      <c r="O814" s="125"/>
      <c r="P814" s="125"/>
      <c r="Q814" s="87"/>
      <c r="R814" s="125"/>
      <c r="S814" s="125"/>
      <c r="T814" s="125"/>
      <c r="U814" s="125"/>
      <c r="V814" s="125"/>
      <c r="W814" s="125"/>
      <c r="X814" s="87"/>
      <c r="Y814" s="87"/>
    </row>
    <row r="815" spans="2:25">
      <c r="C815" s="187" t="s">
        <v>1256</v>
      </c>
      <c r="D815" s="18"/>
      <c r="E815" s="18"/>
      <c r="F815" s="18"/>
      <c r="I815" s="130"/>
      <c r="J815" s="130"/>
      <c r="K815" s="130"/>
      <c r="L815" s="130"/>
      <c r="M815" s="130"/>
      <c r="N815" s="130"/>
      <c r="O815" s="131"/>
      <c r="P815" s="131"/>
      <c r="Q815" s="130"/>
      <c r="R815" s="130"/>
      <c r="S815" s="130"/>
      <c r="T815" s="130"/>
      <c r="U815" s="131"/>
      <c r="V815" s="131"/>
      <c r="W815" s="131"/>
      <c r="X815" s="130"/>
      <c r="Y815" s="130"/>
    </row>
    <row r="816" spans="2:25">
      <c r="C816" s="187" t="s">
        <v>1257</v>
      </c>
      <c r="D816" s="18"/>
      <c r="E816" s="18"/>
      <c r="F816" s="18"/>
      <c r="I816" s="130"/>
      <c r="J816" s="130"/>
      <c r="K816" s="130"/>
      <c r="L816" s="130"/>
      <c r="M816" s="130"/>
      <c r="N816" s="130"/>
      <c r="O816" s="131"/>
      <c r="P816" s="131"/>
      <c r="Q816" s="130"/>
      <c r="R816" s="130"/>
      <c r="S816" s="130"/>
      <c r="T816" s="130"/>
      <c r="U816" s="131"/>
      <c r="V816" s="131"/>
      <c r="W816" s="131"/>
      <c r="X816" s="130"/>
      <c r="Y816" s="130"/>
    </row>
    <row r="817" spans="3:25">
      <c r="C817" s="187" t="s">
        <v>413</v>
      </c>
      <c r="D817" s="18"/>
      <c r="E817" s="18"/>
      <c r="F817" s="18"/>
      <c r="I817" s="130"/>
      <c r="J817" s="130"/>
      <c r="K817" s="130"/>
      <c r="L817" s="130"/>
      <c r="M817" s="130"/>
      <c r="N817" s="130"/>
      <c r="O817" s="131"/>
      <c r="P817" s="131"/>
      <c r="Q817" s="130"/>
      <c r="R817" s="130"/>
      <c r="S817" s="130"/>
      <c r="T817" s="130"/>
      <c r="U817" s="131"/>
      <c r="V817" s="131"/>
      <c r="W817" s="131"/>
      <c r="X817" s="130"/>
      <c r="Y817" s="130"/>
    </row>
    <row r="818" spans="3:25">
      <c r="C818" s="216" t="s">
        <v>1258</v>
      </c>
      <c r="D818" s="18"/>
      <c r="E818" s="18"/>
      <c r="F818" s="18"/>
      <c r="I818" s="130"/>
      <c r="J818" s="130"/>
      <c r="K818" s="130"/>
      <c r="L818" s="130"/>
      <c r="M818" s="130"/>
      <c r="N818" s="130"/>
      <c r="O818" s="131"/>
      <c r="P818" s="131"/>
      <c r="Q818" s="130"/>
      <c r="R818" s="130"/>
      <c r="S818" s="130"/>
      <c r="T818" s="130"/>
      <c r="U818" s="131"/>
      <c r="V818" s="131"/>
      <c r="W818" s="131"/>
      <c r="X818" s="130"/>
      <c r="Y818" s="130"/>
    </row>
    <row r="819" spans="3:25">
      <c r="C819" s="187" t="s">
        <v>414</v>
      </c>
      <c r="D819" s="18"/>
      <c r="E819" s="18"/>
      <c r="F819" s="18"/>
      <c r="I819" s="130"/>
      <c r="J819" s="130"/>
      <c r="K819" s="130"/>
      <c r="L819" s="130"/>
      <c r="M819" s="130"/>
      <c r="N819" s="130"/>
      <c r="O819" s="131"/>
      <c r="P819" s="131"/>
      <c r="Q819" s="130"/>
      <c r="R819" s="130"/>
      <c r="S819" s="130"/>
      <c r="T819" s="130"/>
      <c r="U819" s="131"/>
      <c r="V819" s="131"/>
      <c r="W819" s="131"/>
      <c r="X819" s="130"/>
      <c r="Y819" s="130"/>
    </row>
    <row r="820" spans="3:25" ht="28.8">
      <c r="C820" s="187" t="s">
        <v>1259</v>
      </c>
      <c r="D820" s="18"/>
      <c r="E820" s="18"/>
      <c r="F820" s="18"/>
      <c r="I820" s="130"/>
      <c r="J820" s="130"/>
      <c r="K820" s="130"/>
      <c r="L820" s="130"/>
      <c r="M820" s="130"/>
      <c r="N820" s="130"/>
      <c r="O820" s="131"/>
      <c r="P820" s="131"/>
      <c r="Q820" s="130"/>
      <c r="R820" s="130"/>
      <c r="S820" s="130"/>
      <c r="T820" s="130"/>
      <c r="U820" s="131"/>
      <c r="V820" s="131"/>
      <c r="W820" s="131"/>
      <c r="X820" s="130"/>
      <c r="Y820" s="130"/>
    </row>
    <row r="821" spans="3:25">
      <c r="C821" s="187" t="s">
        <v>1260</v>
      </c>
      <c r="D821" s="18"/>
      <c r="E821" s="18"/>
      <c r="F821" s="18"/>
      <c r="I821" s="130"/>
      <c r="J821" s="130"/>
      <c r="K821" s="130"/>
      <c r="L821" s="130"/>
      <c r="M821" s="130"/>
      <c r="N821" s="130"/>
      <c r="O821" s="131"/>
      <c r="P821" s="131"/>
      <c r="Q821" s="130"/>
      <c r="R821" s="130"/>
      <c r="S821" s="130"/>
      <c r="T821" s="130"/>
      <c r="U821" s="131"/>
      <c r="V821" s="131"/>
      <c r="W821" s="131"/>
      <c r="X821" s="130"/>
      <c r="Y821" s="130"/>
    </row>
    <row r="822" spans="3:25">
      <c r="C822" s="187" t="s">
        <v>1261</v>
      </c>
      <c r="D822" s="18"/>
      <c r="E822" s="18"/>
      <c r="F822" s="18"/>
      <c r="I822" s="130"/>
      <c r="J822" s="130"/>
      <c r="K822" s="130"/>
      <c r="L822" s="130"/>
      <c r="M822" s="130"/>
      <c r="N822" s="130"/>
      <c r="O822" s="131"/>
      <c r="P822" s="131"/>
      <c r="Q822" s="130"/>
      <c r="R822" s="130"/>
      <c r="S822" s="130"/>
      <c r="T822" s="130"/>
      <c r="U822" s="131"/>
      <c r="V822" s="131"/>
      <c r="W822" s="131"/>
      <c r="X822" s="130"/>
      <c r="Y822" s="130"/>
    </row>
    <row r="823" spans="3:25">
      <c r="C823" s="187"/>
      <c r="D823" s="18"/>
      <c r="E823" s="18"/>
      <c r="F823" s="18"/>
      <c r="I823" s="130"/>
      <c r="J823" s="130"/>
      <c r="K823" s="130"/>
      <c r="L823" s="130"/>
      <c r="M823" s="130"/>
      <c r="N823" s="130"/>
      <c r="O823" s="131"/>
      <c r="P823" s="131"/>
      <c r="Q823" s="130"/>
      <c r="R823" s="130"/>
      <c r="S823" s="130"/>
      <c r="T823" s="130"/>
      <c r="U823" s="131"/>
      <c r="V823" s="131"/>
      <c r="W823" s="131"/>
      <c r="X823" s="130"/>
      <c r="Y823" s="130"/>
    </row>
    <row r="824" spans="3:25">
      <c r="C824" s="11"/>
      <c r="D824" s="19">
        <f>SUM(D804:D823)</f>
        <v>0.22999999999999998</v>
      </c>
      <c r="E824" s="19">
        <f>SUM(E804:E823)</f>
        <v>0.22999999999999998</v>
      </c>
      <c r="F824" s="19">
        <f>SUM(F804:F823)</f>
        <v>0.08</v>
      </c>
    </row>
    <row r="825" spans="3:25">
      <c r="C825" s="11"/>
      <c r="D825" s="15"/>
      <c r="E825" s="15">
        <f>D824-E824</f>
        <v>0</v>
      </c>
      <c r="F825" s="18">
        <f>E824-F824</f>
        <v>0.14999999999999997</v>
      </c>
    </row>
    <row r="826" spans="3:25">
      <c r="C826" s="11" t="s">
        <v>415</v>
      </c>
      <c r="D826" s="15" t="s">
        <v>416</v>
      </c>
      <c r="E826" s="15"/>
      <c r="F826" s="15"/>
    </row>
    <row r="827" spans="3:25">
      <c r="C827" s="11"/>
      <c r="D827" s="15"/>
      <c r="E827" s="15"/>
      <c r="F827" s="15"/>
    </row>
    <row r="828" spans="3:25">
      <c r="C828" s="11" t="s">
        <v>359</v>
      </c>
      <c r="D828" s="22"/>
      <c r="E828" s="18"/>
      <c r="F828" s="15"/>
    </row>
    <row r="829" spans="3:25">
      <c r="C829" s="11" t="s">
        <v>360</v>
      </c>
      <c r="D829" s="22"/>
      <c r="E829" s="18"/>
      <c r="F829" s="15"/>
    </row>
    <row r="830" spans="3:25">
      <c r="C830" s="11" t="s">
        <v>361</v>
      </c>
      <c r="D830" s="22"/>
      <c r="E830" s="18"/>
      <c r="F830" s="15"/>
    </row>
    <row r="831" spans="3:25">
      <c r="C831" s="11" t="s">
        <v>362</v>
      </c>
      <c r="D831" s="22"/>
      <c r="E831" s="18"/>
      <c r="F831" s="15"/>
    </row>
    <row r="832" spans="3:25">
      <c r="C832" s="11" t="s">
        <v>363</v>
      </c>
      <c r="D832" s="22"/>
      <c r="E832" s="18"/>
      <c r="F832" s="15"/>
    </row>
    <row r="833" spans="2:81">
      <c r="C833" s="109"/>
      <c r="D833" s="168"/>
      <c r="E833" s="169"/>
      <c r="F833" s="110"/>
      <c r="G833" s="100"/>
      <c r="H833" s="100"/>
      <c r="I833" s="100"/>
      <c r="J833" s="100"/>
      <c r="K833" s="100"/>
      <c r="L833" s="100"/>
      <c r="M833" s="100"/>
      <c r="N833" s="100"/>
      <c r="O833" s="100"/>
      <c r="P833" s="100"/>
      <c r="Q833" s="100"/>
      <c r="R833" s="100"/>
      <c r="S833" s="100"/>
      <c r="T833" s="100"/>
      <c r="U833" s="100"/>
      <c r="V833" s="100"/>
      <c r="W833" s="100"/>
      <c r="X833" s="100"/>
      <c r="Y833" s="100"/>
      <c r="Z833" s="100"/>
      <c r="AA833" s="100"/>
      <c r="AB833" s="100"/>
      <c r="AC833" s="100"/>
      <c r="AD833" s="332"/>
      <c r="AE833" s="100"/>
      <c r="AF833" s="100"/>
      <c r="AG833" s="100"/>
      <c r="AH833" s="100"/>
      <c r="AI833" s="100"/>
      <c r="AJ833" s="392"/>
      <c r="AK833" s="100"/>
      <c r="AL833" s="100"/>
      <c r="AM833" s="100"/>
      <c r="AN833" s="100"/>
      <c r="AO833" s="100"/>
      <c r="AP833" s="100"/>
      <c r="AQ833" s="100"/>
      <c r="AR833" s="100"/>
      <c r="AS833" s="100"/>
      <c r="AT833" s="100"/>
      <c r="AU833" s="100"/>
      <c r="AV833" s="100"/>
      <c r="AW833" s="100"/>
      <c r="AX833" s="100"/>
      <c r="AY833" s="100"/>
      <c r="AZ833" s="100"/>
      <c r="BA833" s="100"/>
      <c r="BB833" s="100"/>
      <c r="BC833" s="100"/>
      <c r="BD833" s="100"/>
      <c r="BE833" s="100"/>
      <c r="BF833" s="100"/>
      <c r="BG833" s="100"/>
      <c r="BH833" s="100"/>
      <c r="BI833" s="100"/>
      <c r="BJ833" s="100"/>
      <c r="BK833" s="100"/>
      <c r="BL833" s="100"/>
      <c r="BM833" s="100"/>
      <c r="BN833" s="100"/>
      <c r="BO833" s="100"/>
      <c r="BP833" s="100"/>
      <c r="BQ833" s="100"/>
      <c r="BR833" s="100"/>
      <c r="BS833" s="100"/>
      <c r="BT833" s="100"/>
      <c r="BU833" s="100"/>
      <c r="BV833" s="100"/>
      <c r="BW833" s="100"/>
      <c r="BX833" s="100"/>
      <c r="BY833" s="100"/>
      <c r="BZ833" s="100"/>
      <c r="CA833" s="100"/>
      <c r="CB833" s="100"/>
      <c r="CC833" s="100"/>
    </row>
    <row r="834" spans="2:81">
      <c r="C834" s="11"/>
      <c r="D834" s="15"/>
      <c r="E834" s="15"/>
      <c r="F834" s="15"/>
    </row>
    <row r="835" spans="2:81" ht="15" customHeight="1">
      <c r="C835" s="11"/>
      <c r="D835" s="15"/>
      <c r="E835" s="15"/>
      <c r="F835" s="15"/>
      <c r="I835" s="893" t="s">
        <v>1037</v>
      </c>
      <c r="J835" s="893"/>
      <c r="K835" s="893"/>
      <c r="L835" s="893"/>
      <c r="M835" s="893"/>
      <c r="N835" s="893"/>
      <c r="O835" s="893"/>
      <c r="P835" s="893"/>
      <c r="Q835" s="893"/>
      <c r="R835" s="893"/>
      <c r="S835" s="893"/>
      <c r="T835" s="893"/>
      <c r="U835" s="893"/>
      <c r="V835" s="893"/>
      <c r="W835" s="893"/>
      <c r="X835" s="893"/>
      <c r="Y835" s="893"/>
    </row>
    <row r="836" spans="2:81" ht="15" customHeight="1">
      <c r="C836" s="11"/>
      <c r="D836" s="15"/>
      <c r="E836" s="15"/>
      <c r="F836" s="15"/>
      <c r="I836" s="892" t="s">
        <v>1242</v>
      </c>
      <c r="J836" s="892"/>
      <c r="K836" s="892"/>
      <c r="L836" s="892"/>
      <c r="M836" s="892"/>
      <c r="N836" s="892"/>
      <c r="O836" s="892"/>
      <c r="P836" s="892"/>
      <c r="Q836" s="892"/>
      <c r="R836" s="892"/>
      <c r="S836" s="892"/>
      <c r="T836" s="892"/>
      <c r="U836" s="892"/>
      <c r="V836" s="892"/>
      <c r="W836" s="892"/>
      <c r="X836" s="892"/>
      <c r="Y836" s="95"/>
    </row>
    <row r="837" spans="2:81" ht="15" customHeight="1">
      <c r="C837" s="11"/>
      <c r="D837" s="15"/>
      <c r="E837" s="15"/>
      <c r="F837" s="15"/>
      <c r="I837" s="837" t="s">
        <v>1243</v>
      </c>
      <c r="J837" s="837"/>
      <c r="K837" s="323"/>
      <c r="L837" s="868" t="s">
        <v>1244</v>
      </c>
      <c r="M837" s="869"/>
      <c r="N837" s="278"/>
      <c r="O837" s="837" t="s">
        <v>1059</v>
      </c>
      <c r="P837" s="837"/>
      <c r="Q837" s="278"/>
      <c r="R837" s="892"/>
      <c r="S837" s="892"/>
      <c r="T837" s="94"/>
      <c r="U837" s="837"/>
      <c r="V837" s="837"/>
      <c r="W837" s="93"/>
      <c r="X837" s="837"/>
      <c r="Y837" s="837"/>
    </row>
    <row r="838" spans="2:81" ht="28.8">
      <c r="B838" s="519" t="s">
        <v>1079</v>
      </c>
      <c r="C838" s="12" t="s">
        <v>14</v>
      </c>
      <c r="D838" s="16" t="s">
        <v>353</v>
      </c>
      <c r="E838" s="16" t="s">
        <v>354</v>
      </c>
      <c r="F838" s="16" t="s">
        <v>355</v>
      </c>
      <c r="I838" s="171" t="s">
        <v>1080</v>
      </c>
      <c r="J838" s="95" t="s">
        <v>1081</v>
      </c>
      <c r="K838" s="95"/>
      <c r="L838" s="95" t="s">
        <v>1080</v>
      </c>
      <c r="M838" s="95" t="s">
        <v>1081</v>
      </c>
      <c r="N838" s="95"/>
      <c r="O838" s="95" t="s">
        <v>1080</v>
      </c>
      <c r="P838" s="95" t="s">
        <v>1081</v>
      </c>
      <c r="Q838" s="95" t="s">
        <v>1081</v>
      </c>
      <c r="R838" s="95" t="s">
        <v>1080</v>
      </c>
      <c r="S838" s="95" t="s">
        <v>1081</v>
      </c>
      <c r="T838" s="95"/>
      <c r="U838" s="95" t="s">
        <v>1080</v>
      </c>
      <c r="V838" s="95" t="s">
        <v>1081</v>
      </c>
      <c r="W838" s="95"/>
      <c r="X838" s="95" t="s">
        <v>1080</v>
      </c>
      <c r="Y838" s="95" t="s">
        <v>1081</v>
      </c>
    </row>
    <row r="839" spans="2:81" ht="28.8">
      <c r="C839" s="187" t="s">
        <v>1262</v>
      </c>
      <c r="D839" s="28">
        <v>0.01</v>
      </c>
      <c r="E839" s="28">
        <v>0.01</v>
      </c>
      <c r="F839" s="28">
        <v>0.01</v>
      </c>
      <c r="I839" s="125"/>
      <c r="J839" s="125"/>
      <c r="K839" s="125"/>
      <c r="L839" s="87"/>
      <c r="M839" s="87"/>
      <c r="N839" s="87"/>
      <c r="O839" s="125"/>
      <c r="P839" s="125"/>
      <c r="Q839" s="125"/>
      <c r="R839" s="87"/>
      <c r="S839" s="87"/>
      <c r="T839" s="87"/>
      <c r="U839" s="87"/>
      <c r="V839" s="87"/>
      <c r="W839" s="87"/>
      <c r="X839" s="87"/>
      <c r="Y839" s="87"/>
    </row>
    <row r="840" spans="2:81">
      <c r="C840" s="187" t="s">
        <v>1263</v>
      </c>
      <c r="D840" s="28">
        <v>0.02</v>
      </c>
      <c r="E840" s="28">
        <v>0.02</v>
      </c>
      <c r="F840" s="28">
        <v>0.01</v>
      </c>
      <c r="I840" s="125"/>
      <c r="J840" s="125"/>
      <c r="K840" s="125"/>
      <c r="L840" s="87"/>
      <c r="M840" s="87"/>
      <c r="N840" s="87"/>
      <c r="O840" s="125"/>
      <c r="P840" s="125"/>
      <c r="Q840" s="125"/>
      <c r="R840" s="125"/>
      <c r="S840" s="125"/>
      <c r="T840" s="125"/>
      <c r="U840" s="125"/>
      <c r="V840" s="125"/>
      <c r="W840" s="125"/>
      <c r="X840" s="87"/>
      <c r="Y840" s="87"/>
    </row>
    <row r="841" spans="2:81" ht="28.8">
      <c r="C841" s="187" t="s">
        <v>1264</v>
      </c>
      <c r="D841" s="28"/>
      <c r="E841" s="28"/>
      <c r="F841" s="28"/>
      <c r="I841" s="125"/>
      <c r="J841" s="125"/>
      <c r="K841" s="125"/>
      <c r="L841" s="87"/>
      <c r="M841" s="87"/>
      <c r="N841" s="87"/>
      <c r="O841" s="125"/>
      <c r="P841" s="125"/>
      <c r="Q841" s="125"/>
      <c r="R841" s="125"/>
      <c r="S841" s="125"/>
      <c r="T841" s="125"/>
      <c r="U841" s="125"/>
      <c r="V841" s="125"/>
      <c r="W841" s="125"/>
      <c r="X841" s="87"/>
      <c r="Y841" s="87"/>
    </row>
    <row r="842" spans="2:81">
      <c r="C842" s="187" t="s">
        <v>1265</v>
      </c>
      <c r="D842" s="28"/>
      <c r="E842" s="28"/>
      <c r="F842" s="28"/>
      <c r="I842" s="125"/>
      <c r="J842" s="125"/>
      <c r="K842" s="125"/>
      <c r="L842" s="87"/>
      <c r="M842" s="87"/>
      <c r="N842" s="87"/>
      <c r="O842" s="125"/>
      <c r="P842" s="125"/>
      <c r="Q842" s="125"/>
      <c r="R842" s="125"/>
      <c r="S842" s="125"/>
      <c r="T842" s="125"/>
      <c r="U842" s="125"/>
      <c r="V842" s="125"/>
      <c r="W842" s="125"/>
      <c r="X842" s="87"/>
      <c r="Y842" s="87"/>
    </row>
    <row r="843" spans="2:81">
      <c r="C843" s="187" t="s">
        <v>1266</v>
      </c>
      <c r="D843" s="28"/>
      <c r="E843" s="28"/>
      <c r="F843" s="28"/>
      <c r="I843" s="125"/>
      <c r="J843" s="125"/>
      <c r="K843" s="125"/>
      <c r="L843" s="87"/>
      <c r="M843" s="87"/>
      <c r="N843" s="87"/>
      <c r="O843" s="125"/>
      <c r="P843" s="125"/>
      <c r="Q843" s="125"/>
      <c r="R843" s="125"/>
      <c r="S843" s="125"/>
      <c r="T843" s="125"/>
      <c r="U843" s="125"/>
      <c r="V843" s="125"/>
      <c r="W843" s="125"/>
      <c r="X843" s="87"/>
      <c r="Y843" s="87"/>
    </row>
    <row r="844" spans="2:81">
      <c r="C844" s="11"/>
      <c r="D844" s="19">
        <f>SUM(D839:D843)</f>
        <v>0.03</v>
      </c>
      <c r="E844" s="19">
        <f>SUM(E839:E843)</f>
        <v>0.03</v>
      </c>
      <c r="F844" s="19">
        <f>SUM(F839:F843)</f>
        <v>0.02</v>
      </c>
      <c r="O844" s="6"/>
      <c r="P844" s="6"/>
      <c r="R844" s="6"/>
      <c r="S844" s="6"/>
      <c r="T844" s="6"/>
      <c r="U844" s="6"/>
      <c r="V844" s="6"/>
      <c r="W844" s="6"/>
    </row>
    <row r="845" spans="2:81">
      <c r="C845" s="11"/>
      <c r="D845" s="16"/>
      <c r="E845" s="19">
        <f>D844-E844</f>
        <v>0</v>
      </c>
      <c r="F845" s="19">
        <f>E844-F844</f>
        <v>9.9999999999999985E-3</v>
      </c>
      <c r="O845" s="6"/>
      <c r="P845" s="6"/>
      <c r="R845" s="6"/>
      <c r="S845" s="6"/>
      <c r="T845" s="6"/>
      <c r="U845" s="6"/>
      <c r="V845" s="6"/>
      <c r="W845" s="6"/>
    </row>
    <row r="846" spans="2:81">
      <c r="C846" s="11"/>
      <c r="D846" s="16"/>
      <c r="E846" s="16"/>
      <c r="F846" s="16"/>
      <c r="O846" s="6"/>
      <c r="P846" s="6"/>
      <c r="R846" s="6"/>
      <c r="S846" s="6"/>
      <c r="T846" s="6"/>
      <c r="U846" s="6"/>
      <c r="V846" s="6"/>
      <c r="W846" s="6"/>
    </row>
    <row r="847" spans="2:81">
      <c r="C847" s="10" t="s">
        <v>417</v>
      </c>
      <c r="D847" s="16" t="s">
        <v>418</v>
      </c>
      <c r="E847" s="16"/>
      <c r="F847" s="16"/>
    </row>
    <row r="848" spans="2:81">
      <c r="C848" s="10"/>
      <c r="D848" s="16"/>
      <c r="E848" s="16"/>
      <c r="F848" s="16"/>
    </row>
    <row r="849" spans="2:81">
      <c r="C849" s="11" t="s">
        <v>359</v>
      </c>
      <c r="D849" s="22"/>
      <c r="E849" s="18"/>
      <c r="F849" s="15"/>
    </row>
    <row r="850" spans="2:81">
      <c r="C850" s="11" t="s">
        <v>360</v>
      </c>
      <c r="D850" s="22"/>
      <c r="E850" s="18"/>
      <c r="F850" s="15"/>
    </row>
    <row r="851" spans="2:81">
      <c r="C851" s="11" t="s">
        <v>361</v>
      </c>
      <c r="D851" s="22"/>
      <c r="E851" s="18"/>
      <c r="F851" s="15"/>
    </row>
    <row r="852" spans="2:81">
      <c r="C852" s="11" t="s">
        <v>362</v>
      </c>
      <c r="D852" s="22"/>
      <c r="E852" s="18"/>
      <c r="F852" s="15"/>
    </row>
    <row r="853" spans="2:81">
      <c r="C853" s="11" t="s">
        <v>363</v>
      </c>
      <c r="D853" s="22"/>
      <c r="E853" s="18"/>
      <c r="F853" s="15"/>
    </row>
    <row r="854" spans="2:81">
      <c r="C854" s="109"/>
      <c r="D854" s="168"/>
      <c r="E854" s="169"/>
      <c r="F854" s="110"/>
      <c r="G854" s="100"/>
      <c r="H854" s="100"/>
      <c r="I854" s="100"/>
      <c r="J854" s="100"/>
      <c r="K854" s="100"/>
      <c r="L854" s="100"/>
      <c r="M854" s="100"/>
      <c r="N854" s="100"/>
      <c r="O854" s="100"/>
      <c r="P854" s="100"/>
      <c r="Q854" s="100"/>
      <c r="R854" s="100"/>
      <c r="S854" s="100"/>
      <c r="T854" s="100"/>
      <c r="U854" s="100"/>
      <c r="V854" s="100"/>
      <c r="W854" s="100"/>
      <c r="X854" s="100"/>
      <c r="Y854" s="100"/>
      <c r="Z854" s="100"/>
      <c r="AA854" s="100"/>
      <c r="AB854" s="100"/>
      <c r="AC854" s="100"/>
      <c r="AD854" s="332"/>
      <c r="AE854" s="100"/>
      <c r="AF854" s="100"/>
      <c r="AG854" s="100"/>
      <c r="AH854" s="100"/>
      <c r="AI854" s="100"/>
      <c r="AJ854" s="392"/>
      <c r="AK854" s="100"/>
      <c r="AL854" s="100"/>
      <c r="AM854" s="100"/>
      <c r="AN854" s="100"/>
      <c r="AO854" s="100"/>
      <c r="AP854" s="100"/>
      <c r="AQ854" s="100"/>
      <c r="AR854" s="100"/>
      <c r="AS854" s="100"/>
      <c r="AT854" s="100"/>
      <c r="AU854" s="100"/>
      <c r="AV854" s="100"/>
      <c r="AW854" s="100"/>
      <c r="AX854" s="100"/>
      <c r="AY854" s="100"/>
      <c r="AZ854" s="100"/>
      <c r="BA854" s="100"/>
      <c r="BB854" s="100"/>
      <c r="BC854" s="100"/>
      <c r="BD854" s="100"/>
      <c r="BE854" s="100"/>
      <c r="BF854" s="100"/>
      <c r="BG854" s="100"/>
      <c r="BH854" s="100"/>
      <c r="BI854" s="100"/>
      <c r="BJ854" s="100"/>
      <c r="BK854" s="100"/>
      <c r="BL854" s="100"/>
      <c r="BM854" s="100"/>
      <c r="BN854" s="100"/>
      <c r="BO854" s="100"/>
      <c r="BP854" s="100"/>
      <c r="BQ854" s="100"/>
      <c r="BR854" s="100"/>
      <c r="BS854" s="100"/>
      <c r="BT854" s="100"/>
      <c r="BU854" s="100"/>
      <c r="BV854" s="100"/>
      <c r="BW854" s="100"/>
      <c r="BX854" s="100"/>
      <c r="BY854" s="100"/>
      <c r="BZ854" s="100"/>
      <c r="CA854" s="100"/>
      <c r="CB854" s="100"/>
      <c r="CC854" s="100"/>
    </row>
    <row r="855" spans="2:81">
      <c r="C855" s="10"/>
      <c r="D855" s="16"/>
      <c r="E855" s="16"/>
      <c r="F855" s="16"/>
    </row>
    <row r="856" spans="2:81">
      <c r="C856" s="10"/>
      <c r="D856" s="16"/>
      <c r="E856" s="16"/>
      <c r="F856" s="16"/>
    </row>
    <row r="857" spans="2:81" ht="15" customHeight="1">
      <c r="C857" s="10"/>
      <c r="D857" s="16"/>
      <c r="E857" s="16"/>
      <c r="F857" s="16"/>
      <c r="I857" s="893" t="s">
        <v>1037</v>
      </c>
      <c r="J857" s="893"/>
      <c r="K857" s="893"/>
      <c r="L857" s="893"/>
      <c r="M857" s="893"/>
      <c r="N857" s="893"/>
      <c r="O857" s="893"/>
      <c r="P857" s="893"/>
      <c r="Q857" s="893"/>
      <c r="R857" s="893"/>
      <c r="S857" s="893"/>
      <c r="T857" s="893"/>
      <c r="U857" s="893"/>
      <c r="V857" s="893"/>
      <c r="W857" s="893"/>
      <c r="X857" s="893"/>
      <c r="Y857" s="893"/>
    </row>
    <row r="858" spans="2:81" ht="15" customHeight="1">
      <c r="C858" s="10"/>
      <c r="D858" s="16"/>
      <c r="E858" s="16"/>
      <c r="F858" s="16"/>
      <c r="I858" s="892" t="s">
        <v>1242</v>
      </c>
      <c r="J858" s="892"/>
      <c r="K858" s="892"/>
      <c r="L858" s="892"/>
      <c r="M858" s="892"/>
      <c r="N858" s="892"/>
      <c r="O858" s="892"/>
      <c r="P858" s="892"/>
      <c r="Q858" s="892"/>
      <c r="R858" s="892"/>
      <c r="S858" s="892"/>
      <c r="T858" s="892"/>
      <c r="U858" s="892"/>
      <c r="V858" s="892"/>
      <c r="W858" s="892"/>
      <c r="X858" s="892"/>
      <c r="Y858" s="95"/>
    </row>
    <row r="859" spans="2:81" ht="15" customHeight="1">
      <c r="C859" s="10"/>
      <c r="D859" s="16"/>
      <c r="E859" s="16"/>
      <c r="F859" s="16"/>
      <c r="I859" s="837" t="s">
        <v>1243</v>
      </c>
      <c r="J859" s="837"/>
      <c r="K859" s="323"/>
      <c r="L859" s="868" t="s">
        <v>1244</v>
      </c>
      <c r="M859" s="869"/>
      <c r="N859" s="278"/>
      <c r="O859" s="837" t="s">
        <v>1059</v>
      </c>
      <c r="P859" s="837"/>
      <c r="Q859" s="278"/>
      <c r="X859" s="837"/>
      <c r="Y859" s="837"/>
    </row>
    <row r="860" spans="2:81" ht="28.8">
      <c r="B860" s="519" t="s">
        <v>1079</v>
      </c>
      <c r="C860" s="12" t="s">
        <v>15</v>
      </c>
      <c r="D860" s="16" t="s">
        <v>353</v>
      </c>
      <c r="E860" s="16" t="s">
        <v>354</v>
      </c>
      <c r="F860" s="16" t="s">
        <v>355</v>
      </c>
      <c r="I860" s="171" t="s">
        <v>1080</v>
      </c>
      <c r="J860" s="95" t="s">
        <v>1081</v>
      </c>
      <c r="K860" s="95"/>
      <c r="L860" s="95" t="s">
        <v>1080</v>
      </c>
      <c r="M860" s="95" t="s">
        <v>1081</v>
      </c>
      <c r="N860" s="95"/>
      <c r="O860" s="95" t="s">
        <v>1080</v>
      </c>
      <c r="P860" s="95" t="s">
        <v>1081</v>
      </c>
      <c r="Q860" s="95" t="s">
        <v>1081</v>
      </c>
      <c r="R860" s="95" t="s">
        <v>1080</v>
      </c>
      <c r="S860" s="95" t="s">
        <v>1081</v>
      </c>
      <c r="T860" s="95"/>
      <c r="U860" s="95" t="s">
        <v>1080</v>
      </c>
      <c r="V860" s="95" t="s">
        <v>1081</v>
      </c>
      <c r="W860" s="95"/>
      <c r="X860" s="95" t="s">
        <v>1080</v>
      </c>
      <c r="Y860" s="95" t="s">
        <v>1081</v>
      </c>
    </row>
    <row r="861" spans="2:81" ht="28.8">
      <c r="C861" s="187" t="s">
        <v>1245</v>
      </c>
      <c r="D861" s="28">
        <v>0.01</v>
      </c>
      <c r="E861" s="28">
        <v>0.01</v>
      </c>
      <c r="F861" s="28">
        <v>0.01</v>
      </c>
      <c r="I861" s="125"/>
      <c r="J861" s="125"/>
      <c r="K861" s="125"/>
      <c r="L861" s="87"/>
      <c r="M861" s="87"/>
      <c r="N861" s="87"/>
      <c r="O861" s="125"/>
      <c r="P861" s="125"/>
      <c r="Q861" s="125"/>
      <c r="R861" s="87"/>
      <c r="S861" s="87"/>
      <c r="T861" s="87"/>
      <c r="U861" s="87"/>
      <c r="V861" s="87"/>
      <c r="W861" s="87"/>
      <c r="X861" s="87"/>
      <c r="Y861" s="87"/>
    </row>
    <row r="862" spans="2:81">
      <c r="C862" s="187" t="s">
        <v>1267</v>
      </c>
      <c r="D862" s="28">
        <v>0.02</v>
      </c>
      <c r="E862" s="28">
        <v>0.02</v>
      </c>
      <c r="F862" s="28">
        <v>0.02</v>
      </c>
      <c r="I862" s="125"/>
      <c r="J862" s="125"/>
      <c r="K862" s="125"/>
      <c r="L862" s="87"/>
      <c r="M862" s="87"/>
      <c r="N862" s="87"/>
      <c r="O862" s="125"/>
      <c r="P862" s="125"/>
      <c r="Q862" s="125"/>
      <c r="R862" s="125"/>
      <c r="S862" s="125"/>
      <c r="T862" s="125"/>
      <c r="U862" s="125"/>
      <c r="V862" s="125"/>
      <c r="W862" s="125"/>
      <c r="X862" s="87"/>
      <c r="Y862" s="87"/>
    </row>
    <row r="863" spans="2:81" ht="28.8">
      <c r="C863" s="465" t="s">
        <v>1268</v>
      </c>
      <c r="D863" s="28">
        <v>0.02</v>
      </c>
      <c r="E863" s="28">
        <v>0.02</v>
      </c>
      <c r="F863" s="28">
        <v>0.02</v>
      </c>
      <c r="I863" s="131"/>
      <c r="J863" s="131"/>
      <c r="K863" s="131"/>
      <c r="L863" s="131"/>
      <c r="M863" s="131"/>
      <c r="N863" s="131"/>
      <c r="O863" s="131"/>
      <c r="P863" s="131"/>
      <c r="Q863" s="131"/>
      <c r="R863" s="131"/>
      <c r="S863" s="131"/>
      <c r="T863" s="131"/>
      <c r="U863" s="131"/>
      <c r="V863" s="131"/>
      <c r="W863" s="131"/>
      <c r="X863" s="130"/>
      <c r="Y863" s="130"/>
    </row>
    <row r="864" spans="2:81" ht="28.8">
      <c r="C864" s="465" t="s">
        <v>1269</v>
      </c>
      <c r="D864" s="28"/>
      <c r="E864" s="28"/>
      <c r="F864" s="28"/>
      <c r="I864" s="131"/>
      <c r="J864" s="131"/>
      <c r="K864" s="131"/>
      <c r="L864" s="131"/>
      <c r="M864" s="131"/>
      <c r="N864" s="131"/>
      <c r="O864" s="131"/>
      <c r="P864" s="131"/>
      <c r="Q864" s="131"/>
      <c r="R864" s="131"/>
      <c r="S864" s="131"/>
      <c r="T864" s="131"/>
      <c r="U864" s="131"/>
      <c r="V864" s="131"/>
      <c r="W864" s="131"/>
      <c r="X864" s="130"/>
      <c r="Y864" s="130"/>
    </row>
    <row r="865" spans="3:25" ht="28.8">
      <c r="C865" s="187" t="s">
        <v>1270</v>
      </c>
      <c r="D865" s="28">
        <v>0.02</v>
      </c>
      <c r="E865" s="28">
        <v>0.02</v>
      </c>
      <c r="F865" s="28">
        <v>0.02</v>
      </c>
      <c r="I865" s="87"/>
      <c r="J865" s="87"/>
      <c r="K865" s="87"/>
      <c r="L865" s="87"/>
      <c r="M865" s="87"/>
      <c r="N865" s="87"/>
      <c r="O865" s="125"/>
      <c r="P865" s="125"/>
      <c r="Q865" s="87"/>
      <c r="R865" s="125"/>
      <c r="S865" s="125"/>
      <c r="T865" s="125"/>
      <c r="U865" s="125"/>
      <c r="V865" s="125"/>
      <c r="W865" s="125"/>
      <c r="X865" s="87"/>
      <c r="Y865" s="87"/>
    </row>
    <row r="866" spans="3:25">
      <c r="C866" s="187" t="s">
        <v>1271</v>
      </c>
      <c r="D866" s="28">
        <v>0.02</v>
      </c>
      <c r="E866" s="28">
        <v>0.02</v>
      </c>
      <c r="F866" s="28">
        <v>0.02</v>
      </c>
      <c r="I866" s="87"/>
      <c r="J866" s="87"/>
      <c r="K866" s="87"/>
      <c r="L866" s="87"/>
      <c r="M866" s="87"/>
      <c r="N866" s="87"/>
      <c r="O866" s="125"/>
      <c r="P866" s="125"/>
      <c r="Q866" s="87"/>
      <c r="R866" s="125"/>
      <c r="S866" s="125"/>
      <c r="T866" s="125"/>
      <c r="U866" s="125"/>
      <c r="V866" s="125"/>
      <c r="W866" s="125"/>
      <c r="X866" s="87"/>
      <c r="Y866" s="87"/>
    </row>
    <row r="867" spans="3:25">
      <c r="C867" s="187" t="s">
        <v>1272</v>
      </c>
      <c r="D867" s="28">
        <v>0.02</v>
      </c>
      <c r="E867" s="28">
        <v>0.02</v>
      </c>
      <c r="F867" s="28">
        <v>0.02</v>
      </c>
      <c r="I867" s="87"/>
      <c r="J867" s="87"/>
      <c r="K867" s="87"/>
      <c r="L867" s="87"/>
      <c r="M867" s="87"/>
      <c r="N867" s="87"/>
      <c r="O867" s="125"/>
      <c r="P867" s="125"/>
      <c r="Q867" s="87"/>
      <c r="R867" s="125"/>
      <c r="S867" s="125"/>
      <c r="T867" s="125"/>
      <c r="U867" s="125"/>
      <c r="V867" s="125"/>
      <c r="W867" s="125"/>
      <c r="X867" s="87"/>
      <c r="Y867" s="87"/>
    </row>
    <row r="868" spans="3:25" ht="28.8">
      <c r="C868" s="187" t="s">
        <v>1273</v>
      </c>
      <c r="D868" s="28">
        <v>0.02</v>
      </c>
      <c r="E868" s="28">
        <v>0.02</v>
      </c>
      <c r="F868" s="28">
        <v>0.02</v>
      </c>
      <c r="I868" s="87"/>
      <c r="J868" s="87"/>
      <c r="K868" s="87"/>
      <c r="L868" s="87"/>
      <c r="M868" s="87"/>
      <c r="N868" s="87"/>
      <c r="O868" s="125"/>
      <c r="P868" s="125"/>
      <c r="Q868" s="87"/>
      <c r="R868" s="125"/>
      <c r="S868" s="125"/>
      <c r="T868" s="125"/>
      <c r="U868" s="125"/>
      <c r="V868" s="125"/>
      <c r="W868" s="125"/>
      <c r="X868" s="87"/>
      <c r="Y868" s="87"/>
    </row>
    <row r="869" spans="3:25">
      <c r="C869" s="187" t="s">
        <v>1274</v>
      </c>
      <c r="D869" s="28">
        <v>0.02</v>
      </c>
      <c r="E869" s="28">
        <v>0.02</v>
      </c>
      <c r="F869" s="28">
        <v>0.02</v>
      </c>
      <c r="I869" s="87"/>
      <c r="J869" s="87"/>
      <c r="K869" s="87"/>
      <c r="L869" s="87"/>
      <c r="M869" s="87"/>
      <c r="N869" s="87"/>
      <c r="O869" s="125"/>
      <c r="P869" s="125"/>
      <c r="Q869" s="87"/>
      <c r="R869" s="125"/>
      <c r="S869" s="125"/>
      <c r="T869" s="125"/>
      <c r="U869" s="125"/>
      <c r="V869" s="125"/>
      <c r="W869" s="125"/>
      <c r="X869" s="87"/>
      <c r="Y869" s="87"/>
    </row>
    <row r="870" spans="3:25" ht="28.8">
      <c r="C870" s="187" t="s">
        <v>1275</v>
      </c>
      <c r="D870" s="28">
        <v>0.02</v>
      </c>
      <c r="E870" s="28">
        <v>0.02</v>
      </c>
      <c r="F870" s="28">
        <v>0.01</v>
      </c>
      <c r="I870" s="87"/>
      <c r="J870" s="87"/>
      <c r="K870" s="87"/>
      <c r="L870" s="87"/>
      <c r="M870" s="87"/>
      <c r="N870" s="87"/>
      <c r="O870" s="125"/>
      <c r="P870" s="125"/>
      <c r="Q870" s="87"/>
      <c r="R870" s="125"/>
      <c r="S870" s="125"/>
      <c r="T870" s="125"/>
      <c r="U870" s="125"/>
      <c r="V870" s="125"/>
      <c r="W870" s="125"/>
      <c r="X870" s="87"/>
      <c r="Y870" s="87"/>
    </row>
    <row r="871" spans="3:25" ht="28.8">
      <c r="C871" s="465" t="s">
        <v>1276</v>
      </c>
      <c r="D871" s="28">
        <v>0.05</v>
      </c>
      <c r="E871" s="28">
        <v>0.05</v>
      </c>
      <c r="F871" s="28">
        <v>0.05</v>
      </c>
      <c r="I871" s="87"/>
      <c r="J871" s="87"/>
      <c r="K871" s="87"/>
      <c r="L871" s="87"/>
      <c r="M871" s="87"/>
      <c r="N871" s="87"/>
      <c r="O871" s="125"/>
      <c r="P871" s="125"/>
      <c r="Q871" s="87"/>
      <c r="R871" s="125"/>
      <c r="S871" s="125"/>
      <c r="T871" s="125"/>
      <c r="U871" s="125"/>
      <c r="V871" s="125"/>
      <c r="W871" s="125"/>
      <c r="X871" s="87"/>
      <c r="Y871" s="87"/>
    </row>
    <row r="872" spans="3:25">
      <c r="C872" s="187" t="s">
        <v>1277</v>
      </c>
      <c r="D872" s="28">
        <v>0.02</v>
      </c>
      <c r="E872" s="28">
        <v>0.02</v>
      </c>
      <c r="F872" s="28">
        <v>0.02</v>
      </c>
      <c r="I872" s="87"/>
      <c r="J872" s="87"/>
      <c r="K872" s="87"/>
      <c r="L872" s="87"/>
      <c r="M872" s="87"/>
      <c r="N872" s="87"/>
      <c r="O872" s="125"/>
      <c r="P872" s="125"/>
      <c r="Q872" s="87"/>
      <c r="R872" s="125"/>
      <c r="S872" s="125"/>
      <c r="T872" s="125"/>
      <c r="U872" s="125"/>
      <c r="V872" s="125"/>
      <c r="W872" s="125"/>
      <c r="X872" s="87"/>
      <c r="Y872" s="87"/>
    </row>
    <row r="873" spans="3:25" ht="28.8">
      <c r="C873" s="187" t="s">
        <v>1278</v>
      </c>
      <c r="D873" s="28">
        <v>0.01</v>
      </c>
      <c r="E873" s="28">
        <v>0.01</v>
      </c>
      <c r="F873" s="28">
        <v>0.01</v>
      </c>
      <c r="I873" s="87"/>
      <c r="J873" s="87"/>
      <c r="K873" s="87"/>
      <c r="L873" s="87"/>
      <c r="M873" s="87"/>
      <c r="N873" s="87"/>
      <c r="O873" s="125"/>
      <c r="P873" s="125"/>
      <c r="Q873" s="87"/>
      <c r="R873" s="125"/>
      <c r="S873" s="125"/>
      <c r="T873" s="125"/>
      <c r="U873" s="125"/>
      <c r="V873" s="125"/>
      <c r="W873" s="125"/>
      <c r="X873" s="87"/>
      <c r="Y873" s="87"/>
    </row>
    <row r="874" spans="3:25">
      <c r="C874" s="187" t="s">
        <v>1279</v>
      </c>
      <c r="D874" s="28">
        <v>0.05</v>
      </c>
      <c r="E874" s="28">
        <v>0.05</v>
      </c>
      <c r="F874" s="28">
        <v>0.05</v>
      </c>
      <c r="I874" s="87"/>
      <c r="J874" s="87"/>
      <c r="K874" s="87"/>
      <c r="L874" s="87"/>
      <c r="M874" s="87"/>
      <c r="N874" s="87"/>
      <c r="O874" s="125"/>
      <c r="P874" s="125"/>
      <c r="Q874" s="87"/>
      <c r="R874" s="125"/>
      <c r="S874" s="125"/>
      <c r="T874" s="125"/>
      <c r="U874" s="125"/>
      <c r="V874" s="125"/>
      <c r="W874" s="125"/>
      <c r="X874" s="87"/>
      <c r="Y874" s="87"/>
    </row>
    <row r="875" spans="3:25" ht="28.8">
      <c r="C875" s="187" t="s">
        <v>1280</v>
      </c>
      <c r="D875" s="28">
        <v>0.02</v>
      </c>
      <c r="E875" s="28">
        <v>0.02</v>
      </c>
      <c r="F875" s="28">
        <v>0.02</v>
      </c>
      <c r="I875" s="87"/>
      <c r="J875" s="87"/>
      <c r="K875" s="87"/>
      <c r="L875" s="87"/>
      <c r="M875" s="87"/>
      <c r="N875" s="87"/>
      <c r="O875" s="125"/>
      <c r="P875" s="125"/>
      <c r="Q875" s="87"/>
      <c r="R875" s="125"/>
      <c r="S875" s="125"/>
      <c r="T875" s="125"/>
      <c r="U875" s="125"/>
      <c r="V875" s="125"/>
      <c r="W875" s="125"/>
      <c r="X875" s="87"/>
      <c r="Y875" s="87"/>
    </row>
    <row r="876" spans="3:25" ht="28.8">
      <c r="C876" s="187" t="s">
        <v>1281</v>
      </c>
      <c r="D876" s="28">
        <v>0.3</v>
      </c>
      <c r="E876" s="28">
        <v>0.3</v>
      </c>
      <c r="F876" s="28">
        <v>0.3</v>
      </c>
      <c r="I876" s="87"/>
      <c r="J876" s="87"/>
      <c r="K876" s="87"/>
      <c r="L876" s="87"/>
      <c r="M876" s="87"/>
      <c r="N876" s="87"/>
      <c r="O876" s="125"/>
      <c r="P876" s="125"/>
      <c r="Q876" s="87"/>
      <c r="R876" s="125"/>
      <c r="S876" s="125"/>
      <c r="T876" s="125"/>
      <c r="U876" s="125"/>
      <c r="V876" s="125"/>
      <c r="W876" s="125"/>
      <c r="X876" s="87"/>
      <c r="Y876" s="87"/>
    </row>
    <row r="877" spans="3:25" ht="28.8">
      <c r="C877" s="187" t="s">
        <v>1282</v>
      </c>
      <c r="D877" s="28">
        <v>0.05</v>
      </c>
      <c r="E877" s="28">
        <v>0.05</v>
      </c>
      <c r="F877" s="28">
        <v>0.05</v>
      </c>
      <c r="I877" s="87"/>
      <c r="J877" s="87"/>
      <c r="K877" s="87"/>
      <c r="L877" s="87"/>
      <c r="M877" s="87"/>
      <c r="N877" s="87"/>
      <c r="O877" s="125"/>
      <c r="P877" s="125"/>
      <c r="Q877" s="87"/>
      <c r="R877" s="125"/>
      <c r="S877" s="125"/>
      <c r="T877" s="125"/>
      <c r="U877" s="125"/>
      <c r="V877" s="125"/>
      <c r="W877" s="125"/>
      <c r="X877" s="87"/>
      <c r="Y877" s="87"/>
    </row>
    <row r="878" spans="3:25" ht="28.8">
      <c r="C878" s="187" t="s">
        <v>1283</v>
      </c>
      <c r="D878" s="51">
        <v>0.05</v>
      </c>
      <c r="E878" s="51">
        <v>0.05</v>
      </c>
      <c r="F878" s="51">
        <v>0.05</v>
      </c>
      <c r="I878" s="87"/>
      <c r="J878" s="87"/>
      <c r="K878" s="87"/>
      <c r="L878" s="87"/>
      <c r="M878" s="87"/>
      <c r="N878" s="87"/>
      <c r="O878" s="125"/>
      <c r="P878" s="125"/>
      <c r="Q878" s="87"/>
      <c r="R878" s="125"/>
      <c r="S878" s="125"/>
      <c r="T878" s="125"/>
      <c r="U878" s="125"/>
      <c r="V878" s="125"/>
      <c r="W878" s="125"/>
      <c r="X878" s="87"/>
      <c r="Y878" s="87"/>
    </row>
    <row r="879" spans="3:25">
      <c r="C879" s="187" t="s">
        <v>1284</v>
      </c>
      <c r="D879" s="51">
        <v>0.2</v>
      </c>
      <c r="E879" s="51">
        <v>0.2</v>
      </c>
      <c r="F879" s="51">
        <v>0.2</v>
      </c>
      <c r="I879" s="130"/>
      <c r="J879" s="130"/>
      <c r="K879" s="130"/>
      <c r="L879" s="130"/>
      <c r="M879" s="130"/>
      <c r="N879" s="130"/>
      <c r="O879" s="131"/>
      <c r="P879" s="131"/>
      <c r="Q879" s="130"/>
      <c r="R879" s="131"/>
      <c r="S879" s="131"/>
      <c r="T879" s="131"/>
      <c r="U879" s="131"/>
      <c r="V879" s="131"/>
      <c r="W879" s="131"/>
      <c r="X879" s="130"/>
      <c r="Y879" s="130"/>
    </row>
    <row r="880" spans="3:25">
      <c r="C880" s="187" t="s">
        <v>1285</v>
      </c>
      <c r="D880" s="51">
        <v>0.05</v>
      </c>
      <c r="E880" s="51">
        <v>0.05</v>
      </c>
      <c r="F880" s="51">
        <v>0.05</v>
      </c>
      <c r="I880" s="87"/>
      <c r="J880" s="87"/>
      <c r="K880" s="87"/>
      <c r="L880" s="87"/>
      <c r="M880" s="87"/>
      <c r="N880" s="87"/>
      <c r="O880" s="125"/>
      <c r="P880" s="125"/>
      <c r="Q880" s="87"/>
      <c r="R880" s="125"/>
      <c r="S880" s="125"/>
      <c r="T880" s="125"/>
      <c r="U880" s="125"/>
      <c r="V880" s="125"/>
      <c r="W880" s="125"/>
      <c r="X880" s="87"/>
      <c r="Y880" s="87"/>
    </row>
    <row r="881" spans="3:81">
      <c r="C881" s="187" t="s">
        <v>1286</v>
      </c>
      <c r="D881" s="18">
        <v>0.01</v>
      </c>
      <c r="E881" s="18">
        <v>0.01</v>
      </c>
      <c r="F881" s="18">
        <v>0.01</v>
      </c>
      <c r="O881" s="6"/>
      <c r="P881" s="6"/>
      <c r="R881" s="6"/>
      <c r="S881" s="6"/>
      <c r="T881" s="6"/>
      <c r="U881" s="6"/>
      <c r="V881" s="6"/>
      <c r="W881" s="6"/>
    </row>
    <row r="882" spans="3:81">
      <c r="C882" s="11"/>
      <c r="D882" s="27">
        <f>SUM(D861:D881)</f>
        <v>0.9800000000000002</v>
      </c>
      <c r="E882" s="27">
        <f>SUM(E861:E881)</f>
        <v>0.9800000000000002</v>
      </c>
      <c r="F882" s="27">
        <f>SUM(F861:F881)</f>
        <v>0.9700000000000002</v>
      </c>
      <c r="O882" s="6"/>
      <c r="P882" s="6"/>
      <c r="R882" s="6"/>
      <c r="S882" s="6"/>
      <c r="T882" s="6"/>
      <c r="U882" s="6"/>
      <c r="V882" s="6"/>
      <c r="W882" s="6"/>
    </row>
    <row r="883" spans="3:81">
      <c r="C883" s="11"/>
      <c r="D883" s="16"/>
      <c r="E883" s="22">
        <f>D882-E882</f>
        <v>0</v>
      </c>
      <c r="F883" s="22">
        <f>E882-F882</f>
        <v>1.0000000000000009E-2</v>
      </c>
      <c r="O883" s="6"/>
      <c r="P883" s="6"/>
      <c r="R883" s="6"/>
      <c r="S883" s="6"/>
      <c r="T883" s="6"/>
      <c r="U883" s="6"/>
      <c r="V883" s="6"/>
      <c r="W883" s="6"/>
    </row>
    <row r="884" spans="3:81">
      <c r="C884" s="10" t="s">
        <v>419</v>
      </c>
      <c r="D884" s="16" t="s">
        <v>420</v>
      </c>
      <c r="E884" s="16"/>
      <c r="F884" s="16"/>
      <c r="O884" s="6"/>
      <c r="P884" s="6"/>
      <c r="R884" s="6"/>
      <c r="S884" s="6"/>
      <c r="T884" s="6"/>
      <c r="U884" s="6"/>
      <c r="V884" s="6"/>
      <c r="W884" s="6"/>
    </row>
    <row r="885" spans="3:81">
      <c r="C885" s="10"/>
      <c r="D885" s="16"/>
      <c r="E885" s="16"/>
      <c r="F885" s="16"/>
    </row>
    <row r="886" spans="3:81">
      <c r="C886" s="11" t="s">
        <v>359</v>
      </c>
      <c r="D886" s="22"/>
      <c r="E886" s="18"/>
      <c r="F886" s="15"/>
    </row>
    <row r="887" spans="3:81">
      <c r="C887" s="11" t="s">
        <v>360</v>
      </c>
      <c r="D887" s="22"/>
      <c r="E887" s="18"/>
      <c r="F887" s="15"/>
    </row>
    <row r="888" spans="3:81">
      <c r="C888" s="11" t="s">
        <v>361</v>
      </c>
      <c r="D888" s="22"/>
      <c r="E888" s="18"/>
      <c r="F888" s="15"/>
    </row>
    <row r="889" spans="3:81">
      <c r="C889" s="11" t="s">
        <v>362</v>
      </c>
      <c r="D889" s="22"/>
      <c r="E889" s="18"/>
      <c r="F889" s="15"/>
    </row>
    <row r="890" spans="3:81">
      <c r="C890" s="11" t="s">
        <v>363</v>
      </c>
      <c r="D890" s="22"/>
      <c r="E890" s="18"/>
      <c r="F890" s="15"/>
    </row>
    <row r="891" spans="3:81">
      <c r="C891" s="109"/>
      <c r="D891" s="168"/>
      <c r="E891" s="169"/>
      <c r="F891" s="110"/>
      <c r="G891" s="100"/>
      <c r="H891" s="100"/>
      <c r="I891" s="100"/>
      <c r="J891" s="100"/>
      <c r="K891" s="100"/>
      <c r="L891" s="100"/>
      <c r="M891" s="100"/>
      <c r="N891" s="100"/>
      <c r="O891" s="100"/>
      <c r="P891" s="100"/>
      <c r="Q891" s="100"/>
      <c r="R891" s="100"/>
      <c r="S891" s="100"/>
      <c r="T891" s="100"/>
      <c r="U891" s="100"/>
      <c r="V891" s="100"/>
      <c r="W891" s="100"/>
      <c r="X891" s="100"/>
      <c r="Y891" s="100"/>
      <c r="Z891" s="100"/>
      <c r="AA891" s="100"/>
      <c r="AB891" s="100"/>
      <c r="AC891" s="100"/>
      <c r="AD891" s="332"/>
      <c r="AE891" s="100"/>
      <c r="AF891" s="100"/>
      <c r="AG891" s="100"/>
      <c r="AH891" s="100"/>
      <c r="AI891" s="100"/>
      <c r="AJ891" s="392"/>
      <c r="AK891" s="100"/>
      <c r="AL891" s="100"/>
      <c r="AM891" s="100"/>
      <c r="AN891" s="100"/>
      <c r="AO891" s="100"/>
      <c r="AP891" s="100"/>
      <c r="AQ891" s="100"/>
      <c r="AR891" s="100"/>
      <c r="AS891" s="100"/>
      <c r="AT891" s="100"/>
      <c r="AU891" s="100"/>
      <c r="AV891" s="100"/>
      <c r="AW891" s="100"/>
      <c r="AX891" s="100"/>
      <c r="AY891" s="100"/>
      <c r="AZ891" s="100"/>
      <c r="BA891" s="100"/>
      <c r="BB891" s="100"/>
      <c r="BC891" s="100"/>
      <c r="BD891" s="100"/>
      <c r="BE891" s="100"/>
      <c r="BF891" s="100"/>
      <c r="BG891" s="100"/>
      <c r="BH891" s="100"/>
      <c r="BI891" s="100"/>
      <c r="BJ891" s="100"/>
      <c r="BK891" s="100"/>
      <c r="BL891" s="100"/>
      <c r="BM891" s="100"/>
      <c r="BN891" s="100"/>
      <c r="BO891" s="100"/>
      <c r="BP891" s="100"/>
      <c r="BQ891" s="100"/>
      <c r="BR891" s="100"/>
      <c r="BS891" s="100"/>
      <c r="BT891" s="100"/>
      <c r="BU891" s="100"/>
      <c r="BV891" s="100"/>
      <c r="BW891" s="100"/>
      <c r="BX891" s="100"/>
      <c r="BY891" s="100"/>
      <c r="BZ891" s="100"/>
      <c r="CA891" s="100"/>
      <c r="CB891" s="100"/>
      <c r="CC891" s="100"/>
    </row>
    <row r="892" spans="3:81">
      <c r="C892" s="10"/>
      <c r="D892" s="16"/>
      <c r="E892" s="16"/>
      <c r="F892" s="16"/>
    </row>
    <row r="893" spans="3:81">
      <c r="C893" s="10"/>
      <c r="D893" s="16"/>
      <c r="E893" s="16"/>
      <c r="F893" s="16"/>
    </row>
    <row r="894" spans="3:81" ht="15" customHeight="1">
      <c r="C894" s="10"/>
      <c r="D894" s="16"/>
      <c r="E894" s="16"/>
      <c r="F894" s="16"/>
      <c r="I894" s="893" t="s">
        <v>1037</v>
      </c>
      <c r="J894" s="893"/>
      <c r="K894" s="893"/>
      <c r="L894" s="893"/>
      <c r="M894" s="893"/>
      <c r="N894" s="893"/>
      <c r="O894" s="893"/>
      <c r="P894" s="893"/>
      <c r="Q894" s="893"/>
      <c r="R894" s="893"/>
      <c r="S894" s="893"/>
      <c r="T894" s="893"/>
      <c r="U894" s="893"/>
      <c r="V894" s="893"/>
      <c r="W894" s="893"/>
      <c r="X894" s="893"/>
      <c r="Y894" s="893"/>
    </row>
    <row r="895" spans="3:81" ht="15" customHeight="1">
      <c r="C895" s="10"/>
      <c r="D895" s="16"/>
      <c r="E895" s="16"/>
      <c r="F895" s="16"/>
      <c r="I895" s="892" t="s">
        <v>1242</v>
      </c>
      <c r="J895" s="892"/>
      <c r="K895" s="892"/>
      <c r="L895" s="892"/>
      <c r="M895" s="892"/>
      <c r="N895" s="892"/>
      <c r="O895" s="892"/>
      <c r="P895" s="892"/>
      <c r="Q895" s="892"/>
      <c r="R895" s="892"/>
      <c r="S895" s="892"/>
      <c r="T895" s="892"/>
      <c r="U895" s="892"/>
      <c r="V895" s="892"/>
      <c r="W895" s="892"/>
      <c r="X895" s="892"/>
      <c r="Y895" s="95"/>
    </row>
    <row r="896" spans="3:81" ht="15" customHeight="1">
      <c r="C896" s="10"/>
      <c r="D896" s="16"/>
      <c r="E896" s="16"/>
      <c r="F896" s="16"/>
      <c r="I896" s="837" t="s">
        <v>1243</v>
      </c>
      <c r="J896" s="837"/>
      <c r="K896" s="323"/>
      <c r="L896" s="868" t="s">
        <v>1244</v>
      </c>
      <c r="M896" s="869"/>
      <c r="N896" s="278"/>
      <c r="O896" s="837" t="s">
        <v>1059</v>
      </c>
      <c r="P896" s="837"/>
      <c r="Q896" s="278"/>
      <c r="R896" s="892"/>
      <c r="S896" s="892"/>
      <c r="T896" s="94"/>
      <c r="U896" s="837"/>
      <c r="V896" s="837"/>
      <c r="W896" s="93"/>
      <c r="X896" s="837"/>
      <c r="Y896" s="837"/>
    </row>
    <row r="897" spans="2:25" ht="28.8">
      <c r="B897" s="519" t="s">
        <v>1079</v>
      </c>
      <c r="C897" s="12" t="s">
        <v>16</v>
      </c>
      <c r="D897" s="16" t="s">
        <v>353</v>
      </c>
      <c r="E897" s="16" t="s">
        <v>354</v>
      </c>
      <c r="F897" s="16" t="s">
        <v>355</v>
      </c>
      <c r="I897" s="171" t="s">
        <v>1080</v>
      </c>
      <c r="J897" s="95" t="s">
        <v>1081</v>
      </c>
      <c r="K897" s="95"/>
      <c r="L897" s="95" t="s">
        <v>1080</v>
      </c>
      <c r="M897" s="95" t="s">
        <v>1081</v>
      </c>
      <c r="N897" s="95"/>
      <c r="O897" s="95" t="s">
        <v>1080</v>
      </c>
      <c r="P897" s="95" t="s">
        <v>1081</v>
      </c>
      <c r="Q897" s="95" t="s">
        <v>1081</v>
      </c>
      <c r="R897" s="95" t="s">
        <v>1080</v>
      </c>
      <c r="S897" s="95" t="s">
        <v>1081</v>
      </c>
      <c r="T897" s="95"/>
      <c r="U897" s="95" t="s">
        <v>1080</v>
      </c>
      <c r="V897" s="95" t="s">
        <v>1081</v>
      </c>
      <c r="W897" s="95"/>
      <c r="X897" s="95" t="s">
        <v>1080</v>
      </c>
      <c r="Y897" s="95" t="s">
        <v>1081</v>
      </c>
    </row>
    <row r="898" spans="2:25">
      <c r="C898" s="474" t="s">
        <v>1287</v>
      </c>
      <c r="D898" s="16"/>
      <c r="E898" s="16"/>
      <c r="F898" s="16"/>
      <c r="I898" s="171"/>
      <c r="J898" s="95"/>
      <c r="K898" s="95"/>
      <c r="L898" s="95"/>
      <c r="M898" s="95"/>
      <c r="N898" s="95"/>
      <c r="O898" s="95"/>
      <c r="P898" s="95"/>
      <c r="Q898" s="95"/>
      <c r="R898" s="95"/>
      <c r="S898" s="95"/>
      <c r="T898" s="95"/>
      <c r="U898" s="95"/>
      <c r="V898" s="95"/>
      <c r="W898" s="95"/>
      <c r="X898" s="95"/>
      <c r="Y898" s="95"/>
    </row>
    <row r="899" spans="2:25" ht="28.8">
      <c r="C899" s="187" t="s">
        <v>1288</v>
      </c>
      <c r="D899" s="28">
        <v>0.01</v>
      </c>
      <c r="E899" s="28">
        <v>0.01</v>
      </c>
      <c r="F899" s="28">
        <v>0.01</v>
      </c>
      <c r="I899" s="125"/>
      <c r="J899" s="125"/>
      <c r="K899" s="125"/>
      <c r="L899" s="87"/>
      <c r="M899" s="87"/>
      <c r="N899" s="87"/>
      <c r="O899" s="125"/>
      <c r="P899" s="125"/>
      <c r="Q899" s="125"/>
      <c r="R899" s="87"/>
      <c r="S899" s="87"/>
      <c r="T899" s="87"/>
      <c r="U899" s="87"/>
      <c r="V899" s="87"/>
      <c r="W899" s="87"/>
      <c r="X899" s="87"/>
      <c r="Y899" s="87"/>
    </row>
    <row r="900" spans="2:25" ht="28.8">
      <c r="C900" s="187" t="s">
        <v>1289</v>
      </c>
      <c r="D900" s="17">
        <v>0.28000000000000003</v>
      </c>
      <c r="E900" s="17">
        <v>0.28000000000000003</v>
      </c>
      <c r="F900" s="17">
        <v>0.2</v>
      </c>
      <c r="I900" s="125"/>
      <c r="J900" s="125"/>
      <c r="K900" s="125"/>
      <c r="L900" s="87"/>
      <c r="M900" s="87"/>
      <c r="N900" s="87"/>
      <c r="O900" s="125"/>
      <c r="P900" s="125"/>
      <c r="Q900" s="125"/>
      <c r="R900" s="125"/>
      <c r="S900" s="125"/>
      <c r="T900" s="125"/>
      <c r="U900" s="125"/>
      <c r="V900" s="125"/>
      <c r="W900" s="125"/>
      <c r="X900" s="87"/>
      <c r="Y900" s="87"/>
    </row>
    <row r="901" spans="2:25" ht="28.8">
      <c r="C901" s="187" t="s">
        <v>1290</v>
      </c>
      <c r="D901" s="17">
        <v>0.1</v>
      </c>
      <c r="E901" s="17">
        <v>0.1</v>
      </c>
      <c r="F901" s="17">
        <v>0.1</v>
      </c>
      <c r="I901" s="87"/>
      <c r="J901" s="87"/>
      <c r="K901" s="87"/>
      <c r="L901" s="87"/>
      <c r="M901" s="87"/>
      <c r="N901" s="87"/>
      <c r="O901" s="125"/>
      <c r="P901" s="125"/>
      <c r="Q901" s="87"/>
      <c r="R901" s="87"/>
      <c r="S901" s="87"/>
      <c r="T901" s="87"/>
      <c r="U901" s="125"/>
      <c r="V901" s="125"/>
      <c r="W901" s="125"/>
      <c r="X901" s="87"/>
      <c r="Y901" s="87"/>
    </row>
    <row r="902" spans="2:25">
      <c r="C902" s="187" t="s">
        <v>1291</v>
      </c>
      <c r="D902" s="51">
        <v>0.05</v>
      </c>
      <c r="E902" s="51">
        <v>0.05</v>
      </c>
      <c r="F902" s="51">
        <v>0.05</v>
      </c>
      <c r="I902" s="131"/>
      <c r="J902" s="131"/>
      <c r="K902" s="131"/>
      <c r="L902" s="131"/>
      <c r="M902" s="131"/>
      <c r="N902" s="131"/>
      <c r="O902" s="131"/>
      <c r="P902" s="131"/>
      <c r="Q902" s="131"/>
      <c r="R902" s="131"/>
      <c r="S902" s="131"/>
      <c r="T902" s="131"/>
      <c r="U902" s="131"/>
      <c r="V902" s="131"/>
      <c r="W902" s="131"/>
      <c r="X902" s="130"/>
      <c r="Y902" s="130"/>
    </row>
    <row r="903" spans="2:25">
      <c r="C903" s="187" t="s">
        <v>1292</v>
      </c>
      <c r="D903" s="51">
        <v>0.05</v>
      </c>
      <c r="E903" s="51">
        <v>0.05</v>
      </c>
      <c r="F903" s="51">
        <v>0.05</v>
      </c>
      <c r="I903" s="87"/>
      <c r="J903" s="87"/>
      <c r="K903" s="87"/>
      <c r="L903" s="87"/>
      <c r="M903" s="87"/>
      <c r="N903" s="87"/>
      <c r="O903" s="125"/>
      <c r="P903" s="125"/>
      <c r="Q903" s="87"/>
      <c r="R903" s="125"/>
      <c r="S903" s="125"/>
      <c r="T903" s="125"/>
      <c r="U903" s="125"/>
      <c r="V903" s="125"/>
      <c r="W903" s="125"/>
      <c r="X903" s="87"/>
      <c r="Y903" s="87"/>
    </row>
    <row r="904" spans="2:25">
      <c r="C904" s="187" t="s">
        <v>1293</v>
      </c>
      <c r="D904" s="51">
        <v>0.02</v>
      </c>
      <c r="E904" s="51">
        <v>0.02</v>
      </c>
      <c r="F904" s="51">
        <v>0.02</v>
      </c>
      <c r="I904" s="87"/>
      <c r="J904" s="87"/>
      <c r="K904" s="87"/>
      <c r="L904" s="87"/>
      <c r="M904" s="87"/>
      <c r="N904" s="87"/>
      <c r="O904" s="125"/>
      <c r="P904" s="125"/>
      <c r="Q904" s="87"/>
      <c r="R904" s="125"/>
      <c r="S904" s="125"/>
      <c r="T904" s="125"/>
      <c r="U904" s="125"/>
      <c r="V904" s="125"/>
      <c r="W904" s="125"/>
      <c r="X904" s="87"/>
      <c r="Y904" s="87"/>
    </row>
    <row r="905" spans="2:25">
      <c r="C905" s="187" t="s">
        <v>1294</v>
      </c>
      <c r="D905" s="51">
        <v>0.4</v>
      </c>
      <c r="E905" s="51">
        <v>0.4</v>
      </c>
      <c r="F905" s="51">
        <v>0.4</v>
      </c>
      <c r="I905" s="130"/>
      <c r="J905" s="130"/>
      <c r="K905" s="130"/>
      <c r="L905" s="130"/>
      <c r="M905" s="130"/>
      <c r="N905" s="130"/>
      <c r="O905" s="131"/>
      <c r="P905" s="131"/>
      <c r="Q905" s="130"/>
      <c r="R905" s="131"/>
      <c r="S905" s="131"/>
      <c r="T905" s="131"/>
      <c r="U905" s="131"/>
      <c r="V905" s="131"/>
      <c r="W905" s="131"/>
      <c r="X905" s="130"/>
      <c r="Y905" s="130"/>
    </row>
    <row r="906" spans="2:25">
      <c r="C906" s="187" t="s">
        <v>1295</v>
      </c>
      <c r="D906" s="51">
        <v>0.05</v>
      </c>
      <c r="E906" s="51">
        <v>0.05</v>
      </c>
      <c r="F906" s="51">
        <v>0.05</v>
      </c>
      <c r="I906" s="87"/>
      <c r="J906" s="87"/>
      <c r="K906" s="87"/>
      <c r="L906" s="87"/>
      <c r="M906" s="87"/>
      <c r="N906" s="87"/>
      <c r="O906" s="125"/>
      <c r="P906" s="125"/>
      <c r="Q906" s="87"/>
      <c r="R906" s="125"/>
      <c r="S906" s="125"/>
      <c r="T906" s="125"/>
      <c r="U906" s="125"/>
      <c r="V906" s="125"/>
      <c r="W906" s="125"/>
      <c r="X906" s="87"/>
      <c r="Y906" s="87"/>
    </row>
    <row r="907" spans="2:25">
      <c r="C907" s="187" t="s">
        <v>1296</v>
      </c>
      <c r="D907" s="51">
        <v>0.02</v>
      </c>
      <c r="E907" s="51">
        <v>0.02</v>
      </c>
      <c r="F907" s="51">
        <v>0.02</v>
      </c>
      <c r="I907" s="87"/>
      <c r="J907" s="87"/>
      <c r="K907" s="87"/>
      <c r="L907" s="87"/>
      <c r="M907" s="87"/>
      <c r="N907" s="87"/>
      <c r="O907" s="125"/>
      <c r="P907" s="125"/>
      <c r="Q907" s="87"/>
      <c r="R907" s="125"/>
      <c r="S907" s="125"/>
      <c r="T907" s="125"/>
      <c r="U907" s="125"/>
      <c r="V907" s="125"/>
      <c r="W907" s="125"/>
      <c r="X907" s="87"/>
      <c r="Y907" s="87"/>
    </row>
    <row r="908" spans="2:25">
      <c r="C908" s="187" t="s">
        <v>1297</v>
      </c>
      <c r="D908" s="18">
        <v>0.01</v>
      </c>
      <c r="E908" s="18">
        <v>0.01</v>
      </c>
      <c r="F908" s="18">
        <v>0.01</v>
      </c>
      <c r="O908" s="6"/>
      <c r="P908" s="6"/>
      <c r="R908" s="6"/>
      <c r="S908" s="6"/>
      <c r="T908" s="6"/>
      <c r="U908" s="6"/>
      <c r="V908" s="6"/>
      <c r="W908" s="6"/>
    </row>
    <row r="909" spans="2:25">
      <c r="C909" s="187" t="s">
        <v>1298</v>
      </c>
      <c r="D909" s="17">
        <v>0.01</v>
      </c>
      <c r="E909" s="17">
        <v>0.01</v>
      </c>
      <c r="F909" s="17">
        <v>0.01</v>
      </c>
      <c r="I909" s="87"/>
      <c r="J909" s="87"/>
      <c r="K909" s="87"/>
      <c r="L909" s="87"/>
      <c r="M909" s="87"/>
      <c r="N909" s="87"/>
      <c r="O909" s="125"/>
      <c r="P909" s="125"/>
      <c r="Q909" s="87"/>
      <c r="R909" s="125"/>
      <c r="S909" s="125"/>
      <c r="T909" s="125"/>
      <c r="U909" s="125"/>
      <c r="V909" s="125"/>
      <c r="W909" s="125"/>
      <c r="X909" s="87"/>
      <c r="Y909" s="87"/>
    </row>
    <row r="910" spans="2:25" ht="28.8">
      <c r="C910" s="483" t="s">
        <v>1299</v>
      </c>
      <c r="D910" s="19">
        <f>SUM(D899:D909)</f>
        <v>1</v>
      </c>
      <c r="E910" s="19">
        <f>SUM(E899:E909)</f>
        <v>1</v>
      </c>
      <c r="F910" s="19">
        <f>SUM(F899:F909)</f>
        <v>0.92000000000000015</v>
      </c>
    </row>
    <row r="911" spans="2:25">
      <c r="C911" s="11"/>
      <c r="D911" s="19"/>
      <c r="E911" s="19">
        <f>D910-E910</f>
        <v>0</v>
      </c>
      <c r="F911" s="19">
        <f>E910-F910</f>
        <v>7.9999999999999849E-2</v>
      </c>
    </row>
    <row r="912" spans="2:25">
      <c r="C912" s="11"/>
      <c r="D912" s="19"/>
      <c r="E912" s="19"/>
      <c r="F912" s="16"/>
    </row>
    <row r="913" spans="2:81">
      <c r="C913" s="10" t="s">
        <v>419</v>
      </c>
      <c r="D913" s="298" t="s">
        <v>394</v>
      </c>
      <c r="E913" s="19"/>
      <c r="F913" s="16"/>
    </row>
    <row r="914" spans="2:81">
      <c r="C914" s="10"/>
      <c r="D914" s="19"/>
      <c r="E914" s="19"/>
      <c r="F914" s="16"/>
    </row>
    <row r="915" spans="2:81">
      <c r="C915" s="11" t="s">
        <v>359</v>
      </c>
      <c r="D915" s="22"/>
      <c r="E915" s="18"/>
      <c r="F915" s="15"/>
    </row>
    <row r="916" spans="2:81">
      <c r="C916" s="11" t="s">
        <v>360</v>
      </c>
      <c r="D916" s="22"/>
      <c r="E916" s="18"/>
      <c r="F916" s="15"/>
    </row>
    <row r="917" spans="2:81">
      <c r="C917" s="11" t="s">
        <v>361</v>
      </c>
      <c r="D917" s="22"/>
      <c r="E917" s="18"/>
      <c r="F917" s="15"/>
    </row>
    <row r="918" spans="2:81">
      <c r="C918" s="11" t="s">
        <v>362</v>
      </c>
      <c r="D918" s="22"/>
      <c r="E918" s="18"/>
      <c r="F918" s="15"/>
    </row>
    <row r="919" spans="2:81">
      <c r="C919" s="11" t="s">
        <v>363</v>
      </c>
      <c r="D919" s="22"/>
      <c r="E919" s="18"/>
      <c r="F919" s="15"/>
    </row>
    <row r="920" spans="2:81">
      <c r="C920" s="109"/>
      <c r="D920" s="168"/>
      <c r="E920" s="169"/>
      <c r="F920" s="110"/>
      <c r="G920" s="100"/>
      <c r="H920" s="100"/>
      <c r="I920" s="100"/>
      <c r="J920" s="100"/>
      <c r="K920" s="100"/>
      <c r="L920" s="100"/>
      <c r="M920" s="100"/>
      <c r="N920" s="100"/>
      <c r="O920" s="100"/>
      <c r="P920" s="100"/>
      <c r="Q920" s="100"/>
      <c r="R920" s="100"/>
      <c r="S920" s="100"/>
      <c r="T920" s="100"/>
      <c r="U920" s="100"/>
      <c r="V920" s="100"/>
      <c r="W920" s="100"/>
      <c r="X920" s="100"/>
      <c r="Y920" s="100"/>
      <c r="Z920" s="100"/>
      <c r="AA920" s="100"/>
      <c r="AB920" s="100"/>
      <c r="AC920" s="100"/>
      <c r="AD920" s="332"/>
      <c r="AE920" s="100"/>
      <c r="AF920" s="100"/>
      <c r="AG920" s="100"/>
      <c r="AH920" s="100"/>
      <c r="AI920" s="100"/>
      <c r="AJ920" s="392"/>
      <c r="AK920" s="100"/>
      <c r="AL920" s="100"/>
      <c r="AM920" s="100"/>
      <c r="AN920" s="100"/>
      <c r="AO920" s="100"/>
      <c r="AP920" s="100"/>
      <c r="AQ920" s="100"/>
      <c r="AR920" s="100"/>
      <c r="AS920" s="100"/>
      <c r="AT920" s="100"/>
      <c r="AU920" s="100"/>
      <c r="AV920" s="100"/>
      <c r="AW920" s="100"/>
      <c r="AX920" s="100"/>
      <c r="AY920" s="100"/>
      <c r="AZ920" s="100"/>
      <c r="BA920" s="100"/>
      <c r="BB920" s="100"/>
      <c r="BC920" s="100"/>
      <c r="BD920" s="100"/>
      <c r="BE920" s="100"/>
      <c r="BF920" s="100"/>
      <c r="BG920" s="100"/>
      <c r="BH920" s="100"/>
      <c r="BI920" s="100"/>
      <c r="BJ920" s="100"/>
      <c r="BK920" s="100"/>
      <c r="BL920" s="100"/>
      <c r="BM920" s="100"/>
      <c r="BN920" s="100"/>
      <c r="BO920" s="100"/>
      <c r="BP920" s="100"/>
      <c r="BQ920" s="100"/>
      <c r="BR920" s="100"/>
      <c r="BS920" s="100"/>
      <c r="BT920" s="100"/>
      <c r="BU920" s="100"/>
      <c r="BV920" s="100"/>
      <c r="BW920" s="100"/>
      <c r="BX920" s="100"/>
      <c r="BY920" s="100"/>
      <c r="BZ920" s="100"/>
      <c r="CA920" s="100"/>
      <c r="CB920" s="100"/>
      <c r="CC920" s="100"/>
    </row>
    <row r="921" spans="2:81">
      <c r="C921" s="11"/>
      <c r="D921" s="22"/>
      <c r="E921" s="18"/>
      <c r="F921" s="15"/>
    </row>
    <row r="922" spans="2:81">
      <c r="B922" s="519" t="s">
        <v>1079</v>
      </c>
      <c r="C922" s="12" t="s">
        <v>1300</v>
      </c>
      <c r="D922" s="16" t="s">
        <v>353</v>
      </c>
      <c r="E922" s="16" t="s">
        <v>354</v>
      </c>
      <c r="F922" s="16" t="s">
        <v>355</v>
      </c>
    </row>
    <row r="923" spans="2:81" ht="28.8">
      <c r="C923" s="470" t="s">
        <v>1301</v>
      </c>
      <c r="D923" s="17">
        <v>0.18</v>
      </c>
      <c r="E923" s="17">
        <v>0.18</v>
      </c>
      <c r="F923" s="17">
        <v>0.18</v>
      </c>
    </row>
    <row r="924" spans="2:81" ht="28.8">
      <c r="C924" s="470" t="s">
        <v>1302</v>
      </c>
      <c r="D924" s="17">
        <v>0.1</v>
      </c>
      <c r="E924" s="17">
        <v>0.1</v>
      </c>
      <c r="F924" s="17">
        <v>0.1</v>
      </c>
    </row>
    <row r="925" spans="2:81" ht="28.8">
      <c r="C925" s="470" t="s">
        <v>1303</v>
      </c>
      <c r="D925" s="51">
        <v>0.2</v>
      </c>
      <c r="E925" s="51">
        <v>0.2</v>
      </c>
      <c r="F925" s="51">
        <v>0.2</v>
      </c>
    </row>
    <row r="926" spans="2:81">
      <c r="C926" s="470" t="s">
        <v>1304</v>
      </c>
      <c r="D926" s="18">
        <v>0.02</v>
      </c>
      <c r="E926" s="18">
        <v>0.02</v>
      </c>
      <c r="F926" s="18">
        <v>0.02</v>
      </c>
    </row>
    <row r="927" spans="2:81" ht="28.8">
      <c r="C927" s="483" t="s">
        <v>1305</v>
      </c>
      <c r="D927" s="18">
        <v>0.02</v>
      </c>
      <c r="E927" s="18">
        <v>0.02</v>
      </c>
      <c r="F927" s="18">
        <v>0.02</v>
      </c>
    </row>
    <row r="928" spans="2:81" ht="28.8">
      <c r="C928" s="483" t="s">
        <v>1306</v>
      </c>
      <c r="D928" s="18">
        <v>0.02</v>
      </c>
      <c r="E928" s="18">
        <v>0.02</v>
      </c>
      <c r="F928" s="18">
        <v>0.02</v>
      </c>
    </row>
    <row r="929" spans="3:23" ht="28.8">
      <c r="C929" s="483" t="s">
        <v>1307</v>
      </c>
      <c r="D929" s="18">
        <v>0.15</v>
      </c>
      <c r="E929" s="18">
        <v>0.15</v>
      </c>
      <c r="F929" s="18">
        <v>0.15</v>
      </c>
    </row>
    <row r="930" spans="3:23" ht="28.8">
      <c r="C930" s="483" t="s">
        <v>1308</v>
      </c>
      <c r="D930" s="18">
        <v>0.01</v>
      </c>
      <c r="E930" s="18">
        <v>0.01</v>
      </c>
      <c r="F930" s="18">
        <v>0.01</v>
      </c>
    </row>
    <row r="931" spans="3:23" ht="28.8">
      <c r="C931" s="483" t="s">
        <v>1309</v>
      </c>
      <c r="D931" s="18">
        <v>0.01</v>
      </c>
      <c r="E931" s="18">
        <v>0.01</v>
      </c>
      <c r="F931" s="18">
        <v>0.01</v>
      </c>
      <c r="O931" s="6"/>
      <c r="P931" s="6"/>
      <c r="R931" s="6"/>
      <c r="S931" s="6"/>
      <c r="T931" s="6"/>
      <c r="U931" s="6"/>
      <c r="V931" s="6"/>
      <c r="W931" s="6"/>
    </row>
    <row r="932" spans="3:23" ht="28.8">
      <c r="C932" s="484" t="s">
        <v>1310</v>
      </c>
      <c r="D932" s="18">
        <v>0.02</v>
      </c>
      <c r="E932" s="18">
        <v>0.02</v>
      </c>
      <c r="F932" s="18">
        <v>0.02</v>
      </c>
      <c r="O932" s="6"/>
      <c r="P932" s="6"/>
      <c r="R932" s="6"/>
      <c r="S932" s="6"/>
      <c r="T932" s="6"/>
      <c r="U932" s="6"/>
      <c r="V932" s="6"/>
      <c r="W932" s="6"/>
    </row>
    <row r="933" spans="3:23">
      <c r="C933" s="484" t="s">
        <v>1311</v>
      </c>
      <c r="D933" s="18">
        <v>0.02</v>
      </c>
      <c r="E933" s="18">
        <v>0.02</v>
      </c>
      <c r="F933" s="18">
        <v>0.22</v>
      </c>
      <c r="O933" s="6"/>
      <c r="P933" s="6"/>
      <c r="R933" s="6"/>
      <c r="S933" s="6"/>
      <c r="T933" s="6"/>
      <c r="U933" s="6"/>
      <c r="V933" s="6"/>
      <c r="W933" s="6"/>
    </row>
    <row r="934" spans="3:23" ht="28.8">
      <c r="C934" s="483" t="s">
        <v>1312</v>
      </c>
      <c r="D934" s="18">
        <v>0.02</v>
      </c>
      <c r="E934" s="18">
        <v>0.02</v>
      </c>
      <c r="F934" s="18">
        <v>0.02</v>
      </c>
      <c r="O934" s="6"/>
      <c r="P934" s="6"/>
      <c r="R934" s="6"/>
      <c r="S934" s="6"/>
      <c r="T934" s="6"/>
      <c r="U934" s="6"/>
      <c r="V934" s="6"/>
      <c r="W934" s="6"/>
    </row>
    <row r="935" spans="3:23">
      <c r="C935" s="484" t="s">
        <v>1313</v>
      </c>
      <c r="D935" s="18">
        <v>0.05</v>
      </c>
      <c r="E935" s="18">
        <v>0.05</v>
      </c>
      <c r="F935" s="18">
        <v>0.05</v>
      </c>
      <c r="O935" s="6"/>
      <c r="P935" s="6"/>
      <c r="R935" s="6"/>
      <c r="S935" s="6"/>
      <c r="T935" s="6"/>
      <c r="U935" s="6"/>
      <c r="V935" s="6"/>
      <c r="W935" s="6"/>
    </row>
    <row r="936" spans="3:23">
      <c r="C936" s="483" t="s">
        <v>1314</v>
      </c>
      <c r="D936" s="18">
        <v>0.1</v>
      </c>
      <c r="E936" s="18">
        <v>0.1</v>
      </c>
      <c r="F936" s="18">
        <v>0.1</v>
      </c>
      <c r="O936" s="6"/>
      <c r="P936" s="6"/>
      <c r="R936" s="6"/>
      <c r="S936" s="6"/>
      <c r="T936" s="6"/>
      <c r="U936" s="6"/>
      <c r="V936" s="6"/>
      <c r="W936" s="6"/>
    </row>
    <row r="937" spans="3:23">
      <c r="C937" s="483" t="s">
        <v>1315</v>
      </c>
      <c r="D937" s="18">
        <v>0.05</v>
      </c>
      <c r="E937" s="18">
        <v>0.05</v>
      </c>
      <c r="F937" s="18">
        <v>0.05</v>
      </c>
      <c r="O937" s="6"/>
      <c r="P937" s="6"/>
      <c r="R937" s="6"/>
      <c r="S937" s="6"/>
      <c r="T937" s="6"/>
      <c r="U937" s="6"/>
      <c r="V937" s="6"/>
      <c r="W937" s="6"/>
    </row>
    <row r="938" spans="3:23">
      <c r="C938" s="484" t="s">
        <v>1316</v>
      </c>
      <c r="D938" s="18">
        <v>0.03</v>
      </c>
      <c r="E938" s="18">
        <v>0.03</v>
      </c>
      <c r="F938" s="18">
        <v>0.03</v>
      </c>
      <c r="O938" s="6"/>
      <c r="P938" s="6"/>
      <c r="R938" s="6"/>
      <c r="S938" s="6"/>
      <c r="T938" s="6"/>
      <c r="U938" s="6"/>
      <c r="V938" s="6"/>
      <c r="W938" s="6"/>
    </row>
    <row r="939" spans="3:23">
      <c r="C939" s="11"/>
      <c r="D939" s="19">
        <f>SUM(D923:D938)</f>
        <v>1.0000000000000002</v>
      </c>
      <c r="E939" s="19">
        <f>SUM(E923:E931)</f>
        <v>0.71000000000000008</v>
      </c>
      <c r="F939" s="19">
        <f>SUM(F923:F931)</f>
        <v>0.71000000000000008</v>
      </c>
    </row>
    <row r="940" spans="3:23">
      <c r="C940" s="11"/>
      <c r="D940" s="19"/>
      <c r="E940" s="19">
        <f>D939-E939</f>
        <v>0.29000000000000015</v>
      </c>
      <c r="F940" s="19">
        <f>E939-F939</f>
        <v>0</v>
      </c>
    </row>
    <row r="941" spans="3:23">
      <c r="C941" s="10"/>
      <c r="D941" s="16"/>
      <c r="E941" s="16"/>
      <c r="F941" s="16"/>
    </row>
    <row r="942" spans="3:23">
      <c r="C942" s="10" t="s">
        <v>419</v>
      </c>
      <c r="D942" s="298" t="s">
        <v>394</v>
      </c>
      <c r="E942" s="19"/>
      <c r="F942" s="16"/>
    </row>
    <row r="943" spans="3:23">
      <c r="C943" s="10"/>
      <c r="D943" s="19"/>
      <c r="E943" s="19"/>
      <c r="F943" s="16"/>
    </row>
    <row r="944" spans="3:23">
      <c r="C944" s="11" t="s">
        <v>359</v>
      </c>
      <c r="D944" s="22"/>
      <c r="E944" s="18"/>
      <c r="F944" s="15"/>
    </row>
    <row r="945" spans="2:81">
      <c r="C945" s="11" t="s">
        <v>360</v>
      </c>
      <c r="D945" s="22"/>
      <c r="E945" s="18"/>
      <c r="F945" s="15"/>
    </row>
    <row r="946" spans="2:81">
      <c r="C946" s="11" t="s">
        <v>361</v>
      </c>
      <c r="D946" s="22"/>
      <c r="E946" s="18"/>
      <c r="F946" s="15"/>
    </row>
    <row r="947" spans="2:81">
      <c r="C947" s="11" t="s">
        <v>362</v>
      </c>
      <c r="D947" s="22"/>
      <c r="E947" s="18"/>
      <c r="F947" s="15"/>
    </row>
    <row r="948" spans="2:81">
      <c r="C948" s="11" t="s">
        <v>363</v>
      </c>
      <c r="D948" s="22"/>
      <c r="E948" s="18"/>
      <c r="F948" s="15"/>
    </row>
    <row r="949" spans="2:81">
      <c r="C949" s="109"/>
      <c r="D949" s="168"/>
      <c r="E949" s="169"/>
      <c r="F949" s="110"/>
      <c r="G949" s="100"/>
      <c r="H949" s="100"/>
      <c r="I949" s="100"/>
      <c r="J949" s="100"/>
      <c r="K949" s="100"/>
      <c r="L949" s="100"/>
      <c r="M949" s="100"/>
      <c r="N949" s="100"/>
      <c r="O949" s="100"/>
      <c r="P949" s="100"/>
      <c r="Q949" s="100"/>
      <c r="R949" s="100"/>
      <c r="S949" s="100"/>
      <c r="T949" s="100"/>
      <c r="U949" s="100"/>
      <c r="V949" s="100"/>
      <c r="W949" s="100"/>
      <c r="X949" s="100"/>
      <c r="Y949" s="100"/>
      <c r="Z949" s="100"/>
      <c r="AA949" s="100"/>
      <c r="AB949" s="100"/>
      <c r="AC949" s="100"/>
      <c r="AD949" s="332"/>
      <c r="AE949" s="100"/>
      <c r="AF949" s="100"/>
      <c r="AG949" s="100"/>
      <c r="AH949" s="100"/>
      <c r="AI949" s="100"/>
      <c r="AJ949" s="392"/>
      <c r="AK949" s="100"/>
      <c r="AL949" s="100"/>
      <c r="AM949" s="100"/>
      <c r="AN949" s="100"/>
      <c r="AO949" s="100"/>
      <c r="AP949" s="100"/>
      <c r="AQ949" s="100"/>
      <c r="AR949" s="100"/>
      <c r="AS949" s="100"/>
      <c r="AT949" s="100"/>
      <c r="AU949" s="100"/>
      <c r="AV949" s="100"/>
      <c r="AW949" s="100"/>
      <c r="AX949" s="100"/>
      <c r="AY949" s="100"/>
      <c r="AZ949" s="100"/>
      <c r="BA949" s="100"/>
      <c r="BB949" s="100"/>
      <c r="BC949" s="100"/>
      <c r="BD949" s="100"/>
      <c r="BE949" s="100"/>
      <c r="BF949" s="100"/>
      <c r="BG949" s="100"/>
      <c r="BH949" s="100"/>
      <c r="BI949" s="100"/>
      <c r="BJ949" s="100"/>
      <c r="BK949" s="100"/>
      <c r="BL949" s="100"/>
      <c r="BM949" s="100"/>
      <c r="BN949" s="100"/>
      <c r="BO949" s="100"/>
      <c r="BP949" s="100"/>
      <c r="BQ949" s="100"/>
      <c r="BR949" s="100"/>
      <c r="BS949" s="100"/>
      <c r="BT949" s="100"/>
      <c r="BU949" s="100"/>
      <c r="BV949" s="100"/>
      <c r="BW949" s="100"/>
      <c r="BX949" s="100"/>
      <c r="BY949" s="100"/>
      <c r="BZ949" s="100"/>
      <c r="CA949" s="100"/>
      <c r="CB949" s="100"/>
      <c r="CC949" s="100"/>
    </row>
    <row r="950" spans="2:81">
      <c r="C950" s="11"/>
      <c r="D950" s="22"/>
      <c r="E950" s="18"/>
      <c r="F950" s="15"/>
    </row>
    <row r="951" spans="2:81">
      <c r="C951" s="11"/>
      <c r="D951" s="22"/>
      <c r="E951" s="18"/>
      <c r="F951" s="15"/>
    </row>
    <row r="952" spans="2:81">
      <c r="C952" s="11"/>
      <c r="D952" s="22"/>
      <c r="E952" s="18"/>
      <c r="F952" s="15"/>
    </row>
    <row r="953" spans="2:81">
      <c r="C953" s="11"/>
      <c r="D953" s="22"/>
      <c r="E953" s="18"/>
      <c r="F953" s="15"/>
    </row>
    <row r="954" spans="2:81">
      <c r="B954" s="519" t="s">
        <v>1079</v>
      </c>
      <c r="C954" s="12" t="s">
        <v>1317</v>
      </c>
      <c r="D954" s="16" t="s">
        <v>353</v>
      </c>
      <c r="E954" s="16" t="s">
        <v>354</v>
      </c>
      <c r="F954" s="16" t="s">
        <v>355</v>
      </c>
      <c r="H954" s="535"/>
    </row>
    <row r="955" spans="2:81" ht="28.8">
      <c r="C955" s="187" t="s">
        <v>1318</v>
      </c>
      <c r="D955" s="18">
        <v>0.05</v>
      </c>
      <c r="E955" s="21">
        <v>2.5000000000000001E-2</v>
      </c>
      <c r="F955" s="21">
        <v>0</v>
      </c>
      <c r="H955" s="536"/>
    </row>
    <row r="956" spans="2:81">
      <c r="C956" s="187" t="s">
        <v>1319</v>
      </c>
      <c r="D956" s="18">
        <v>0.1</v>
      </c>
      <c r="E956" s="21">
        <v>0.05</v>
      </c>
      <c r="F956" s="21">
        <v>0</v>
      </c>
      <c r="H956" s="536"/>
    </row>
    <row r="957" spans="2:81" ht="28.8">
      <c r="C957" s="187" t="s">
        <v>1320</v>
      </c>
      <c r="D957" s="18">
        <v>0.3</v>
      </c>
      <c r="E957" s="21">
        <v>0.1</v>
      </c>
      <c r="F957" s="21">
        <v>0.1</v>
      </c>
    </row>
    <row r="958" spans="2:81">
      <c r="C958" s="187" t="s">
        <v>1321</v>
      </c>
      <c r="D958" s="18"/>
      <c r="E958" s="21"/>
      <c r="F958" s="21"/>
    </row>
    <row r="959" spans="2:81">
      <c r="C959" s="187" t="s">
        <v>1322</v>
      </c>
      <c r="D959" s="18">
        <v>0.05</v>
      </c>
      <c r="E959" s="21">
        <v>0.05</v>
      </c>
      <c r="F959" s="21">
        <v>0</v>
      </c>
    </row>
    <row r="960" spans="2:81">
      <c r="C960" s="11"/>
      <c r="D960" s="22">
        <f>SUM(D955:D959)</f>
        <v>0.5</v>
      </c>
      <c r="E960" s="22">
        <f>SUM(E955:E959)</f>
        <v>0.22500000000000003</v>
      </c>
      <c r="F960" s="21">
        <f>SUM(F955:F959)</f>
        <v>0.1</v>
      </c>
    </row>
    <row r="961" spans="2:81">
      <c r="C961" s="11"/>
      <c r="D961" s="15"/>
      <c r="E961" s="22">
        <f>+D960-E960</f>
        <v>0.27499999999999997</v>
      </c>
      <c r="F961" s="21">
        <f>E960-F960</f>
        <v>0.12500000000000003</v>
      </c>
    </row>
    <row r="962" spans="2:81">
      <c r="C962" s="11"/>
      <c r="D962" s="15"/>
      <c r="E962" s="15"/>
      <c r="F962" s="15"/>
    </row>
    <row r="963" spans="2:81">
      <c r="C963" s="10" t="s">
        <v>1323</v>
      </c>
      <c r="D963" s="19" t="s">
        <v>1324</v>
      </c>
      <c r="E963" s="19"/>
      <c r="F963" s="16"/>
    </row>
    <row r="964" spans="2:81">
      <c r="C964" s="10"/>
      <c r="D964" s="19"/>
      <c r="E964" s="19"/>
      <c r="F964" s="16"/>
    </row>
    <row r="965" spans="2:81">
      <c r="C965" s="11" t="s">
        <v>359</v>
      </c>
      <c r="D965" s="22"/>
      <c r="E965" s="18"/>
      <c r="F965" s="15"/>
    </row>
    <row r="966" spans="2:81">
      <c r="C966" s="11" t="s">
        <v>360</v>
      </c>
      <c r="D966" s="22"/>
      <c r="E966" s="18"/>
      <c r="F966" s="15"/>
    </row>
    <row r="967" spans="2:81">
      <c r="C967" s="11" t="s">
        <v>361</v>
      </c>
      <c r="D967" s="22"/>
      <c r="E967" s="18"/>
      <c r="F967" s="15"/>
    </row>
    <row r="968" spans="2:81">
      <c r="C968" s="11" t="s">
        <v>362</v>
      </c>
      <c r="D968" s="22"/>
      <c r="E968" s="18"/>
      <c r="F968" s="15"/>
    </row>
    <row r="969" spans="2:81">
      <c r="C969" s="11" t="s">
        <v>363</v>
      </c>
      <c r="D969" s="22"/>
      <c r="E969" s="18"/>
      <c r="F969" s="15"/>
    </row>
    <row r="970" spans="2:81">
      <c r="C970" s="109"/>
      <c r="D970" s="168"/>
      <c r="E970" s="169"/>
      <c r="F970" s="110"/>
      <c r="G970" s="100"/>
      <c r="H970" s="100"/>
      <c r="I970" s="100"/>
      <c r="J970" s="100"/>
      <c r="K970" s="100"/>
      <c r="L970" s="100"/>
      <c r="M970" s="100"/>
      <c r="N970" s="100"/>
      <c r="O970" s="100"/>
      <c r="P970" s="100"/>
      <c r="Q970" s="100"/>
      <c r="R970" s="100"/>
      <c r="S970" s="100"/>
      <c r="T970" s="100"/>
      <c r="U970" s="100"/>
      <c r="V970" s="100"/>
      <c r="W970" s="100"/>
      <c r="X970" s="100"/>
      <c r="Y970" s="100"/>
      <c r="Z970" s="100"/>
      <c r="AA970" s="100"/>
      <c r="AB970" s="100"/>
      <c r="AC970" s="100"/>
      <c r="AD970" s="332"/>
      <c r="AE970" s="100"/>
      <c r="AF970" s="100"/>
      <c r="AG970" s="100"/>
      <c r="AH970" s="100"/>
      <c r="AI970" s="100"/>
      <c r="AJ970" s="392"/>
      <c r="AK970" s="100"/>
      <c r="AL970" s="100"/>
      <c r="AM970" s="100"/>
      <c r="AN970" s="100"/>
      <c r="AO970" s="100"/>
      <c r="AP970" s="100"/>
      <c r="AQ970" s="100"/>
      <c r="AR970" s="100"/>
      <c r="AS970" s="100"/>
      <c r="AT970" s="100"/>
      <c r="AU970" s="100"/>
      <c r="AV970" s="100"/>
      <c r="AW970" s="100"/>
      <c r="AX970" s="100"/>
      <c r="AY970" s="100"/>
      <c r="AZ970" s="100"/>
      <c r="BA970" s="100"/>
      <c r="BB970" s="100"/>
      <c r="BC970" s="100"/>
      <c r="BD970" s="100"/>
      <c r="BE970" s="100"/>
      <c r="BF970" s="100"/>
      <c r="BG970" s="100"/>
      <c r="BH970" s="100"/>
      <c r="BI970" s="100"/>
      <c r="BJ970" s="100"/>
      <c r="BK970" s="100"/>
      <c r="BL970" s="100"/>
      <c r="BM970" s="100"/>
      <c r="BN970" s="100"/>
      <c r="BO970" s="100"/>
      <c r="BP970" s="100"/>
      <c r="BQ970" s="100"/>
      <c r="BR970" s="100"/>
      <c r="BS970" s="100"/>
      <c r="BT970" s="100"/>
      <c r="BU970" s="100"/>
      <c r="BV970" s="100"/>
      <c r="BW970" s="100"/>
      <c r="BX970" s="100"/>
      <c r="BY970" s="100"/>
      <c r="BZ970" s="100"/>
      <c r="CA970" s="100"/>
      <c r="CB970" s="100"/>
      <c r="CC970" s="100"/>
    </row>
    <row r="971" spans="2:81">
      <c r="C971" s="11"/>
      <c r="D971" s="22"/>
      <c r="E971" s="18"/>
      <c r="F971" s="15"/>
    </row>
    <row r="972" spans="2:81">
      <c r="B972" s="519" t="s">
        <v>1079</v>
      </c>
      <c r="C972" s="243" t="s">
        <v>1325</v>
      </c>
      <c r="D972" s="16" t="s">
        <v>353</v>
      </c>
      <c r="E972" s="16" t="s">
        <v>354</v>
      </c>
      <c r="F972" s="16" t="s">
        <v>355</v>
      </c>
    </row>
    <row r="973" spans="2:81" ht="28.8">
      <c r="C973" s="187" t="s">
        <v>1245</v>
      </c>
      <c r="D973" s="18">
        <v>0.02</v>
      </c>
      <c r="E973" s="18">
        <v>0.02</v>
      </c>
      <c r="F973" s="18">
        <v>0.01</v>
      </c>
    </row>
    <row r="974" spans="2:81">
      <c r="C974" s="457" t="s">
        <v>1326</v>
      </c>
      <c r="D974" s="18">
        <v>0.02</v>
      </c>
      <c r="E974" s="18">
        <v>0.02</v>
      </c>
      <c r="F974" s="18">
        <v>0.01</v>
      </c>
    </row>
    <row r="975" spans="2:81" ht="28.8">
      <c r="C975" s="457" t="s">
        <v>1327</v>
      </c>
      <c r="D975" s="18">
        <v>0.02</v>
      </c>
      <c r="E975" s="18">
        <v>0.02</v>
      </c>
      <c r="F975" s="18">
        <v>0.02</v>
      </c>
    </row>
    <row r="976" spans="2:81" ht="28.8">
      <c r="C976" s="457" t="s">
        <v>1328</v>
      </c>
      <c r="D976" s="18">
        <v>0.02</v>
      </c>
      <c r="E976" s="18">
        <v>0.02</v>
      </c>
      <c r="F976" s="18">
        <v>0.02</v>
      </c>
    </row>
    <row r="977" spans="3:6" ht="28.8">
      <c r="C977" s="457" t="s">
        <v>1329</v>
      </c>
      <c r="D977" s="18">
        <v>0.4</v>
      </c>
      <c r="E977" s="18">
        <v>0.4</v>
      </c>
      <c r="F977" s="18">
        <v>0.4</v>
      </c>
    </row>
    <row r="978" spans="3:6" ht="28.8">
      <c r="C978" s="457" t="s">
        <v>1330</v>
      </c>
      <c r="D978" s="18">
        <v>0.02</v>
      </c>
      <c r="E978" s="18">
        <v>0.02</v>
      </c>
      <c r="F978" s="18">
        <v>0.02</v>
      </c>
    </row>
    <row r="979" spans="3:6">
      <c r="C979" s="485" t="s">
        <v>1331</v>
      </c>
      <c r="D979" s="18">
        <v>0.05</v>
      </c>
      <c r="E979" s="18">
        <v>0.05</v>
      </c>
      <c r="F979" s="18">
        <v>0.05</v>
      </c>
    </row>
    <row r="980" spans="3:6" ht="28.8">
      <c r="C980" s="457" t="s">
        <v>1273</v>
      </c>
      <c r="D980" s="18">
        <v>0.05</v>
      </c>
      <c r="E980" s="18">
        <v>0.05</v>
      </c>
      <c r="F980" s="18">
        <v>0.05</v>
      </c>
    </row>
    <row r="981" spans="3:6">
      <c r="C981" s="457" t="s">
        <v>1274</v>
      </c>
      <c r="D981" s="18">
        <v>0.02</v>
      </c>
      <c r="E981" s="18">
        <v>0.02</v>
      </c>
      <c r="F981" s="18">
        <v>0.02</v>
      </c>
    </row>
    <row r="982" spans="3:6">
      <c r="C982" s="457" t="s">
        <v>1332</v>
      </c>
      <c r="D982" s="18">
        <v>0.02</v>
      </c>
      <c r="E982" s="18">
        <v>0.02</v>
      </c>
      <c r="F982" s="18">
        <v>0.02</v>
      </c>
    </row>
    <row r="983" spans="3:6" ht="28.8">
      <c r="C983" s="457" t="s">
        <v>1278</v>
      </c>
      <c r="D983" s="18">
        <v>0.02</v>
      </c>
      <c r="E983" s="18">
        <v>0.02</v>
      </c>
      <c r="F983" s="18">
        <v>0.02</v>
      </c>
    </row>
    <row r="984" spans="3:6">
      <c r="C984" s="457" t="s">
        <v>1333</v>
      </c>
      <c r="D984" s="18">
        <v>0.02</v>
      </c>
      <c r="E984" s="18">
        <v>0.02</v>
      </c>
      <c r="F984" s="18">
        <v>0.02</v>
      </c>
    </row>
    <row r="985" spans="3:6">
      <c r="C985" s="457" t="s">
        <v>1334</v>
      </c>
      <c r="D985" s="18">
        <v>0.1</v>
      </c>
      <c r="E985" s="18">
        <v>0.1</v>
      </c>
      <c r="F985" s="18">
        <v>0.1</v>
      </c>
    </row>
    <row r="986" spans="3:6" ht="28.8">
      <c r="C986" s="485" t="s">
        <v>1335</v>
      </c>
      <c r="D986" s="18">
        <v>0</v>
      </c>
      <c r="E986" s="18">
        <v>0</v>
      </c>
      <c r="F986" s="18">
        <v>0</v>
      </c>
    </row>
    <row r="987" spans="3:6" ht="28.8">
      <c r="C987" s="457" t="s">
        <v>1336</v>
      </c>
      <c r="D987" s="18">
        <v>0.02</v>
      </c>
      <c r="E987" s="18">
        <v>0.02</v>
      </c>
      <c r="F987" s="18">
        <v>0.02</v>
      </c>
    </row>
    <row r="988" spans="3:6" ht="28.8">
      <c r="C988" s="457" t="s">
        <v>1337</v>
      </c>
      <c r="D988" s="18">
        <v>0.1</v>
      </c>
      <c r="E988" s="18">
        <v>0.1</v>
      </c>
      <c r="F988" s="18">
        <v>0.1</v>
      </c>
    </row>
    <row r="989" spans="3:6">
      <c r="C989" s="457" t="s">
        <v>1297</v>
      </c>
      <c r="D989" s="18">
        <v>0.03</v>
      </c>
      <c r="E989" s="18">
        <v>0.03</v>
      </c>
      <c r="F989" s="18">
        <v>0.03</v>
      </c>
    </row>
    <row r="990" spans="3:6">
      <c r="C990" s="457" t="s">
        <v>1338</v>
      </c>
      <c r="D990" s="18">
        <v>0.01</v>
      </c>
      <c r="E990" s="18">
        <v>0.01</v>
      </c>
      <c r="F990" s="18">
        <v>0.01</v>
      </c>
    </row>
    <row r="991" spans="3:6">
      <c r="C991" s="241"/>
      <c r="D991" s="22">
        <f>SUM(D973:D990)</f>
        <v>0.94000000000000017</v>
      </c>
      <c r="E991" s="22">
        <f>SUM(E973:E990)</f>
        <v>0.94000000000000017</v>
      </c>
      <c r="F991" s="22">
        <f>SUM(F973:F990)</f>
        <v>0.92000000000000015</v>
      </c>
    </row>
    <row r="992" spans="3:6">
      <c r="C992" s="241"/>
      <c r="D992" s="18"/>
      <c r="E992" s="22">
        <f>D991-E991</f>
        <v>0</v>
      </c>
      <c r="F992" s="22">
        <f>E991-F991</f>
        <v>2.0000000000000018E-2</v>
      </c>
    </row>
    <row r="993" spans="2:81">
      <c r="C993" s="241"/>
      <c r="D993" s="15"/>
      <c r="E993" s="15"/>
      <c r="F993" s="15"/>
    </row>
    <row r="994" spans="2:81">
      <c r="C994" s="242" t="s">
        <v>419</v>
      </c>
      <c r="D994" s="15" t="s">
        <v>385</v>
      </c>
      <c r="E994" s="15"/>
      <c r="F994" s="15"/>
    </row>
    <row r="995" spans="2:81">
      <c r="C995" s="241"/>
      <c r="D995" s="15"/>
      <c r="E995" s="15"/>
      <c r="F995" s="15"/>
    </row>
    <row r="996" spans="2:81">
      <c r="C996" s="241" t="s">
        <v>359</v>
      </c>
      <c r="D996" s="15"/>
      <c r="E996" s="15"/>
      <c r="F996" s="15"/>
    </row>
    <row r="997" spans="2:81">
      <c r="C997" s="241" t="s">
        <v>360</v>
      </c>
      <c r="D997" s="15"/>
      <c r="E997" s="15"/>
      <c r="F997" s="15" t="s">
        <v>284</v>
      </c>
    </row>
    <row r="998" spans="2:81">
      <c r="C998" s="241" t="s">
        <v>361</v>
      </c>
      <c r="D998" s="15"/>
      <c r="E998" s="15"/>
      <c r="F998" s="15"/>
    </row>
    <row r="999" spans="2:81">
      <c r="C999" s="241" t="s">
        <v>362</v>
      </c>
      <c r="D999" s="15"/>
      <c r="E999" s="15"/>
      <c r="F999" s="15"/>
    </row>
    <row r="1000" spans="2:81">
      <c r="C1000" s="241" t="s">
        <v>363</v>
      </c>
      <c r="D1000" s="15"/>
      <c r="E1000" s="15"/>
      <c r="F1000" s="15"/>
    </row>
    <row r="1001" spans="2:81">
      <c r="C1001" s="109"/>
      <c r="D1001" s="168"/>
      <c r="E1001" s="169"/>
      <c r="F1001" s="110"/>
      <c r="G1001" s="100"/>
      <c r="H1001" s="100"/>
      <c r="I1001" s="100"/>
      <c r="J1001" s="100"/>
      <c r="K1001" s="100"/>
      <c r="L1001" s="100"/>
      <c r="M1001" s="100"/>
      <c r="N1001" s="100"/>
      <c r="O1001" s="100"/>
      <c r="P1001" s="100"/>
      <c r="Q1001" s="100"/>
      <c r="R1001" s="100"/>
      <c r="S1001" s="100"/>
      <c r="T1001" s="100"/>
      <c r="U1001" s="100"/>
      <c r="V1001" s="100"/>
      <c r="W1001" s="100"/>
      <c r="X1001" s="100"/>
      <c r="Y1001" s="100"/>
      <c r="Z1001" s="100"/>
      <c r="AA1001" s="100"/>
      <c r="AB1001" s="100"/>
      <c r="AC1001" s="100"/>
      <c r="AD1001" s="332"/>
      <c r="AE1001" s="100"/>
      <c r="AF1001" s="100"/>
      <c r="AG1001" s="100"/>
      <c r="AH1001" s="100"/>
      <c r="AI1001" s="100"/>
      <c r="AJ1001" s="392"/>
      <c r="AK1001" s="100"/>
      <c r="AL1001" s="100"/>
      <c r="AM1001" s="100"/>
      <c r="AN1001" s="100"/>
      <c r="AO1001" s="100"/>
      <c r="AP1001" s="100"/>
      <c r="AQ1001" s="100"/>
      <c r="AR1001" s="100"/>
      <c r="AS1001" s="100"/>
      <c r="AT1001" s="100"/>
      <c r="AU1001" s="100"/>
      <c r="AV1001" s="100"/>
      <c r="AW1001" s="100"/>
      <c r="AX1001" s="100"/>
      <c r="AY1001" s="100"/>
      <c r="AZ1001" s="100"/>
      <c r="BA1001" s="100"/>
      <c r="BB1001" s="100"/>
      <c r="BC1001" s="100"/>
      <c r="BD1001" s="100"/>
      <c r="BE1001" s="100"/>
      <c r="BF1001" s="100"/>
      <c r="BG1001" s="100"/>
      <c r="BH1001" s="100"/>
      <c r="BI1001" s="100"/>
      <c r="BJ1001" s="100"/>
      <c r="BK1001" s="100"/>
      <c r="BL1001" s="100"/>
      <c r="BM1001" s="100"/>
      <c r="BN1001" s="100"/>
      <c r="BO1001" s="100"/>
      <c r="BP1001" s="100"/>
      <c r="BQ1001" s="100"/>
      <c r="BR1001" s="100"/>
      <c r="BS1001" s="100"/>
      <c r="BT1001" s="100"/>
      <c r="BU1001" s="100"/>
      <c r="BV1001" s="100"/>
      <c r="BW1001" s="100"/>
      <c r="BX1001" s="100"/>
      <c r="BY1001" s="100"/>
      <c r="BZ1001" s="100"/>
      <c r="CA1001" s="100"/>
      <c r="CB1001" s="100"/>
      <c r="CC1001" s="100"/>
    </row>
    <row r="1002" spans="2:81">
      <c r="C1002" s="11"/>
      <c r="D1002" s="15"/>
      <c r="E1002" s="15"/>
      <c r="F1002" s="15"/>
    </row>
    <row r="1003" spans="2:81">
      <c r="B1003" s="519" t="s">
        <v>1079</v>
      </c>
      <c r="C1003" s="554" t="s">
        <v>1339</v>
      </c>
      <c r="D1003" s="16" t="s">
        <v>353</v>
      </c>
      <c r="E1003" s="16" t="s">
        <v>354</v>
      </c>
      <c r="F1003" s="16" t="s">
        <v>355</v>
      </c>
    </row>
    <row r="1004" spans="2:81" ht="28.8">
      <c r="C1004" s="187" t="s">
        <v>1318</v>
      </c>
      <c r="D1004" s="16"/>
      <c r="E1004" s="16"/>
      <c r="F1004" s="16"/>
    </row>
    <row r="1005" spans="2:81">
      <c r="C1005" s="187" t="s">
        <v>1319</v>
      </c>
      <c r="D1005" s="16"/>
      <c r="E1005" s="16"/>
      <c r="F1005" s="16"/>
    </row>
    <row r="1006" spans="2:81" ht="28.8">
      <c r="C1006" s="187" t="s">
        <v>1320</v>
      </c>
      <c r="D1006" s="16"/>
      <c r="E1006" s="16"/>
      <c r="F1006" s="16"/>
    </row>
    <row r="1007" spans="2:81">
      <c r="C1007" s="187" t="s">
        <v>1321</v>
      </c>
      <c r="D1007" s="16"/>
      <c r="E1007" s="16"/>
      <c r="F1007" s="16"/>
    </row>
    <row r="1008" spans="2:81">
      <c r="C1008" s="187" t="s">
        <v>1322</v>
      </c>
      <c r="D1008" s="16"/>
      <c r="E1008" s="16"/>
      <c r="F1008" s="16"/>
    </row>
    <row r="1009" spans="2:81">
      <c r="C1009" s="11"/>
      <c r="D1009" s="22" t="e">
        <f>SUM(#REF!)</f>
        <v>#REF!</v>
      </c>
      <c r="E1009" s="230" t="e">
        <f>SUM(#REF!)</f>
        <v>#REF!</v>
      </c>
      <c r="F1009" s="230" t="e">
        <f>SUM(#REF!)</f>
        <v>#REF!</v>
      </c>
    </row>
    <row r="1010" spans="2:81">
      <c r="C1010" s="10"/>
      <c r="D1010" s="19"/>
      <c r="E1010" s="19" t="e">
        <f>D1009-E1009</f>
        <v>#REF!</v>
      </c>
      <c r="F1010" s="230" t="e">
        <f>E1009-F1009</f>
        <v>#REF!</v>
      </c>
    </row>
    <row r="1011" spans="2:81">
      <c r="C1011" s="10"/>
      <c r="D1011" s="19"/>
      <c r="E1011" s="19"/>
      <c r="F1011" s="16"/>
    </row>
    <row r="1012" spans="2:81">
      <c r="C1012" s="10"/>
      <c r="D1012" s="19"/>
      <c r="E1012" s="19"/>
      <c r="F1012" s="16"/>
    </row>
    <row r="1013" spans="2:81">
      <c r="C1013" s="11" t="s">
        <v>359</v>
      </c>
      <c r="D1013" s="16" t="s">
        <v>1228</v>
      </c>
      <c r="E1013" s="18"/>
      <c r="F1013" s="15"/>
    </row>
    <row r="1014" spans="2:81">
      <c r="C1014" s="11" t="s">
        <v>360</v>
      </c>
      <c r="D1014" s="22"/>
      <c r="E1014" s="18"/>
      <c r="F1014" s="15"/>
    </row>
    <row r="1015" spans="2:81">
      <c r="C1015" s="11" t="s">
        <v>361</v>
      </c>
      <c r="D1015" s="22"/>
      <c r="E1015" s="18"/>
      <c r="F1015" s="15"/>
    </row>
    <row r="1016" spans="2:81">
      <c r="C1016" s="11" t="s">
        <v>362</v>
      </c>
      <c r="D1016" s="22"/>
      <c r="E1016" s="18"/>
      <c r="F1016" s="15"/>
    </row>
    <row r="1017" spans="2:81">
      <c r="C1017" s="11" t="s">
        <v>363</v>
      </c>
      <c r="D1017" s="22"/>
      <c r="E1017" s="18"/>
      <c r="F1017" s="15"/>
    </row>
    <row r="1018" spans="2:81">
      <c r="C1018" s="109"/>
      <c r="D1018" s="168"/>
      <c r="E1018" s="169"/>
      <c r="F1018" s="110"/>
      <c r="G1018" s="100"/>
      <c r="H1018" s="100"/>
      <c r="I1018" s="100"/>
      <c r="J1018" s="100"/>
      <c r="K1018" s="100"/>
      <c r="L1018" s="100"/>
      <c r="M1018" s="100"/>
      <c r="N1018" s="100"/>
      <c r="O1018" s="100"/>
      <c r="P1018" s="100"/>
      <c r="Q1018" s="100"/>
      <c r="R1018" s="100"/>
      <c r="S1018" s="100"/>
      <c r="T1018" s="100"/>
      <c r="U1018" s="100"/>
      <c r="V1018" s="100"/>
      <c r="W1018" s="100"/>
      <c r="X1018" s="100"/>
      <c r="Y1018" s="100"/>
      <c r="Z1018" s="100"/>
      <c r="AA1018" s="100"/>
      <c r="AB1018" s="100"/>
      <c r="AC1018" s="100"/>
      <c r="AD1018" s="332"/>
      <c r="AE1018" s="100"/>
      <c r="AF1018" s="100"/>
      <c r="AG1018" s="100"/>
      <c r="AH1018" s="100"/>
      <c r="AI1018" s="100"/>
      <c r="AJ1018" s="392"/>
      <c r="AK1018" s="100"/>
      <c r="AL1018" s="100"/>
      <c r="AM1018" s="100"/>
      <c r="AN1018" s="100"/>
      <c r="AO1018" s="100"/>
      <c r="AP1018" s="100"/>
      <c r="AQ1018" s="100"/>
      <c r="AR1018" s="100"/>
      <c r="AS1018" s="100"/>
      <c r="AT1018" s="100"/>
      <c r="AU1018" s="100"/>
      <c r="AV1018" s="100"/>
      <c r="AW1018" s="100"/>
      <c r="AX1018" s="100"/>
      <c r="AY1018" s="100"/>
      <c r="AZ1018" s="100"/>
      <c r="BA1018" s="100"/>
      <c r="BB1018" s="100"/>
      <c r="BC1018" s="100"/>
      <c r="BD1018" s="100"/>
      <c r="BE1018" s="100"/>
      <c r="BF1018" s="100"/>
      <c r="BG1018" s="100"/>
      <c r="BH1018" s="100"/>
      <c r="BI1018" s="100"/>
      <c r="BJ1018" s="100"/>
      <c r="BK1018" s="100"/>
      <c r="BL1018" s="100"/>
      <c r="BM1018" s="100"/>
      <c r="BN1018" s="100"/>
      <c r="BO1018" s="100"/>
      <c r="BP1018" s="100"/>
      <c r="BQ1018" s="100"/>
      <c r="BR1018" s="100"/>
      <c r="BS1018" s="100"/>
      <c r="BT1018" s="100"/>
      <c r="BU1018" s="100"/>
      <c r="BV1018" s="100"/>
      <c r="BW1018" s="100"/>
      <c r="BX1018" s="100"/>
      <c r="BY1018" s="100"/>
      <c r="BZ1018" s="100"/>
      <c r="CA1018" s="100"/>
      <c r="CB1018" s="100"/>
      <c r="CC1018" s="100"/>
    </row>
    <row r="1019" spans="2:81">
      <c r="C1019" s="11"/>
      <c r="D1019" s="15"/>
      <c r="E1019" s="15"/>
      <c r="F1019" s="15"/>
    </row>
    <row r="1020" spans="2:81">
      <c r="B1020" s="519" t="s">
        <v>1079</v>
      </c>
      <c r="C1020" s="12" t="s">
        <v>1340</v>
      </c>
      <c r="D1020" s="16" t="s">
        <v>353</v>
      </c>
      <c r="E1020" s="16" t="s">
        <v>354</v>
      </c>
      <c r="F1020" s="16" t="s">
        <v>355</v>
      </c>
    </row>
    <row r="1021" spans="2:81">
      <c r="C1021" s="11" t="s">
        <v>1341</v>
      </c>
      <c r="D1021" s="18">
        <v>0.05</v>
      </c>
      <c r="E1021" s="21">
        <v>2.5000000000000001E-2</v>
      </c>
      <c r="F1021" s="18">
        <v>0</v>
      </c>
      <c r="O1021" s="43">
        <f t="shared" ref="O1021:P1024" si="170">E1021</f>
        <v>2.5000000000000001E-2</v>
      </c>
      <c r="P1021" s="43">
        <f t="shared" si="170"/>
        <v>0</v>
      </c>
    </row>
    <row r="1022" spans="2:81">
      <c r="C1022" s="11" t="s">
        <v>1342</v>
      </c>
      <c r="D1022" s="18"/>
      <c r="E1022" s="21"/>
      <c r="F1022" s="18"/>
      <c r="O1022" s="43"/>
      <c r="P1022" s="43"/>
    </row>
    <row r="1023" spans="2:81">
      <c r="C1023" s="217" t="s">
        <v>1343</v>
      </c>
      <c r="D1023" s="18">
        <v>0.1</v>
      </c>
      <c r="E1023" s="21">
        <v>0.05</v>
      </c>
      <c r="F1023" s="18">
        <v>0</v>
      </c>
      <c r="O1023" s="43">
        <f t="shared" si="170"/>
        <v>0.05</v>
      </c>
      <c r="P1023" s="43">
        <f t="shared" si="170"/>
        <v>0</v>
      </c>
    </row>
    <row r="1024" spans="2:81">
      <c r="C1024" s="217" t="s">
        <v>1344</v>
      </c>
      <c r="D1024" s="18">
        <v>0.05</v>
      </c>
      <c r="E1024" s="21">
        <v>2.5000000000000001E-2</v>
      </c>
      <c r="F1024" s="18">
        <v>0</v>
      </c>
      <c r="O1024" s="43">
        <f t="shared" si="170"/>
        <v>2.5000000000000001E-2</v>
      </c>
      <c r="P1024" s="43">
        <f t="shared" si="170"/>
        <v>0</v>
      </c>
    </row>
    <row r="1025" spans="2:81">
      <c r="C1025" s="11"/>
      <c r="D1025" s="22">
        <f>SUM(D1021:D1024)</f>
        <v>0.2</v>
      </c>
      <c r="E1025" s="22">
        <f>SUM(E1021:E1024)</f>
        <v>0.1</v>
      </c>
      <c r="F1025" s="22">
        <f>SUM(F1021:F1024)</f>
        <v>0</v>
      </c>
    </row>
    <row r="1026" spans="2:81">
      <c r="C1026" s="11"/>
      <c r="D1026" s="15"/>
      <c r="E1026" s="22">
        <f>+D1025-E1025</f>
        <v>0.1</v>
      </c>
      <c r="F1026" s="22">
        <f>E1025-F1025</f>
        <v>0.1</v>
      </c>
    </row>
    <row r="1027" spans="2:81">
      <c r="C1027" s="11"/>
      <c r="D1027" s="15"/>
      <c r="E1027" s="15"/>
      <c r="F1027" s="15"/>
    </row>
    <row r="1028" spans="2:81">
      <c r="C1028" s="11" t="s">
        <v>359</v>
      </c>
      <c r="D1028" s="16" t="s">
        <v>1228</v>
      </c>
      <c r="E1028" s="18"/>
      <c r="F1028" s="15"/>
    </row>
    <row r="1029" spans="2:81">
      <c r="C1029" s="11" t="s">
        <v>360</v>
      </c>
      <c r="D1029" s="22"/>
      <c r="E1029" s="18"/>
      <c r="F1029" s="15"/>
    </row>
    <row r="1030" spans="2:81">
      <c r="C1030" s="11" t="s">
        <v>361</v>
      </c>
      <c r="D1030" s="22"/>
      <c r="E1030" s="18"/>
      <c r="F1030" s="15"/>
    </row>
    <row r="1031" spans="2:81">
      <c r="C1031" s="11" t="s">
        <v>362</v>
      </c>
      <c r="D1031" s="22"/>
      <c r="E1031" s="18"/>
      <c r="F1031" s="15"/>
    </row>
    <row r="1032" spans="2:81">
      <c r="C1032" s="11" t="s">
        <v>363</v>
      </c>
      <c r="D1032" s="22"/>
      <c r="E1032" s="18"/>
      <c r="F1032" s="15"/>
    </row>
    <row r="1033" spans="2:81">
      <c r="C1033" s="109"/>
      <c r="D1033" s="168"/>
      <c r="E1033" s="169"/>
      <c r="F1033" s="110"/>
      <c r="G1033" s="100"/>
      <c r="H1033" s="100"/>
      <c r="I1033" s="100"/>
      <c r="J1033" s="100"/>
      <c r="K1033" s="100"/>
      <c r="L1033" s="100"/>
      <c r="M1033" s="100"/>
      <c r="N1033" s="100"/>
      <c r="O1033" s="100"/>
      <c r="P1033" s="100"/>
      <c r="Q1033" s="100"/>
      <c r="R1033" s="100"/>
      <c r="S1033" s="100"/>
      <c r="T1033" s="100"/>
      <c r="U1033" s="100"/>
      <c r="V1033" s="100"/>
      <c r="W1033" s="100"/>
      <c r="X1033" s="100"/>
      <c r="Y1033" s="100"/>
      <c r="Z1033" s="100"/>
      <c r="AA1033" s="100"/>
      <c r="AB1033" s="100"/>
      <c r="AC1033" s="100"/>
      <c r="AD1033" s="332"/>
      <c r="AE1033" s="100"/>
      <c r="AF1033" s="100"/>
      <c r="AG1033" s="100"/>
      <c r="AH1033" s="100"/>
      <c r="AI1033" s="100"/>
      <c r="AJ1033" s="392"/>
      <c r="AK1033" s="100"/>
      <c r="AL1033" s="100"/>
      <c r="AM1033" s="100"/>
      <c r="AN1033" s="100"/>
      <c r="AO1033" s="100"/>
      <c r="AP1033" s="100"/>
      <c r="AQ1033" s="100"/>
      <c r="AR1033" s="100"/>
      <c r="AS1033" s="100"/>
      <c r="AT1033" s="100"/>
      <c r="AU1033" s="100"/>
      <c r="AV1033" s="100"/>
      <c r="AW1033" s="100"/>
      <c r="AX1033" s="100"/>
      <c r="AY1033" s="100"/>
      <c r="AZ1033" s="100"/>
      <c r="BA1033" s="100"/>
      <c r="BB1033" s="100"/>
      <c r="BC1033" s="100"/>
      <c r="BD1033" s="100"/>
      <c r="BE1033" s="100"/>
      <c r="BF1033" s="100"/>
      <c r="BG1033" s="100"/>
      <c r="BH1033" s="100"/>
      <c r="BI1033" s="100"/>
      <c r="BJ1033" s="100"/>
      <c r="BK1033" s="100"/>
      <c r="BL1033" s="100"/>
      <c r="BM1033" s="100"/>
      <c r="BN1033" s="100"/>
      <c r="BO1033" s="100"/>
      <c r="BP1033" s="100"/>
      <c r="BQ1033" s="100"/>
      <c r="BR1033" s="100"/>
      <c r="BS1033" s="100"/>
      <c r="BT1033" s="100"/>
      <c r="BU1033" s="100"/>
      <c r="BV1033" s="100"/>
      <c r="BW1033" s="100"/>
      <c r="BX1033" s="100"/>
      <c r="BY1033" s="100"/>
      <c r="BZ1033" s="100"/>
      <c r="CA1033" s="100"/>
      <c r="CB1033" s="100"/>
      <c r="CC1033" s="100"/>
    </row>
    <row r="1034" spans="2:81">
      <c r="C1034" s="11"/>
      <c r="D1034" s="22"/>
      <c r="E1034" s="18"/>
      <c r="F1034" s="15"/>
    </row>
    <row r="1035" spans="2:81">
      <c r="B1035" s="520" t="s">
        <v>1079</v>
      </c>
      <c r="C1035" s="12" t="s">
        <v>1345</v>
      </c>
      <c r="D1035" s="16" t="s">
        <v>353</v>
      </c>
      <c r="E1035" s="16" t="s">
        <v>354</v>
      </c>
      <c r="F1035" s="16" t="s">
        <v>355</v>
      </c>
    </row>
    <row r="1036" spans="2:81" ht="28.8">
      <c r="C1036" s="492" t="s">
        <v>1346</v>
      </c>
      <c r="D1036" s="16"/>
      <c r="E1036" s="16"/>
      <c r="F1036" s="16"/>
    </row>
    <row r="1037" spans="2:81">
      <c r="C1037" s="187" t="s">
        <v>1347</v>
      </c>
      <c r="D1037" s="18">
        <v>0.05</v>
      </c>
      <c r="E1037" s="21">
        <v>2.5000000000000001E-2</v>
      </c>
      <c r="F1037" s="18">
        <v>0</v>
      </c>
    </row>
    <row r="1038" spans="2:81">
      <c r="C1038" s="492" t="s">
        <v>1348</v>
      </c>
      <c r="D1038" s="18"/>
      <c r="E1038" s="21"/>
      <c r="F1038" s="18"/>
    </row>
    <row r="1039" spans="2:81">
      <c r="C1039" s="216" t="s">
        <v>1349</v>
      </c>
      <c r="D1039" s="18">
        <v>0.1</v>
      </c>
      <c r="E1039" s="21">
        <v>0.05</v>
      </c>
      <c r="F1039" s="18">
        <v>0</v>
      </c>
    </row>
    <row r="1040" spans="2:81">
      <c r="C1040" s="216" t="s">
        <v>1344</v>
      </c>
      <c r="D1040" s="18">
        <v>0.05</v>
      </c>
      <c r="E1040" s="21">
        <v>2.5000000000000001E-2</v>
      </c>
      <c r="F1040" s="18">
        <v>0</v>
      </c>
    </row>
    <row r="1041" spans="2:16">
      <c r="C1041" s="11"/>
      <c r="D1041" s="22">
        <f>SUM(D1037:D1040)</f>
        <v>0.2</v>
      </c>
      <c r="E1041" s="22">
        <f>SUM(E1037:E1040)</f>
        <v>0.1</v>
      </c>
      <c r="F1041" s="22">
        <f>SUM(F1037:F1040)</f>
        <v>0</v>
      </c>
    </row>
    <row r="1042" spans="2:16">
      <c r="C1042" s="11"/>
      <c r="D1042" s="15"/>
      <c r="E1042" s="22">
        <f>+D1041-E1041</f>
        <v>0.1</v>
      </c>
      <c r="F1042" s="22">
        <f>E1041-F1041</f>
        <v>0.1</v>
      </c>
    </row>
    <row r="1043" spans="2:16">
      <c r="C1043" s="11"/>
      <c r="D1043" s="22"/>
      <c r="E1043" s="18"/>
      <c r="F1043" s="15"/>
    </row>
    <row r="1044" spans="2:16">
      <c r="C1044" s="11"/>
      <c r="D1044" s="15"/>
      <c r="E1044" s="15"/>
      <c r="F1044" s="15"/>
    </row>
    <row r="1045" spans="2:16">
      <c r="B1045" s="519" t="s">
        <v>1079</v>
      </c>
      <c r="C1045" s="12" t="s">
        <v>1350</v>
      </c>
      <c r="D1045" s="16" t="s">
        <v>353</v>
      </c>
      <c r="E1045" s="16" t="s">
        <v>354</v>
      </c>
      <c r="F1045" s="16" t="s">
        <v>355</v>
      </c>
    </row>
    <row r="1046" spans="2:16">
      <c r="C1046" s="11" t="s">
        <v>1351</v>
      </c>
      <c r="D1046" s="18">
        <v>0.05</v>
      </c>
      <c r="E1046" s="21">
        <v>2.5000000000000001E-2</v>
      </c>
      <c r="F1046" s="18">
        <v>0</v>
      </c>
      <c r="O1046" s="43">
        <f>E1046</f>
        <v>2.5000000000000001E-2</v>
      </c>
      <c r="P1046" s="43">
        <f>F1046</f>
        <v>0</v>
      </c>
    </row>
    <row r="1047" spans="2:16" ht="28.8">
      <c r="C1047" s="187" t="s">
        <v>1352</v>
      </c>
      <c r="D1047" s="18">
        <v>0.02</v>
      </c>
      <c r="E1047" s="21">
        <v>0.05</v>
      </c>
      <c r="F1047" s="18">
        <v>0</v>
      </c>
      <c r="O1047" s="43">
        <f>E1047</f>
        <v>0.05</v>
      </c>
      <c r="P1047" s="43">
        <f>F1047</f>
        <v>0</v>
      </c>
    </row>
    <row r="1048" spans="2:16">
      <c r="C1048" s="575" t="s">
        <v>1353</v>
      </c>
      <c r="D1048" s="18">
        <v>0.3</v>
      </c>
      <c r="E1048" s="21">
        <v>0.15</v>
      </c>
      <c r="F1048" s="18">
        <v>0</v>
      </c>
      <c r="O1048" s="43">
        <f t="shared" ref="O1048:P1050" si="171">E1048</f>
        <v>0.15</v>
      </c>
      <c r="P1048" s="43">
        <f t="shared" si="171"/>
        <v>0</v>
      </c>
    </row>
    <row r="1049" spans="2:16">
      <c r="C1049" s="11" t="s">
        <v>1354</v>
      </c>
      <c r="D1049" s="18">
        <v>0.4</v>
      </c>
      <c r="E1049" s="21">
        <v>0.2</v>
      </c>
      <c r="F1049" s="18">
        <v>0</v>
      </c>
      <c r="O1049" s="43">
        <f t="shared" si="171"/>
        <v>0.2</v>
      </c>
      <c r="P1049" s="43">
        <f t="shared" si="171"/>
        <v>0</v>
      </c>
    </row>
    <row r="1050" spans="2:16">
      <c r="C1050" s="11" t="s">
        <v>1355</v>
      </c>
      <c r="D1050" s="18">
        <v>0.15</v>
      </c>
      <c r="E1050" s="21">
        <v>7.4999999999999997E-2</v>
      </c>
      <c r="F1050" s="18">
        <v>0</v>
      </c>
      <c r="O1050" s="43">
        <f t="shared" si="171"/>
        <v>7.4999999999999997E-2</v>
      </c>
      <c r="P1050" s="43">
        <f t="shared" si="171"/>
        <v>0</v>
      </c>
    </row>
    <row r="1051" spans="2:16">
      <c r="C1051" s="11"/>
      <c r="D1051" s="22">
        <f>SUM(D1046:D1050)</f>
        <v>0.92</v>
      </c>
      <c r="E1051" s="22">
        <f>SUM(E1046:E1050)</f>
        <v>0.5</v>
      </c>
      <c r="F1051" s="22">
        <f>SUM(F1046:F1050)</f>
        <v>0</v>
      </c>
    </row>
    <row r="1052" spans="2:16">
      <c r="C1052" s="11"/>
      <c r="D1052" s="15"/>
      <c r="E1052" s="22">
        <f>D1051-E1051</f>
        <v>0.42000000000000004</v>
      </c>
      <c r="F1052" s="22">
        <f>E1051-F1051</f>
        <v>0.5</v>
      </c>
    </row>
    <row r="1053" spans="2:16">
      <c r="C1053" s="11"/>
      <c r="D1053" s="15"/>
      <c r="E1053" s="15"/>
      <c r="F1053" s="15"/>
    </row>
    <row r="1054" spans="2:16">
      <c r="C1054" s="11" t="s">
        <v>359</v>
      </c>
      <c r="D1054" s="16" t="s">
        <v>1228</v>
      </c>
      <c r="E1054" s="18"/>
      <c r="F1054" s="15"/>
    </row>
    <row r="1055" spans="2:16">
      <c r="C1055" s="11" t="s">
        <v>360</v>
      </c>
      <c r="D1055" s="22"/>
      <c r="E1055" s="18"/>
      <c r="F1055" s="15"/>
    </row>
    <row r="1056" spans="2:16">
      <c r="C1056" s="11" t="s">
        <v>361</v>
      </c>
      <c r="D1056" s="22"/>
      <c r="E1056" s="18"/>
      <c r="F1056" s="15"/>
    </row>
    <row r="1057" spans="2:122">
      <c r="C1057" s="11" t="s">
        <v>362</v>
      </c>
      <c r="D1057" s="22"/>
      <c r="E1057" s="18"/>
      <c r="F1057" s="15"/>
    </row>
    <row r="1058" spans="2:122">
      <c r="C1058" s="11" t="s">
        <v>363</v>
      </c>
      <c r="D1058" s="22"/>
      <c r="E1058" s="18"/>
      <c r="F1058" s="15"/>
    </row>
    <row r="1059" spans="2:122">
      <c r="C1059" s="109"/>
      <c r="D1059" s="168"/>
      <c r="E1059" s="169"/>
      <c r="F1059" s="110"/>
      <c r="G1059" s="100"/>
      <c r="H1059" s="100"/>
      <c r="I1059" s="100"/>
      <c r="J1059" s="100"/>
      <c r="K1059" s="100"/>
      <c r="L1059" s="100"/>
      <c r="M1059" s="100"/>
      <c r="N1059" s="100"/>
      <c r="O1059" s="100"/>
      <c r="P1059" s="100"/>
      <c r="Q1059" s="100"/>
      <c r="R1059" s="100"/>
      <c r="S1059" s="100"/>
      <c r="T1059" s="100"/>
      <c r="U1059" s="100"/>
      <c r="V1059" s="100"/>
      <c r="W1059" s="100"/>
      <c r="X1059" s="100"/>
      <c r="Y1059" s="100"/>
      <c r="Z1059" s="100"/>
      <c r="AA1059" s="100"/>
      <c r="AB1059" s="100"/>
      <c r="AC1059" s="100"/>
      <c r="AD1059" s="332"/>
      <c r="AE1059" s="100"/>
      <c r="AF1059" s="100"/>
      <c r="AG1059" s="100"/>
      <c r="AH1059" s="100"/>
      <c r="AI1059" s="100"/>
      <c r="AJ1059" s="392"/>
      <c r="AK1059" s="100"/>
      <c r="AL1059" s="100"/>
      <c r="AM1059" s="100"/>
      <c r="AN1059" s="100"/>
      <c r="AO1059" s="100"/>
      <c r="AP1059" s="100"/>
      <c r="AQ1059" s="100"/>
      <c r="AR1059" s="100"/>
      <c r="AS1059" s="100"/>
      <c r="AT1059" s="100"/>
      <c r="AU1059" s="100"/>
      <c r="AV1059" s="100"/>
      <c r="AW1059" s="100"/>
      <c r="AX1059" s="100"/>
      <c r="AY1059" s="100"/>
      <c r="AZ1059" s="100"/>
      <c r="BA1059" s="100"/>
      <c r="BB1059" s="100"/>
      <c r="BC1059" s="100"/>
      <c r="BD1059" s="100"/>
      <c r="BE1059" s="100"/>
      <c r="BF1059" s="100"/>
      <c r="BG1059" s="100"/>
      <c r="BH1059" s="100"/>
      <c r="BI1059" s="100"/>
      <c r="BJ1059" s="100"/>
      <c r="BK1059" s="100"/>
      <c r="BL1059" s="100"/>
      <c r="BM1059" s="100"/>
      <c r="BN1059" s="100"/>
      <c r="BO1059" s="100"/>
      <c r="BP1059" s="100"/>
      <c r="BQ1059" s="100"/>
      <c r="BR1059" s="100"/>
      <c r="BS1059" s="100"/>
      <c r="BT1059" s="100"/>
      <c r="BU1059" s="100"/>
      <c r="BV1059" s="100"/>
      <c r="BW1059" s="100"/>
      <c r="BX1059" s="100"/>
      <c r="BY1059" s="100"/>
      <c r="BZ1059" s="100"/>
      <c r="CA1059" s="100"/>
      <c r="CB1059" s="100"/>
      <c r="CC1059" s="100"/>
    </row>
    <row r="1060" spans="2:122">
      <c r="C1060" s="11"/>
      <c r="D1060" s="18"/>
      <c r="E1060" s="21"/>
      <c r="F1060" s="15"/>
    </row>
    <row r="1061" spans="2:122">
      <c r="C1061" s="11"/>
      <c r="D1061" s="18"/>
      <c r="E1061" s="21"/>
      <c r="F1061" s="15"/>
    </row>
    <row r="1062" spans="2:122" s="256" customFormat="1">
      <c r="B1062" s="576" t="s">
        <v>1079</v>
      </c>
      <c r="C1062" s="214" t="s">
        <v>19</v>
      </c>
      <c r="D1062" s="262"/>
      <c r="E1062" s="263"/>
      <c r="F1062" s="262"/>
      <c r="V1062" s="257"/>
      <c r="W1062" s="257"/>
      <c r="AC1062" s="335"/>
      <c r="AD1062" s="333"/>
      <c r="AE1062" s="348"/>
      <c r="AI1062" s="335"/>
      <c r="AJ1062" s="395"/>
      <c r="AQ1062" s="257"/>
      <c r="BJ1062" s="257"/>
      <c r="BK1062" s="257"/>
      <c r="CB1062" s="257"/>
      <c r="CH1062" s="257"/>
      <c r="CQ1062" s="257"/>
      <c r="DC1062" s="257"/>
      <c r="DJ1062" s="257"/>
      <c r="DR1062" s="257"/>
    </row>
    <row r="1063" spans="2:122" s="256" customFormat="1">
      <c r="C1063" s="217" t="s">
        <v>1356</v>
      </c>
      <c r="D1063" s="264">
        <v>0.05</v>
      </c>
      <c r="E1063" s="263">
        <v>0</v>
      </c>
      <c r="F1063" s="264">
        <v>0</v>
      </c>
      <c r="V1063" s="257"/>
      <c r="W1063" s="257"/>
      <c r="AC1063" s="335"/>
      <c r="AD1063" s="333"/>
      <c r="AE1063" s="348"/>
      <c r="AI1063" s="335"/>
      <c r="AJ1063" s="395"/>
      <c r="AQ1063" s="257"/>
      <c r="BJ1063" s="257"/>
      <c r="BK1063" s="257"/>
      <c r="CB1063" s="257"/>
      <c r="CH1063" s="257"/>
      <c r="CQ1063" s="257"/>
      <c r="DC1063" s="257"/>
      <c r="DJ1063" s="257"/>
      <c r="DR1063" s="257"/>
    </row>
    <row r="1064" spans="2:122" s="256" customFormat="1">
      <c r="C1064" s="217" t="s">
        <v>1357</v>
      </c>
      <c r="D1064" s="264">
        <v>0.1</v>
      </c>
      <c r="E1064" s="263">
        <v>0.05</v>
      </c>
      <c r="F1064" s="264">
        <v>0</v>
      </c>
      <c r="V1064" s="257"/>
      <c r="W1064" s="257"/>
      <c r="AC1064" s="335"/>
      <c r="AD1064" s="333"/>
      <c r="AE1064" s="348"/>
      <c r="AI1064" s="335"/>
      <c r="AJ1064" s="395"/>
      <c r="AQ1064" s="257"/>
      <c r="BJ1064" s="257"/>
      <c r="BK1064" s="257"/>
      <c r="CB1064" s="257"/>
      <c r="CH1064" s="257"/>
      <c r="CQ1064" s="257"/>
      <c r="DC1064" s="257"/>
      <c r="DJ1064" s="257"/>
      <c r="DR1064" s="257"/>
    </row>
    <row r="1065" spans="2:122" s="256" customFormat="1">
      <c r="C1065" s="217" t="s">
        <v>1358</v>
      </c>
      <c r="D1065" s="264">
        <v>0.2</v>
      </c>
      <c r="E1065" s="263">
        <v>0.2</v>
      </c>
      <c r="F1065" s="264">
        <v>0</v>
      </c>
      <c r="V1065" s="257"/>
      <c r="W1065" s="257"/>
      <c r="AC1065" s="335"/>
      <c r="AD1065" s="333"/>
      <c r="AE1065" s="348"/>
      <c r="AI1065" s="335"/>
      <c r="AJ1065" s="395"/>
      <c r="AQ1065" s="257"/>
      <c r="BJ1065" s="257"/>
      <c r="BK1065" s="257"/>
      <c r="CB1065" s="257"/>
      <c r="CH1065" s="257"/>
      <c r="CQ1065" s="257"/>
      <c r="DC1065" s="257"/>
      <c r="DJ1065" s="257"/>
      <c r="DR1065" s="257"/>
    </row>
    <row r="1066" spans="2:122" s="11" customFormat="1">
      <c r="D1066" s="22">
        <f>SUM(D1063:D1065)</f>
        <v>0.35000000000000003</v>
      </c>
      <c r="E1066" s="29">
        <f>SUM(E1063:E1065)</f>
        <v>0.25</v>
      </c>
      <c r="F1066" s="18">
        <f>SUM(F1063:F1065)</f>
        <v>0</v>
      </c>
      <c r="V1066" s="14"/>
      <c r="W1066" s="14"/>
      <c r="AC1066" s="336"/>
      <c r="AD1066" s="87"/>
      <c r="AE1066" s="349"/>
      <c r="AI1066" s="336"/>
      <c r="AJ1066" s="396"/>
      <c r="AQ1066" s="14"/>
      <c r="BJ1066" s="14"/>
      <c r="BK1066" s="14"/>
      <c r="CB1066" s="14"/>
      <c r="CH1066" s="14"/>
      <c r="CQ1066" s="14"/>
      <c r="DC1066" s="14"/>
      <c r="DJ1066" s="14"/>
      <c r="DR1066" s="14"/>
    </row>
    <row r="1067" spans="2:122" s="11" customFormat="1">
      <c r="D1067" s="15"/>
      <c r="E1067" s="227">
        <f>D1066-E1066</f>
        <v>0.10000000000000003</v>
      </c>
      <c r="F1067" s="227">
        <f>E1066-F1066</f>
        <v>0.25</v>
      </c>
      <c r="V1067" s="14"/>
      <c r="W1067" s="14"/>
      <c r="AC1067" s="336"/>
      <c r="AD1067" s="87"/>
      <c r="AE1067" s="349"/>
      <c r="AI1067" s="336"/>
      <c r="AJ1067" s="396"/>
      <c r="AQ1067" s="14"/>
      <c r="BJ1067" s="14"/>
      <c r="BK1067" s="14"/>
      <c r="CB1067" s="14"/>
      <c r="CH1067" s="14"/>
      <c r="CQ1067" s="14"/>
      <c r="DC1067" s="14"/>
      <c r="DJ1067" s="14"/>
      <c r="DR1067" s="14"/>
    </row>
    <row r="1068" spans="2:122" s="11" customFormat="1">
      <c r="C1068" s="11" t="s">
        <v>389</v>
      </c>
      <c r="D1068" s="15" t="s">
        <v>421</v>
      </c>
      <c r="E1068" s="227"/>
      <c r="F1068" s="227"/>
      <c r="V1068" s="14"/>
      <c r="W1068" s="14"/>
      <c r="AC1068" s="336"/>
      <c r="AD1068" s="87"/>
      <c r="AE1068" s="349"/>
      <c r="AI1068" s="336"/>
      <c r="AJ1068" s="396"/>
      <c r="AQ1068" s="14"/>
      <c r="BJ1068" s="14"/>
      <c r="BK1068" s="14"/>
      <c r="CB1068" s="14"/>
      <c r="CH1068" s="14"/>
      <c r="CQ1068" s="14"/>
      <c r="DC1068" s="14"/>
      <c r="DJ1068" s="14"/>
      <c r="DR1068" s="14"/>
    </row>
    <row r="1069" spans="2:122" s="11" customFormat="1">
      <c r="D1069" s="22"/>
      <c r="E1069" s="29"/>
      <c r="F1069" s="18"/>
      <c r="V1069" s="14"/>
      <c r="W1069" s="14"/>
      <c r="AC1069" s="336"/>
      <c r="AD1069" s="87"/>
      <c r="AE1069" s="349"/>
      <c r="AI1069" s="336"/>
      <c r="AJ1069" s="396"/>
      <c r="AQ1069" s="14"/>
      <c r="BJ1069" s="14"/>
      <c r="BK1069" s="14"/>
      <c r="CB1069" s="14"/>
      <c r="CH1069" s="14"/>
      <c r="CQ1069" s="14"/>
      <c r="DC1069" s="14"/>
      <c r="DJ1069" s="14"/>
      <c r="DR1069" s="14"/>
    </row>
    <row r="1070" spans="2:122" s="11" customFormat="1">
      <c r="D1070" s="15"/>
      <c r="E1070" s="227"/>
      <c r="F1070" s="227"/>
      <c r="V1070" s="14"/>
      <c r="W1070" s="14"/>
      <c r="AC1070" s="336"/>
      <c r="AD1070" s="87"/>
      <c r="AE1070" s="349"/>
      <c r="AI1070" s="336"/>
      <c r="AJ1070" s="396"/>
      <c r="AQ1070" s="14"/>
      <c r="BJ1070" s="14"/>
      <c r="BK1070" s="14"/>
      <c r="CB1070" s="14"/>
      <c r="CH1070" s="14"/>
      <c r="CQ1070" s="14"/>
      <c r="DC1070" s="14"/>
      <c r="DJ1070" s="14"/>
      <c r="DR1070" s="14"/>
    </row>
    <row r="1071" spans="2:122">
      <c r="B1071" s="519" t="s">
        <v>1079</v>
      </c>
      <c r="C1071" s="12" t="s">
        <v>91</v>
      </c>
      <c r="D1071" s="16" t="s">
        <v>353</v>
      </c>
      <c r="E1071" s="16" t="s">
        <v>354</v>
      </c>
      <c r="F1071" s="16" t="s">
        <v>355</v>
      </c>
    </row>
    <row r="1072" spans="2:122">
      <c r="C1072" s="11" t="s">
        <v>1359</v>
      </c>
      <c r="D1072" s="18">
        <v>0.05</v>
      </c>
      <c r="E1072" s="18">
        <v>0.05</v>
      </c>
      <c r="F1072" s="18">
        <v>0.05</v>
      </c>
      <c r="V1072" s="9"/>
      <c r="W1072" s="9"/>
      <c r="AQ1072" s="9"/>
      <c r="BJ1072" s="9"/>
      <c r="BK1072" s="9"/>
      <c r="CB1072" s="9"/>
      <c r="CH1072" s="9"/>
      <c r="CQ1072" s="9"/>
      <c r="DC1072" s="9"/>
      <c r="DJ1072" s="9"/>
      <c r="DR1072" s="9"/>
    </row>
    <row r="1073" spans="2:122">
      <c r="C1073" s="11" t="s">
        <v>1360</v>
      </c>
      <c r="D1073" s="18"/>
      <c r="E1073" s="18"/>
      <c r="F1073" s="18"/>
      <c r="V1073" s="9"/>
      <c r="W1073" s="9"/>
      <c r="AQ1073" s="9"/>
      <c r="BJ1073" s="9"/>
      <c r="BK1073" s="9"/>
      <c r="CB1073" s="9"/>
      <c r="CH1073" s="9"/>
      <c r="CQ1073" s="9"/>
      <c r="DC1073" s="9"/>
      <c r="DJ1073" s="9"/>
      <c r="DR1073" s="9"/>
    </row>
    <row r="1074" spans="2:122">
      <c r="C1074" s="11" t="s">
        <v>1361</v>
      </c>
      <c r="D1074" s="18"/>
      <c r="E1074" s="18"/>
      <c r="F1074" s="18"/>
      <c r="V1074" s="9"/>
      <c r="W1074" s="9"/>
      <c r="AQ1074" s="9"/>
      <c r="BJ1074" s="9"/>
      <c r="BK1074" s="9"/>
      <c r="CB1074" s="9"/>
      <c r="CH1074" s="9"/>
      <c r="CQ1074" s="9"/>
      <c r="DC1074" s="9"/>
      <c r="DJ1074" s="9"/>
      <c r="DR1074" s="9"/>
    </row>
    <row r="1075" spans="2:122">
      <c r="C1075" s="11" t="s">
        <v>1362</v>
      </c>
      <c r="D1075" s="18">
        <v>0.01</v>
      </c>
      <c r="E1075" s="18">
        <v>0.01</v>
      </c>
      <c r="F1075" s="18">
        <v>0.01</v>
      </c>
      <c r="V1075" s="9"/>
      <c r="W1075" s="9"/>
      <c r="AQ1075" s="9"/>
      <c r="BJ1075" s="9"/>
      <c r="BK1075" s="9"/>
      <c r="CB1075" s="9"/>
      <c r="CH1075" s="9"/>
      <c r="CQ1075" s="9"/>
      <c r="DC1075" s="9"/>
      <c r="DJ1075" s="9"/>
      <c r="DR1075" s="9"/>
    </row>
    <row r="1076" spans="2:122">
      <c r="C1076" s="11" t="s">
        <v>1363</v>
      </c>
      <c r="D1076" s="18">
        <v>0.01</v>
      </c>
      <c r="E1076" s="18">
        <v>0.01</v>
      </c>
      <c r="F1076" s="18">
        <v>0.01</v>
      </c>
      <c r="V1076" s="9"/>
      <c r="W1076" s="9"/>
      <c r="AQ1076" s="9"/>
      <c r="BJ1076" s="9"/>
      <c r="BK1076" s="9"/>
      <c r="CB1076" s="9"/>
      <c r="CH1076" s="9"/>
      <c r="CQ1076" s="9"/>
      <c r="DC1076" s="9"/>
      <c r="DJ1076" s="9"/>
      <c r="DR1076" s="9"/>
    </row>
    <row r="1077" spans="2:122">
      <c r="C1077" s="11" t="s">
        <v>1364</v>
      </c>
      <c r="D1077" s="18">
        <v>0.25</v>
      </c>
      <c r="E1077" s="18">
        <v>0.25</v>
      </c>
      <c r="F1077" s="18">
        <v>0.25</v>
      </c>
      <c r="V1077" s="9"/>
      <c r="W1077" s="9"/>
      <c r="AQ1077" s="9"/>
      <c r="BJ1077" s="9"/>
      <c r="BK1077" s="9"/>
      <c r="CB1077" s="9"/>
      <c r="CH1077" s="9"/>
      <c r="CQ1077" s="9"/>
      <c r="DC1077" s="9"/>
      <c r="DJ1077" s="9"/>
      <c r="DR1077" s="9"/>
    </row>
    <row r="1078" spans="2:122">
      <c r="C1078" s="11"/>
      <c r="D1078" s="18">
        <v>0.05</v>
      </c>
      <c r="E1078" s="18">
        <v>0.05</v>
      </c>
      <c r="F1078" s="18">
        <v>0.05</v>
      </c>
      <c r="V1078" s="9"/>
      <c r="W1078" s="9"/>
      <c r="AQ1078" s="9"/>
      <c r="BJ1078" s="9"/>
      <c r="BK1078" s="9"/>
      <c r="CB1078" s="9"/>
      <c r="CH1078" s="9"/>
      <c r="CQ1078" s="9"/>
      <c r="DC1078" s="9"/>
      <c r="DJ1078" s="9"/>
      <c r="DR1078" s="9"/>
    </row>
    <row r="1079" spans="2:122">
      <c r="C1079" s="11" t="s">
        <v>1365</v>
      </c>
      <c r="D1079" s="18" t="s">
        <v>1225</v>
      </c>
      <c r="E1079" s="21"/>
      <c r="F1079" s="15"/>
    </row>
    <row r="1080" spans="2:122">
      <c r="C1080" s="11"/>
      <c r="D1080" s="18"/>
      <c r="E1080" s="21"/>
      <c r="F1080" s="15"/>
    </row>
    <row r="1081" spans="2:122">
      <c r="B1081" s="519" t="s">
        <v>1079</v>
      </c>
      <c r="C1081" s="12" t="s">
        <v>1366</v>
      </c>
      <c r="D1081" s="16" t="s">
        <v>353</v>
      </c>
      <c r="E1081" s="16" t="s">
        <v>354</v>
      </c>
      <c r="F1081" s="16" t="s">
        <v>355</v>
      </c>
    </row>
    <row r="1082" spans="2:122" ht="28.8">
      <c r="C1082" s="187" t="s">
        <v>1367</v>
      </c>
      <c r="D1082" s="18">
        <v>0.05</v>
      </c>
      <c r="E1082" s="21">
        <v>0.02</v>
      </c>
      <c r="F1082" s="21">
        <v>0</v>
      </c>
      <c r="I1082" s="236">
        <f t="shared" ref="I1082:J1084" si="172">E1082</f>
        <v>0.02</v>
      </c>
      <c r="J1082" s="236">
        <f t="shared" si="172"/>
        <v>0</v>
      </c>
      <c r="K1082" s="236"/>
      <c r="O1082" s="236">
        <f t="shared" ref="O1082:P1084" si="173">E1082</f>
        <v>0.02</v>
      </c>
      <c r="P1082" s="236">
        <f t="shared" si="173"/>
        <v>0</v>
      </c>
    </row>
    <row r="1083" spans="2:122">
      <c r="C1083" s="187" t="s">
        <v>1368</v>
      </c>
      <c r="D1083" s="18">
        <v>0.06</v>
      </c>
      <c r="E1083" s="21">
        <v>0.02</v>
      </c>
      <c r="F1083" s="21">
        <v>0</v>
      </c>
      <c r="I1083" s="236">
        <f t="shared" si="172"/>
        <v>0.02</v>
      </c>
      <c r="J1083" s="236">
        <f t="shared" si="172"/>
        <v>0</v>
      </c>
      <c r="K1083" s="236"/>
      <c r="O1083" s="236">
        <f t="shared" si="173"/>
        <v>0.02</v>
      </c>
      <c r="P1083" s="236">
        <f t="shared" si="173"/>
        <v>0</v>
      </c>
    </row>
    <row r="1084" spans="2:122" ht="28.8">
      <c r="C1084" s="187" t="s">
        <v>1369</v>
      </c>
      <c r="D1084" s="18">
        <v>0.05</v>
      </c>
      <c r="E1084" s="21">
        <v>2.5000000000000001E-2</v>
      </c>
      <c r="F1084" s="21">
        <v>0</v>
      </c>
      <c r="I1084" s="236">
        <f t="shared" si="172"/>
        <v>2.5000000000000001E-2</v>
      </c>
      <c r="J1084" s="236">
        <f t="shared" si="172"/>
        <v>0</v>
      </c>
      <c r="K1084" s="236"/>
      <c r="O1084" s="236">
        <f t="shared" si="173"/>
        <v>2.5000000000000001E-2</v>
      </c>
      <c r="P1084" s="236">
        <f t="shared" si="173"/>
        <v>0</v>
      </c>
    </row>
    <row r="1085" spans="2:122">
      <c r="C1085" s="11"/>
      <c r="D1085" s="22">
        <f>SUM(D1082:D1084)</f>
        <v>0.16</v>
      </c>
      <c r="E1085" s="22">
        <f>SUM(E1082:E1084)</f>
        <v>6.5000000000000002E-2</v>
      </c>
      <c r="F1085" s="22">
        <f>SUM(F1082:F1084)</f>
        <v>0</v>
      </c>
    </row>
    <row r="1086" spans="2:122">
      <c r="C1086" s="11"/>
      <c r="D1086" s="15"/>
      <c r="E1086" s="22">
        <f>D1085-E1085</f>
        <v>9.5000000000000001E-2</v>
      </c>
      <c r="F1086" s="22">
        <f>E1085-F1085</f>
        <v>6.5000000000000002E-2</v>
      </c>
    </row>
    <row r="1087" spans="2:122">
      <c r="C1087" s="11" t="s">
        <v>359</v>
      </c>
      <c r="D1087" s="16" t="s">
        <v>1228</v>
      </c>
      <c r="E1087" s="18"/>
      <c r="F1087" s="15"/>
    </row>
    <row r="1088" spans="2:122">
      <c r="C1088" s="11" t="s">
        <v>360</v>
      </c>
      <c r="D1088" s="22"/>
      <c r="E1088" s="18"/>
      <c r="F1088" s="15"/>
    </row>
    <row r="1089" spans="2:81">
      <c r="C1089" s="11" t="s">
        <v>361</v>
      </c>
      <c r="D1089" s="22"/>
      <c r="E1089" s="18"/>
      <c r="F1089" s="15"/>
    </row>
    <row r="1090" spans="2:81">
      <c r="C1090" s="11" t="s">
        <v>362</v>
      </c>
      <c r="D1090" s="22"/>
      <c r="E1090" s="18"/>
      <c r="F1090" s="15"/>
    </row>
    <row r="1091" spans="2:81">
      <c r="C1091" s="11" t="s">
        <v>363</v>
      </c>
      <c r="D1091" s="22"/>
      <c r="E1091" s="18"/>
      <c r="F1091" s="15"/>
    </row>
    <row r="1092" spans="2:81">
      <c r="C1092" s="109"/>
      <c r="D1092" s="168"/>
      <c r="E1092" s="169"/>
      <c r="F1092" s="110"/>
      <c r="G1092" s="100"/>
      <c r="H1092" s="100"/>
      <c r="I1092" s="100"/>
      <c r="J1092" s="100"/>
      <c r="K1092" s="100"/>
      <c r="L1092" s="100"/>
      <c r="M1092" s="100"/>
      <c r="N1092" s="100"/>
      <c r="O1092" s="100"/>
      <c r="P1092" s="100"/>
      <c r="Q1092" s="100"/>
      <c r="R1092" s="100"/>
      <c r="S1092" s="100"/>
      <c r="T1092" s="100"/>
      <c r="U1092" s="100"/>
      <c r="V1092" s="100"/>
      <c r="W1092" s="100"/>
      <c r="X1092" s="100"/>
      <c r="Y1092" s="100"/>
      <c r="Z1092" s="100"/>
      <c r="AA1092" s="100"/>
      <c r="AB1092" s="100"/>
      <c r="AC1092" s="100"/>
      <c r="AD1092" s="332"/>
      <c r="AE1092" s="100"/>
      <c r="AF1092" s="100"/>
      <c r="AG1092" s="100"/>
      <c r="AH1092" s="100"/>
      <c r="AI1092" s="100"/>
      <c r="AJ1092" s="392"/>
      <c r="AK1092" s="100"/>
      <c r="AL1092" s="100"/>
      <c r="AM1092" s="100"/>
      <c r="AN1092" s="100"/>
      <c r="AO1092" s="100"/>
      <c r="AP1092" s="100"/>
      <c r="AQ1092" s="100"/>
      <c r="AR1092" s="100"/>
      <c r="AS1092" s="100"/>
      <c r="AT1092" s="100"/>
      <c r="AU1092" s="100"/>
      <c r="AV1092" s="100"/>
      <c r="AW1092" s="100"/>
      <c r="AX1092" s="100"/>
      <c r="AY1092" s="100"/>
      <c r="AZ1092" s="100"/>
      <c r="BA1092" s="100"/>
      <c r="BB1092" s="100"/>
      <c r="BC1092" s="100"/>
      <c r="BD1092" s="100"/>
      <c r="BE1092" s="100"/>
      <c r="BF1092" s="100"/>
      <c r="BG1092" s="100"/>
      <c r="BH1092" s="100"/>
      <c r="BI1092" s="100"/>
      <c r="BJ1092" s="100"/>
      <c r="BK1092" s="100"/>
      <c r="BL1092" s="100"/>
      <c r="BM1092" s="100"/>
      <c r="BN1092" s="100"/>
      <c r="BO1092" s="100"/>
      <c r="BP1092" s="100"/>
      <c r="BQ1092" s="100"/>
      <c r="BR1092" s="100"/>
      <c r="BS1092" s="100"/>
      <c r="BT1092" s="100"/>
      <c r="BU1092" s="100"/>
      <c r="BV1092" s="100"/>
      <c r="BW1092" s="100"/>
      <c r="BX1092" s="100"/>
      <c r="BY1092" s="100"/>
      <c r="BZ1092" s="100"/>
      <c r="CA1092" s="100"/>
      <c r="CB1092" s="100"/>
      <c r="CC1092" s="100"/>
    </row>
    <row r="1093" spans="2:81">
      <c r="C1093" s="11"/>
      <c r="D1093" s="22"/>
      <c r="E1093" s="22"/>
      <c r="F1093" s="22"/>
    </row>
    <row r="1094" spans="2:81">
      <c r="B1094" s="519" t="s">
        <v>1079</v>
      </c>
      <c r="C1094" s="12" t="s">
        <v>1370</v>
      </c>
      <c r="D1094" s="16" t="s">
        <v>353</v>
      </c>
      <c r="E1094" s="16" t="s">
        <v>354</v>
      </c>
      <c r="F1094" s="16" t="s">
        <v>355</v>
      </c>
    </row>
    <row r="1095" spans="2:81" ht="28.8">
      <c r="C1095" s="187" t="s">
        <v>1371</v>
      </c>
      <c r="D1095" s="16"/>
      <c r="E1095" s="16"/>
      <c r="F1095" s="16"/>
    </row>
    <row r="1096" spans="2:81" ht="28.8">
      <c r="C1096" s="187" t="s">
        <v>1372</v>
      </c>
      <c r="D1096" s="16"/>
      <c r="E1096" s="16"/>
      <c r="F1096" s="16"/>
    </row>
    <row r="1097" spans="2:81">
      <c r="C1097" s="11" t="s">
        <v>1373</v>
      </c>
      <c r="D1097" s="16"/>
      <c r="E1097" s="16"/>
      <c r="F1097" s="16"/>
    </row>
    <row r="1098" spans="2:81">
      <c r="C1098" s="11"/>
      <c r="D1098" s="22" t="e">
        <f>SUM(#REF!)</f>
        <v>#REF!</v>
      </c>
      <c r="E1098" s="22" t="e">
        <f>SUM(#REF!)</f>
        <v>#REF!</v>
      </c>
      <c r="F1098" s="230" t="e">
        <f>SUM(#REF!)</f>
        <v>#REF!</v>
      </c>
      <c r="L1098" s="236"/>
      <c r="M1098" s="236"/>
      <c r="N1098" s="236"/>
      <c r="O1098" s="236"/>
      <c r="P1098" s="236"/>
    </row>
    <row r="1099" spans="2:81">
      <c r="C1099" s="11"/>
      <c r="D1099" s="230"/>
      <c r="E1099" s="22" t="e">
        <f>D1098-E1098</f>
        <v>#REF!</v>
      </c>
      <c r="F1099" s="230" t="e">
        <f>E1098-F1098</f>
        <v>#REF!</v>
      </c>
    </row>
    <row r="1100" spans="2:81">
      <c r="B1100" s="519" t="s">
        <v>1079</v>
      </c>
      <c r="C1100" s="12" t="s">
        <v>1374</v>
      </c>
      <c r="D1100" s="16" t="s">
        <v>353</v>
      </c>
      <c r="E1100" s="16" t="s">
        <v>354</v>
      </c>
      <c r="F1100" s="16" t="s">
        <v>355</v>
      </c>
    </row>
    <row r="1101" spans="2:81">
      <c r="C1101" s="577" t="s">
        <v>1375</v>
      </c>
      <c r="D1101" s="16"/>
      <c r="E1101" s="16"/>
      <c r="F1101" s="16"/>
    </row>
    <row r="1102" spans="2:81">
      <c r="C1102" s="577" t="s">
        <v>1376</v>
      </c>
      <c r="D1102" s="16"/>
      <c r="E1102" s="16"/>
      <c r="F1102" s="16"/>
    </row>
    <row r="1103" spans="2:81">
      <c r="C1103" s="11" t="s">
        <v>1377</v>
      </c>
      <c r="D1103" s="16"/>
      <c r="E1103" s="16"/>
      <c r="F1103" s="16"/>
    </row>
    <row r="1104" spans="2:81" ht="28.8">
      <c r="C1104" s="187" t="s">
        <v>1378</v>
      </c>
      <c r="D1104" s="15"/>
      <c r="E1104" s="15"/>
      <c r="F1104" s="15"/>
    </row>
    <row r="1105" spans="2:6" ht="28.8">
      <c r="C1105" s="187" t="s">
        <v>1379</v>
      </c>
      <c r="D1105" s="15"/>
      <c r="E1105" s="15"/>
      <c r="F1105" s="15"/>
    </row>
    <row r="1106" spans="2:6">
      <c r="C1106" s="187" t="s">
        <v>1380</v>
      </c>
      <c r="D1106" s="15"/>
      <c r="E1106" s="15"/>
      <c r="F1106" s="15"/>
    </row>
    <row r="1107" spans="2:6">
      <c r="C1107" s="187" t="s">
        <v>1381</v>
      </c>
      <c r="D1107" s="15"/>
      <c r="E1107" s="15"/>
      <c r="F1107" s="15"/>
    </row>
    <row r="1108" spans="2:6">
      <c r="C1108" s="187" t="s">
        <v>1382</v>
      </c>
      <c r="D1108" s="15"/>
      <c r="E1108" s="15"/>
      <c r="F1108" s="15"/>
    </row>
    <row r="1109" spans="2:6">
      <c r="C1109" s="11"/>
      <c r="D1109" s="15"/>
      <c r="E1109" s="15"/>
      <c r="F1109" s="15"/>
    </row>
    <row r="1110" spans="2:6">
      <c r="C1110" s="11" t="s">
        <v>422</v>
      </c>
      <c r="D1110" s="15" t="s">
        <v>418</v>
      </c>
      <c r="E1110" s="22"/>
      <c r="F1110" s="15"/>
    </row>
    <row r="1111" spans="2:6">
      <c r="C1111" s="11"/>
      <c r="D1111" s="15"/>
      <c r="E1111" s="22"/>
      <c r="F1111" s="15"/>
    </row>
    <row r="1112" spans="2:6">
      <c r="B1112" s="519" t="s">
        <v>1079</v>
      </c>
      <c r="C1112" s="581" t="s">
        <v>1383</v>
      </c>
      <c r="D1112" s="16" t="s">
        <v>353</v>
      </c>
      <c r="E1112" s="16" t="s">
        <v>354</v>
      </c>
      <c r="F1112" s="16" t="s">
        <v>355</v>
      </c>
    </row>
    <row r="1113" spans="2:6">
      <c r="C1113" s="217" t="s">
        <v>1384</v>
      </c>
      <c r="D1113" s="16"/>
      <c r="E1113" s="16"/>
      <c r="F1113" s="16"/>
    </row>
    <row r="1114" spans="2:6">
      <c r="C1114" s="217" t="s">
        <v>1385</v>
      </c>
      <c r="D1114" s="16"/>
      <c r="E1114" s="16"/>
      <c r="F1114" s="16"/>
    </row>
    <row r="1115" spans="2:6">
      <c r="C1115" s="217" t="s">
        <v>1386</v>
      </c>
      <c r="D1115" s="16"/>
      <c r="E1115" s="16"/>
      <c r="F1115" s="16"/>
    </row>
    <row r="1116" spans="2:6">
      <c r="C1116" s="187" t="s">
        <v>423</v>
      </c>
      <c r="D1116" s="16"/>
      <c r="E1116" s="16"/>
      <c r="F1116" s="16"/>
    </row>
    <row r="1117" spans="2:6">
      <c r="C1117" s="474"/>
      <c r="D1117" s="16"/>
      <c r="E1117" s="16"/>
      <c r="F1117" s="16"/>
    </row>
    <row r="1118" spans="2:6">
      <c r="C1118" s="474"/>
      <c r="D1118" s="16"/>
      <c r="E1118" s="16"/>
      <c r="F1118" s="16"/>
    </row>
    <row r="1119" spans="2:6">
      <c r="C1119" s="11"/>
      <c r="D1119" s="27" t="e">
        <f>SUM(#REF!)</f>
        <v>#REF!</v>
      </c>
      <c r="E1119" s="231" t="e">
        <f>SUM(#REF!)</f>
        <v>#REF!</v>
      </c>
      <c r="F1119" s="231" t="e">
        <f>SUM(#REF!)</f>
        <v>#REF!</v>
      </c>
    </row>
    <row r="1120" spans="2:6">
      <c r="C1120" s="11"/>
      <c r="D1120" s="58"/>
      <c r="E1120" s="231" t="e">
        <f>D1119-E1119</f>
        <v>#REF!</v>
      </c>
      <c r="F1120" s="231" t="e">
        <f>E1119-F1119</f>
        <v>#REF!</v>
      </c>
    </row>
    <row r="1121" spans="2:66">
      <c r="C1121" s="11" t="s">
        <v>424</v>
      </c>
      <c r="D1121" s="15">
        <v>45</v>
      </c>
      <c r="E1121" s="22"/>
      <c r="F1121" s="15"/>
    </row>
    <row r="1122" spans="2:66">
      <c r="C1122" s="11"/>
      <c r="D1122" s="15"/>
      <c r="E1122" s="22"/>
      <c r="F1122" s="15"/>
    </row>
    <row r="1123" spans="2:66">
      <c r="C1123" s="11"/>
      <c r="D1123" s="15"/>
      <c r="E1123" s="22"/>
      <c r="F1123" s="15"/>
    </row>
    <row r="1124" spans="2:66">
      <c r="C1124" s="11"/>
      <c r="D1124" s="15"/>
      <c r="E1124" s="22"/>
      <c r="F1124" s="15"/>
    </row>
    <row r="1125" spans="2:66">
      <c r="C1125" s="11"/>
      <c r="D1125" s="15"/>
      <c r="E1125" s="22"/>
      <c r="F1125" s="15"/>
    </row>
    <row r="1126" spans="2:66">
      <c r="B1126" s="519" t="s">
        <v>1079</v>
      </c>
      <c r="C1126" s="469" t="s">
        <v>1387</v>
      </c>
      <c r="D1126" s="16" t="s">
        <v>353</v>
      </c>
      <c r="E1126" s="16" t="s">
        <v>354</v>
      </c>
      <c r="F1126" s="16" t="s">
        <v>355</v>
      </c>
    </row>
    <row r="1127" spans="2:66">
      <c r="C1127" s="187" t="s">
        <v>425</v>
      </c>
      <c r="D1127" s="28">
        <v>0.05</v>
      </c>
      <c r="E1127" s="28">
        <v>0.05</v>
      </c>
      <c r="F1127" s="28">
        <v>0.05</v>
      </c>
      <c r="AZ1127" s="40">
        <f t="shared" ref="AZ1127:BA1129" si="174">E1127</f>
        <v>0.05</v>
      </c>
      <c r="BA1127" s="40">
        <f t="shared" si="174"/>
        <v>0.05</v>
      </c>
      <c r="BB1127" s="40"/>
      <c r="BL1127" s="40">
        <f>E1127</f>
        <v>0.05</v>
      </c>
      <c r="BM1127" s="40">
        <f>F1127</f>
        <v>0.05</v>
      </c>
      <c r="BN1127" s="40"/>
    </row>
    <row r="1128" spans="2:66">
      <c r="C1128" s="187" t="s">
        <v>426</v>
      </c>
      <c r="D1128" s="28">
        <v>0.15</v>
      </c>
      <c r="E1128" s="28">
        <v>0.15</v>
      </c>
      <c r="F1128" s="28">
        <v>0.15</v>
      </c>
      <c r="AZ1128" s="40">
        <f t="shared" si="174"/>
        <v>0.15</v>
      </c>
      <c r="BA1128" s="40">
        <f t="shared" si="174"/>
        <v>0.15</v>
      </c>
      <c r="BB1128" s="40"/>
      <c r="BL1128" s="40">
        <f>E1128</f>
        <v>0.15</v>
      </c>
      <c r="BM1128" s="40">
        <f>F1128</f>
        <v>0.15</v>
      </c>
      <c r="BN1128" s="40"/>
    </row>
    <row r="1129" spans="2:66">
      <c r="C1129" s="187" t="s">
        <v>427</v>
      </c>
      <c r="D1129" s="28">
        <v>0.25</v>
      </c>
      <c r="E1129" s="28">
        <v>0.25</v>
      </c>
      <c r="F1129" s="28">
        <v>0.25</v>
      </c>
      <c r="AZ1129" s="6">
        <f t="shared" si="174"/>
        <v>0.25</v>
      </c>
      <c r="BA1129" s="6">
        <f t="shared" si="174"/>
        <v>0.25</v>
      </c>
      <c r="BB1129" s="6"/>
    </row>
    <row r="1130" spans="2:66">
      <c r="C1130" s="187" t="s">
        <v>1388</v>
      </c>
      <c r="D1130" s="28">
        <v>0.05</v>
      </c>
      <c r="E1130" s="28">
        <v>0.05</v>
      </c>
      <c r="F1130" s="28">
        <v>0.05</v>
      </c>
      <c r="AZ1130" s="6"/>
      <c r="BA1130" s="6"/>
      <c r="BB1130" s="6"/>
      <c r="BL1130" s="6">
        <f>E1130</f>
        <v>0.05</v>
      </c>
      <c r="BM1130" s="6">
        <f>F1130</f>
        <v>0.05</v>
      </c>
      <c r="BN1130" s="6"/>
    </row>
    <row r="1131" spans="2:66">
      <c r="C1131" s="11"/>
      <c r="D1131" s="27">
        <f>SUM(D1127:D1130)</f>
        <v>0.5</v>
      </c>
      <c r="E1131" s="27">
        <f>SUM(E1127:E1130)</f>
        <v>0.5</v>
      </c>
      <c r="F1131" s="27">
        <f>SUM(F1127:F1130)</f>
        <v>0.5</v>
      </c>
    </row>
    <row r="1132" spans="2:66">
      <c r="C1132" s="11"/>
      <c r="D1132" s="28"/>
      <c r="E1132" s="27">
        <f>D1131-E1131</f>
        <v>0</v>
      </c>
      <c r="F1132" s="27">
        <f>E1131-F1131</f>
        <v>0</v>
      </c>
    </row>
    <row r="1133" spans="2:66">
      <c r="C1133" s="11" t="s">
        <v>424</v>
      </c>
      <c r="D1133" s="15" t="s">
        <v>428</v>
      </c>
      <c r="E1133" s="18"/>
      <c r="F1133" s="15"/>
    </row>
    <row r="1134" spans="2:66">
      <c r="C1134" s="11"/>
      <c r="D1134" s="15"/>
      <c r="E1134" s="18"/>
      <c r="F1134" s="15"/>
    </row>
    <row r="1135" spans="2:66">
      <c r="C1135" s="10"/>
      <c r="D1135" s="15"/>
      <c r="E1135" s="22"/>
      <c r="F1135" s="15"/>
    </row>
    <row r="1136" spans="2:66">
      <c r="B1136" s="578" t="s">
        <v>1202</v>
      </c>
      <c r="C1136" s="12" t="s">
        <v>80</v>
      </c>
      <c r="D1136" s="16" t="s">
        <v>353</v>
      </c>
      <c r="E1136" s="16" t="s">
        <v>354</v>
      </c>
      <c r="F1136" s="16" t="s">
        <v>355</v>
      </c>
    </row>
    <row r="1137" spans="2:66" ht="28.8">
      <c r="C1137" s="187" t="s">
        <v>1389</v>
      </c>
      <c r="D1137" s="28">
        <v>0.01</v>
      </c>
      <c r="E1137" s="28">
        <v>0.01</v>
      </c>
      <c r="F1137" s="28">
        <v>0.01</v>
      </c>
      <c r="AZ1137" s="40">
        <f t="shared" ref="AZ1137:BA1139" si="175">E1137</f>
        <v>0.01</v>
      </c>
      <c r="BA1137" s="40">
        <f t="shared" si="175"/>
        <v>0.01</v>
      </c>
      <c r="BB1137" s="40"/>
      <c r="BL1137" s="40">
        <f>E1137</f>
        <v>0.01</v>
      </c>
      <c r="BM1137" s="40">
        <f>F1137</f>
        <v>0.01</v>
      </c>
      <c r="BN1137" s="40"/>
    </row>
    <row r="1138" spans="2:66">
      <c r="C1138" s="187" t="s">
        <v>1390</v>
      </c>
      <c r="D1138" s="28">
        <v>0.48</v>
      </c>
      <c r="E1138" s="28">
        <v>0.48</v>
      </c>
      <c r="F1138" s="28">
        <v>0.48</v>
      </c>
      <c r="AZ1138" s="40">
        <f t="shared" si="175"/>
        <v>0.48</v>
      </c>
      <c r="BA1138" s="40">
        <f t="shared" si="175"/>
        <v>0.48</v>
      </c>
      <c r="BB1138" s="40"/>
      <c r="BL1138" s="40">
        <f>E1138</f>
        <v>0.48</v>
      </c>
      <c r="BM1138" s="40">
        <f>F1138</f>
        <v>0.48</v>
      </c>
      <c r="BN1138" s="40"/>
    </row>
    <row r="1139" spans="2:66">
      <c r="C1139" s="187" t="s">
        <v>1391</v>
      </c>
      <c r="D1139" s="28">
        <v>0.15</v>
      </c>
      <c r="E1139" s="28">
        <v>0.15</v>
      </c>
      <c r="F1139" s="28">
        <v>0.15</v>
      </c>
      <c r="AZ1139" s="6">
        <f t="shared" si="175"/>
        <v>0.15</v>
      </c>
      <c r="BA1139" s="6">
        <f t="shared" si="175"/>
        <v>0.15</v>
      </c>
      <c r="BB1139" s="6"/>
    </row>
    <row r="1140" spans="2:66">
      <c r="C1140" s="187" t="s">
        <v>1392</v>
      </c>
      <c r="D1140" s="28">
        <v>0.1</v>
      </c>
      <c r="E1140" s="28">
        <v>0.1</v>
      </c>
      <c r="F1140" s="28">
        <v>0.1</v>
      </c>
      <c r="BL1140" s="6">
        <f>E1140</f>
        <v>0.1</v>
      </c>
      <c r="BM1140" s="6">
        <f>F1140</f>
        <v>0.1</v>
      </c>
      <c r="BN1140" s="6"/>
    </row>
    <row r="1141" spans="2:66" ht="28.8">
      <c r="C1141" s="187" t="s">
        <v>429</v>
      </c>
      <c r="D1141" s="28">
        <v>0.15</v>
      </c>
      <c r="E1141" s="28">
        <v>0.15</v>
      </c>
      <c r="F1141" s="28">
        <v>0.15</v>
      </c>
      <c r="AZ1141" s="6">
        <f>E1141</f>
        <v>0.15</v>
      </c>
      <c r="BA1141" s="6">
        <f>F1141</f>
        <v>0.15</v>
      </c>
      <c r="BB1141" s="6"/>
    </row>
    <row r="1142" spans="2:66">
      <c r="C1142" s="187" t="s">
        <v>1392</v>
      </c>
      <c r="D1142" s="28">
        <v>0.1</v>
      </c>
      <c r="E1142" s="28">
        <v>0.1</v>
      </c>
      <c r="F1142" s="28">
        <v>0.1</v>
      </c>
      <c r="BL1142" s="6">
        <f>E1142</f>
        <v>0.1</v>
      </c>
      <c r="BM1142" s="6">
        <f>F1142</f>
        <v>0.1</v>
      </c>
      <c r="BN1142" s="6"/>
    </row>
    <row r="1143" spans="2:66">
      <c r="C1143" s="187" t="s">
        <v>1393</v>
      </c>
      <c r="D1143" s="28">
        <v>0.01</v>
      </c>
      <c r="E1143" s="28">
        <v>0.01</v>
      </c>
      <c r="F1143" s="28">
        <v>0.01</v>
      </c>
      <c r="AZ1143" s="40">
        <f>E1143</f>
        <v>0.01</v>
      </c>
      <c r="BA1143" s="40">
        <f>F1143</f>
        <v>0.01</v>
      </c>
      <c r="BB1143" s="40"/>
      <c r="BL1143" s="40">
        <f>AZ1143</f>
        <v>0.01</v>
      </c>
      <c r="BM1143" s="40">
        <f>BA1143</f>
        <v>0.01</v>
      </c>
      <c r="BN1143" s="40"/>
    </row>
    <row r="1144" spans="2:66">
      <c r="C1144" s="11"/>
      <c r="D1144" s="27">
        <f>SUM(D1137:D1143)</f>
        <v>1</v>
      </c>
      <c r="E1144" s="27">
        <f>SUM(E1137:E1143)</f>
        <v>1</v>
      </c>
      <c r="F1144" s="27">
        <f>SUM(F1137:F1143)</f>
        <v>1</v>
      </c>
    </row>
    <row r="1145" spans="2:66">
      <c r="C1145" s="11"/>
      <c r="D1145" s="16"/>
      <c r="E1145" s="22">
        <f>D1144-E1144</f>
        <v>0</v>
      </c>
      <c r="F1145" s="27">
        <f>E1144-F1144</f>
        <v>0</v>
      </c>
    </row>
    <row r="1146" spans="2:66">
      <c r="C1146" s="11" t="s">
        <v>430</v>
      </c>
      <c r="D1146" s="15">
        <v>30</v>
      </c>
      <c r="E1146" s="18"/>
      <c r="F1146" s="15"/>
    </row>
    <row r="1147" spans="2:66">
      <c r="C1147" s="11"/>
      <c r="D1147" s="15"/>
      <c r="E1147" s="18"/>
      <c r="F1147" s="15"/>
    </row>
    <row r="1148" spans="2:66">
      <c r="C1148" s="11"/>
      <c r="D1148" s="15"/>
      <c r="E1148" s="18"/>
      <c r="F1148" s="15"/>
    </row>
    <row r="1149" spans="2:66">
      <c r="C1149" s="10"/>
      <c r="D1149" s="15"/>
      <c r="E1149" s="22"/>
      <c r="F1149" s="15"/>
    </row>
    <row r="1150" spans="2:66">
      <c r="B1150" s="519" t="s">
        <v>1079</v>
      </c>
      <c r="C1150" s="12" t="s">
        <v>1394</v>
      </c>
      <c r="D1150" s="16" t="s">
        <v>353</v>
      </c>
      <c r="E1150" s="16" t="s">
        <v>354</v>
      </c>
      <c r="F1150" s="16" t="s">
        <v>355</v>
      </c>
    </row>
    <row r="1151" spans="2:66">
      <c r="C1151" s="11" t="s">
        <v>1395</v>
      </c>
      <c r="D1151" s="58">
        <v>0.05</v>
      </c>
      <c r="E1151" s="58">
        <v>2.5000000000000001E-2</v>
      </c>
      <c r="F1151" s="58">
        <v>0</v>
      </c>
      <c r="AZ1151" s="40">
        <f t="shared" ref="AZ1151:BA1155" si="176">E1151</f>
        <v>2.5000000000000001E-2</v>
      </c>
      <c r="BA1151" s="40">
        <f t="shared" si="176"/>
        <v>0</v>
      </c>
      <c r="BB1151" s="40"/>
      <c r="BL1151" s="40">
        <f>E1151</f>
        <v>2.5000000000000001E-2</v>
      </c>
      <c r="BM1151" s="40">
        <f>F1151</f>
        <v>0</v>
      </c>
      <c r="BN1151" s="40"/>
    </row>
    <row r="1152" spans="2:66">
      <c r="C1152" s="11" t="s">
        <v>431</v>
      </c>
      <c r="D1152" s="58">
        <v>0.05</v>
      </c>
      <c r="E1152" s="58">
        <v>2.5000000000000001E-2</v>
      </c>
      <c r="F1152" s="58">
        <v>0</v>
      </c>
      <c r="AZ1152" s="6">
        <f t="shared" si="176"/>
        <v>2.5000000000000001E-2</v>
      </c>
      <c r="BA1152" s="6">
        <f t="shared" si="176"/>
        <v>0</v>
      </c>
      <c r="BB1152" s="6"/>
    </row>
    <row r="1153" spans="2:66">
      <c r="C1153" s="11" t="s">
        <v>432</v>
      </c>
      <c r="D1153" s="58">
        <v>0.1</v>
      </c>
      <c r="E1153" s="58">
        <v>0.05</v>
      </c>
      <c r="F1153" s="58">
        <v>0</v>
      </c>
      <c r="AZ1153" s="6">
        <f t="shared" si="176"/>
        <v>0.05</v>
      </c>
      <c r="BA1153" s="6">
        <f t="shared" si="176"/>
        <v>0</v>
      </c>
      <c r="BB1153" s="6"/>
    </row>
    <row r="1154" spans="2:66">
      <c r="C1154" s="11" t="s">
        <v>433</v>
      </c>
      <c r="D1154" s="58">
        <v>0.4</v>
      </c>
      <c r="E1154" s="58">
        <v>0.2</v>
      </c>
      <c r="F1154" s="58">
        <v>0</v>
      </c>
      <c r="AZ1154" s="6">
        <f t="shared" si="176"/>
        <v>0.2</v>
      </c>
      <c r="BA1154" s="6">
        <f t="shared" si="176"/>
        <v>0</v>
      </c>
      <c r="BB1154" s="6"/>
    </row>
    <row r="1155" spans="2:66">
      <c r="C1155" s="11" t="s">
        <v>434</v>
      </c>
      <c r="D1155" s="58">
        <v>0.2</v>
      </c>
      <c r="E1155" s="58">
        <v>0.1</v>
      </c>
      <c r="F1155" s="58">
        <v>0</v>
      </c>
      <c r="AZ1155" s="6">
        <f t="shared" si="176"/>
        <v>0.1</v>
      </c>
      <c r="BA1155" s="6">
        <f t="shared" si="176"/>
        <v>0</v>
      </c>
      <c r="BB1155" s="6"/>
    </row>
    <row r="1156" spans="2:66">
      <c r="C1156" s="11" t="s">
        <v>435</v>
      </c>
      <c r="D1156" s="58">
        <v>0.1</v>
      </c>
      <c r="E1156" s="58">
        <v>0.05</v>
      </c>
      <c r="F1156" s="58">
        <v>0</v>
      </c>
      <c r="BL1156" s="6">
        <f>E1156</f>
        <v>0.05</v>
      </c>
      <c r="BM1156" s="6">
        <f>F1156</f>
        <v>0</v>
      </c>
      <c r="BN1156" s="6"/>
    </row>
    <row r="1157" spans="2:66">
      <c r="C1157" s="11" t="s">
        <v>436</v>
      </c>
      <c r="D1157" s="58">
        <v>0.1</v>
      </c>
      <c r="E1157" s="58">
        <v>0.05</v>
      </c>
      <c r="F1157" s="58">
        <v>0</v>
      </c>
    </row>
    <row r="1158" spans="2:66">
      <c r="C1158" s="11"/>
      <c r="D1158" s="27">
        <f>SUM(D1151:D1157)</f>
        <v>1</v>
      </c>
      <c r="E1158" s="27">
        <f>SUM(E1151:E1157)</f>
        <v>0.5</v>
      </c>
      <c r="F1158" s="27">
        <f>SUM(F1151:F1157)</f>
        <v>0</v>
      </c>
    </row>
    <row r="1159" spans="2:66">
      <c r="C1159" s="11"/>
      <c r="D1159" s="27"/>
      <c r="E1159" s="27">
        <f>D1158-E1158</f>
        <v>0.5</v>
      </c>
      <c r="F1159" s="27">
        <f>E1158-F1158</f>
        <v>0.5</v>
      </c>
    </row>
    <row r="1160" spans="2:66">
      <c r="C1160" s="11" t="s">
        <v>437</v>
      </c>
      <c r="D1160" s="58"/>
      <c r="E1160" s="27"/>
      <c r="F1160" s="58"/>
    </row>
    <row r="1161" spans="2:66">
      <c r="C1161" s="11" t="s">
        <v>424</v>
      </c>
      <c r="D1161" s="15" t="s">
        <v>428</v>
      </c>
      <c r="E1161" s="22"/>
      <c r="F1161" s="15"/>
    </row>
    <row r="1162" spans="2:66">
      <c r="C1162" s="11"/>
      <c r="D1162" s="15"/>
      <c r="E1162" s="22"/>
      <c r="F1162" s="15"/>
    </row>
    <row r="1163" spans="2:66">
      <c r="C1163" s="11"/>
      <c r="D1163" s="15"/>
      <c r="E1163" s="22"/>
      <c r="F1163" s="15"/>
    </row>
    <row r="1164" spans="2:66">
      <c r="C1164" s="11"/>
      <c r="D1164" s="15"/>
      <c r="E1164" s="22"/>
      <c r="F1164" s="15"/>
    </row>
    <row r="1165" spans="2:66">
      <c r="C1165" s="11"/>
      <c r="D1165" s="15"/>
      <c r="E1165" s="22"/>
      <c r="F1165" s="15"/>
    </row>
    <row r="1166" spans="2:66">
      <c r="C1166" s="11"/>
      <c r="D1166" s="15"/>
      <c r="E1166" s="22"/>
      <c r="F1166" s="15"/>
    </row>
    <row r="1167" spans="2:66">
      <c r="B1167" s="519" t="s">
        <v>1079</v>
      </c>
      <c r="C1167" s="12" t="s">
        <v>1396</v>
      </c>
      <c r="D1167" s="16" t="s">
        <v>353</v>
      </c>
      <c r="E1167" s="16" t="s">
        <v>354</v>
      </c>
      <c r="F1167" s="16" t="s">
        <v>355</v>
      </c>
    </row>
    <row r="1168" spans="2:66" ht="28.8">
      <c r="C1168" s="187" t="s">
        <v>1367</v>
      </c>
      <c r="D1168" s="16"/>
      <c r="E1168" s="16"/>
      <c r="F1168" s="16"/>
    </row>
    <row r="1169" spans="2:6">
      <c r="C1169" s="187" t="s">
        <v>1368</v>
      </c>
      <c r="D1169" s="16"/>
      <c r="E1169" s="16"/>
      <c r="F1169" s="16"/>
    </row>
    <row r="1170" spans="2:6" ht="28.8">
      <c r="C1170" s="187" t="s">
        <v>1369</v>
      </c>
      <c r="D1170" s="16"/>
      <c r="E1170" s="16"/>
      <c r="F1170" s="16"/>
    </row>
    <row r="1171" spans="2:6">
      <c r="C1171" s="10"/>
      <c r="D1171" s="16"/>
      <c r="E1171" s="16"/>
      <c r="F1171" s="16"/>
    </row>
    <row r="1172" spans="2:6">
      <c r="C1172" s="11"/>
      <c r="D1172" s="58" t="e">
        <f>SUM(#REF!)</f>
        <v>#REF!</v>
      </c>
      <c r="E1172" s="58" t="e">
        <f>SUM(#REF!)</f>
        <v>#REF!</v>
      </c>
      <c r="F1172" s="58" t="e">
        <f>SUM(#REF!)</f>
        <v>#REF!</v>
      </c>
    </row>
    <row r="1173" spans="2:6">
      <c r="C1173" s="11"/>
      <c r="D1173" s="58"/>
      <c r="E1173" s="27" t="e">
        <f>D1172-E1172</f>
        <v>#REF!</v>
      </c>
      <c r="F1173" s="58" t="e">
        <f>E1172-F1172</f>
        <v>#REF!</v>
      </c>
    </row>
    <row r="1174" spans="2:6">
      <c r="C1174" s="11" t="s">
        <v>424</v>
      </c>
      <c r="D1174" s="15">
        <v>3</v>
      </c>
      <c r="E1174" s="22"/>
      <c r="F1174" s="15"/>
    </row>
    <row r="1175" spans="2:6">
      <c r="C1175" s="11"/>
      <c r="D1175" s="15"/>
      <c r="E1175" s="22"/>
      <c r="F1175" s="15"/>
    </row>
    <row r="1176" spans="2:6">
      <c r="C1176" s="11"/>
      <c r="D1176" s="15"/>
      <c r="E1176" s="22"/>
      <c r="F1176" s="15"/>
    </row>
    <row r="1177" spans="2:6">
      <c r="C1177" s="11"/>
      <c r="D1177" s="15"/>
      <c r="E1177" s="22"/>
      <c r="F1177" s="15"/>
    </row>
    <row r="1178" spans="2:6">
      <c r="B1178" s="519" t="s">
        <v>1079</v>
      </c>
      <c r="C1178" s="12" t="s">
        <v>1397</v>
      </c>
      <c r="D1178" s="16" t="s">
        <v>353</v>
      </c>
      <c r="E1178" s="16" t="s">
        <v>354</v>
      </c>
      <c r="F1178" s="16" t="s">
        <v>355</v>
      </c>
    </row>
    <row r="1179" spans="2:6" ht="28.8">
      <c r="C1179" s="187" t="s">
        <v>1371</v>
      </c>
      <c r="D1179" s="16"/>
      <c r="E1179" s="16"/>
      <c r="F1179" s="16"/>
    </row>
    <row r="1180" spans="2:6" ht="28.8">
      <c r="C1180" s="187" t="s">
        <v>1372</v>
      </c>
      <c r="D1180" s="16"/>
      <c r="E1180" s="16"/>
      <c r="F1180" s="16"/>
    </row>
    <row r="1181" spans="2:6">
      <c r="C1181" s="11" t="s">
        <v>1373</v>
      </c>
      <c r="D1181" s="16"/>
      <c r="E1181" s="16"/>
      <c r="F1181" s="16"/>
    </row>
    <row r="1182" spans="2:6">
      <c r="C1182" s="10"/>
      <c r="D1182" s="16"/>
      <c r="E1182" s="16"/>
      <c r="F1182" s="16"/>
    </row>
    <row r="1183" spans="2:6">
      <c r="C1183" s="10"/>
      <c r="D1183" s="16"/>
      <c r="E1183" s="16"/>
      <c r="F1183" s="16"/>
    </row>
    <row r="1184" spans="2:6">
      <c r="C1184" s="11"/>
      <c r="D1184" s="58" t="e">
        <f>SUM(#REF!)</f>
        <v>#REF!</v>
      </c>
      <c r="E1184" s="58" t="e">
        <f>SUM(#REF!)</f>
        <v>#REF!</v>
      </c>
      <c r="F1184" s="58" t="e">
        <f>SUM(#REF!)</f>
        <v>#REF!</v>
      </c>
    </row>
    <row r="1185" spans="2:6">
      <c r="C1185" s="11"/>
      <c r="D1185" s="58"/>
      <c r="E1185" s="27" t="e">
        <f>D1184-E1184</f>
        <v>#REF!</v>
      </c>
      <c r="F1185" s="58" t="e">
        <f>E1184-F1184</f>
        <v>#REF!</v>
      </c>
    </row>
    <row r="1186" spans="2:6">
      <c r="C1186" s="11" t="s">
        <v>424</v>
      </c>
      <c r="D1186" s="15">
        <v>3</v>
      </c>
      <c r="E1186" s="22"/>
      <c r="F1186" s="15"/>
    </row>
    <row r="1187" spans="2:6">
      <c r="C1187" s="11"/>
      <c r="D1187" s="15"/>
      <c r="E1187" s="22"/>
      <c r="F1187" s="15"/>
    </row>
    <row r="1188" spans="2:6">
      <c r="C1188" s="11"/>
      <c r="D1188" s="15"/>
      <c r="E1188" s="22"/>
      <c r="F1188" s="15"/>
    </row>
    <row r="1189" spans="2:6">
      <c r="C1189" s="11"/>
      <c r="D1189" s="15"/>
      <c r="E1189" s="22"/>
      <c r="F1189" s="15"/>
    </row>
    <row r="1190" spans="2:6">
      <c r="B1190" s="519" t="s">
        <v>1079</v>
      </c>
      <c r="C1190" s="12" t="s">
        <v>1398</v>
      </c>
      <c r="D1190" s="16" t="s">
        <v>353</v>
      </c>
      <c r="E1190" s="16" t="s">
        <v>354</v>
      </c>
      <c r="F1190" s="16" t="s">
        <v>355</v>
      </c>
    </row>
    <row r="1191" spans="2:6" ht="28.8">
      <c r="C1191" s="187" t="s">
        <v>1399</v>
      </c>
      <c r="D1191" s="18">
        <v>0.02</v>
      </c>
      <c r="E1191" s="18">
        <v>0</v>
      </c>
      <c r="F1191" s="18">
        <v>0</v>
      </c>
    </row>
    <row r="1192" spans="2:6" ht="28.8">
      <c r="C1192" s="187" t="s">
        <v>1400</v>
      </c>
      <c r="D1192" s="18"/>
      <c r="E1192" s="18"/>
      <c r="F1192" s="18"/>
    </row>
    <row r="1193" spans="2:6" ht="28.8">
      <c r="C1193" s="187" t="s">
        <v>1401</v>
      </c>
      <c r="D1193" s="18">
        <v>0.05</v>
      </c>
      <c r="E1193" s="18">
        <v>0</v>
      </c>
      <c r="F1193" s="18">
        <v>0</v>
      </c>
    </row>
    <row r="1194" spans="2:6" ht="28.8">
      <c r="C1194" s="187" t="s">
        <v>1402</v>
      </c>
      <c r="D1194" s="18">
        <v>0.02</v>
      </c>
      <c r="E1194" s="18">
        <v>0</v>
      </c>
      <c r="F1194" s="18">
        <v>0</v>
      </c>
    </row>
    <row r="1195" spans="2:6">
      <c r="C1195" s="698" t="s">
        <v>1403</v>
      </c>
      <c r="D1195" s="18">
        <v>7.0000000000000007E-2</v>
      </c>
      <c r="E1195" s="18">
        <v>7.0000000000000007E-2</v>
      </c>
      <c r="F1195" s="18">
        <v>3.5000000000000003E-2</v>
      </c>
    </row>
    <row r="1196" spans="2:6">
      <c r="C1196" s="187" t="s">
        <v>1404</v>
      </c>
      <c r="D1196" s="18">
        <v>0.1</v>
      </c>
      <c r="E1196" s="18">
        <v>0.1</v>
      </c>
      <c r="F1196" s="18">
        <v>0.05</v>
      </c>
    </row>
    <row r="1197" spans="2:6" ht="28.8">
      <c r="C1197" s="187" t="s">
        <v>1405</v>
      </c>
      <c r="D1197" s="18"/>
      <c r="E1197" s="18"/>
      <c r="F1197" s="18"/>
    </row>
    <row r="1198" spans="2:6">
      <c r="C1198" s="187" t="s">
        <v>1406</v>
      </c>
      <c r="D1198" s="18"/>
      <c r="E1198" s="18"/>
      <c r="F1198" s="18"/>
    </row>
    <row r="1199" spans="2:6">
      <c r="C1199" s="740" t="s">
        <v>1407</v>
      </c>
      <c r="D1199" s="18">
        <v>0.01</v>
      </c>
      <c r="E1199" s="18">
        <v>0.01</v>
      </c>
      <c r="F1199" s="18">
        <v>0</v>
      </c>
    </row>
    <row r="1200" spans="2:6">
      <c r="C1200" s="187" t="s">
        <v>1408</v>
      </c>
      <c r="D1200" s="18">
        <v>0.08</v>
      </c>
      <c r="E1200" s="18">
        <v>0.08</v>
      </c>
      <c r="F1200" s="18">
        <v>0.08</v>
      </c>
    </row>
    <row r="1201" spans="2:6">
      <c r="C1201" s="187" t="s">
        <v>1409</v>
      </c>
      <c r="D1201" s="18">
        <v>0.08</v>
      </c>
      <c r="E1201" s="18">
        <v>0.08</v>
      </c>
      <c r="F1201" s="18">
        <v>0.08</v>
      </c>
    </row>
    <row r="1202" spans="2:6">
      <c r="C1202" s="187" t="s">
        <v>438</v>
      </c>
      <c r="D1202" s="18">
        <v>0</v>
      </c>
      <c r="E1202" s="18">
        <v>0</v>
      </c>
      <c r="F1202" s="18">
        <v>0</v>
      </c>
    </row>
    <row r="1203" spans="2:6">
      <c r="C1203" s="187" t="s">
        <v>1410</v>
      </c>
      <c r="D1203" s="18">
        <v>0.05</v>
      </c>
      <c r="E1203" s="18">
        <v>0.05</v>
      </c>
      <c r="F1203" s="18">
        <v>0.05</v>
      </c>
    </row>
    <row r="1204" spans="2:6">
      <c r="C1204" s="187" t="s">
        <v>1411</v>
      </c>
      <c r="D1204" s="18">
        <v>0.1</v>
      </c>
      <c r="E1204" s="18">
        <v>0.1</v>
      </c>
      <c r="F1204" s="18">
        <v>0.1</v>
      </c>
    </row>
    <row r="1205" spans="2:6">
      <c r="C1205" s="187" t="s">
        <v>439</v>
      </c>
      <c r="D1205" s="18">
        <v>0.1</v>
      </c>
      <c r="E1205" s="18">
        <v>0.1</v>
      </c>
      <c r="F1205" s="18">
        <v>0.1</v>
      </c>
    </row>
    <row r="1206" spans="2:6">
      <c r="C1206" s="187" t="s">
        <v>440</v>
      </c>
      <c r="D1206" s="18">
        <v>0</v>
      </c>
      <c r="E1206" s="18">
        <v>0</v>
      </c>
      <c r="F1206" s="18">
        <v>0</v>
      </c>
    </row>
    <row r="1207" spans="2:6">
      <c r="C1207" s="187" t="s">
        <v>441</v>
      </c>
      <c r="D1207" s="18">
        <v>0.1</v>
      </c>
      <c r="E1207" s="18">
        <v>0.1</v>
      </c>
      <c r="F1207" s="18">
        <v>0.1</v>
      </c>
    </row>
    <row r="1208" spans="2:6">
      <c r="C1208" s="187" t="s">
        <v>442</v>
      </c>
      <c r="D1208" s="18">
        <v>0</v>
      </c>
      <c r="E1208" s="18">
        <v>0</v>
      </c>
      <c r="F1208" s="18">
        <v>0</v>
      </c>
    </row>
    <row r="1209" spans="2:6">
      <c r="C1209" s="187" t="s">
        <v>1412</v>
      </c>
      <c r="D1209" s="18"/>
      <c r="E1209" s="18"/>
      <c r="F1209" s="18"/>
    </row>
    <row r="1210" spans="2:6">
      <c r="C1210" s="187" t="s">
        <v>1413</v>
      </c>
      <c r="D1210" s="18"/>
      <c r="E1210" s="18"/>
      <c r="F1210" s="18"/>
    </row>
    <row r="1211" spans="2:6">
      <c r="C1211" s="187" t="s">
        <v>1414</v>
      </c>
      <c r="D1211" s="18"/>
      <c r="E1211" s="18"/>
      <c r="F1211" s="18"/>
    </row>
    <row r="1212" spans="2:6">
      <c r="C1212" s="11"/>
      <c r="D1212" s="22">
        <f>SUM(D1191:D1208)</f>
        <v>0.78</v>
      </c>
      <c r="E1212" s="22">
        <f>SUM(E1191:E1208)</f>
        <v>0.69</v>
      </c>
      <c r="F1212" s="22">
        <f>SUM(F1191:F1208)</f>
        <v>0.59499999999999997</v>
      </c>
    </row>
    <row r="1213" spans="2:6">
      <c r="C1213" s="11"/>
      <c r="D1213" s="15"/>
      <c r="E1213" s="22">
        <f>D1212-E1212</f>
        <v>9.000000000000008E-2</v>
      </c>
      <c r="F1213" s="22">
        <f>E1212-F1212</f>
        <v>9.4999999999999973E-2</v>
      </c>
    </row>
    <row r="1214" spans="2:6">
      <c r="C1214" s="10" t="s">
        <v>412</v>
      </c>
      <c r="D1214" s="16" t="s">
        <v>443</v>
      </c>
      <c r="E1214" s="22"/>
      <c r="F1214" s="22"/>
    </row>
    <row r="1215" spans="2:6">
      <c r="C1215" s="11"/>
      <c r="D1215" s="15"/>
      <c r="E1215" s="22"/>
      <c r="F1215" s="22"/>
    </row>
    <row r="1216" spans="2:6">
      <c r="B1216" s="519" t="s">
        <v>1079</v>
      </c>
      <c r="C1216" s="12" t="s">
        <v>1415</v>
      </c>
      <c r="D1216" s="16" t="s">
        <v>353</v>
      </c>
      <c r="E1216" s="16" t="s">
        <v>354</v>
      </c>
      <c r="F1216" s="16" t="s">
        <v>355</v>
      </c>
    </row>
    <row r="1217" spans="3:6">
      <c r="C1217" s="187" t="s">
        <v>1416</v>
      </c>
      <c r="D1217" s="18">
        <v>0.15</v>
      </c>
      <c r="E1217" s="18">
        <v>0.15</v>
      </c>
      <c r="F1217" s="18">
        <v>0.08</v>
      </c>
    </row>
    <row r="1218" spans="3:6">
      <c r="C1218" s="187" t="s">
        <v>1417</v>
      </c>
      <c r="D1218" s="18"/>
      <c r="E1218" s="18"/>
      <c r="F1218" s="18"/>
    </row>
    <row r="1219" spans="3:6">
      <c r="C1219" s="187" t="s">
        <v>1418</v>
      </c>
      <c r="D1219" s="18">
        <v>0.12</v>
      </c>
      <c r="E1219" s="18">
        <v>0.12</v>
      </c>
      <c r="F1219" s="18">
        <v>0.12</v>
      </c>
    </row>
    <row r="1220" spans="3:6">
      <c r="C1220" s="187" t="s">
        <v>444</v>
      </c>
      <c r="D1220" s="18">
        <v>0.05</v>
      </c>
      <c r="E1220" s="18">
        <v>0.05</v>
      </c>
      <c r="F1220" s="18">
        <v>0.05</v>
      </c>
    </row>
    <row r="1221" spans="3:6">
      <c r="C1221" s="187" t="s">
        <v>445</v>
      </c>
      <c r="D1221" s="18">
        <v>0.12</v>
      </c>
      <c r="E1221" s="18">
        <v>0.12</v>
      </c>
      <c r="F1221" s="18">
        <v>0.12</v>
      </c>
    </row>
    <row r="1222" spans="3:6">
      <c r="C1222" s="187" t="s">
        <v>446</v>
      </c>
      <c r="D1222" s="18">
        <v>0.05</v>
      </c>
      <c r="E1222" s="18">
        <v>0.05</v>
      </c>
      <c r="F1222" s="18">
        <v>0.05</v>
      </c>
    </row>
    <row r="1223" spans="3:6">
      <c r="C1223" s="187" t="s">
        <v>1419</v>
      </c>
      <c r="D1223" s="18">
        <v>0.1</v>
      </c>
      <c r="E1223" s="18">
        <v>0.1</v>
      </c>
      <c r="F1223" s="18">
        <v>0.1</v>
      </c>
    </row>
    <row r="1224" spans="3:6">
      <c r="C1224" s="187" t="s">
        <v>447</v>
      </c>
      <c r="D1224" s="18">
        <v>0.1</v>
      </c>
      <c r="E1224" s="18">
        <v>0.1</v>
      </c>
      <c r="F1224" s="18">
        <v>0.1</v>
      </c>
    </row>
    <row r="1225" spans="3:6">
      <c r="C1225" s="187" t="s">
        <v>448</v>
      </c>
      <c r="D1225" s="18">
        <v>0.05</v>
      </c>
      <c r="E1225" s="18">
        <v>0.05</v>
      </c>
      <c r="F1225" s="18">
        <v>0.05</v>
      </c>
    </row>
    <row r="1226" spans="3:6">
      <c r="C1226" s="187" t="s">
        <v>1412</v>
      </c>
      <c r="D1226" s="18"/>
      <c r="E1226" s="18"/>
      <c r="F1226" s="18"/>
    </row>
    <row r="1227" spans="3:6">
      <c r="C1227" s="187" t="s">
        <v>1413</v>
      </c>
      <c r="D1227" s="18"/>
      <c r="E1227" s="18"/>
      <c r="F1227" s="18"/>
    </row>
    <row r="1228" spans="3:6">
      <c r="C1228" s="187" t="s">
        <v>1414</v>
      </c>
      <c r="D1228" s="18"/>
      <c r="E1228" s="18"/>
      <c r="F1228" s="18"/>
    </row>
    <row r="1229" spans="3:6">
      <c r="C1229" s="11"/>
      <c r="D1229" s="22">
        <f>SUM(D1217:D1225)</f>
        <v>0.74</v>
      </c>
      <c r="E1229" s="22">
        <f>SUM(E1217:E1225)</f>
        <v>0.74</v>
      </c>
      <c r="F1229" s="22">
        <f>SUM(F1217:F1225)</f>
        <v>0.67</v>
      </c>
    </row>
    <row r="1230" spans="3:6">
      <c r="C1230" s="11"/>
      <c r="D1230" s="15"/>
      <c r="E1230" s="22">
        <f>D1229-E1229</f>
        <v>0</v>
      </c>
      <c r="F1230" s="22">
        <f>E1229-F1229</f>
        <v>6.9999999999999951E-2</v>
      </c>
    </row>
    <row r="1231" spans="3:6">
      <c r="C1231" s="11" t="s">
        <v>412</v>
      </c>
      <c r="D1231" s="15" t="s">
        <v>137</v>
      </c>
      <c r="E1231" s="22"/>
      <c r="F1231" s="15"/>
    </row>
    <row r="1232" spans="3:6">
      <c r="C1232" s="11"/>
      <c r="D1232" s="15"/>
      <c r="E1232" s="22"/>
      <c r="F1232" s="15"/>
    </row>
    <row r="1233" spans="2:6">
      <c r="C1233" s="11"/>
      <c r="D1233" s="15"/>
      <c r="E1233" s="22"/>
      <c r="F1233" s="15"/>
    </row>
    <row r="1234" spans="2:6">
      <c r="C1234" s="11"/>
      <c r="D1234" s="15"/>
      <c r="E1234" s="22"/>
      <c r="F1234" s="15"/>
    </row>
    <row r="1235" spans="2:6">
      <c r="B1235" s="519" t="s">
        <v>1079</v>
      </c>
      <c r="C1235" s="12" t="s">
        <v>1420</v>
      </c>
      <c r="D1235" s="16" t="s">
        <v>353</v>
      </c>
      <c r="E1235" s="16" t="s">
        <v>354</v>
      </c>
      <c r="F1235" s="16" t="s">
        <v>355</v>
      </c>
    </row>
    <row r="1236" spans="2:6" ht="28.8">
      <c r="C1236" s="187" t="s">
        <v>1421</v>
      </c>
      <c r="D1236" s="60">
        <v>0.02</v>
      </c>
      <c r="E1236" s="60">
        <v>0.02</v>
      </c>
      <c r="F1236" s="60">
        <v>0</v>
      </c>
    </row>
    <row r="1237" spans="2:6">
      <c r="C1237" s="187" t="s">
        <v>1422</v>
      </c>
      <c r="D1237" s="60"/>
      <c r="E1237" s="60"/>
      <c r="F1237" s="60"/>
    </row>
    <row r="1238" spans="2:6">
      <c r="C1238" s="187" t="s">
        <v>1423</v>
      </c>
      <c r="D1238" s="60"/>
      <c r="E1238" s="60"/>
      <c r="F1238" s="60"/>
    </row>
    <row r="1239" spans="2:6">
      <c r="C1239" s="10"/>
      <c r="D1239" s="22">
        <f>SUM(D1236:D1238)</f>
        <v>0.02</v>
      </c>
      <c r="E1239" s="22">
        <f>SUM(E1236:E1238)</f>
        <v>0.02</v>
      </c>
      <c r="F1239" s="22">
        <f>SUM(F1236:F1238)</f>
        <v>0</v>
      </c>
    </row>
    <row r="1240" spans="2:6">
      <c r="D1240" s="1"/>
      <c r="E1240" s="22">
        <f>D1239-E1239</f>
        <v>0</v>
      </c>
      <c r="F1240" s="22">
        <f>E1239-F1239</f>
        <v>0.02</v>
      </c>
    </row>
    <row r="1241" spans="2:6">
      <c r="C1241" s="10" t="s">
        <v>412</v>
      </c>
      <c r="D1241" s="15">
        <v>10</v>
      </c>
      <c r="E1241" s="22"/>
      <c r="F1241" s="15"/>
    </row>
    <row r="1242" spans="2:6">
      <c r="C1242" s="10"/>
      <c r="D1242" s="15"/>
      <c r="E1242" s="22"/>
      <c r="F1242" s="15"/>
    </row>
    <row r="1243" spans="2:6">
      <c r="B1243" s="519" t="s">
        <v>1079</v>
      </c>
      <c r="C1243" s="12" t="s">
        <v>1424</v>
      </c>
      <c r="D1243" s="16" t="s">
        <v>353</v>
      </c>
      <c r="E1243" s="16" t="s">
        <v>354</v>
      </c>
      <c r="F1243" s="16" t="s">
        <v>355</v>
      </c>
    </row>
    <row r="1244" spans="2:6">
      <c r="C1244" s="187" t="s">
        <v>1425</v>
      </c>
      <c r="D1244" s="60">
        <v>0.02</v>
      </c>
      <c r="E1244" s="60">
        <v>0.02</v>
      </c>
      <c r="F1244" s="60">
        <v>0.02</v>
      </c>
    </row>
    <row r="1245" spans="2:6">
      <c r="C1245" s="187" t="s">
        <v>1426</v>
      </c>
      <c r="D1245" s="18">
        <v>0.35</v>
      </c>
      <c r="E1245" s="18">
        <v>0.35</v>
      </c>
      <c r="F1245" s="18">
        <v>0.35</v>
      </c>
    </row>
    <row r="1246" spans="2:6" ht="28.8">
      <c r="C1246" s="187" t="s">
        <v>1427</v>
      </c>
      <c r="D1246" s="18">
        <v>0.33</v>
      </c>
      <c r="E1246" s="18">
        <v>0.33</v>
      </c>
      <c r="F1246" s="18">
        <v>0.33</v>
      </c>
    </row>
    <row r="1247" spans="2:6" ht="28.8">
      <c r="C1247" s="187" t="s">
        <v>1428</v>
      </c>
      <c r="D1247" s="18">
        <v>0.3</v>
      </c>
      <c r="E1247" s="18">
        <v>0.3</v>
      </c>
      <c r="F1247" s="18">
        <v>0.3</v>
      </c>
    </row>
    <row r="1248" spans="2:6">
      <c r="C1248" s="11"/>
      <c r="D1248" s="18">
        <f>SUM(D1244:D1247)</f>
        <v>1</v>
      </c>
      <c r="E1248" s="18">
        <f>SUM(E1244:E1247)</f>
        <v>1</v>
      </c>
      <c r="F1248" s="18">
        <f>SUM(F1244:F1247)</f>
        <v>1</v>
      </c>
    </row>
    <row r="1249" spans="2:6">
      <c r="C1249" s="11"/>
      <c r="D1249" s="18"/>
      <c r="E1249" s="18">
        <f>D1248-E1248</f>
        <v>0</v>
      </c>
      <c r="F1249" s="18">
        <f>E1248-F1248</f>
        <v>0</v>
      </c>
    </row>
    <row r="1250" spans="2:6">
      <c r="C1250" s="10" t="s">
        <v>412</v>
      </c>
      <c r="D1250" s="15">
        <v>10</v>
      </c>
      <c r="E1250" s="22"/>
      <c r="F1250" s="15"/>
    </row>
    <row r="1251" spans="2:6">
      <c r="C1251" s="10"/>
      <c r="D1251" s="15"/>
      <c r="E1251" s="22"/>
      <c r="F1251" s="15"/>
    </row>
    <row r="1252" spans="2:6">
      <c r="B1252" s="519" t="s">
        <v>1079</v>
      </c>
      <c r="C1252" s="12" t="s">
        <v>21</v>
      </c>
      <c r="D1252" s="16" t="s">
        <v>353</v>
      </c>
      <c r="E1252" s="16" t="s">
        <v>354</v>
      </c>
      <c r="F1252" s="16" t="s">
        <v>355</v>
      </c>
    </row>
    <row r="1253" spans="2:6">
      <c r="C1253" s="11" t="s">
        <v>1429</v>
      </c>
      <c r="D1253" s="18">
        <v>0.02</v>
      </c>
      <c r="E1253" s="18">
        <v>0.02</v>
      </c>
      <c r="F1253" s="18">
        <v>0</v>
      </c>
    </row>
    <row r="1254" spans="2:6">
      <c r="C1254" s="11" t="s">
        <v>1430</v>
      </c>
      <c r="D1254" s="18">
        <v>0.1</v>
      </c>
      <c r="E1254" s="18">
        <v>0.1</v>
      </c>
      <c r="F1254" s="18">
        <v>0</v>
      </c>
    </row>
    <row r="1255" spans="2:6">
      <c r="C1255" s="11" t="s">
        <v>1431</v>
      </c>
      <c r="D1255" s="18">
        <v>0.2</v>
      </c>
      <c r="E1255" s="18">
        <v>0.2</v>
      </c>
      <c r="F1255" s="18">
        <v>0</v>
      </c>
    </row>
    <row r="1256" spans="2:6">
      <c r="C1256" s="11" t="s">
        <v>1432</v>
      </c>
      <c r="D1256" s="18">
        <v>0.1</v>
      </c>
      <c r="E1256" s="18">
        <v>0.1</v>
      </c>
      <c r="F1256" s="18">
        <v>0</v>
      </c>
    </row>
    <row r="1257" spans="2:6">
      <c r="C1257" s="11" t="s">
        <v>1433</v>
      </c>
      <c r="D1257" s="18">
        <v>0.15</v>
      </c>
      <c r="E1257" s="18">
        <v>0.15</v>
      </c>
      <c r="F1257" s="18">
        <v>0</v>
      </c>
    </row>
    <row r="1258" spans="2:6">
      <c r="C1258" s="11" t="s">
        <v>1434</v>
      </c>
      <c r="D1258" s="18">
        <v>0.15</v>
      </c>
      <c r="E1258" s="18">
        <v>0.15</v>
      </c>
      <c r="F1258" s="18">
        <v>0</v>
      </c>
    </row>
    <row r="1259" spans="2:6">
      <c r="C1259" s="11" t="s">
        <v>1435</v>
      </c>
      <c r="D1259" s="18">
        <v>0.28000000000000003</v>
      </c>
      <c r="E1259" s="18">
        <v>0.28000000000000003</v>
      </c>
      <c r="F1259" s="18">
        <v>0.28000000000000003</v>
      </c>
    </row>
    <row r="1260" spans="2:6">
      <c r="C1260" s="11"/>
      <c r="D1260" s="22">
        <f>SUM(D1253:D1259)</f>
        <v>1</v>
      </c>
      <c r="E1260" s="22">
        <f>SUM(E1253:E1259)</f>
        <v>1</v>
      </c>
      <c r="F1260" s="22">
        <f>SUM(F1253:F1259)</f>
        <v>0.28000000000000003</v>
      </c>
    </row>
    <row r="1261" spans="2:6">
      <c r="C1261" s="11"/>
      <c r="D1261" s="15"/>
      <c r="E1261" s="22">
        <f>D1260-E1260</f>
        <v>0</v>
      </c>
      <c r="F1261" s="22">
        <f>E1260-F1260</f>
        <v>0.72</v>
      </c>
    </row>
    <row r="1262" spans="2:6">
      <c r="C1262" s="10" t="s">
        <v>412</v>
      </c>
      <c r="D1262" s="16">
        <v>10</v>
      </c>
      <c r="E1262" s="22"/>
      <c r="F1262" s="15"/>
    </row>
    <row r="1263" spans="2:6">
      <c r="C1263" s="10"/>
      <c r="D1263" s="16"/>
      <c r="E1263" s="22"/>
      <c r="F1263" s="15"/>
    </row>
    <row r="1264" spans="2:6" ht="15.6">
      <c r="B1264" s="519" t="s">
        <v>1079</v>
      </c>
      <c r="C1264" s="534" t="s">
        <v>1436</v>
      </c>
      <c r="D1264" s="521" t="s">
        <v>353</v>
      </c>
      <c r="E1264" s="522" t="s">
        <v>354</v>
      </c>
      <c r="F1264" s="522" t="s">
        <v>355</v>
      </c>
    </row>
    <row r="1265" spans="3:6" ht="28.8">
      <c r="C1265" s="523" t="s">
        <v>1437</v>
      </c>
      <c r="D1265" s="524">
        <v>0.05</v>
      </c>
      <c r="E1265" s="524">
        <v>0.05</v>
      </c>
      <c r="F1265" s="524">
        <v>0.02</v>
      </c>
    </row>
    <row r="1266" spans="3:6">
      <c r="C1266" s="525" t="s">
        <v>1438</v>
      </c>
      <c r="D1266" s="524">
        <v>0.05</v>
      </c>
      <c r="E1266" s="524">
        <v>0.05</v>
      </c>
      <c r="F1266" s="524">
        <v>0.05</v>
      </c>
    </row>
    <row r="1267" spans="3:6">
      <c r="C1267" s="525" t="s">
        <v>1439</v>
      </c>
      <c r="D1267" s="524">
        <v>0.05</v>
      </c>
      <c r="E1267" s="524">
        <v>0.05</v>
      </c>
      <c r="F1267" s="524">
        <v>0.05</v>
      </c>
    </row>
    <row r="1268" spans="3:6" ht="28.8">
      <c r="C1268" s="525" t="s">
        <v>1440</v>
      </c>
      <c r="D1268" s="524">
        <v>0.2</v>
      </c>
      <c r="E1268" s="524">
        <v>0.2</v>
      </c>
      <c r="F1268" s="524">
        <v>0.2</v>
      </c>
    </row>
    <row r="1269" spans="3:6" ht="28.8">
      <c r="C1269" s="525" t="s">
        <v>1441</v>
      </c>
      <c r="D1269" s="524">
        <v>0.05</v>
      </c>
      <c r="E1269" s="524">
        <v>0.05</v>
      </c>
      <c r="F1269" s="524">
        <v>0.05</v>
      </c>
    </row>
    <row r="1270" spans="3:6">
      <c r="C1270" s="525" t="s">
        <v>1442</v>
      </c>
      <c r="D1270" s="524">
        <v>0.1</v>
      </c>
      <c r="E1270" s="524">
        <v>0.1</v>
      </c>
      <c r="F1270" s="524">
        <v>0</v>
      </c>
    </row>
    <row r="1271" spans="3:6" ht="28.8">
      <c r="C1271" s="525" t="s">
        <v>1443</v>
      </c>
      <c r="D1271" s="524">
        <v>0.15</v>
      </c>
      <c r="E1271" s="524">
        <v>0.15</v>
      </c>
      <c r="F1271" s="524">
        <v>0.15</v>
      </c>
    </row>
    <row r="1272" spans="3:6">
      <c r="C1272" s="509"/>
      <c r="D1272" s="527">
        <v>1</v>
      </c>
      <c r="E1272" s="527">
        <v>0.9</v>
      </c>
      <c r="F1272" s="527">
        <v>0.62</v>
      </c>
    </row>
    <row r="1273" spans="3:6">
      <c r="C1273" s="509"/>
      <c r="D1273" s="509"/>
      <c r="E1273" s="526">
        <v>0.1</v>
      </c>
      <c r="F1273" s="526">
        <v>0.28000000000000003</v>
      </c>
    </row>
    <row r="1274" spans="3:6">
      <c r="C1274" s="528" t="s">
        <v>321</v>
      </c>
      <c r="D1274" s="529">
        <v>10</v>
      </c>
      <c r="E1274" s="530"/>
      <c r="F1274" s="530"/>
    </row>
    <row r="1275" spans="3:6">
      <c r="C1275" s="531" t="s">
        <v>1444</v>
      </c>
      <c r="D1275" s="532"/>
      <c r="E1275" s="532"/>
      <c r="F1275" s="532"/>
    </row>
    <row r="1276" spans="3:6">
      <c r="C1276" s="531" t="s">
        <v>1445</v>
      </c>
      <c r="D1276" s="532"/>
      <c r="E1276" s="532"/>
      <c r="F1276" s="532"/>
    </row>
    <row r="1277" spans="3:6">
      <c r="C1277" s="531" t="s">
        <v>1446</v>
      </c>
      <c r="D1277" s="533"/>
      <c r="E1277" s="533"/>
      <c r="F1277" s="533"/>
    </row>
    <row r="1278" spans="3:6">
      <c r="C1278" s="531" t="s">
        <v>1447</v>
      </c>
      <c r="D1278" s="533">
        <v>8</v>
      </c>
      <c r="E1278" s="533">
        <v>22</v>
      </c>
      <c r="F1278" s="533"/>
    </row>
    <row r="1279" spans="3:6">
      <c r="C1279" s="531" t="s">
        <v>363</v>
      </c>
      <c r="D1279" s="533"/>
      <c r="E1279" s="533"/>
      <c r="F1279" s="533"/>
    </row>
    <row r="1280" spans="3:6">
      <c r="C1280" s="10"/>
      <c r="D1280" s="16"/>
      <c r="E1280" s="22"/>
      <c r="F1280" s="15"/>
    </row>
    <row r="1281" spans="2:6" ht="15.6">
      <c r="B1281" s="519" t="s">
        <v>1079</v>
      </c>
      <c r="C1281" s="543" t="s">
        <v>1448</v>
      </c>
      <c r="D1281" s="521" t="s">
        <v>353</v>
      </c>
      <c r="E1281" s="522" t="s">
        <v>354</v>
      </c>
      <c r="F1281" s="522" t="s">
        <v>355</v>
      </c>
    </row>
    <row r="1282" spans="2:6">
      <c r="C1282" s="525" t="s">
        <v>1449</v>
      </c>
      <c r="D1282" s="524">
        <v>0.05</v>
      </c>
      <c r="E1282" s="524">
        <v>0.05</v>
      </c>
      <c r="F1282" s="524">
        <v>0.05</v>
      </c>
    </row>
    <row r="1283" spans="2:6" ht="28.8">
      <c r="C1283" s="525" t="s">
        <v>1450</v>
      </c>
      <c r="D1283" s="524">
        <v>0.1</v>
      </c>
      <c r="E1283" s="524">
        <v>0.1</v>
      </c>
      <c r="F1283" s="524">
        <v>0</v>
      </c>
    </row>
    <row r="1284" spans="2:6">
      <c r="C1284" s="525" t="s">
        <v>1442</v>
      </c>
      <c r="D1284" s="524">
        <v>0.15</v>
      </c>
      <c r="E1284" s="524">
        <v>0.15</v>
      </c>
      <c r="F1284" s="524">
        <v>0.15</v>
      </c>
    </row>
    <row r="1285" spans="2:6">
      <c r="C1285" s="525" t="s">
        <v>1451</v>
      </c>
      <c r="D1285" s="524">
        <v>0.1</v>
      </c>
      <c r="E1285" s="524">
        <v>0.05</v>
      </c>
      <c r="F1285" s="524">
        <v>0.05</v>
      </c>
    </row>
    <row r="1286" spans="2:6">
      <c r="C1286" s="525" t="s">
        <v>1452</v>
      </c>
      <c r="D1286" s="524">
        <v>0.1</v>
      </c>
      <c r="E1286" s="524">
        <v>0</v>
      </c>
      <c r="F1286" s="524">
        <v>0</v>
      </c>
    </row>
    <row r="1287" spans="2:6">
      <c r="C1287" s="525"/>
      <c r="D1287" s="524">
        <v>0.05</v>
      </c>
      <c r="E1287" s="524">
        <v>0.05</v>
      </c>
      <c r="F1287" s="524">
        <v>0.05</v>
      </c>
    </row>
    <row r="1288" spans="2:6">
      <c r="C1288" s="509"/>
      <c r="D1288" s="527">
        <f>SUM(D1282:D1287)</f>
        <v>0.55000000000000004</v>
      </c>
      <c r="E1288" s="527">
        <f>SUM(E1282:E1287)</f>
        <v>0.4</v>
      </c>
      <c r="F1288" s="527">
        <f>SUM(F1282:F1287)</f>
        <v>0.3</v>
      </c>
    </row>
    <row r="1289" spans="2:6">
      <c r="C1289" s="509"/>
      <c r="D1289" s="509"/>
      <c r="E1289" s="526">
        <f>D1288-E1288</f>
        <v>0.15000000000000002</v>
      </c>
      <c r="F1289" s="526">
        <f>E1288-F1288</f>
        <v>0.10000000000000003</v>
      </c>
    </row>
    <row r="1290" spans="2:6" ht="15">
      <c r="C1290" s="528" t="s">
        <v>389</v>
      </c>
      <c r="D1290" s="542">
        <v>20</v>
      </c>
      <c r="E1290" s="530" t="s">
        <v>716</v>
      </c>
      <c r="F1290" s="530" t="s">
        <v>716</v>
      </c>
    </row>
    <row r="1291" spans="2:6">
      <c r="C1291" s="531" t="s">
        <v>361</v>
      </c>
      <c r="D1291" s="532" t="s">
        <v>716</v>
      </c>
      <c r="E1291" s="532" t="s">
        <v>716</v>
      </c>
      <c r="F1291" s="532" t="s">
        <v>716</v>
      </c>
    </row>
    <row r="1292" spans="2:6">
      <c r="C1292" s="531" t="s">
        <v>1445</v>
      </c>
      <c r="D1292" s="532" t="s">
        <v>716</v>
      </c>
      <c r="E1292" s="532" t="s">
        <v>716</v>
      </c>
      <c r="F1292" s="532" t="s">
        <v>716</v>
      </c>
    </row>
    <row r="1293" spans="2:6">
      <c r="C1293" s="531" t="s">
        <v>1446</v>
      </c>
      <c r="D1293" s="533" t="s">
        <v>716</v>
      </c>
      <c r="E1293" s="533" t="s">
        <v>716</v>
      </c>
      <c r="F1293" s="533" t="s">
        <v>716</v>
      </c>
    </row>
    <row r="1294" spans="2:6">
      <c r="C1294" s="531" t="s">
        <v>1447</v>
      </c>
      <c r="D1294" s="533">
        <v>8</v>
      </c>
      <c r="E1294" s="533">
        <v>22</v>
      </c>
      <c r="F1294" s="533" t="s">
        <v>716</v>
      </c>
    </row>
    <row r="1295" spans="2:6">
      <c r="C1295" s="531" t="s">
        <v>363</v>
      </c>
      <c r="D1295" s="533" t="s">
        <v>716</v>
      </c>
      <c r="E1295" s="533" t="s">
        <v>716</v>
      </c>
      <c r="F1295" s="533" t="s">
        <v>716</v>
      </c>
    </row>
    <row r="1296" spans="2:6">
      <c r="C1296" s="509"/>
      <c r="D1296" s="509"/>
      <c r="E1296" s="509"/>
      <c r="F1296" s="509"/>
    </row>
    <row r="1297" spans="2:6">
      <c r="C1297" s="10"/>
      <c r="D1297" s="16"/>
      <c r="E1297" s="22"/>
      <c r="F1297" s="15"/>
    </row>
    <row r="1298" spans="2:6">
      <c r="C1298" s="10"/>
      <c r="D1298" s="16"/>
      <c r="E1298" s="22"/>
      <c r="F1298" s="15"/>
    </row>
    <row r="1299" spans="2:6">
      <c r="C1299" s="10"/>
      <c r="D1299" s="16"/>
      <c r="E1299" s="22"/>
      <c r="F1299" s="15"/>
    </row>
    <row r="1300" spans="2:6">
      <c r="C1300" s="10"/>
      <c r="D1300" s="16"/>
      <c r="E1300" s="22"/>
      <c r="F1300" s="15"/>
    </row>
    <row r="1301" spans="2:6">
      <c r="B1301" s="519" t="s">
        <v>1079</v>
      </c>
      <c r="C1301" s="12" t="s">
        <v>22</v>
      </c>
      <c r="D1301" s="16" t="s">
        <v>353</v>
      </c>
      <c r="E1301" s="16" t="s">
        <v>354</v>
      </c>
      <c r="F1301" s="16" t="s">
        <v>355</v>
      </c>
    </row>
    <row r="1302" spans="2:6">
      <c r="C1302" s="187" t="s">
        <v>1453</v>
      </c>
      <c r="D1302" s="28">
        <v>0.1</v>
      </c>
      <c r="E1302" s="28">
        <v>0.1</v>
      </c>
      <c r="F1302" s="28">
        <v>0</v>
      </c>
    </row>
    <row r="1303" spans="2:6">
      <c r="C1303" s="187" t="s">
        <v>449</v>
      </c>
      <c r="D1303" s="28">
        <v>0.05</v>
      </c>
      <c r="E1303" s="28">
        <v>0.05</v>
      </c>
      <c r="F1303" s="28">
        <v>0.05</v>
      </c>
    </row>
    <row r="1304" spans="2:6">
      <c r="C1304" s="187" t="s">
        <v>450</v>
      </c>
      <c r="D1304" s="28">
        <v>0.05</v>
      </c>
      <c r="E1304" s="28">
        <v>0.05</v>
      </c>
      <c r="F1304" s="28">
        <v>0.05</v>
      </c>
    </row>
    <row r="1305" spans="2:6">
      <c r="C1305" s="187" t="s">
        <v>451</v>
      </c>
      <c r="D1305" s="28">
        <v>0.05</v>
      </c>
      <c r="E1305" s="28">
        <v>0.05</v>
      </c>
      <c r="F1305" s="28">
        <v>0.05</v>
      </c>
    </row>
    <row r="1306" spans="2:6" ht="28.8">
      <c r="C1306" s="187" t="s">
        <v>452</v>
      </c>
      <c r="D1306" s="28">
        <v>0.05</v>
      </c>
      <c r="E1306" s="28">
        <v>0.05</v>
      </c>
      <c r="F1306" s="28">
        <v>0.05</v>
      </c>
    </row>
    <row r="1307" spans="2:6">
      <c r="C1307" s="187" t="s">
        <v>453</v>
      </c>
      <c r="D1307" s="28">
        <v>0.3</v>
      </c>
      <c r="E1307" s="28">
        <v>0.3</v>
      </c>
      <c r="F1307" s="28">
        <v>0.3</v>
      </c>
    </row>
    <row r="1308" spans="2:6">
      <c r="C1308" s="187" t="s">
        <v>454</v>
      </c>
      <c r="D1308" s="28">
        <v>0.2</v>
      </c>
      <c r="E1308" s="28">
        <v>0.2</v>
      </c>
      <c r="F1308" s="28">
        <v>0.2</v>
      </c>
    </row>
    <row r="1309" spans="2:6">
      <c r="C1309" s="11"/>
      <c r="D1309" s="27">
        <f>SUM(D1302:D1308)</f>
        <v>0.8</v>
      </c>
      <c r="E1309" s="27">
        <f>SUM(E1302:E1308)</f>
        <v>0.8</v>
      </c>
      <c r="F1309" s="27">
        <f>SUM(F1302:F1308)</f>
        <v>0.7</v>
      </c>
    </row>
    <row r="1310" spans="2:6">
      <c r="C1310" s="11"/>
      <c r="D1310" s="16"/>
      <c r="E1310" s="22">
        <f>D1309-E1309</f>
        <v>0</v>
      </c>
      <c r="F1310" s="22">
        <f>+D1309-F1309</f>
        <v>0.10000000000000009</v>
      </c>
    </row>
    <row r="1311" spans="2:6">
      <c r="C1311" s="11" t="s">
        <v>419</v>
      </c>
      <c r="D1311" s="15" t="s">
        <v>455</v>
      </c>
      <c r="E1311" s="22"/>
      <c r="F1311" s="15"/>
    </row>
    <row r="1312" spans="2:6">
      <c r="C1312" s="11"/>
      <c r="D1312" s="16"/>
      <c r="E1312" s="22"/>
      <c r="F1312" s="15"/>
    </row>
    <row r="1313" spans="2:6">
      <c r="B1313" s="519" t="s">
        <v>1079</v>
      </c>
      <c r="C1313" s="266" t="s">
        <v>1454</v>
      </c>
      <c r="D1313" s="16" t="s">
        <v>353</v>
      </c>
      <c r="E1313" s="16" t="s">
        <v>354</v>
      </c>
      <c r="F1313" s="16" t="s">
        <v>355</v>
      </c>
    </row>
    <row r="1314" spans="2:6">
      <c r="C1314" t="s">
        <v>1455</v>
      </c>
      <c r="D1314" s="22">
        <v>0.6</v>
      </c>
      <c r="E1314" s="22">
        <v>0.6</v>
      </c>
      <c r="F1314" s="22">
        <v>0.6</v>
      </c>
    </row>
    <row r="1315" spans="2:6">
      <c r="C1315" s="265" t="s">
        <v>1456</v>
      </c>
      <c r="D1315" s="22">
        <v>0.1</v>
      </c>
      <c r="E1315" s="22">
        <v>0.1</v>
      </c>
      <c r="F1315" s="22">
        <v>0.1</v>
      </c>
    </row>
    <row r="1316" spans="2:6">
      <c r="C1316" s="11" t="s">
        <v>1457</v>
      </c>
      <c r="D1316" s="22">
        <v>0.15</v>
      </c>
      <c r="E1316" s="22">
        <v>0.15</v>
      </c>
      <c r="F1316" s="22">
        <v>0.15</v>
      </c>
    </row>
    <row r="1317" spans="2:6">
      <c r="C1317" s="11"/>
      <c r="D1317" s="22">
        <f>SUM(D1314:D1316)</f>
        <v>0.85</v>
      </c>
      <c r="E1317" s="22">
        <f>SUM(E1314:E1316)</f>
        <v>0.85</v>
      </c>
      <c r="F1317" s="22">
        <f>SUM(F1314:F1316)</f>
        <v>0.85</v>
      </c>
    </row>
    <row r="1318" spans="2:6">
      <c r="C1318" s="11"/>
      <c r="D1318" s="22"/>
      <c r="E1318" s="22">
        <f>D1317-E1317</f>
        <v>0</v>
      </c>
      <c r="F1318" s="18">
        <f>E1317-F1317</f>
        <v>0</v>
      </c>
    </row>
    <row r="1319" spans="2:6">
      <c r="C1319" s="11"/>
      <c r="D1319" s="16"/>
      <c r="E1319" s="22"/>
      <c r="F1319" s="15"/>
    </row>
    <row r="1320" spans="2:6">
      <c r="C1320" s="11" t="s">
        <v>419</v>
      </c>
      <c r="D1320" s="16" t="s">
        <v>1225</v>
      </c>
      <c r="E1320" s="22"/>
      <c r="F1320" s="15"/>
    </row>
    <row r="1321" spans="2:6">
      <c r="C1321" s="11"/>
      <c r="D1321" s="16"/>
      <c r="E1321" s="22"/>
      <c r="F1321" s="15"/>
    </row>
    <row r="1322" spans="2:6">
      <c r="B1322" s="519" t="s">
        <v>1079</v>
      </c>
      <c r="C1322" s="267" t="s">
        <v>1458</v>
      </c>
      <c r="D1322" s="16" t="s">
        <v>353</v>
      </c>
      <c r="E1322" s="16" t="s">
        <v>354</v>
      </c>
      <c r="F1322" s="16" t="s">
        <v>355</v>
      </c>
    </row>
    <row r="1323" spans="2:6">
      <c r="C1323" s="820" t="s">
        <v>1459</v>
      </c>
      <c r="D1323" s="16"/>
      <c r="E1323" s="16"/>
      <c r="F1323" s="16"/>
    </row>
    <row r="1324" spans="2:6">
      <c r="C1324" s="820" t="s">
        <v>1460</v>
      </c>
      <c r="D1324" s="821">
        <v>0.05</v>
      </c>
      <c r="E1324" s="821">
        <v>0.05</v>
      </c>
      <c r="F1324" s="821">
        <v>0.05</v>
      </c>
    </row>
    <row r="1325" spans="2:6" ht="18" customHeight="1">
      <c r="C1325" s="822" t="s">
        <v>1461</v>
      </c>
      <c r="D1325" s="821"/>
      <c r="E1325" s="821"/>
      <c r="F1325" s="821"/>
    </row>
    <row r="1326" spans="2:6" ht="28.8">
      <c r="C1326" s="820" t="s">
        <v>1462</v>
      </c>
      <c r="D1326" s="821"/>
      <c r="E1326" s="821"/>
      <c r="F1326" s="821"/>
    </row>
    <row r="1327" spans="2:6">
      <c r="C1327" s="820" t="s">
        <v>1463</v>
      </c>
      <c r="D1327" s="821">
        <v>0.15</v>
      </c>
      <c r="E1327" s="821">
        <v>0.15</v>
      </c>
      <c r="F1327" s="821">
        <v>0.15</v>
      </c>
    </row>
    <row r="1328" spans="2:6">
      <c r="C1328" s="820" t="s">
        <v>1464</v>
      </c>
      <c r="D1328" s="821"/>
      <c r="E1328" s="821"/>
      <c r="F1328" s="821"/>
    </row>
    <row r="1329" spans="2:6">
      <c r="C1329" s="820" t="s">
        <v>1465</v>
      </c>
      <c r="D1329" s="821">
        <v>0.05</v>
      </c>
      <c r="E1329" s="821">
        <v>0.05</v>
      </c>
      <c r="F1329" s="821">
        <v>0.05</v>
      </c>
    </row>
    <row r="1330" spans="2:6" ht="28.8">
      <c r="C1330" s="820" t="s">
        <v>1466</v>
      </c>
      <c r="D1330" s="821"/>
      <c r="E1330" s="821"/>
      <c r="F1330" s="821"/>
    </row>
    <row r="1331" spans="2:6">
      <c r="C1331" s="11"/>
      <c r="D1331" s="16"/>
      <c r="E1331" s="22"/>
      <c r="F1331" s="22"/>
    </row>
    <row r="1332" spans="2:6">
      <c r="C1332" s="12" t="s">
        <v>642</v>
      </c>
      <c r="D1332" s="16" t="s">
        <v>385</v>
      </c>
      <c r="E1332" s="22"/>
      <c r="F1332" s="15"/>
    </row>
    <row r="1333" spans="2:6">
      <c r="C1333" s="11"/>
      <c r="D1333" s="16"/>
      <c r="E1333" s="22"/>
      <c r="F1333" s="15"/>
    </row>
    <row r="1334" spans="2:6">
      <c r="C1334" s="11"/>
      <c r="D1334" s="16"/>
      <c r="E1334" s="22"/>
      <c r="F1334" s="15"/>
    </row>
    <row r="1335" spans="2:6">
      <c r="C1335" s="11"/>
      <c r="D1335" s="16"/>
      <c r="E1335" s="22"/>
      <c r="F1335" s="15"/>
    </row>
    <row r="1336" spans="2:6">
      <c r="C1336" s="11"/>
      <c r="D1336" s="16"/>
      <c r="E1336" s="22"/>
      <c r="F1336" s="15"/>
    </row>
    <row r="1337" spans="2:6">
      <c r="C1337" s="11"/>
      <c r="D1337" s="16"/>
      <c r="E1337" s="22"/>
      <c r="F1337" s="15"/>
    </row>
    <row r="1338" spans="2:6">
      <c r="C1338" s="11"/>
      <c r="D1338" s="16"/>
      <c r="E1338" s="22"/>
      <c r="F1338" s="15"/>
    </row>
    <row r="1339" spans="2:6">
      <c r="B1339" s="519" t="s">
        <v>1079</v>
      </c>
      <c r="C1339" s="738" t="s">
        <v>23</v>
      </c>
      <c r="D1339" s="16" t="s">
        <v>353</v>
      </c>
      <c r="E1339" s="16" t="s">
        <v>354</v>
      </c>
      <c r="F1339" s="16" t="s">
        <v>355</v>
      </c>
    </row>
    <row r="1340" spans="2:6" ht="28.8">
      <c r="C1340" s="187" t="s">
        <v>1467</v>
      </c>
      <c r="D1340" s="16"/>
      <c r="E1340" s="16"/>
      <c r="F1340" s="16"/>
    </row>
    <row r="1341" spans="2:6" ht="28.8">
      <c r="C1341" s="187" t="s">
        <v>1468</v>
      </c>
      <c r="D1341" s="16"/>
      <c r="E1341" s="16"/>
      <c r="F1341" s="16"/>
    </row>
    <row r="1342" spans="2:6">
      <c r="C1342" s="187" t="s">
        <v>456</v>
      </c>
      <c r="D1342" s="16"/>
      <c r="E1342" s="16"/>
      <c r="F1342" s="16"/>
    </row>
    <row r="1343" spans="2:6" ht="28.8">
      <c r="C1343" s="187" t="s">
        <v>1469</v>
      </c>
      <c r="D1343" s="16"/>
      <c r="E1343" s="16"/>
      <c r="F1343" s="16"/>
    </row>
    <row r="1344" spans="2:6" ht="28.8">
      <c r="C1344" s="187" t="s">
        <v>1470</v>
      </c>
      <c r="D1344" s="16"/>
      <c r="E1344" s="16"/>
      <c r="F1344" s="16"/>
    </row>
    <row r="1345" spans="2:16">
      <c r="C1345" s="187" t="s">
        <v>1471</v>
      </c>
      <c r="D1345" s="16"/>
      <c r="E1345" s="16"/>
      <c r="F1345" s="16"/>
    </row>
    <row r="1346" spans="2:16">
      <c r="C1346" s="187" t="s">
        <v>457</v>
      </c>
      <c r="D1346" s="16"/>
      <c r="E1346" s="16"/>
      <c r="F1346" s="16"/>
    </row>
    <row r="1347" spans="2:16">
      <c r="C1347" s="187" t="s">
        <v>1472</v>
      </c>
      <c r="D1347" s="16"/>
      <c r="E1347" s="16"/>
      <c r="F1347" s="16"/>
    </row>
    <row r="1348" spans="2:16">
      <c r="C1348" s="10"/>
      <c r="D1348" s="16"/>
      <c r="E1348" s="16"/>
      <c r="F1348" s="16"/>
    </row>
    <row r="1349" spans="2:16">
      <c r="C1349" s="11"/>
      <c r="D1349" s="27" t="e">
        <f>SUM(#REF!)</f>
        <v>#REF!</v>
      </c>
      <c r="E1349" s="27" t="e">
        <f>SUM(#REF!)</f>
        <v>#REF!</v>
      </c>
      <c r="F1349" s="27" t="e">
        <f>SUM(#REF!)</f>
        <v>#REF!</v>
      </c>
    </row>
    <row r="1350" spans="2:16">
      <c r="C1350" s="11"/>
      <c r="D1350" s="15"/>
      <c r="E1350" s="27" t="e">
        <f>D1349-E1349</f>
        <v>#REF!</v>
      </c>
      <c r="F1350" s="27" t="e">
        <f>E1349-F1349</f>
        <v>#REF!</v>
      </c>
    </row>
    <row r="1351" spans="2:16">
      <c r="C1351" s="11"/>
      <c r="D1351" s="15"/>
      <c r="E1351" s="27"/>
      <c r="F1351" s="27"/>
    </row>
    <row r="1352" spans="2:16">
      <c r="C1352" s="11" t="s">
        <v>419</v>
      </c>
      <c r="D1352" s="15" t="s">
        <v>458</v>
      </c>
      <c r="E1352" s="15"/>
      <c r="F1352" s="15"/>
    </row>
    <row r="1353" spans="2:16">
      <c r="C1353" s="11"/>
      <c r="D1353" s="15"/>
      <c r="E1353" s="15"/>
      <c r="F1353" s="15"/>
    </row>
    <row r="1354" spans="2:16">
      <c r="C1354" s="11"/>
      <c r="D1354" s="16"/>
      <c r="E1354" s="16"/>
      <c r="F1354" s="16"/>
    </row>
    <row r="1355" spans="2:16">
      <c r="B1355" s="519" t="s">
        <v>1079</v>
      </c>
      <c r="C1355" s="12" t="s">
        <v>24</v>
      </c>
      <c r="D1355" s="16" t="s">
        <v>353</v>
      </c>
      <c r="E1355" s="16" t="s">
        <v>354</v>
      </c>
      <c r="F1355" s="16" t="s">
        <v>355</v>
      </c>
    </row>
    <row r="1356" spans="2:16" ht="28.8">
      <c r="C1356" s="187" t="s">
        <v>1473</v>
      </c>
      <c r="D1356" s="16"/>
      <c r="E1356" s="16"/>
      <c r="F1356" s="16"/>
    </row>
    <row r="1357" spans="2:16" ht="43.2">
      <c r="C1357" s="187" t="s">
        <v>1474</v>
      </c>
      <c r="D1357" s="18">
        <v>0.02</v>
      </c>
      <c r="E1357" s="21">
        <v>0.01</v>
      </c>
      <c r="F1357" s="18">
        <v>0</v>
      </c>
      <c r="I1357" s="6"/>
      <c r="J1357" s="6"/>
      <c r="K1357" s="6"/>
      <c r="O1357" s="6"/>
      <c r="P1357" s="6"/>
    </row>
    <row r="1358" spans="2:16">
      <c r="C1358" s="187" t="s">
        <v>1475</v>
      </c>
      <c r="D1358" s="18"/>
      <c r="E1358" s="21"/>
      <c r="F1358" s="18"/>
      <c r="I1358" s="6"/>
      <c r="J1358" s="6"/>
      <c r="K1358" s="6"/>
      <c r="O1358" s="6"/>
      <c r="P1358" s="6"/>
    </row>
    <row r="1359" spans="2:16">
      <c r="C1359" s="187" t="s">
        <v>1476</v>
      </c>
      <c r="D1359" s="18"/>
      <c r="E1359" s="21"/>
      <c r="F1359" s="18"/>
      <c r="I1359" s="6"/>
      <c r="J1359" s="6"/>
      <c r="K1359" s="6"/>
      <c r="O1359" s="6"/>
      <c r="P1359" s="6"/>
    </row>
    <row r="1360" spans="2:16">
      <c r="C1360" s="187" t="s">
        <v>1477</v>
      </c>
      <c r="D1360" s="18"/>
      <c r="E1360" s="21"/>
      <c r="F1360" s="18"/>
    </row>
    <row r="1361" spans="2:6" ht="28.8">
      <c r="C1361" s="216" t="s">
        <v>1478</v>
      </c>
      <c r="D1361" s="18"/>
      <c r="E1361" s="21"/>
      <c r="F1361" s="18"/>
    </row>
    <row r="1362" spans="2:6">
      <c r="C1362" s="216" t="s">
        <v>1479</v>
      </c>
      <c r="D1362" s="18"/>
      <c r="E1362" s="21"/>
      <c r="F1362" s="18"/>
    </row>
    <row r="1363" spans="2:6" ht="28.8">
      <c r="C1363" s="465" t="s">
        <v>1480</v>
      </c>
      <c r="D1363" s="18"/>
      <c r="E1363" s="21"/>
      <c r="F1363" s="18"/>
    </row>
    <row r="1364" spans="2:6">
      <c r="C1364" s="11"/>
      <c r="D1364" s="22">
        <f>SUM(D1357:D1359)</f>
        <v>0.02</v>
      </c>
      <c r="E1364" s="230">
        <f>SUM(E1357:E1359)</f>
        <v>0.01</v>
      </c>
      <c r="F1364" s="19">
        <f>SUM(F1357:F1359)</f>
        <v>0</v>
      </c>
    </row>
    <row r="1365" spans="2:6">
      <c r="C1365" s="11" t="s">
        <v>284</v>
      </c>
      <c r="D1365" s="22"/>
      <c r="E1365" s="230">
        <f>D1364-E1364</f>
        <v>0.01</v>
      </c>
      <c r="F1365" s="19">
        <f>E1364-F1364</f>
        <v>0.01</v>
      </c>
    </row>
    <row r="1366" spans="2:6">
      <c r="C1366" s="11"/>
      <c r="D1366" s="15"/>
      <c r="E1366" s="22"/>
      <c r="F1366" s="15"/>
    </row>
    <row r="1367" spans="2:6">
      <c r="C1367" s="10" t="s">
        <v>419</v>
      </c>
      <c r="D1367" s="15" t="s">
        <v>459</v>
      </c>
      <c r="E1367" s="15"/>
      <c r="F1367" s="15"/>
    </row>
    <row r="1368" spans="2:6">
      <c r="C1368" s="11"/>
      <c r="D1368" s="15"/>
      <c r="E1368" s="15"/>
      <c r="F1368" s="15"/>
    </row>
    <row r="1369" spans="2:6">
      <c r="C1369" s="11"/>
      <c r="D1369" s="15"/>
      <c r="E1369" s="15"/>
      <c r="F1369" s="15"/>
    </row>
    <row r="1370" spans="2:6">
      <c r="B1370" s="519" t="s">
        <v>1079</v>
      </c>
      <c r="C1370" s="469" t="s">
        <v>1481</v>
      </c>
      <c r="D1370" s="16" t="s">
        <v>353</v>
      </c>
      <c r="E1370" s="16" t="s">
        <v>354</v>
      </c>
      <c r="F1370" s="16" t="s">
        <v>355</v>
      </c>
    </row>
    <row r="1371" spans="2:6" ht="43.2">
      <c r="C1371" s="187" t="s">
        <v>1482</v>
      </c>
      <c r="D1371" s="16"/>
      <c r="E1371" s="16"/>
      <c r="F1371" s="16"/>
    </row>
    <row r="1372" spans="2:6">
      <c r="C1372" s="187" t="s">
        <v>1475</v>
      </c>
      <c r="D1372" s="16"/>
      <c r="E1372" s="16"/>
      <c r="F1372" s="16"/>
    </row>
    <row r="1373" spans="2:6">
      <c r="C1373" s="187" t="s">
        <v>1483</v>
      </c>
      <c r="D1373" s="16"/>
      <c r="E1373" s="16"/>
      <c r="F1373" s="16"/>
    </row>
    <row r="1374" spans="2:6" ht="28.8">
      <c r="C1374" s="187" t="s">
        <v>1484</v>
      </c>
      <c r="D1374" s="16"/>
      <c r="E1374" s="16"/>
      <c r="F1374" s="16"/>
    </row>
    <row r="1375" spans="2:6" ht="28.8">
      <c r="C1375" s="187" t="s">
        <v>1485</v>
      </c>
      <c r="D1375" s="16"/>
      <c r="E1375" s="16"/>
      <c r="F1375" s="16"/>
    </row>
    <row r="1376" spans="2:6">
      <c r="C1376" s="187" t="s">
        <v>1486</v>
      </c>
      <c r="D1376" s="16"/>
      <c r="E1376" s="16"/>
      <c r="F1376" s="16"/>
    </row>
    <row r="1377" spans="2:6" ht="28.8">
      <c r="C1377" s="216" t="s">
        <v>1478</v>
      </c>
      <c r="D1377" s="16"/>
      <c r="E1377" s="16"/>
      <c r="F1377" s="16"/>
    </row>
    <row r="1378" spans="2:6">
      <c r="C1378" s="216" t="s">
        <v>1479</v>
      </c>
      <c r="D1378" s="16"/>
      <c r="E1378" s="16"/>
      <c r="F1378" s="16"/>
    </row>
    <row r="1379" spans="2:6" ht="28.8">
      <c r="C1379" s="465" t="s">
        <v>1480</v>
      </c>
      <c r="D1379" s="16"/>
      <c r="E1379" s="16"/>
      <c r="F1379" s="16"/>
    </row>
    <row r="1380" spans="2:6">
      <c r="C1380" s="474"/>
      <c r="D1380" s="16"/>
      <c r="E1380" s="16"/>
      <c r="F1380" s="16"/>
    </row>
    <row r="1381" spans="2:6">
      <c r="C1381" s="11"/>
      <c r="D1381" s="22" t="e">
        <f>SUM(#REF!)</f>
        <v>#REF!</v>
      </c>
      <c r="E1381" s="230" t="e">
        <f>SUM(#REF!)</f>
        <v>#REF!</v>
      </c>
      <c r="F1381" s="22" t="e">
        <f>SUM(#REF!)</f>
        <v>#REF!</v>
      </c>
    </row>
    <row r="1382" spans="2:6">
      <c r="C1382" s="11"/>
      <c r="D1382" s="15"/>
      <c r="E1382" s="22" t="e">
        <f>D1381-E1381</f>
        <v>#REF!</v>
      </c>
      <c r="F1382" s="22" t="e">
        <f>E1381-F1381</f>
        <v>#REF!</v>
      </c>
    </row>
    <row r="1383" spans="2:6">
      <c r="C1383" s="11" t="s">
        <v>419</v>
      </c>
      <c r="D1383" s="15"/>
      <c r="E1383" s="22"/>
      <c r="F1383" s="15"/>
    </row>
    <row r="1384" spans="2:6">
      <c r="C1384" s="11"/>
      <c r="D1384" s="15"/>
      <c r="E1384" s="22"/>
      <c r="F1384" s="15"/>
    </row>
    <row r="1385" spans="2:6">
      <c r="B1385" s="519" t="s">
        <v>1079</v>
      </c>
      <c r="C1385" s="12" t="s">
        <v>1487</v>
      </c>
      <c r="D1385" s="16" t="s">
        <v>353</v>
      </c>
      <c r="E1385" s="16" t="s">
        <v>354</v>
      </c>
      <c r="F1385" s="16" t="s">
        <v>355</v>
      </c>
    </row>
    <row r="1386" spans="2:6" ht="43.2">
      <c r="C1386" s="187" t="s">
        <v>1482</v>
      </c>
      <c r="D1386" s="16"/>
      <c r="E1386" s="16"/>
      <c r="F1386" s="16"/>
    </row>
    <row r="1387" spans="2:6">
      <c r="C1387" s="187" t="s">
        <v>1475</v>
      </c>
      <c r="D1387" s="16"/>
      <c r="E1387" s="16"/>
      <c r="F1387" s="16"/>
    </row>
    <row r="1388" spans="2:6">
      <c r="C1388" s="261" t="s">
        <v>460</v>
      </c>
      <c r="D1388" s="16"/>
      <c r="E1388" s="16"/>
      <c r="F1388" s="16"/>
    </row>
    <row r="1389" spans="2:6">
      <c r="C1389" s="13" t="s">
        <v>1488</v>
      </c>
      <c r="D1389" s="16"/>
      <c r="E1389" s="16"/>
      <c r="F1389" s="16"/>
    </row>
    <row r="1390" spans="2:6" ht="28.8">
      <c r="C1390" s="187" t="s">
        <v>1489</v>
      </c>
      <c r="D1390" s="16"/>
      <c r="E1390" s="16"/>
      <c r="F1390" s="16"/>
    </row>
    <row r="1391" spans="2:6" ht="28.8">
      <c r="C1391" s="187" t="s">
        <v>1485</v>
      </c>
      <c r="D1391" s="16"/>
      <c r="E1391" s="16"/>
      <c r="F1391" s="16"/>
    </row>
    <row r="1392" spans="2:6">
      <c r="C1392" s="187" t="s">
        <v>1486</v>
      </c>
      <c r="D1392" s="16"/>
      <c r="E1392" s="16"/>
      <c r="F1392" s="16"/>
    </row>
    <row r="1393" spans="2:6" ht="28.8">
      <c r="C1393" s="216" t="s">
        <v>1478</v>
      </c>
      <c r="D1393" s="16"/>
      <c r="E1393" s="16"/>
      <c r="F1393" s="16"/>
    </row>
    <row r="1394" spans="2:6">
      <c r="C1394" s="216" t="s">
        <v>1479</v>
      </c>
      <c r="D1394" s="16"/>
      <c r="E1394" s="16"/>
      <c r="F1394" s="16"/>
    </row>
    <row r="1395" spans="2:6" ht="28.8">
      <c r="C1395" s="465" t="s">
        <v>1480</v>
      </c>
      <c r="D1395" s="16"/>
      <c r="E1395" s="16"/>
      <c r="F1395" s="16"/>
    </row>
    <row r="1396" spans="2:6">
      <c r="C1396" s="10"/>
      <c r="D1396" s="16"/>
      <c r="E1396" s="16"/>
      <c r="F1396" s="16"/>
    </row>
    <row r="1397" spans="2:6">
      <c r="C1397" s="53"/>
      <c r="D1397" s="19" t="e">
        <f>SUM(#REF!)</f>
        <v>#REF!</v>
      </c>
      <c r="E1397" s="19" t="e">
        <f>SUM(#REF!)</f>
        <v>#REF!</v>
      </c>
      <c r="F1397" s="22" t="e">
        <f>SUM(#REF!)</f>
        <v>#REF!</v>
      </c>
    </row>
    <row r="1398" spans="2:6">
      <c r="C1398" s="53"/>
      <c r="D1398" s="15"/>
      <c r="E1398" s="19" t="e">
        <f>D1397-E1397</f>
        <v>#REF!</v>
      </c>
      <c r="F1398" s="29" t="e">
        <f>E1397-F1397</f>
        <v>#REF!</v>
      </c>
    </row>
    <row r="1399" spans="2:6">
      <c r="C1399" s="53" t="s">
        <v>412</v>
      </c>
      <c r="D1399" s="15" t="s">
        <v>461</v>
      </c>
      <c r="E1399" s="19"/>
      <c r="F1399" s="29"/>
    </row>
    <row r="1400" spans="2:6">
      <c r="C1400" s="11"/>
      <c r="D1400" s="15"/>
      <c r="E1400" s="15"/>
      <c r="F1400" s="15"/>
    </row>
    <row r="1401" spans="2:6">
      <c r="B1401" s="519" t="s">
        <v>1079</v>
      </c>
      <c r="C1401" s="12" t="s">
        <v>1490</v>
      </c>
      <c r="D1401" s="16" t="s">
        <v>353</v>
      </c>
      <c r="E1401" s="16" t="s">
        <v>354</v>
      </c>
      <c r="F1401" s="16" t="s">
        <v>355</v>
      </c>
    </row>
    <row r="1402" spans="2:6" ht="43.2">
      <c r="C1402" s="187" t="s">
        <v>1482</v>
      </c>
      <c r="D1402" s="16"/>
      <c r="E1402" s="16"/>
      <c r="F1402" s="16"/>
    </row>
    <row r="1403" spans="2:6">
      <c r="C1403" s="187" t="s">
        <v>1475</v>
      </c>
      <c r="D1403" s="16"/>
      <c r="E1403" s="16"/>
      <c r="F1403" s="16"/>
    </row>
    <row r="1404" spans="2:6">
      <c r="C1404" s="261" t="s">
        <v>1491</v>
      </c>
      <c r="D1404" s="16"/>
      <c r="E1404" s="16"/>
      <c r="F1404" s="16"/>
    </row>
    <row r="1405" spans="2:6">
      <c r="C1405" s="13" t="s">
        <v>1492</v>
      </c>
      <c r="D1405" s="16"/>
      <c r="E1405" s="16"/>
      <c r="F1405" s="16"/>
    </row>
    <row r="1406" spans="2:6" ht="43.2">
      <c r="C1406" s="187" t="s">
        <v>1493</v>
      </c>
      <c r="D1406" s="16"/>
      <c r="E1406" s="16"/>
      <c r="F1406" s="16"/>
    </row>
    <row r="1407" spans="2:6" ht="28.8">
      <c r="C1407" s="187" t="s">
        <v>1485</v>
      </c>
      <c r="D1407" s="16"/>
      <c r="E1407" s="16"/>
      <c r="F1407" s="16"/>
    </row>
    <row r="1408" spans="2:6">
      <c r="C1408" s="465" t="s">
        <v>1494</v>
      </c>
      <c r="D1408" s="16"/>
      <c r="E1408" s="16"/>
      <c r="F1408" s="16"/>
    </row>
    <row r="1409" spans="2:6">
      <c r="C1409" s="187" t="s">
        <v>1495</v>
      </c>
      <c r="D1409" s="16"/>
      <c r="E1409" s="16"/>
      <c r="F1409" s="16"/>
    </row>
    <row r="1410" spans="2:6">
      <c r="C1410" s="187" t="s">
        <v>1496</v>
      </c>
      <c r="D1410" s="16"/>
      <c r="E1410" s="16"/>
      <c r="F1410" s="16"/>
    </row>
    <row r="1411" spans="2:6">
      <c r="C1411" s="216" t="s">
        <v>1479</v>
      </c>
      <c r="D1411" s="16"/>
      <c r="E1411" s="16"/>
      <c r="F1411" s="16"/>
    </row>
    <row r="1412" spans="2:6" ht="28.8">
      <c r="C1412" s="465" t="s">
        <v>1480</v>
      </c>
      <c r="D1412" s="16"/>
      <c r="E1412" s="16"/>
      <c r="F1412" s="16"/>
    </row>
    <row r="1413" spans="2:6">
      <c r="C1413" s="10"/>
      <c r="D1413" s="16"/>
      <c r="E1413" s="16"/>
      <c r="F1413" s="16"/>
    </row>
    <row r="1414" spans="2:6">
      <c r="C1414" s="11"/>
      <c r="D1414" s="22" t="e">
        <f>SUM(#REF!)</f>
        <v>#REF!</v>
      </c>
      <c r="E1414" s="22" t="e">
        <f>SUM(#REF!)</f>
        <v>#REF!</v>
      </c>
      <c r="F1414" s="22" t="e">
        <f>SUM(#REF!)</f>
        <v>#REF!</v>
      </c>
    </row>
    <row r="1415" spans="2:6">
      <c r="C1415" s="11"/>
      <c r="D1415" s="15"/>
      <c r="E1415" s="22" t="e">
        <f>D1414-E1414</f>
        <v>#REF!</v>
      </c>
      <c r="F1415" s="22" t="e">
        <f>E1414-F1414</f>
        <v>#REF!</v>
      </c>
    </row>
    <row r="1416" spans="2:6">
      <c r="C1416" s="11"/>
      <c r="D1416" s="15"/>
      <c r="E1416" s="15"/>
      <c r="F1416" s="15"/>
    </row>
    <row r="1417" spans="2:6">
      <c r="B1417" s="519" t="s">
        <v>1079</v>
      </c>
      <c r="C1417" s="12" t="s">
        <v>462</v>
      </c>
      <c r="D1417" s="16" t="s">
        <v>353</v>
      </c>
      <c r="E1417" s="16" t="s">
        <v>354</v>
      </c>
      <c r="F1417" s="16" t="s">
        <v>355</v>
      </c>
    </row>
    <row r="1418" spans="2:6" ht="43.2">
      <c r="C1418" s="187" t="s">
        <v>1482</v>
      </c>
      <c r="D1418" s="16"/>
      <c r="E1418" s="16"/>
      <c r="F1418" s="16"/>
    </row>
    <row r="1419" spans="2:6">
      <c r="C1419" s="187" t="s">
        <v>1475</v>
      </c>
      <c r="D1419" s="16"/>
      <c r="E1419" s="16"/>
      <c r="F1419" s="16"/>
    </row>
    <row r="1420" spans="2:6">
      <c r="C1420" s="261" t="s">
        <v>1497</v>
      </c>
      <c r="D1420" s="16"/>
      <c r="E1420" s="16"/>
      <c r="F1420" s="16"/>
    </row>
    <row r="1421" spans="2:6">
      <c r="C1421" s="13" t="s">
        <v>1498</v>
      </c>
      <c r="D1421" s="16"/>
      <c r="E1421" s="16"/>
      <c r="F1421" s="16"/>
    </row>
    <row r="1422" spans="2:6" ht="28.8">
      <c r="C1422" s="187" t="s">
        <v>1499</v>
      </c>
      <c r="D1422" s="16"/>
      <c r="E1422" s="16"/>
      <c r="F1422" s="16"/>
    </row>
    <row r="1423" spans="2:6">
      <c r="C1423" s="216" t="s">
        <v>1500</v>
      </c>
      <c r="D1423" s="16"/>
      <c r="E1423" s="16"/>
      <c r="F1423" s="16"/>
    </row>
    <row r="1424" spans="2:6">
      <c r="C1424" s="216" t="s">
        <v>1501</v>
      </c>
      <c r="D1424" s="16"/>
      <c r="E1424" s="16"/>
      <c r="F1424" s="16"/>
    </row>
    <row r="1425" spans="2:6">
      <c r="C1425" s="216" t="s">
        <v>1495</v>
      </c>
      <c r="D1425" s="16"/>
      <c r="E1425" s="16"/>
      <c r="F1425" s="16"/>
    </row>
    <row r="1426" spans="2:6">
      <c r="C1426" s="216" t="s">
        <v>1502</v>
      </c>
      <c r="D1426" s="16"/>
      <c r="E1426" s="16"/>
      <c r="F1426" s="16"/>
    </row>
    <row r="1427" spans="2:6">
      <c r="C1427" s="216" t="s">
        <v>1479</v>
      </c>
      <c r="D1427" s="16"/>
      <c r="E1427" s="16"/>
      <c r="F1427" s="16"/>
    </row>
    <row r="1428" spans="2:6" ht="28.8">
      <c r="C1428" s="216" t="s">
        <v>1480</v>
      </c>
      <c r="D1428" s="16"/>
      <c r="E1428" s="16"/>
      <c r="F1428" s="16"/>
    </row>
    <row r="1429" spans="2:6">
      <c r="C1429" s="10"/>
      <c r="D1429" s="16"/>
      <c r="E1429" s="16"/>
      <c r="F1429" s="16"/>
    </row>
    <row r="1430" spans="2:6">
      <c r="C1430" s="10"/>
      <c r="D1430" s="16"/>
      <c r="E1430" s="16"/>
      <c r="F1430" s="16"/>
    </row>
    <row r="1431" spans="2:6">
      <c r="C1431" s="11"/>
      <c r="D1431" s="22" t="e">
        <f>SUM(#REF!)</f>
        <v>#REF!</v>
      </c>
      <c r="E1431" s="22" t="e">
        <f>SUM(#REF!)</f>
        <v>#REF!</v>
      </c>
      <c r="F1431" s="22" t="e">
        <f>SUM(#REF!)</f>
        <v>#REF!</v>
      </c>
    </row>
    <row r="1432" spans="2:6">
      <c r="C1432" s="11"/>
      <c r="D1432" s="15"/>
      <c r="E1432" s="19" t="e">
        <f>D1431-E1431</f>
        <v>#REF!</v>
      </c>
      <c r="F1432" s="22" t="e">
        <f>E1431-F1431</f>
        <v>#REF!</v>
      </c>
    </row>
    <row r="1433" spans="2:6">
      <c r="C1433" s="11"/>
      <c r="D1433" s="15"/>
      <c r="E1433" s="19"/>
      <c r="F1433" s="22"/>
    </row>
    <row r="1434" spans="2:6">
      <c r="C1434" s="11" t="s">
        <v>411</v>
      </c>
      <c r="D1434" s="15" t="s">
        <v>395</v>
      </c>
      <c r="E1434" s="15"/>
      <c r="F1434" s="15"/>
    </row>
    <row r="1435" spans="2:6">
      <c r="C1435" s="11"/>
      <c r="D1435" s="15"/>
      <c r="E1435" s="15"/>
      <c r="F1435" s="15"/>
    </row>
    <row r="1436" spans="2:6">
      <c r="C1436" s="11"/>
      <c r="D1436" s="15"/>
      <c r="E1436" s="15"/>
      <c r="F1436" s="15"/>
    </row>
    <row r="1437" spans="2:6">
      <c r="C1437" s="11"/>
      <c r="D1437" s="15"/>
      <c r="E1437" s="15"/>
      <c r="F1437" s="15"/>
    </row>
    <row r="1438" spans="2:6">
      <c r="C1438" s="10"/>
      <c r="D1438" s="18"/>
      <c r="E1438" s="18"/>
      <c r="F1438" s="15"/>
    </row>
    <row r="1439" spans="2:6">
      <c r="B1439" s="519" t="s">
        <v>1079</v>
      </c>
      <c r="C1439" s="12" t="s">
        <v>463</v>
      </c>
      <c r="D1439" s="16" t="s">
        <v>353</v>
      </c>
      <c r="E1439" s="16" t="s">
        <v>354</v>
      </c>
      <c r="F1439" s="16" t="s">
        <v>355</v>
      </c>
    </row>
    <row r="1440" spans="2:6" ht="28.8">
      <c r="C1440" s="187" t="s">
        <v>1473</v>
      </c>
      <c r="D1440" s="16"/>
      <c r="E1440" s="16"/>
      <c r="F1440" s="16"/>
    </row>
    <row r="1441" spans="2:6" ht="43.2">
      <c r="C1441" s="187" t="s">
        <v>1474</v>
      </c>
      <c r="D1441" s="16"/>
      <c r="E1441" s="16"/>
      <c r="F1441" s="16"/>
    </row>
    <row r="1442" spans="2:6">
      <c r="C1442" s="187" t="s">
        <v>1475</v>
      </c>
      <c r="D1442" s="16"/>
      <c r="E1442" s="16"/>
      <c r="F1442" s="16"/>
    </row>
    <row r="1443" spans="2:6">
      <c r="C1443" s="187" t="s">
        <v>1476</v>
      </c>
      <c r="D1443" s="16"/>
      <c r="E1443" s="16"/>
      <c r="F1443" s="16"/>
    </row>
    <row r="1444" spans="2:6">
      <c r="C1444" s="187" t="s">
        <v>1477</v>
      </c>
      <c r="D1444" s="16"/>
      <c r="E1444" s="16"/>
      <c r="F1444" s="16"/>
    </row>
    <row r="1445" spans="2:6" ht="28.8">
      <c r="C1445" s="216" t="s">
        <v>1478</v>
      </c>
      <c r="D1445" s="16"/>
      <c r="E1445" s="16"/>
      <c r="F1445" s="16"/>
    </row>
    <row r="1446" spans="2:6">
      <c r="C1446" s="216" t="s">
        <v>1479</v>
      </c>
      <c r="D1446" s="16"/>
      <c r="E1446" s="16"/>
      <c r="F1446" s="16"/>
    </row>
    <row r="1447" spans="2:6" ht="28.8">
      <c r="C1447" s="465" t="s">
        <v>1480</v>
      </c>
      <c r="D1447" s="16"/>
      <c r="E1447" s="16"/>
      <c r="F1447" s="16"/>
    </row>
    <row r="1448" spans="2:6">
      <c r="C1448" s="10"/>
      <c r="D1448" s="16"/>
      <c r="E1448" s="16"/>
      <c r="F1448" s="16"/>
    </row>
    <row r="1449" spans="2:6">
      <c r="C1449" s="11" t="s">
        <v>284</v>
      </c>
      <c r="D1449" s="22" t="e">
        <f>SUM(#REF!)</f>
        <v>#REF!</v>
      </c>
      <c r="E1449" s="22" t="e">
        <f>SUM(#REF!)</f>
        <v>#REF!</v>
      </c>
      <c r="F1449" s="22" t="e">
        <f>SUM(#REF!)</f>
        <v>#REF!</v>
      </c>
    </row>
    <row r="1450" spans="2:6">
      <c r="C1450" s="11"/>
      <c r="D1450" s="16"/>
      <c r="E1450" s="22" t="e">
        <f>D1449-E1449</f>
        <v>#REF!</v>
      </c>
      <c r="F1450" s="22" t="e">
        <f>E1449-F1449</f>
        <v>#REF!</v>
      </c>
    </row>
    <row r="1451" spans="2:6">
      <c r="C1451" s="11"/>
      <c r="D1451" s="16"/>
      <c r="E1451" s="16"/>
      <c r="F1451" s="16"/>
    </row>
    <row r="1452" spans="2:6">
      <c r="B1452" s="519" t="s">
        <v>1079</v>
      </c>
      <c r="C1452" s="12" t="s">
        <v>1503</v>
      </c>
      <c r="D1452" s="16" t="s">
        <v>353</v>
      </c>
      <c r="E1452" s="16" t="s">
        <v>354</v>
      </c>
      <c r="F1452" s="16" t="s">
        <v>355</v>
      </c>
    </row>
    <row r="1453" spans="2:6" ht="28.8">
      <c r="C1453" s="187" t="s">
        <v>1504</v>
      </c>
      <c r="D1453" s="16"/>
      <c r="E1453" s="16"/>
      <c r="F1453" s="16"/>
    </row>
    <row r="1454" spans="2:6" ht="43.2">
      <c r="C1454" s="187" t="s">
        <v>1505</v>
      </c>
      <c r="D1454" s="16"/>
      <c r="E1454" s="16"/>
      <c r="F1454" s="16"/>
    </row>
    <row r="1455" spans="2:6">
      <c r="C1455" s="187" t="s">
        <v>1475</v>
      </c>
      <c r="D1455" s="16"/>
      <c r="E1455" s="16"/>
      <c r="F1455" s="16"/>
    </row>
    <row r="1456" spans="2:6">
      <c r="C1456" s="187" t="s">
        <v>1476</v>
      </c>
      <c r="D1456" s="16"/>
      <c r="E1456" s="16"/>
      <c r="F1456" s="16"/>
    </row>
    <row r="1457" spans="2:6" ht="28.8">
      <c r="C1457" s="187" t="s">
        <v>1506</v>
      </c>
      <c r="D1457" s="16"/>
      <c r="E1457" s="16"/>
      <c r="F1457" s="16"/>
    </row>
    <row r="1458" spans="2:6" ht="28.8">
      <c r="C1458" s="216" t="s">
        <v>1478</v>
      </c>
      <c r="D1458" s="16"/>
      <c r="E1458" s="16"/>
      <c r="F1458" s="16"/>
    </row>
    <row r="1459" spans="2:6">
      <c r="C1459" s="216" t="s">
        <v>1479</v>
      </c>
      <c r="D1459" s="16"/>
      <c r="E1459" s="16"/>
      <c r="F1459" s="16"/>
    </row>
    <row r="1460" spans="2:6" ht="28.8">
      <c r="C1460" s="465" t="s">
        <v>1480</v>
      </c>
      <c r="D1460" s="16"/>
      <c r="E1460" s="16"/>
      <c r="F1460" s="16"/>
    </row>
    <row r="1461" spans="2:6">
      <c r="C1461" s="10"/>
      <c r="D1461" s="16"/>
      <c r="E1461" s="16"/>
      <c r="F1461" s="16"/>
    </row>
    <row r="1462" spans="2:6">
      <c r="C1462" s="11"/>
      <c r="D1462" s="22"/>
      <c r="E1462" s="22" t="e">
        <f>#REF!-#REF!</f>
        <v>#REF!</v>
      </c>
      <c r="F1462" s="22" t="e">
        <f>#REF!-#REF!</f>
        <v>#REF!</v>
      </c>
    </row>
    <row r="1463" spans="2:6">
      <c r="C1463" s="11" t="s">
        <v>284</v>
      </c>
      <c r="D1463" s="22"/>
      <c r="E1463" s="22"/>
      <c r="F1463" s="15"/>
    </row>
    <row r="1464" spans="2:6">
      <c r="C1464" s="10" t="s">
        <v>419</v>
      </c>
      <c r="D1464" s="22"/>
      <c r="E1464" s="22"/>
      <c r="F1464" s="15"/>
    </row>
    <row r="1465" spans="2:6">
      <c r="C1465" s="11"/>
      <c r="D1465" s="22"/>
      <c r="E1465" s="22"/>
      <c r="F1465" s="15"/>
    </row>
    <row r="1466" spans="2:6">
      <c r="B1466" s="519" t="s">
        <v>1079</v>
      </c>
      <c r="C1466" s="214" t="s">
        <v>45</v>
      </c>
      <c r="D1466" s="546" t="s">
        <v>353</v>
      </c>
      <c r="E1466" s="546" t="s">
        <v>354</v>
      </c>
      <c r="F1466" s="546" t="s">
        <v>355</v>
      </c>
    </row>
    <row r="1467" spans="2:6">
      <c r="C1467" s="216" t="s">
        <v>1507</v>
      </c>
      <c r="D1467" s="264">
        <v>0.02</v>
      </c>
      <c r="E1467" s="264">
        <v>0.01</v>
      </c>
      <c r="F1467" s="264">
        <v>0</v>
      </c>
    </row>
    <row r="1468" spans="2:6">
      <c r="C1468" s="216"/>
      <c r="D1468" s="264"/>
      <c r="E1468" s="264"/>
      <c r="F1468" s="264">
        <v>0</v>
      </c>
    </row>
    <row r="1469" spans="2:6">
      <c r="C1469" s="216"/>
      <c r="D1469" s="264"/>
      <c r="E1469" s="264"/>
      <c r="F1469" s="264">
        <v>0</v>
      </c>
    </row>
    <row r="1470" spans="2:6">
      <c r="C1470" s="216"/>
      <c r="D1470" s="264"/>
      <c r="E1470" s="264"/>
      <c r="F1470" s="264">
        <v>0</v>
      </c>
    </row>
    <row r="1471" spans="2:6">
      <c r="C1471" s="216"/>
      <c r="D1471" s="264"/>
      <c r="E1471" s="264"/>
      <c r="F1471" s="264">
        <v>0</v>
      </c>
    </row>
    <row r="1472" spans="2:6">
      <c r="C1472" s="216"/>
      <c r="D1472" s="264"/>
      <c r="E1472" s="264"/>
      <c r="F1472" s="264">
        <v>0</v>
      </c>
    </row>
    <row r="1473" spans="2:6">
      <c r="C1473" s="217"/>
      <c r="D1473" s="545"/>
      <c r="E1473" s="545"/>
      <c r="F1473" s="583">
        <f>SUM(F1467:F1472)</f>
        <v>0</v>
      </c>
    </row>
    <row r="1474" spans="2:6">
      <c r="C1474" s="217"/>
      <c r="D1474" s="545"/>
      <c r="E1474" s="545">
        <f>D1473-E1473</f>
        <v>0</v>
      </c>
      <c r="F1474" s="583">
        <f>E1473-F1473</f>
        <v>0</v>
      </c>
    </row>
    <row r="1475" spans="2:6">
      <c r="C1475" s="11"/>
      <c r="D1475" s="22"/>
      <c r="E1475" s="22"/>
      <c r="F1475" s="15"/>
    </row>
    <row r="1476" spans="2:6">
      <c r="C1476" s="10" t="s">
        <v>419</v>
      </c>
      <c r="D1476" s="22" t="s">
        <v>464</v>
      </c>
      <c r="E1476" s="22"/>
      <c r="F1476" s="15"/>
    </row>
    <row r="1477" spans="2:6">
      <c r="C1477" s="217"/>
      <c r="D1477" s="545"/>
      <c r="E1477" s="545"/>
      <c r="F1477" s="262"/>
    </row>
    <row r="1478" spans="2:6">
      <c r="B1478" s="519" t="s">
        <v>1079</v>
      </c>
      <c r="C1478" s="214" t="s">
        <v>1508</v>
      </c>
      <c r="D1478" s="546" t="s">
        <v>353</v>
      </c>
      <c r="E1478" s="546" t="s">
        <v>354</v>
      </c>
      <c r="F1478" s="546" t="s">
        <v>355</v>
      </c>
    </row>
    <row r="1479" spans="2:6">
      <c r="C1479" s="216" t="s">
        <v>1509</v>
      </c>
      <c r="D1479" s="582">
        <v>0.02</v>
      </c>
      <c r="E1479" s="582">
        <v>0.02</v>
      </c>
      <c r="F1479" s="582">
        <v>0.01</v>
      </c>
    </row>
    <row r="1480" spans="2:6">
      <c r="C1480" s="216"/>
      <c r="D1480" s="582"/>
      <c r="E1480" s="582"/>
      <c r="F1480" s="582"/>
    </row>
    <row r="1481" spans="2:6">
      <c r="C1481" s="216"/>
      <c r="D1481" s="582"/>
      <c r="E1481" s="582"/>
      <c r="F1481" s="582"/>
    </row>
    <row r="1482" spans="2:6">
      <c r="C1482" s="217"/>
      <c r="D1482" s="582">
        <f>SUM(D1479:D1481)</f>
        <v>0.02</v>
      </c>
      <c r="E1482" s="582">
        <f>SUM(E1479:E1481)</f>
        <v>0.02</v>
      </c>
      <c r="F1482" s="582">
        <f>SUM(F1479:F1481)</f>
        <v>0.01</v>
      </c>
    </row>
    <row r="1483" spans="2:6">
      <c r="C1483" s="217"/>
      <c r="D1483" s="583"/>
      <c r="E1483" s="583">
        <f>D1482-E1482</f>
        <v>0</v>
      </c>
      <c r="F1483" s="583">
        <f>E1482-F1482</f>
        <v>0.01</v>
      </c>
    </row>
    <row r="1484" spans="2:6">
      <c r="C1484" s="217"/>
      <c r="D1484" s="262"/>
      <c r="E1484" s="545"/>
      <c r="F1484" s="262"/>
    </row>
    <row r="1485" spans="2:6">
      <c r="C1485" s="217" t="s">
        <v>465</v>
      </c>
      <c r="D1485" s="264" t="s">
        <v>385</v>
      </c>
      <c r="E1485" s="545"/>
      <c r="F1485" s="262"/>
    </row>
    <row r="1486" spans="2:6">
      <c r="C1486" s="217" t="s">
        <v>466</v>
      </c>
      <c r="D1486" s="264" t="s">
        <v>385</v>
      </c>
      <c r="E1486" s="545"/>
      <c r="F1486" s="262"/>
    </row>
    <row r="1487" spans="2:6">
      <c r="C1487" s="217" t="s">
        <v>467</v>
      </c>
      <c r="D1487" s="264" t="s">
        <v>468</v>
      </c>
      <c r="E1487" s="545"/>
      <c r="F1487" s="262"/>
    </row>
    <row r="1488" spans="2:6">
      <c r="C1488" s="217" t="s">
        <v>469</v>
      </c>
      <c r="D1488" s="262" t="s">
        <v>394</v>
      </c>
      <c r="E1488" s="545"/>
      <c r="F1488" s="262"/>
    </row>
    <row r="1489" spans="2:6">
      <c r="C1489" s="217" t="s">
        <v>470</v>
      </c>
      <c r="D1489" s="262" t="s">
        <v>471</v>
      </c>
      <c r="E1489" s="545"/>
      <c r="F1489" s="262"/>
    </row>
    <row r="1490" spans="2:6">
      <c r="C1490" s="11"/>
      <c r="D1490" s="15"/>
      <c r="E1490" s="22"/>
      <c r="F1490" s="15"/>
    </row>
    <row r="1491" spans="2:6">
      <c r="B1491" s="578" t="s">
        <v>1202</v>
      </c>
      <c r="C1491" s="214" t="s">
        <v>44</v>
      </c>
      <c r="D1491" s="546" t="s">
        <v>353</v>
      </c>
      <c r="E1491" s="546" t="s">
        <v>354</v>
      </c>
      <c r="F1491" s="546" t="s">
        <v>355</v>
      </c>
    </row>
    <row r="1492" spans="2:6">
      <c r="C1492" s="216" t="s">
        <v>1510</v>
      </c>
      <c r="D1492" s="582">
        <v>0.02</v>
      </c>
      <c r="E1492" s="582">
        <v>0.02</v>
      </c>
      <c r="F1492" s="582">
        <v>0</v>
      </c>
    </row>
    <row r="1493" spans="2:6" ht="28.8">
      <c r="C1493" s="216" t="s">
        <v>472</v>
      </c>
      <c r="D1493" s="582">
        <v>0.56000000000000005</v>
      </c>
      <c r="E1493" s="582">
        <v>0.56000000000000005</v>
      </c>
      <c r="F1493" s="582">
        <v>0</v>
      </c>
    </row>
    <row r="1494" spans="2:6">
      <c r="C1494" s="216" t="s">
        <v>1511</v>
      </c>
      <c r="D1494" s="582">
        <v>0.15</v>
      </c>
      <c r="E1494" s="582">
        <v>0.15</v>
      </c>
      <c r="F1494" s="582"/>
    </row>
    <row r="1495" spans="2:6">
      <c r="C1495" s="216" t="s">
        <v>1512</v>
      </c>
      <c r="D1495" s="582">
        <v>0.15</v>
      </c>
      <c r="E1495" s="582">
        <v>0.15</v>
      </c>
      <c r="F1495" s="582">
        <v>0</v>
      </c>
    </row>
    <row r="1496" spans="2:6">
      <c r="C1496" s="216" t="s">
        <v>1513</v>
      </c>
      <c r="D1496" s="582">
        <v>7.0000000000000007E-2</v>
      </c>
      <c r="E1496" s="582">
        <v>7.0000000000000007E-2</v>
      </c>
      <c r="F1496" s="582">
        <v>0</v>
      </c>
    </row>
    <row r="1497" spans="2:6">
      <c r="C1497" s="216" t="s">
        <v>473</v>
      </c>
      <c r="D1497" s="582">
        <v>0.05</v>
      </c>
      <c r="E1497" s="582">
        <v>0.05</v>
      </c>
      <c r="F1497" s="582">
        <v>0</v>
      </c>
    </row>
    <row r="1498" spans="2:6">
      <c r="C1498" s="218"/>
      <c r="D1498" s="583">
        <f>SUM(D1492:D1497)</f>
        <v>1.0000000000000002</v>
      </c>
      <c r="E1498" s="583">
        <f>SUM(E1492:E1497)</f>
        <v>1.0000000000000002</v>
      </c>
      <c r="F1498" s="583">
        <f>SUM(F1492:F1497)</f>
        <v>0</v>
      </c>
    </row>
    <row r="1499" spans="2:6">
      <c r="C1499" s="218"/>
      <c r="D1499" s="583"/>
      <c r="E1499" s="583">
        <f>D1498-E1498</f>
        <v>0</v>
      </c>
      <c r="F1499" s="583">
        <f>E1498-F1498</f>
        <v>1.0000000000000002</v>
      </c>
    </row>
    <row r="1500" spans="2:6">
      <c r="C1500" s="217"/>
      <c r="D1500" s="262"/>
      <c r="E1500" s="545"/>
      <c r="F1500" s="262"/>
    </row>
    <row r="1501" spans="2:6">
      <c r="C1501" s="218" t="s">
        <v>419</v>
      </c>
      <c r="D1501" s="545" t="s">
        <v>394</v>
      </c>
      <c r="E1501" s="22"/>
      <c r="F1501" s="15"/>
    </row>
    <row r="1502" spans="2:6">
      <c r="C1502" s="11"/>
      <c r="D1502" s="15"/>
      <c r="E1502" s="22"/>
      <c r="F1502" s="15"/>
    </row>
    <row r="1503" spans="2:6">
      <c r="B1503" s="519" t="s">
        <v>1079</v>
      </c>
      <c r="C1503" s="214" t="s">
        <v>1514</v>
      </c>
      <c r="D1503" s="546" t="s">
        <v>353</v>
      </c>
      <c r="E1503" s="546" t="s">
        <v>354</v>
      </c>
      <c r="F1503" s="546" t="s">
        <v>355</v>
      </c>
    </row>
    <row r="1504" spans="2:6">
      <c r="C1504" s="216" t="s">
        <v>1515</v>
      </c>
      <c r="D1504" s="582">
        <v>0.3</v>
      </c>
      <c r="E1504" s="582">
        <v>0.3</v>
      </c>
      <c r="F1504" s="582">
        <v>0.1</v>
      </c>
    </row>
    <row r="1505" spans="2:6">
      <c r="C1505" s="217"/>
      <c r="D1505" s="583">
        <f>SUM(D1504:D1504)</f>
        <v>0.3</v>
      </c>
      <c r="E1505" s="583">
        <f>SUM(E1504:E1504)</f>
        <v>0.3</v>
      </c>
      <c r="F1505" s="583">
        <f>SUM(F1504:F1504)</f>
        <v>0.1</v>
      </c>
    </row>
    <row r="1506" spans="2:6">
      <c r="C1506" s="217"/>
      <c r="D1506" s="582"/>
      <c r="E1506" s="583">
        <f>D1505-E1505</f>
        <v>0</v>
      </c>
      <c r="F1506" s="583">
        <f>E1505-F1505</f>
        <v>0.19999999999999998</v>
      </c>
    </row>
    <row r="1507" spans="2:6">
      <c r="C1507" s="217"/>
      <c r="D1507" s="262"/>
      <c r="E1507" s="472"/>
      <c r="F1507" s="475"/>
    </row>
    <row r="1508" spans="2:6">
      <c r="C1508" s="218" t="s">
        <v>474</v>
      </c>
      <c r="D1508" s="545" t="s">
        <v>394</v>
      </c>
      <c r="E1508" s="472"/>
      <c r="F1508" s="475"/>
    </row>
    <row r="1509" spans="2:6">
      <c r="C1509" s="218" t="s">
        <v>475</v>
      </c>
      <c r="D1509" s="545" t="s">
        <v>476</v>
      </c>
      <c r="E1509" s="472"/>
      <c r="F1509" s="475"/>
    </row>
    <row r="1510" spans="2:6">
      <c r="C1510" s="217"/>
      <c r="D1510" s="262"/>
      <c r="E1510" s="22"/>
      <c r="F1510" s="15"/>
    </row>
    <row r="1511" spans="2:6">
      <c r="B1511" s="519" t="s">
        <v>1079</v>
      </c>
      <c r="C1511" s="214" t="s">
        <v>43</v>
      </c>
      <c r="D1511" s="546" t="s">
        <v>353</v>
      </c>
      <c r="E1511" s="546" t="s">
        <v>354</v>
      </c>
      <c r="F1511" s="546" t="s">
        <v>355</v>
      </c>
    </row>
    <row r="1512" spans="2:6" ht="28.8">
      <c r="C1512" s="216" t="s">
        <v>1516</v>
      </c>
      <c r="D1512" s="264">
        <v>0.02</v>
      </c>
      <c r="E1512" s="264">
        <v>0.02</v>
      </c>
      <c r="F1512" s="264">
        <v>0</v>
      </c>
    </row>
    <row r="1513" spans="2:6">
      <c r="C1513" s="216" t="s">
        <v>1517</v>
      </c>
      <c r="D1513" s="264">
        <v>0.8</v>
      </c>
      <c r="E1513" s="264">
        <v>0.8</v>
      </c>
      <c r="F1513" s="264">
        <v>0.8</v>
      </c>
    </row>
    <row r="1514" spans="2:6" ht="28.8">
      <c r="C1514" s="216" t="s">
        <v>1518</v>
      </c>
      <c r="D1514" s="582">
        <v>0.08</v>
      </c>
      <c r="E1514" s="582">
        <v>0.08</v>
      </c>
      <c r="F1514" s="582">
        <v>0.01</v>
      </c>
    </row>
    <row r="1515" spans="2:6">
      <c r="C1515" s="216" t="s">
        <v>1519</v>
      </c>
      <c r="D1515" s="582">
        <v>0.03</v>
      </c>
      <c r="E1515" s="582">
        <v>0.03</v>
      </c>
      <c r="F1515" s="582">
        <v>0.03</v>
      </c>
    </row>
    <row r="1516" spans="2:6" ht="28.8">
      <c r="C1516" s="216" t="s">
        <v>478</v>
      </c>
      <c r="D1516" s="264">
        <v>7.0000000000000007E-2</v>
      </c>
      <c r="E1516" s="264">
        <v>7.0000000000000007E-2</v>
      </c>
      <c r="F1516" s="264">
        <v>0.01</v>
      </c>
    </row>
    <row r="1517" spans="2:6">
      <c r="C1517" s="217"/>
      <c r="D1517" s="583">
        <f>SUM(D1512:D1516)</f>
        <v>1</v>
      </c>
      <c r="E1517" s="583">
        <f>SUM(E1512:E1516)</f>
        <v>1</v>
      </c>
      <c r="F1517" s="583">
        <f>SUM(F1512:F1516)</f>
        <v>0.85000000000000009</v>
      </c>
    </row>
    <row r="1518" spans="2:6">
      <c r="C1518" s="217"/>
      <c r="D1518" s="546"/>
      <c r="E1518" s="545">
        <f>D1517-E1517</f>
        <v>0</v>
      </c>
      <c r="F1518" s="583">
        <f>E1517-F1517</f>
        <v>0.14999999999999991</v>
      </c>
    </row>
    <row r="1519" spans="2:6">
      <c r="C1519" s="217" t="s">
        <v>419</v>
      </c>
      <c r="D1519" s="264" t="s">
        <v>394</v>
      </c>
      <c r="E1519" s="472"/>
      <c r="F1519" s="475"/>
    </row>
    <row r="1520" spans="2:6">
      <c r="C1520" s="11"/>
      <c r="D1520" s="15"/>
      <c r="E1520" s="22"/>
      <c r="F1520" s="15"/>
    </row>
    <row r="1521" spans="2:6">
      <c r="B1521" s="584" t="s">
        <v>1202</v>
      </c>
      <c r="C1521" s="12" t="s">
        <v>42</v>
      </c>
      <c r="D1521" s="16" t="s">
        <v>353</v>
      </c>
      <c r="E1521" s="16" t="s">
        <v>354</v>
      </c>
      <c r="F1521" s="16" t="s">
        <v>355</v>
      </c>
    </row>
    <row r="1522" spans="2:6" ht="28.8">
      <c r="C1522" s="187" t="s">
        <v>1520</v>
      </c>
      <c r="D1522" s="18">
        <v>0.02</v>
      </c>
      <c r="E1522" s="18">
        <v>0.02</v>
      </c>
      <c r="F1522" s="18">
        <v>0.02</v>
      </c>
    </row>
    <row r="1523" spans="2:6">
      <c r="C1523" s="187" t="s">
        <v>1521</v>
      </c>
      <c r="D1523" s="18">
        <v>0.6</v>
      </c>
      <c r="E1523" s="18">
        <v>0.6</v>
      </c>
      <c r="F1523" s="18">
        <v>0.6</v>
      </c>
    </row>
    <row r="1524" spans="2:6">
      <c r="C1524" s="187" t="s">
        <v>477</v>
      </c>
      <c r="D1524" s="17">
        <v>0.03</v>
      </c>
      <c r="E1524" s="17">
        <v>0.03</v>
      </c>
      <c r="F1524" s="17">
        <v>0.01</v>
      </c>
    </row>
    <row r="1525" spans="2:6">
      <c r="C1525" s="187" t="s">
        <v>479</v>
      </c>
      <c r="D1525" s="17">
        <v>0.2</v>
      </c>
      <c r="E1525" s="17">
        <v>0.2</v>
      </c>
      <c r="F1525" s="17">
        <v>0.2</v>
      </c>
    </row>
    <row r="1526" spans="2:6">
      <c r="C1526" s="187" t="s">
        <v>480</v>
      </c>
      <c r="D1526" s="18">
        <v>0.15</v>
      </c>
      <c r="E1526" s="18">
        <v>0.15</v>
      </c>
      <c r="F1526" s="18">
        <v>0.15</v>
      </c>
    </row>
    <row r="1527" spans="2:6">
      <c r="C1527" s="187" t="s">
        <v>1522</v>
      </c>
      <c r="D1527" s="18">
        <v>0.02</v>
      </c>
      <c r="E1527" s="18">
        <v>0.02</v>
      </c>
      <c r="F1527" s="18">
        <v>0.01</v>
      </c>
    </row>
    <row r="1528" spans="2:6">
      <c r="C1528" s="10"/>
      <c r="D1528" s="19">
        <f>SUM(D1522:D1526)</f>
        <v>1</v>
      </c>
      <c r="E1528" s="19">
        <f>SUM(E1522:E1526)</f>
        <v>1</v>
      </c>
      <c r="F1528" s="19">
        <f>SUM(F1522:F1526)</f>
        <v>0.98000000000000009</v>
      </c>
    </row>
    <row r="1529" spans="2:6">
      <c r="C1529" s="11"/>
      <c r="D1529" s="15"/>
      <c r="E1529" s="22">
        <f>D1528-E1528</f>
        <v>0</v>
      </c>
      <c r="F1529" s="19">
        <f>E1528-F1528</f>
        <v>1.9999999999999907E-2</v>
      </c>
    </row>
    <row r="1530" spans="2:6">
      <c r="C1530" s="11"/>
      <c r="D1530" s="15"/>
      <c r="E1530" s="472"/>
      <c r="F1530" s="467"/>
    </row>
    <row r="1531" spans="2:6">
      <c r="C1531" s="11"/>
      <c r="D1531" s="15"/>
      <c r="E1531" s="472"/>
      <c r="F1531" s="467"/>
    </row>
    <row r="1532" spans="2:6">
      <c r="C1532" s="10" t="s">
        <v>481</v>
      </c>
      <c r="D1532" s="22" t="s">
        <v>482</v>
      </c>
      <c r="E1532" s="472"/>
      <c r="F1532" s="475"/>
    </row>
    <row r="1533" spans="2:6">
      <c r="C1533" s="10" t="s">
        <v>483</v>
      </c>
      <c r="D1533" s="22" t="s">
        <v>484</v>
      </c>
      <c r="E1533" s="472"/>
      <c r="F1533" s="475"/>
    </row>
    <row r="1534" spans="2:6">
      <c r="C1534" s="11"/>
      <c r="D1534" s="15"/>
      <c r="E1534" s="472"/>
      <c r="F1534" s="475"/>
    </row>
    <row r="1535" spans="2:6">
      <c r="C1535" s="11"/>
      <c r="D1535" s="15"/>
      <c r="E1535" s="15"/>
      <c r="F1535" s="15"/>
    </row>
    <row r="1536" spans="2:6">
      <c r="B1536" s="519" t="s">
        <v>1079</v>
      </c>
      <c r="C1536" s="12" t="s">
        <v>25</v>
      </c>
      <c r="D1536" s="16" t="s">
        <v>353</v>
      </c>
      <c r="E1536" s="16" t="s">
        <v>354</v>
      </c>
      <c r="F1536" s="16" t="s">
        <v>355</v>
      </c>
    </row>
    <row r="1537" spans="2:6">
      <c r="C1537" s="11" t="s">
        <v>1523</v>
      </c>
      <c r="D1537" s="18">
        <v>0.05</v>
      </c>
      <c r="E1537" s="18">
        <v>0.05</v>
      </c>
      <c r="F1537" s="18">
        <v>0</v>
      </c>
    </row>
    <row r="1538" spans="2:6">
      <c r="C1538" s="11" t="s">
        <v>1524</v>
      </c>
      <c r="D1538" s="18">
        <v>0.4</v>
      </c>
      <c r="E1538" s="18">
        <v>0.4</v>
      </c>
      <c r="F1538" s="18">
        <v>0</v>
      </c>
    </row>
    <row r="1539" spans="2:6">
      <c r="C1539" s="11" t="s">
        <v>1525</v>
      </c>
      <c r="D1539" s="18">
        <v>0.3</v>
      </c>
      <c r="E1539" s="18">
        <v>0.3</v>
      </c>
      <c r="F1539" s="18">
        <v>0</v>
      </c>
    </row>
    <row r="1540" spans="2:6">
      <c r="C1540" s="11" t="s">
        <v>1526</v>
      </c>
      <c r="D1540" s="18">
        <v>0.2</v>
      </c>
      <c r="E1540" s="18">
        <v>0.2</v>
      </c>
      <c r="F1540" s="18">
        <v>0</v>
      </c>
    </row>
    <row r="1541" spans="2:6">
      <c r="C1541" s="11"/>
      <c r="D1541" s="18">
        <v>0.05</v>
      </c>
      <c r="E1541" s="18">
        <v>0.05</v>
      </c>
      <c r="F1541" s="18">
        <v>0</v>
      </c>
    </row>
    <row r="1542" spans="2:6">
      <c r="C1542" s="11"/>
      <c r="D1542" s="22">
        <f>SUM(D1537:D1541)</f>
        <v>1</v>
      </c>
      <c r="E1542" s="22">
        <f>SUM(E1537:E1541)</f>
        <v>1</v>
      </c>
      <c r="F1542" s="22">
        <f>SUM(F1537:F1541)</f>
        <v>0</v>
      </c>
    </row>
    <row r="1543" spans="2:6">
      <c r="C1543" s="11"/>
      <c r="D1543" s="15"/>
      <c r="E1543" s="18">
        <f>D1542-E1542</f>
        <v>0</v>
      </c>
      <c r="F1543" s="22">
        <f>E1542-F1542</f>
        <v>1</v>
      </c>
    </row>
    <row r="1544" spans="2:6">
      <c r="C1544" s="11"/>
      <c r="D1544" s="15"/>
      <c r="E1544" s="15"/>
      <c r="F1544" s="22"/>
    </row>
    <row r="1545" spans="2:6">
      <c r="C1545" s="10" t="s">
        <v>412</v>
      </c>
      <c r="D1545" s="15" t="s">
        <v>485</v>
      </c>
      <c r="E1545" s="15"/>
      <c r="F1545" s="15"/>
    </row>
    <row r="1546" spans="2:6">
      <c r="C1546" s="11"/>
      <c r="D1546" s="15"/>
      <c r="E1546" s="15"/>
      <c r="F1546" s="15"/>
    </row>
    <row r="1547" spans="2:6">
      <c r="B1547" s="519" t="s">
        <v>1079</v>
      </c>
      <c r="C1547" s="12" t="s">
        <v>26</v>
      </c>
      <c r="D1547" s="16" t="s">
        <v>353</v>
      </c>
      <c r="E1547" s="16" t="s">
        <v>354</v>
      </c>
      <c r="F1547" s="16" t="s">
        <v>355</v>
      </c>
    </row>
    <row r="1548" spans="2:6">
      <c r="C1548" s="11" t="s">
        <v>1527</v>
      </c>
      <c r="D1548" s="15"/>
      <c r="E1548" s="15"/>
      <c r="F1548" s="15"/>
    </row>
    <row r="1549" spans="2:6" ht="28.8">
      <c r="C1549" s="187" t="s">
        <v>1528</v>
      </c>
      <c r="D1549" s="16"/>
      <c r="E1549" s="16"/>
      <c r="F1549" s="16"/>
    </row>
    <row r="1550" spans="2:6">
      <c r="C1550" s="10"/>
      <c r="D1550" s="16"/>
      <c r="E1550" s="16"/>
      <c r="F1550" s="16"/>
    </row>
    <row r="1551" spans="2:6">
      <c r="C1551" s="10"/>
      <c r="D1551" s="16"/>
      <c r="E1551" s="16"/>
      <c r="F1551" s="16"/>
    </row>
    <row r="1552" spans="2:6">
      <c r="C1552" s="11"/>
      <c r="D1552" s="22" t="e">
        <f>SUM(#REF!)</f>
        <v>#REF!</v>
      </c>
      <c r="E1552" s="22" t="e">
        <f>SUM(#REF!)</f>
        <v>#REF!</v>
      </c>
      <c r="F1552" s="22" t="e">
        <f>SUM(#REF!)</f>
        <v>#REF!</v>
      </c>
    </row>
    <row r="1553" spans="2:6">
      <c r="C1553" s="11"/>
      <c r="D1553" s="15"/>
      <c r="E1553" s="18" t="e">
        <f>D1552-E1552</f>
        <v>#REF!</v>
      </c>
      <c r="F1553" s="22" t="e">
        <f>E1552-F1552</f>
        <v>#REF!</v>
      </c>
    </row>
    <row r="1554" spans="2:6">
      <c r="C1554" s="11"/>
      <c r="D1554" s="15"/>
      <c r="E1554" s="15"/>
      <c r="F1554" s="22"/>
    </row>
    <row r="1555" spans="2:6">
      <c r="C1555" s="10" t="s">
        <v>486</v>
      </c>
      <c r="D1555" s="16" t="s">
        <v>487</v>
      </c>
      <c r="E1555" s="15"/>
      <c r="F1555" s="22"/>
    </row>
    <row r="1556" spans="2:6">
      <c r="C1556" s="11"/>
      <c r="D1556" s="15"/>
      <c r="E1556" s="15"/>
      <c r="F1556" s="22"/>
    </row>
    <row r="1557" spans="2:6">
      <c r="C1557" s="11"/>
      <c r="D1557" s="15"/>
      <c r="E1557" s="15"/>
      <c r="F1557" s="15"/>
    </row>
    <row r="1558" spans="2:6">
      <c r="B1558" s="519" t="s">
        <v>1079</v>
      </c>
      <c r="C1558" s="12" t="s">
        <v>27</v>
      </c>
      <c r="D1558" s="16" t="s">
        <v>353</v>
      </c>
      <c r="E1558" s="16" t="s">
        <v>354</v>
      </c>
      <c r="F1558" s="16" t="s">
        <v>355</v>
      </c>
    </row>
    <row r="1559" spans="2:6" ht="28.8">
      <c r="C1559" s="187" t="s">
        <v>1529</v>
      </c>
      <c r="D1559" s="16"/>
      <c r="E1559" s="16"/>
      <c r="F1559" s="16"/>
    </row>
    <row r="1560" spans="2:6" ht="28.8">
      <c r="C1560" s="187" t="s">
        <v>1400</v>
      </c>
      <c r="D1560" s="17">
        <v>0.02</v>
      </c>
      <c r="E1560" s="17">
        <v>0.02</v>
      </c>
      <c r="F1560" s="17">
        <v>0</v>
      </c>
    </row>
    <row r="1561" spans="2:6" ht="28.8">
      <c r="C1561" s="187" t="s">
        <v>1530</v>
      </c>
      <c r="D1561" s="17">
        <v>0.1</v>
      </c>
      <c r="E1561" s="17">
        <v>0.1</v>
      </c>
      <c r="F1561" s="17">
        <v>0.05</v>
      </c>
    </row>
    <row r="1562" spans="2:6" ht="28.8">
      <c r="C1562" s="187" t="s">
        <v>488</v>
      </c>
      <c r="D1562" s="17">
        <v>0.02</v>
      </c>
      <c r="E1562" s="17">
        <v>0.02</v>
      </c>
      <c r="F1562" s="17">
        <v>0</v>
      </c>
    </row>
    <row r="1563" spans="2:6">
      <c r="C1563" s="187" t="s">
        <v>489</v>
      </c>
      <c r="D1563" s="17">
        <v>0.02</v>
      </c>
      <c r="E1563" s="17">
        <v>0.02</v>
      </c>
      <c r="F1563" s="17">
        <v>0</v>
      </c>
    </row>
    <row r="1564" spans="2:6">
      <c r="C1564" s="187" t="s">
        <v>1531</v>
      </c>
      <c r="D1564" s="17">
        <v>0.02</v>
      </c>
      <c r="E1564" s="17">
        <v>0.02</v>
      </c>
      <c r="F1564" s="17">
        <v>0</v>
      </c>
    </row>
    <row r="1565" spans="2:6">
      <c r="C1565" s="187" t="s">
        <v>1532</v>
      </c>
      <c r="D1565" s="17">
        <v>0.05</v>
      </c>
      <c r="E1565" s="17">
        <v>0.05</v>
      </c>
      <c r="F1565" s="17">
        <v>0.02</v>
      </c>
    </row>
    <row r="1566" spans="2:6">
      <c r="C1566" s="187" t="s">
        <v>1533</v>
      </c>
      <c r="D1566" s="17">
        <v>0.08</v>
      </c>
      <c r="E1566" s="17">
        <v>0.08</v>
      </c>
      <c r="F1566" s="17">
        <v>0.08</v>
      </c>
    </row>
    <row r="1567" spans="2:6">
      <c r="C1567" s="187" t="s">
        <v>1534</v>
      </c>
      <c r="D1567" s="17">
        <v>0.08</v>
      </c>
      <c r="E1567" s="17">
        <v>0.08</v>
      </c>
      <c r="F1567" s="17">
        <v>0.08</v>
      </c>
    </row>
    <row r="1568" spans="2:6">
      <c r="C1568" s="187" t="s">
        <v>1535</v>
      </c>
      <c r="D1568" s="17">
        <v>7.0000000000000007E-2</v>
      </c>
      <c r="E1568" s="17">
        <v>7.0000000000000007E-2</v>
      </c>
      <c r="F1568" s="17">
        <v>0</v>
      </c>
    </row>
    <row r="1569" spans="3:6">
      <c r="C1569" s="486" t="s">
        <v>490</v>
      </c>
      <c r="D1569" s="17">
        <v>0.08</v>
      </c>
      <c r="E1569" s="17">
        <v>0.08</v>
      </c>
      <c r="F1569" s="17">
        <v>0</v>
      </c>
    </row>
    <row r="1570" spans="3:6">
      <c r="C1570" s="486" t="s">
        <v>1536</v>
      </c>
      <c r="D1570" s="17">
        <v>0.05</v>
      </c>
      <c r="E1570" s="17">
        <v>0.05</v>
      </c>
      <c r="F1570" s="17">
        <v>0.05</v>
      </c>
    </row>
    <row r="1571" spans="3:6">
      <c r="C1571" s="486" t="s">
        <v>1537</v>
      </c>
      <c r="D1571" s="17">
        <v>0.05</v>
      </c>
      <c r="E1571" s="17">
        <v>0.05</v>
      </c>
      <c r="F1571" s="17">
        <v>0.05</v>
      </c>
    </row>
    <row r="1572" spans="3:6">
      <c r="C1572" s="187" t="s">
        <v>493</v>
      </c>
      <c r="D1572" s="17">
        <v>0.02</v>
      </c>
      <c r="E1572" s="17">
        <v>0.02</v>
      </c>
      <c r="F1572" s="17">
        <v>0</v>
      </c>
    </row>
    <row r="1573" spans="3:6">
      <c r="C1573" s="187" t="s">
        <v>494</v>
      </c>
      <c r="D1573" s="17">
        <v>0.02</v>
      </c>
      <c r="E1573" s="17">
        <v>0.02</v>
      </c>
      <c r="F1573" s="17">
        <v>0</v>
      </c>
    </row>
    <row r="1574" spans="3:6" ht="28.8">
      <c r="C1574" s="739" t="s">
        <v>1538</v>
      </c>
      <c r="D1574" s="17">
        <v>0.02</v>
      </c>
      <c r="E1574" s="17">
        <v>0.02</v>
      </c>
      <c r="F1574" s="17">
        <v>0.01</v>
      </c>
    </row>
    <row r="1575" spans="3:6">
      <c r="C1575" s="187" t="s">
        <v>1539</v>
      </c>
      <c r="D1575" s="17">
        <v>0.05</v>
      </c>
      <c r="E1575" s="17">
        <v>0.05</v>
      </c>
      <c r="F1575" s="17">
        <v>0</v>
      </c>
    </row>
    <row r="1576" spans="3:6">
      <c r="C1576" s="486" t="s">
        <v>1540</v>
      </c>
      <c r="D1576" s="17">
        <v>0.01</v>
      </c>
      <c r="E1576" s="17">
        <v>0.01</v>
      </c>
      <c r="F1576" s="17">
        <v>0</v>
      </c>
    </row>
    <row r="1577" spans="3:6">
      <c r="C1577" s="187" t="s">
        <v>495</v>
      </c>
      <c r="D1577" s="17">
        <v>0.05</v>
      </c>
      <c r="E1577" s="17">
        <v>0.05</v>
      </c>
      <c r="F1577" s="17">
        <v>0.05</v>
      </c>
    </row>
    <row r="1578" spans="3:6">
      <c r="C1578" s="187" t="s">
        <v>496</v>
      </c>
      <c r="D1578" s="17">
        <v>0.08</v>
      </c>
      <c r="E1578" s="17">
        <v>0.08</v>
      </c>
      <c r="F1578" s="17">
        <v>0.08</v>
      </c>
    </row>
    <row r="1579" spans="3:6">
      <c r="C1579" s="187" t="s">
        <v>497</v>
      </c>
      <c r="D1579" s="17">
        <v>0.02</v>
      </c>
      <c r="E1579" s="17">
        <v>0.02</v>
      </c>
      <c r="F1579" s="17">
        <v>0.02</v>
      </c>
    </row>
    <row r="1580" spans="3:6">
      <c r="C1580" s="187" t="s">
        <v>498</v>
      </c>
      <c r="D1580" s="17">
        <v>0.02</v>
      </c>
      <c r="E1580" s="17">
        <v>0.02</v>
      </c>
      <c r="F1580" s="17">
        <v>0.02</v>
      </c>
    </row>
    <row r="1581" spans="3:6">
      <c r="C1581" s="187" t="s">
        <v>499</v>
      </c>
      <c r="D1581" s="17">
        <v>0.01</v>
      </c>
      <c r="E1581" s="17">
        <v>0.01</v>
      </c>
      <c r="F1581" s="17">
        <v>0</v>
      </c>
    </row>
    <row r="1582" spans="3:6">
      <c r="C1582" s="187" t="s">
        <v>1541</v>
      </c>
      <c r="D1582" s="17">
        <v>0</v>
      </c>
      <c r="E1582" s="17">
        <v>0</v>
      </c>
      <c r="F1582" s="17">
        <v>0</v>
      </c>
    </row>
    <row r="1583" spans="3:6">
      <c r="C1583" s="187" t="s">
        <v>500</v>
      </c>
      <c r="D1583" s="17">
        <v>0.01</v>
      </c>
      <c r="E1583" s="17">
        <v>0.01</v>
      </c>
      <c r="F1583" s="17">
        <v>0</v>
      </c>
    </row>
    <row r="1584" spans="3:6">
      <c r="C1584" s="11"/>
      <c r="D1584" s="17">
        <f>SUM(D1560:D1583)</f>
        <v>0.95000000000000029</v>
      </c>
      <c r="E1584" s="17">
        <f>SUM(E1560:E1583)</f>
        <v>0.95000000000000029</v>
      </c>
      <c r="F1584" s="17">
        <f>SUM(F1560:F1583)</f>
        <v>0.51</v>
      </c>
    </row>
    <row r="1585" spans="2:6">
      <c r="C1585" s="11"/>
      <c r="D1585" s="15"/>
      <c r="E1585" s="18">
        <f>D1584-E1584</f>
        <v>0</v>
      </c>
      <c r="F1585" s="18">
        <f>E1584-F1584</f>
        <v>0.44000000000000028</v>
      </c>
    </row>
    <row r="1586" spans="2:6">
      <c r="C1586" s="11" t="s">
        <v>501</v>
      </c>
      <c r="D1586" s="15" t="s">
        <v>416</v>
      </c>
      <c r="E1586" s="15"/>
      <c r="F1586" s="15"/>
    </row>
    <row r="1587" spans="2:6">
      <c r="C1587" s="11"/>
      <c r="D1587" s="15"/>
      <c r="E1587" s="15"/>
      <c r="F1587" s="15"/>
    </row>
    <row r="1588" spans="2:6">
      <c r="B1588" s="519" t="s">
        <v>1079</v>
      </c>
      <c r="C1588" s="574" t="s">
        <v>502</v>
      </c>
      <c r="D1588" s="16" t="s">
        <v>353</v>
      </c>
      <c r="E1588" s="16" t="s">
        <v>354</v>
      </c>
      <c r="F1588" s="16" t="s">
        <v>355</v>
      </c>
    </row>
    <row r="1589" spans="2:6" ht="28.8">
      <c r="C1589" s="191" t="s">
        <v>1529</v>
      </c>
      <c r="D1589" s="742">
        <v>0.02</v>
      </c>
      <c r="E1589" s="17">
        <v>0.02</v>
      </c>
      <c r="F1589" s="17">
        <v>0</v>
      </c>
    </row>
    <row r="1590" spans="2:6" ht="28.8">
      <c r="C1590" s="189" t="s">
        <v>1400</v>
      </c>
      <c r="D1590" s="17"/>
      <c r="E1590" s="17"/>
      <c r="F1590" s="17"/>
    </row>
    <row r="1591" spans="2:6" ht="28.8">
      <c r="C1591" s="187" t="s">
        <v>1530</v>
      </c>
      <c r="D1591" s="17"/>
      <c r="E1591" s="17"/>
      <c r="F1591" s="17"/>
    </row>
    <row r="1592" spans="2:6" ht="28.8">
      <c r="C1592" s="187" t="s">
        <v>488</v>
      </c>
      <c r="D1592" s="17"/>
      <c r="E1592" s="17"/>
      <c r="F1592" s="17"/>
    </row>
    <row r="1593" spans="2:6">
      <c r="C1593" s="187" t="s">
        <v>489</v>
      </c>
      <c r="D1593" s="17">
        <v>0.02</v>
      </c>
      <c r="E1593" s="17">
        <v>0.02</v>
      </c>
      <c r="F1593" s="17">
        <v>0</v>
      </c>
    </row>
    <row r="1594" spans="2:6">
      <c r="C1594" s="187" t="s">
        <v>1542</v>
      </c>
      <c r="D1594" s="17"/>
      <c r="E1594" s="17"/>
      <c r="F1594" s="17"/>
    </row>
    <row r="1595" spans="2:6">
      <c r="C1595" s="187" t="s">
        <v>1532</v>
      </c>
      <c r="D1595" s="17"/>
      <c r="E1595" s="17"/>
      <c r="F1595" s="17"/>
    </row>
    <row r="1596" spans="2:6">
      <c r="C1596" s="187" t="s">
        <v>1533</v>
      </c>
      <c r="D1596" s="17">
        <v>0.02</v>
      </c>
      <c r="E1596" s="17">
        <v>0.02</v>
      </c>
      <c r="F1596" s="17">
        <v>0</v>
      </c>
    </row>
    <row r="1597" spans="2:6">
      <c r="C1597" s="187" t="s">
        <v>1534</v>
      </c>
      <c r="D1597" s="17">
        <v>0.05</v>
      </c>
      <c r="E1597" s="17">
        <v>0.05</v>
      </c>
      <c r="F1597" s="17">
        <v>0.02</v>
      </c>
    </row>
    <row r="1598" spans="2:6">
      <c r="C1598" s="187" t="s">
        <v>1543</v>
      </c>
      <c r="D1598" s="28">
        <v>7.0000000000000007E-2</v>
      </c>
      <c r="E1598" s="28">
        <v>7.0000000000000007E-2</v>
      </c>
      <c r="F1598" s="28">
        <v>0</v>
      </c>
    </row>
    <row r="1599" spans="2:6">
      <c r="C1599" s="187" t="s">
        <v>490</v>
      </c>
      <c r="D1599" s="28">
        <v>0.06</v>
      </c>
      <c r="E1599" s="28">
        <v>0.06</v>
      </c>
      <c r="F1599" s="28">
        <v>0</v>
      </c>
    </row>
    <row r="1600" spans="2:6">
      <c r="C1600" s="187" t="s">
        <v>491</v>
      </c>
      <c r="D1600" s="28">
        <v>0.05</v>
      </c>
      <c r="E1600" s="28">
        <v>0.05</v>
      </c>
      <c r="F1600" s="28">
        <v>0.05</v>
      </c>
    </row>
    <row r="1601" spans="3:6">
      <c r="C1601" s="187" t="s">
        <v>492</v>
      </c>
      <c r="D1601" s="28">
        <v>0.05</v>
      </c>
      <c r="E1601" s="28">
        <v>0.05</v>
      </c>
      <c r="F1601" s="28">
        <v>0.05</v>
      </c>
    </row>
    <row r="1602" spans="3:6">
      <c r="C1602" s="187" t="s">
        <v>493</v>
      </c>
      <c r="D1602" s="28">
        <v>0.02</v>
      </c>
      <c r="E1602" s="28">
        <v>0.02</v>
      </c>
      <c r="F1602" s="28">
        <v>0</v>
      </c>
    </row>
    <row r="1603" spans="3:6">
      <c r="C1603" s="187" t="s">
        <v>494</v>
      </c>
      <c r="D1603" s="28">
        <v>0.02</v>
      </c>
      <c r="E1603" s="28">
        <v>0.02</v>
      </c>
      <c r="F1603" s="28">
        <v>0</v>
      </c>
    </row>
    <row r="1604" spans="3:6">
      <c r="C1604" s="741" t="s">
        <v>1544</v>
      </c>
      <c r="D1604" s="28">
        <v>0.02</v>
      </c>
      <c r="E1604" s="28">
        <v>0.02</v>
      </c>
      <c r="F1604" s="28">
        <v>0.01</v>
      </c>
    </row>
    <row r="1605" spans="3:6">
      <c r="C1605" s="741" t="s">
        <v>503</v>
      </c>
      <c r="D1605" s="28">
        <v>0.05</v>
      </c>
      <c r="E1605" s="28">
        <v>0.05</v>
      </c>
      <c r="F1605" s="28">
        <v>0.05</v>
      </c>
    </row>
    <row r="1606" spans="3:6">
      <c r="C1606" s="741" t="s">
        <v>504</v>
      </c>
      <c r="D1606" s="28">
        <v>0.05</v>
      </c>
      <c r="E1606" s="28">
        <v>0.05</v>
      </c>
      <c r="F1606" s="28">
        <v>0.05</v>
      </c>
    </row>
    <row r="1607" spans="3:6">
      <c r="C1607" s="741" t="s">
        <v>505</v>
      </c>
      <c r="D1607" s="28">
        <v>7.0000000000000007E-2</v>
      </c>
      <c r="E1607" s="28">
        <v>7.0000000000000007E-2</v>
      </c>
      <c r="F1607" s="28">
        <v>7.0000000000000007E-2</v>
      </c>
    </row>
    <row r="1608" spans="3:6">
      <c r="C1608" s="741" t="s">
        <v>506</v>
      </c>
      <c r="D1608" s="28">
        <v>0.05</v>
      </c>
      <c r="E1608" s="28">
        <v>0.05</v>
      </c>
      <c r="F1608" s="28">
        <v>0.05</v>
      </c>
    </row>
    <row r="1609" spans="3:6">
      <c r="C1609" s="741" t="s">
        <v>507</v>
      </c>
      <c r="D1609" s="28">
        <v>7.0000000000000007E-2</v>
      </c>
      <c r="E1609" s="28">
        <v>7.0000000000000007E-2</v>
      </c>
      <c r="F1609" s="28">
        <v>7.0000000000000007E-2</v>
      </c>
    </row>
    <row r="1610" spans="3:6">
      <c r="C1610" s="741" t="s">
        <v>508</v>
      </c>
      <c r="D1610" s="28">
        <v>7.0000000000000007E-2</v>
      </c>
      <c r="E1610" s="28">
        <v>7.0000000000000007E-2</v>
      </c>
      <c r="F1610" s="28">
        <v>7.0000000000000007E-2</v>
      </c>
    </row>
    <row r="1611" spans="3:6">
      <c r="C1611" s="187" t="s">
        <v>509</v>
      </c>
      <c r="D1611" s="28">
        <v>0.02</v>
      </c>
      <c r="E1611" s="28">
        <v>0.02</v>
      </c>
      <c r="F1611" s="28">
        <v>0.01</v>
      </c>
    </row>
    <row r="1612" spans="3:6">
      <c r="C1612" s="187" t="s">
        <v>1539</v>
      </c>
      <c r="D1612" s="28">
        <v>0.01</v>
      </c>
      <c r="E1612" s="28">
        <v>0.01</v>
      </c>
      <c r="F1612" s="28">
        <v>0</v>
      </c>
    </row>
    <row r="1613" spans="3:6">
      <c r="C1613" s="741" t="s">
        <v>510</v>
      </c>
      <c r="D1613" s="28">
        <v>0.01</v>
      </c>
      <c r="E1613" s="28">
        <v>0.01</v>
      </c>
      <c r="F1613" s="28">
        <v>0</v>
      </c>
    </row>
    <row r="1614" spans="3:6">
      <c r="C1614" s="187" t="s">
        <v>1541</v>
      </c>
      <c r="D1614" s="28">
        <v>0</v>
      </c>
      <c r="E1614" s="28">
        <v>0</v>
      </c>
      <c r="F1614" s="28">
        <v>0</v>
      </c>
    </row>
    <row r="1615" spans="3:6">
      <c r="C1615" s="187" t="s">
        <v>1545</v>
      </c>
      <c r="D1615" s="28">
        <v>0.01</v>
      </c>
      <c r="E1615" s="28">
        <v>0.01</v>
      </c>
      <c r="F1615" s="28">
        <v>0</v>
      </c>
    </row>
    <row r="1616" spans="3:6">
      <c r="C1616" s="11"/>
      <c r="D1616" s="17">
        <f>SUM(D1589:D1615)</f>
        <v>0.81000000000000028</v>
      </c>
      <c r="E1616" s="17">
        <f>SUM(E1589:E1615)</f>
        <v>0.81000000000000028</v>
      </c>
      <c r="F1616" s="17">
        <f>SUM(F1589:F1615)</f>
        <v>0.5</v>
      </c>
    </row>
    <row r="1617" spans="2:6">
      <c r="C1617" s="11"/>
      <c r="D1617" s="17"/>
      <c r="E1617" s="17">
        <f>D1616-E1616</f>
        <v>0</v>
      </c>
      <c r="F1617" s="17">
        <f>E1616-F1616</f>
        <v>0.31000000000000028</v>
      </c>
    </row>
    <row r="1618" spans="2:6">
      <c r="C1618" s="11" t="s">
        <v>501</v>
      </c>
      <c r="D1618" s="17" t="s">
        <v>459</v>
      </c>
      <c r="E1618" s="17"/>
      <c r="F1618" s="17"/>
    </row>
    <row r="1619" spans="2:6">
      <c r="C1619" s="11"/>
      <c r="D1619" s="17"/>
      <c r="E1619" s="17"/>
      <c r="F1619" s="17"/>
    </row>
    <row r="1620" spans="2:6">
      <c r="C1620" s="11"/>
      <c r="D1620" s="17"/>
      <c r="E1620" s="17"/>
      <c r="F1620" s="17"/>
    </row>
    <row r="1621" spans="2:6">
      <c r="B1621" s="578" t="s">
        <v>1202</v>
      </c>
      <c r="C1621" s="12" t="s">
        <v>31</v>
      </c>
      <c r="D1621" s="16" t="s">
        <v>353</v>
      </c>
      <c r="E1621" s="16" t="s">
        <v>354</v>
      </c>
      <c r="F1621" s="16" t="s">
        <v>355</v>
      </c>
    </row>
    <row r="1622" spans="2:6">
      <c r="C1622" s="187" t="s">
        <v>511</v>
      </c>
      <c r="D1622" s="22">
        <v>0.2</v>
      </c>
      <c r="E1622" s="22">
        <v>0.2</v>
      </c>
      <c r="F1622" s="22">
        <v>0.2</v>
      </c>
    </row>
    <row r="1623" spans="2:6">
      <c r="C1623" s="187" t="s">
        <v>512</v>
      </c>
      <c r="D1623" s="22">
        <v>0.1</v>
      </c>
      <c r="E1623" s="22">
        <v>0.1</v>
      </c>
      <c r="F1623" s="22">
        <v>0.1</v>
      </c>
    </row>
    <row r="1624" spans="2:6">
      <c r="C1624" s="187" t="s">
        <v>513</v>
      </c>
      <c r="D1624" s="22">
        <v>0.05</v>
      </c>
      <c r="E1624" s="22">
        <v>0.05</v>
      </c>
      <c r="F1624" s="22">
        <v>0.05</v>
      </c>
    </row>
    <row r="1625" spans="2:6">
      <c r="C1625" s="187" t="s">
        <v>514</v>
      </c>
      <c r="D1625" s="22">
        <v>0.1</v>
      </c>
      <c r="E1625" s="22">
        <v>0.1</v>
      </c>
      <c r="F1625" s="22">
        <v>0.1</v>
      </c>
    </row>
    <row r="1626" spans="2:6" ht="28.8">
      <c r="C1626" s="187" t="s">
        <v>515</v>
      </c>
      <c r="D1626" s="22">
        <v>0.1</v>
      </c>
      <c r="E1626" s="22">
        <v>0.1</v>
      </c>
      <c r="F1626" s="22">
        <v>0.1</v>
      </c>
    </row>
    <row r="1627" spans="2:6" ht="28.8">
      <c r="C1627" s="187" t="s">
        <v>516</v>
      </c>
      <c r="D1627" s="22">
        <v>0.04</v>
      </c>
      <c r="E1627" s="22">
        <v>0.04</v>
      </c>
      <c r="F1627" s="22">
        <v>0.04</v>
      </c>
    </row>
    <row r="1628" spans="2:6">
      <c r="C1628" s="187" t="s">
        <v>517</v>
      </c>
      <c r="D1628" s="28">
        <v>7.0000000000000007E-2</v>
      </c>
      <c r="E1628" s="28">
        <v>7.0000000000000007E-2</v>
      </c>
      <c r="F1628" s="28">
        <v>7.0000000000000007E-2</v>
      </c>
    </row>
    <row r="1629" spans="2:6">
      <c r="C1629" s="187" t="s">
        <v>518</v>
      </c>
      <c r="D1629" s="28">
        <v>7.0000000000000007E-2</v>
      </c>
      <c r="E1629" s="28">
        <v>7.0000000000000007E-2</v>
      </c>
      <c r="F1629" s="28">
        <v>7.0000000000000007E-2</v>
      </c>
    </row>
    <row r="1630" spans="2:6" ht="28.8">
      <c r="C1630" s="187" t="s">
        <v>519</v>
      </c>
      <c r="D1630" s="28">
        <v>0.01</v>
      </c>
      <c r="E1630" s="28">
        <v>0.01</v>
      </c>
      <c r="F1630" s="28">
        <v>0.01</v>
      </c>
    </row>
    <row r="1631" spans="2:6">
      <c r="C1631" s="187" t="s">
        <v>520</v>
      </c>
      <c r="D1631" s="28">
        <v>0.01</v>
      </c>
      <c r="E1631" s="28">
        <v>0.01</v>
      </c>
      <c r="F1631" s="28">
        <v>0.01</v>
      </c>
    </row>
    <row r="1632" spans="2:6">
      <c r="C1632" s="187" t="s">
        <v>521</v>
      </c>
      <c r="D1632" s="28">
        <v>0.05</v>
      </c>
      <c r="E1632" s="28">
        <v>0.05</v>
      </c>
      <c r="F1632" s="28">
        <v>0.05</v>
      </c>
    </row>
    <row r="1633" spans="3:6">
      <c r="C1633" s="187" t="s">
        <v>522</v>
      </c>
      <c r="D1633" s="28">
        <v>0.03</v>
      </c>
      <c r="E1633" s="28">
        <v>0.03</v>
      </c>
      <c r="F1633" s="28">
        <v>0.03</v>
      </c>
    </row>
    <row r="1634" spans="3:6">
      <c r="C1634" s="187" t="s">
        <v>523</v>
      </c>
      <c r="D1634" s="28">
        <v>0.02</v>
      </c>
      <c r="E1634" s="28">
        <v>0.02</v>
      </c>
      <c r="F1634" s="28">
        <v>0.02</v>
      </c>
    </row>
    <row r="1635" spans="3:6">
      <c r="C1635" s="187" t="s">
        <v>524</v>
      </c>
      <c r="D1635" s="28">
        <v>0.02</v>
      </c>
      <c r="E1635" s="28">
        <v>0.02</v>
      </c>
      <c r="F1635" s="28">
        <v>0.02</v>
      </c>
    </row>
    <row r="1636" spans="3:6">
      <c r="C1636" s="187" t="s">
        <v>525</v>
      </c>
      <c r="D1636" s="28">
        <v>0.02</v>
      </c>
      <c r="E1636" s="28">
        <v>0.02</v>
      </c>
      <c r="F1636" s="28">
        <v>0.02</v>
      </c>
    </row>
    <row r="1637" spans="3:6" ht="28.8">
      <c r="C1637" s="187" t="s">
        <v>526</v>
      </c>
      <c r="D1637" s="28">
        <v>0.05</v>
      </c>
      <c r="E1637" s="28">
        <v>0.05</v>
      </c>
      <c r="F1637" s="28">
        <v>0.05</v>
      </c>
    </row>
    <row r="1638" spans="3:6">
      <c r="C1638" s="187" t="s">
        <v>527</v>
      </c>
      <c r="D1638" s="28">
        <v>0.05</v>
      </c>
      <c r="E1638" s="28">
        <v>0.05</v>
      </c>
      <c r="F1638" s="28">
        <v>0.05</v>
      </c>
    </row>
    <row r="1639" spans="3:6">
      <c r="C1639" s="187" t="s">
        <v>528</v>
      </c>
      <c r="D1639" s="28">
        <v>0.01</v>
      </c>
      <c r="E1639" s="28">
        <v>0.01</v>
      </c>
      <c r="F1639" s="28">
        <v>0.01</v>
      </c>
    </row>
    <row r="1640" spans="3:6">
      <c r="C1640" s="11"/>
      <c r="D1640" s="28">
        <f>SUM(D1622:D1639)</f>
        <v>1.0000000000000004</v>
      </c>
      <c r="E1640" s="28">
        <f>SUM(E1622:E1639)</f>
        <v>1.0000000000000004</v>
      </c>
      <c r="F1640" s="28">
        <f>SUM(F1622:F1639)</f>
        <v>1.0000000000000004</v>
      </c>
    </row>
    <row r="1641" spans="3:6">
      <c r="C1641" s="11"/>
      <c r="D1641" s="28"/>
      <c r="E1641" s="28">
        <f>D1640-E1640</f>
        <v>0</v>
      </c>
      <c r="F1641" s="28">
        <f>E1640-F1640</f>
        <v>0</v>
      </c>
    </row>
    <row r="1642" spans="3:6">
      <c r="C1642" s="11" t="s">
        <v>529</v>
      </c>
      <c r="D1642" s="28" t="s">
        <v>530</v>
      </c>
      <c r="E1642" s="28"/>
      <c r="F1642" s="28"/>
    </row>
    <row r="1643" spans="3:6">
      <c r="C1643" s="11"/>
      <c r="D1643" s="28"/>
      <c r="E1643" s="28"/>
      <c r="F1643" s="28"/>
    </row>
    <row r="1644" spans="3:6">
      <c r="C1644" s="12" t="s">
        <v>32</v>
      </c>
      <c r="D1644" s="16" t="s">
        <v>353</v>
      </c>
      <c r="E1644" s="16" t="s">
        <v>354</v>
      </c>
      <c r="F1644" s="16" t="s">
        <v>355</v>
      </c>
    </row>
    <row r="1645" spans="3:6">
      <c r="C1645" s="187" t="s">
        <v>531</v>
      </c>
      <c r="D1645" s="18">
        <v>5.0000000000000001E-3</v>
      </c>
      <c r="E1645" s="18">
        <v>5.0000000000000001E-3</v>
      </c>
      <c r="F1645" s="22">
        <v>0</v>
      </c>
    </row>
    <row r="1646" spans="3:6">
      <c r="C1646" s="187" t="s">
        <v>532</v>
      </c>
      <c r="D1646" s="18">
        <v>0.01</v>
      </c>
      <c r="E1646" s="18">
        <v>0.01</v>
      </c>
      <c r="F1646" s="22">
        <v>0</v>
      </c>
    </row>
    <row r="1647" spans="3:6" ht="28.8">
      <c r="C1647" s="187" t="s">
        <v>533</v>
      </c>
      <c r="D1647" s="18">
        <v>0.01</v>
      </c>
      <c r="E1647" s="18">
        <v>0.01</v>
      </c>
      <c r="F1647" s="18">
        <v>0</v>
      </c>
    </row>
    <row r="1648" spans="3:6">
      <c r="C1648" s="187" t="s">
        <v>534</v>
      </c>
      <c r="D1648" s="18">
        <v>0.01</v>
      </c>
      <c r="E1648" s="18">
        <v>0.01</v>
      </c>
      <c r="F1648" s="18">
        <v>0</v>
      </c>
    </row>
    <row r="1649" spans="3:6">
      <c r="C1649" s="187" t="s">
        <v>535</v>
      </c>
      <c r="D1649" s="18">
        <v>0.01</v>
      </c>
      <c r="E1649" s="18">
        <v>0.01</v>
      </c>
      <c r="F1649" s="18">
        <v>0.01</v>
      </c>
    </row>
    <row r="1650" spans="3:6" ht="28.8">
      <c r="C1650" s="187" t="s">
        <v>536</v>
      </c>
      <c r="D1650" s="18">
        <v>0.12</v>
      </c>
      <c r="E1650" s="18">
        <v>0.12</v>
      </c>
      <c r="F1650" s="18">
        <v>0.12</v>
      </c>
    </row>
    <row r="1651" spans="3:6">
      <c r="C1651" s="187" t="s">
        <v>537</v>
      </c>
      <c r="D1651" s="18">
        <v>0.05</v>
      </c>
      <c r="E1651" s="18">
        <v>0.05</v>
      </c>
      <c r="F1651" s="18">
        <v>0.05</v>
      </c>
    </row>
    <row r="1652" spans="3:6">
      <c r="C1652" s="187" t="s">
        <v>538</v>
      </c>
      <c r="D1652" s="18">
        <v>0.2</v>
      </c>
      <c r="E1652" s="18">
        <v>0.2</v>
      </c>
      <c r="F1652" s="18">
        <v>0.1</v>
      </c>
    </row>
    <row r="1653" spans="3:6">
      <c r="C1653" s="187" t="s">
        <v>539</v>
      </c>
      <c r="D1653" s="18">
        <v>0.01</v>
      </c>
      <c r="E1653" s="18">
        <v>0.01</v>
      </c>
      <c r="F1653" s="18">
        <v>0.01</v>
      </c>
    </row>
    <row r="1654" spans="3:6" ht="28.8">
      <c r="C1654" s="187" t="s">
        <v>540</v>
      </c>
      <c r="D1654" s="18">
        <v>0.01</v>
      </c>
      <c r="E1654" s="18">
        <v>0.01</v>
      </c>
      <c r="F1654" s="18">
        <v>0.01</v>
      </c>
    </row>
    <row r="1655" spans="3:6" ht="28.8">
      <c r="C1655" s="187" t="s">
        <v>541</v>
      </c>
      <c r="D1655" s="18">
        <v>0.01</v>
      </c>
      <c r="E1655" s="18">
        <v>0.01</v>
      </c>
      <c r="F1655" s="18">
        <v>0.01</v>
      </c>
    </row>
    <row r="1656" spans="3:6" ht="28.8">
      <c r="C1656" s="187" t="s">
        <v>542</v>
      </c>
      <c r="D1656" s="18">
        <v>0.01</v>
      </c>
      <c r="E1656" s="18">
        <v>0.01</v>
      </c>
      <c r="F1656" s="18">
        <v>0.01</v>
      </c>
    </row>
    <row r="1657" spans="3:6">
      <c r="C1657" s="187" t="s">
        <v>543</v>
      </c>
      <c r="D1657" s="18">
        <v>0.05</v>
      </c>
      <c r="E1657" s="18">
        <v>0.05</v>
      </c>
      <c r="F1657" s="18">
        <v>0.05</v>
      </c>
    </row>
    <row r="1658" spans="3:6">
      <c r="C1658" s="187" t="s">
        <v>544</v>
      </c>
      <c r="D1658" s="18">
        <v>0.01</v>
      </c>
      <c r="E1658" s="18">
        <v>0.01</v>
      </c>
      <c r="F1658" s="18">
        <v>0.01</v>
      </c>
    </row>
    <row r="1659" spans="3:6">
      <c r="C1659" s="187" t="s">
        <v>545</v>
      </c>
      <c r="D1659" s="18">
        <v>0.05</v>
      </c>
      <c r="E1659" s="18">
        <v>0.05</v>
      </c>
      <c r="F1659" s="18">
        <v>0.05</v>
      </c>
    </row>
    <row r="1660" spans="3:6">
      <c r="C1660" s="187" t="s">
        <v>546</v>
      </c>
      <c r="D1660" s="18">
        <v>0.01</v>
      </c>
      <c r="E1660" s="18">
        <v>0.01</v>
      </c>
      <c r="F1660" s="18">
        <v>0.01</v>
      </c>
    </row>
    <row r="1661" spans="3:6" ht="28.8">
      <c r="C1661" s="187" t="s">
        <v>547</v>
      </c>
      <c r="D1661" s="18">
        <v>0.01</v>
      </c>
      <c r="E1661" s="18">
        <v>0.01</v>
      </c>
      <c r="F1661" s="18">
        <v>0.01</v>
      </c>
    </row>
    <row r="1662" spans="3:6" ht="28.8">
      <c r="C1662" s="187" t="s">
        <v>548</v>
      </c>
      <c r="D1662" s="18">
        <v>0.01</v>
      </c>
      <c r="E1662" s="18">
        <v>0.01</v>
      </c>
      <c r="F1662" s="18">
        <v>0.01</v>
      </c>
    </row>
    <row r="1663" spans="3:6">
      <c r="C1663" s="187" t="s">
        <v>549</v>
      </c>
      <c r="D1663" s="18">
        <v>0.05</v>
      </c>
      <c r="E1663" s="18">
        <v>0.05</v>
      </c>
      <c r="F1663" s="18">
        <v>0.05</v>
      </c>
    </row>
    <row r="1664" spans="3:6">
      <c r="C1664" s="187" t="s">
        <v>550</v>
      </c>
      <c r="D1664" s="18">
        <v>0.01</v>
      </c>
      <c r="E1664" s="18">
        <v>0.01</v>
      </c>
      <c r="F1664" s="18">
        <v>0.01</v>
      </c>
    </row>
    <row r="1665" spans="3:6">
      <c r="C1665" s="187" t="s">
        <v>551</v>
      </c>
      <c r="D1665" s="18">
        <v>0.01</v>
      </c>
      <c r="E1665" s="18">
        <v>0.01</v>
      </c>
      <c r="F1665" s="18">
        <v>0.01</v>
      </c>
    </row>
    <row r="1666" spans="3:6">
      <c r="C1666" s="187" t="s">
        <v>552</v>
      </c>
      <c r="D1666" s="18">
        <v>0.01</v>
      </c>
      <c r="E1666" s="18">
        <v>0.01</v>
      </c>
      <c r="F1666" s="18">
        <v>0.01</v>
      </c>
    </row>
    <row r="1667" spans="3:6">
      <c r="C1667" s="187" t="s">
        <v>553</v>
      </c>
      <c r="D1667" s="18">
        <v>0.01</v>
      </c>
      <c r="E1667" s="18">
        <v>0.01</v>
      </c>
      <c r="F1667" s="18">
        <v>0.01</v>
      </c>
    </row>
    <row r="1668" spans="3:6">
      <c r="C1668" s="187" t="s">
        <v>554</v>
      </c>
      <c r="D1668" s="18">
        <v>0.03</v>
      </c>
      <c r="E1668" s="18">
        <v>0.03</v>
      </c>
      <c r="F1668" s="18">
        <v>0.03</v>
      </c>
    </row>
    <row r="1669" spans="3:6">
      <c r="C1669" s="187" t="s">
        <v>555</v>
      </c>
      <c r="D1669" s="18">
        <v>0.01</v>
      </c>
      <c r="E1669" s="18">
        <v>0.01</v>
      </c>
      <c r="F1669" s="18">
        <v>0.01</v>
      </c>
    </row>
    <row r="1670" spans="3:6">
      <c r="C1670" s="187" t="s">
        <v>556</v>
      </c>
      <c r="D1670" s="18">
        <v>0.05</v>
      </c>
      <c r="E1670" s="18">
        <v>0.05</v>
      </c>
      <c r="F1670" s="18">
        <v>0.05</v>
      </c>
    </row>
    <row r="1671" spans="3:6" ht="28.8">
      <c r="C1671" s="187" t="s">
        <v>557</v>
      </c>
      <c r="D1671" s="18">
        <v>0.01</v>
      </c>
      <c r="E1671" s="18">
        <v>0.01</v>
      </c>
      <c r="F1671" s="18">
        <v>0.01</v>
      </c>
    </row>
    <row r="1672" spans="3:6" ht="28.8">
      <c r="C1672" s="187" t="s">
        <v>558</v>
      </c>
      <c r="D1672" s="18">
        <v>0.03</v>
      </c>
      <c r="E1672" s="18">
        <v>0.03</v>
      </c>
      <c r="F1672" s="18">
        <v>0.03</v>
      </c>
    </row>
    <row r="1673" spans="3:6">
      <c r="C1673" s="187" t="s">
        <v>559</v>
      </c>
      <c r="D1673" s="18">
        <v>0.01</v>
      </c>
      <c r="E1673" s="18">
        <v>0.01</v>
      </c>
      <c r="F1673" s="18">
        <v>0.01</v>
      </c>
    </row>
    <row r="1674" spans="3:6">
      <c r="C1674" s="187" t="s">
        <v>560</v>
      </c>
      <c r="D1674" s="18">
        <v>0.01</v>
      </c>
      <c r="E1674" s="18">
        <v>0.01</v>
      </c>
      <c r="F1674" s="18">
        <v>0.01</v>
      </c>
    </row>
    <row r="1675" spans="3:6">
      <c r="C1675" s="187" t="s">
        <v>561</v>
      </c>
      <c r="D1675" s="18">
        <v>0.01</v>
      </c>
      <c r="E1675" s="18">
        <v>0.01</v>
      </c>
      <c r="F1675" s="18">
        <v>0.01</v>
      </c>
    </row>
    <row r="1676" spans="3:6" ht="28.8">
      <c r="C1676" s="187" t="s">
        <v>562</v>
      </c>
      <c r="D1676" s="18">
        <v>0.05</v>
      </c>
      <c r="E1676" s="18">
        <v>0.05</v>
      </c>
      <c r="F1676" s="18">
        <v>0.05</v>
      </c>
    </row>
    <row r="1677" spans="3:6">
      <c r="C1677" s="187" t="s">
        <v>563</v>
      </c>
      <c r="D1677" s="18">
        <v>0.05</v>
      </c>
      <c r="E1677" s="18">
        <v>0.05</v>
      </c>
      <c r="F1677" s="18">
        <v>0.05</v>
      </c>
    </row>
    <row r="1678" spans="3:6" ht="28.8">
      <c r="C1678" s="187" t="s">
        <v>564</v>
      </c>
      <c r="D1678" s="18">
        <v>0.05</v>
      </c>
      <c r="E1678" s="18">
        <v>0.05</v>
      </c>
      <c r="F1678" s="18">
        <v>0.05</v>
      </c>
    </row>
    <row r="1679" spans="3:6">
      <c r="C1679" s="11"/>
      <c r="D1679" s="22">
        <f>SUM(D1645:D1678)</f>
        <v>0.99500000000000055</v>
      </c>
      <c r="E1679" s="22">
        <f>SUM(E1645:E1678)</f>
        <v>0.99500000000000055</v>
      </c>
      <c r="F1679" s="18">
        <f>SUM(F1645:F1678)</f>
        <v>0.86000000000000043</v>
      </c>
    </row>
    <row r="1680" spans="3:6">
      <c r="C1680" s="11"/>
      <c r="D1680" s="18"/>
      <c r="E1680" s="18">
        <f>D1679-E1679</f>
        <v>0</v>
      </c>
      <c r="F1680" s="18">
        <f>E1679-F1679</f>
        <v>0.13500000000000012</v>
      </c>
    </row>
    <row r="1681" spans="3:6">
      <c r="C1681" s="10" t="s">
        <v>565</v>
      </c>
      <c r="D1681" s="15" t="s">
        <v>566</v>
      </c>
      <c r="E1681" s="15"/>
      <c r="F1681" s="15"/>
    </row>
    <row r="1682" spans="3:6">
      <c r="C1682" s="11"/>
      <c r="D1682" s="15"/>
      <c r="E1682" s="15"/>
      <c r="F1682" s="15"/>
    </row>
    <row r="1683" spans="3:6">
      <c r="C1683" s="11"/>
      <c r="D1683" s="15"/>
      <c r="E1683" s="15"/>
      <c r="F1683" s="15"/>
    </row>
    <row r="1684" spans="3:6">
      <c r="C1684" s="11"/>
      <c r="D1684" s="15"/>
      <c r="E1684" s="15"/>
      <c r="F1684" s="15"/>
    </row>
    <row r="1685" spans="3:6">
      <c r="C1685" s="11"/>
      <c r="D1685" s="15"/>
      <c r="E1685" s="15"/>
      <c r="F1685" s="15"/>
    </row>
    <row r="1686" spans="3:6">
      <c r="C1686" s="11"/>
      <c r="D1686" s="15"/>
      <c r="E1686" s="15"/>
      <c r="F1686" s="15"/>
    </row>
    <row r="1687" spans="3:6">
      <c r="C1687" s="12" t="s">
        <v>1546</v>
      </c>
      <c r="D1687" s="16" t="s">
        <v>353</v>
      </c>
      <c r="E1687" s="16" t="s">
        <v>354</v>
      </c>
      <c r="F1687" s="16" t="s">
        <v>355</v>
      </c>
    </row>
    <row r="1688" spans="3:6" ht="28.8">
      <c r="C1688" s="187" t="s">
        <v>1547</v>
      </c>
      <c r="D1688" s="18">
        <v>0.02</v>
      </c>
      <c r="E1688" s="18">
        <v>0.02</v>
      </c>
      <c r="F1688" s="18">
        <v>0</v>
      </c>
    </row>
    <row r="1689" spans="3:6" ht="28.8">
      <c r="C1689" s="187" t="s">
        <v>1547</v>
      </c>
      <c r="D1689" s="18"/>
      <c r="E1689" s="18"/>
      <c r="F1689" s="18"/>
    </row>
    <row r="1690" spans="3:6">
      <c r="C1690" s="187" t="s">
        <v>568</v>
      </c>
      <c r="D1690" s="18">
        <v>0.25</v>
      </c>
      <c r="E1690" s="18">
        <v>0.25</v>
      </c>
      <c r="F1690" s="18">
        <v>0.1</v>
      </c>
    </row>
    <row r="1691" spans="3:6">
      <c r="C1691" s="187" t="s">
        <v>569</v>
      </c>
      <c r="D1691" s="18">
        <v>0.12</v>
      </c>
      <c r="E1691" s="18">
        <v>0.12</v>
      </c>
      <c r="F1691" s="18">
        <v>0</v>
      </c>
    </row>
    <row r="1692" spans="3:6">
      <c r="C1692" s="187" t="s">
        <v>570</v>
      </c>
      <c r="D1692" s="18">
        <v>0.12</v>
      </c>
      <c r="E1692" s="18">
        <v>0.12</v>
      </c>
      <c r="F1692" s="18">
        <v>0</v>
      </c>
    </row>
    <row r="1693" spans="3:6">
      <c r="C1693" s="187" t="s">
        <v>571</v>
      </c>
      <c r="D1693" s="18">
        <v>0.05</v>
      </c>
      <c r="E1693" s="18">
        <v>0.05</v>
      </c>
      <c r="F1693" s="18">
        <v>0.02</v>
      </c>
    </row>
    <row r="1694" spans="3:6">
      <c r="C1694" s="187" t="s">
        <v>572</v>
      </c>
      <c r="D1694" s="18">
        <v>0.1</v>
      </c>
      <c r="E1694" s="18">
        <v>0.1</v>
      </c>
      <c r="F1694" s="18">
        <v>0</v>
      </c>
    </row>
    <row r="1695" spans="3:6">
      <c r="C1695" s="187" t="s">
        <v>573</v>
      </c>
      <c r="D1695" s="18">
        <v>0.05</v>
      </c>
      <c r="E1695" s="18">
        <v>0.05</v>
      </c>
      <c r="F1695" s="18">
        <v>0.05</v>
      </c>
    </row>
    <row r="1696" spans="3:6">
      <c r="C1696" s="187" t="s">
        <v>574</v>
      </c>
      <c r="D1696" s="18">
        <v>0.05</v>
      </c>
      <c r="E1696" s="18">
        <v>0.05</v>
      </c>
      <c r="F1696" s="18">
        <v>0.05</v>
      </c>
    </row>
    <row r="1697" spans="2:6">
      <c r="C1697" s="187" t="s">
        <v>575</v>
      </c>
      <c r="D1697" s="18">
        <v>0.05</v>
      </c>
      <c r="E1697" s="18">
        <v>0.05</v>
      </c>
      <c r="F1697" s="18">
        <v>0.03</v>
      </c>
    </row>
    <row r="1698" spans="2:6" ht="28.8">
      <c r="C1698" s="187" t="s">
        <v>576</v>
      </c>
      <c r="D1698" s="18">
        <v>0.02</v>
      </c>
      <c r="E1698" s="18">
        <v>0.02</v>
      </c>
      <c r="F1698" s="18">
        <v>0.02</v>
      </c>
    </row>
    <row r="1699" spans="2:6">
      <c r="C1699" s="187" t="s">
        <v>1548</v>
      </c>
      <c r="D1699" s="18">
        <v>0.12</v>
      </c>
      <c r="E1699" s="18">
        <v>0.12</v>
      </c>
      <c r="F1699" s="18">
        <v>0.12</v>
      </c>
    </row>
    <row r="1700" spans="2:6">
      <c r="C1700" s="187" t="s">
        <v>578</v>
      </c>
      <c r="D1700" s="18">
        <v>0.05</v>
      </c>
      <c r="E1700" s="18">
        <v>2.5000000000000001E-2</v>
      </c>
      <c r="F1700" s="18">
        <v>0</v>
      </c>
    </row>
    <row r="1701" spans="2:6">
      <c r="C1701" s="11"/>
      <c r="D1701" s="22">
        <f>SUM(D1688:D1700)</f>
        <v>1.0000000000000002</v>
      </c>
      <c r="E1701" s="22">
        <f>SUM(E1688:E1700)</f>
        <v>0.9750000000000002</v>
      </c>
      <c r="F1701" s="22">
        <f>SUM(F1688:F1700)</f>
        <v>0.39</v>
      </c>
    </row>
    <row r="1702" spans="2:6">
      <c r="C1702" s="11"/>
      <c r="D1702" s="16"/>
      <c r="E1702" s="22">
        <f>D1701-E1701</f>
        <v>2.5000000000000022E-2</v>
      </c>
      <c r="F1702" s="22">
        <f>E1701-F1701</f>
        <v>0.58500000000000019</v>
      </c>
    </row>
    <row r="1703" spans="2:6">
      <c r="C1703" s="11" t="s">
        <v>501</v>
      </c>
      <c r="D1703" s="15" t="s">
        <v>579</v>
      </c>
      <c r="E1703" s="15"/>
      <c r="F1703" s="15"/>
    </row>
    <row r="1704" spans="2:6">
      <c r="C1704" s="11"/>
      <c r="D1704" s="15"/>
      <c r="E1704" s="15"/>
      <c r="F1704" s="15"/>
    </row>
    <row r="1705" spans="2:6">
      <c r="B1705" s="519" t="s">
        <v>1079</v>
      </c>
      <c r="C1705" s="12" t="s">
        <v>33</v>
      </c>
      <c r="D1705" s="16" t="s">
        <v>353</v>
      </c>
      <c r="E1705" s="16" t="s">
        <v>354</v>
      </c>
      <c r="F1705" s="16" t="s">
        <v>355</v>
      </c>
    </row>
    <row r="1706" spans="2:6" ht="28.8">
      <c r="C1706" s="187" t="s">
        <v>1549</v>
      </c>
      <c r="D1706" s="16"/>
      <c r="E1706" s="16"/>
      <c r="F1706" s="16"/>
    </row>
    <row r="1707" spans="2:6">
      <c r="C1707" s="11"/>
      <c r="D1707" s="18" t="e">
        <f>SUM(#REF!)</f>
        <v>#REF!</v>
      </c>
      <c r="E1707" s="18" t="e">
        <f>SUM(#REF!)</f>
        <v>#REF!</v>
      </c>
      <c r="F1707" s="18">
        <v>0</v>
      </c>
    </row>
    <row r="1708" spans="2:6">
      <c r="C1708" s="11"/>
      <c r="D1708" s="15"/>
      <c r="E1708" s="18" t="e">
        <f>D1707-E1707</f>
        <v>#REF!</v>
      </c>
      <c r="F1708" s="18" t="e">
        <f>E1707-F1707</f>
        <v>#REF!</v>
      </c>
    </row>
    <row r="1709" spans="2:6">
      <c r="C1709" s="11" t="s">
        <v>501</v>
      </c>
      <c r="D1709" s="15" t="s">
        <v>428</v>
      </c>
      <c r="E1709" s="15"/>
      <c r="F1709" s="15"/>
    </row>
    <row r="1710" spans="2:6">
      <c r="C1710" s="11"/>
      <c r="D1710" s="15"/>
      <c r="E1710" s="15"/>
      <c r="F1710" s="15"/>
    </row>
    <row r="1711" spans="2:6">
      <c r="B1711" s="519" t="s">
        <v>1079</v>
      </c>
      <c r="C1711" s="12" t="s">
        <v>34</v>
      </c>
      <c r="D1711" s="16" t="s">
        <v>353</v>
      </c>
      <c r="E1711" s="16" t="s">
        <v>354</v>
      </c>
      <c r="F1711" s="16" t="s">
        <v>355</v>
      </c>
    </row>
    <row r="1712" spans="2:6">
      <c r="C1712" s="11" t="s">
        <v>580</v>
      </c>
      <c r="D1712" s="18">
        <v>0.05</v>
      </c>
      <c r="E1712" s="18">
        <v>0.05</v>
      </c>
      <c r="F1712" s="18">
        <v>0</v>
      </c>
    </row>
    <row r="1713" spans="2:6">
      <c r="C1713" s="11" t="s">
        <v>581</v>
      </c>
      <c r="D1713" s="18">
        <v>0.15</v>
      </c>
      <c r="E1713" s="18">
        <v>0.15</v>
      </c>
      <c r="F1713" s="18">
        <v>0</v>
      </c>
    </row>
    <row r="1714" spans="2:6">
      <c r="C1714" s="11" t="s">
        <v>582</v>
      </c>
      <c r="D1714" s="18">
        <v>0.05</v>
      </c>
      <c r="E1714" s="18">
        <v>0.05</v>
      </c>
      <c r="F1714" s="18">
        <v>0</v>
      </c>
    </row>
    <row r="1715" spans="2:6">
      <c r="C1715" s="187" t="s">
        <v>1550</v>
      </c>
      <c r="D1715" s="18">
        <v>0.25</v>
      </c>
      <c r="E1715" s="18">
        <v>0.25</v>
      </c>
      <c r="F1715" s="18">
        <v>0</v>
      </c>
    </row>
    <row r="1716" spans="2:6">
      <c r="C1716" s="11"/>
      <c r="D1716" s="18">
        <f>SUM(D1712:D1715)</f>
        <v>0.5</v>
      </c>
      <c r="E1716" s="18">
        <f>SUM(E1712:E1715)</f>
        <v>0.5</v>
      </c>
      <c r="F1716" s="18">
        <v>0</v>
      </c>
    </row>
    <row r="1717" spans="2:6">
      <c r="C1717" s="11"/>
      <c r="D1717" s="15"/>
      <c r="E1717" s="18">
        <f>D1716-E1716</f>
        <v>0</v>
      </c>
      <c r="F1717" s="18">
        <f>E1716-F1716</f>
        <v>0.5</v>
      </c>
    </row>
    <row r="1718" spans="2:6">
      <c r="C1718" s="11" t="s">
        <v>501</v>
      </c>
      <c r="D1718" s="15" t="s">
        <v>372</v>
      </c>
      <c r="E1718" s="15"/>
      <c r="F1718" s="15"/>
    </row>
    <row r="1719" spans="2:6">
      <c r="C1719" s="11"/>
      <c r="D1719" s="15"/>
      <c r="E1719" s="15"/>
      <c r="F1719" s="15"/>
    </row>
    <row r="1720" spans="2:6">
      <c r="C1720" s="11"/>
      <c r="D1720" s="15"/>
      <c r="E1720" s="15"/>
      <c r="F1720" s="15"/>
    </row>
    <row r="1721" spans="2:6">
      <c r="B1721" s="584" t="s">
        <v>1202</v>
      </c>
      <c r="C1721" s="12" t="s">
        <v>35</v>
      </c>
      <c r="D1721" s="16" t="s">
        <v>353</v>
      </c>
      <c r="E1721" s="16" t="s">
        <v>354</v>
      </c>
      <c r="F1721" s="16" t="s">
        <v>355</v>
      </c>
    </row>
    <row r="1722" spans="2:6">
      <c r="C1722" s="486" t="s">
        <v>583</v>
      </c>
      <c r="D1722" s="18">
        <v>0.05</v>
      </c>
      <c r="E1722" s="18">
        <v>0.05</v>
      </c>
      <c r="F1722" s="18">
        <v>0.05</v>
      </c>
    </row>
    <row r="1723" spans="2:6">
      <c r="C1723" s="486" t="s">
        <v>584</v>
      </c>
      <c r="D1723" s="17">
        <v>0.05</v>
      </c>
      <c r="E1723" s="17">
        <v>0.05</v>
      </c>
      <c r="F1723" s="22">
        <v>0.05</v>
      </c>
    </row>
    <row r="1724" spans="2:6">
      <c r="C1724" s="187" t="s">
        <v>585</v>
      </c>
      <c r="D1724" s="18">
        <v>0.05</v>
      </c>
      <c r="E1724" s="18">
        <v>0.05</v>
      </c>
      <c r="F1724" s="18">
        <v>0.05</v>
      </c>
    </row>
    <row r="1725" spans="2:6">
      <c r="C1725" s="187" t="s">
        <v>586</v>
      </c>
      <c r="D1725" s="18">
        <v>0.4</v>
      </c>
      <c r="E1725" s="18">
        <v>0.4</v>
      </c>
      <c r="F1725" s="18">
        <v>0.4</v>
      </c>
    </row>
    <row r="1726" spans="2:6" ht="28.8">
      <c r="C1726" s="187" t="s">
        <v>587</v>
      </c>
      <c r="D1726" s="18">
        <v>0.1</v>
      </c>
      <c r="E1726" s="18">
        <v>0.1</v>
      </c>
      <c r="F1726" s="18">
        <v>0.1</v>
      </c>
    </row>
    <row r="1727" spans="2:6">
      <c r="C1727" s="187" t="s">
        <v>588</v>
      </c>
      <c r="D1727" s="18">
        <v>0.1</v>
      </c>
      <c r="E1727" s="18">
        <v>0.1</v>
      </c>
      <c r="F1727" s="18">
        <v>0.1</v>
      </c>
    </row>
    <row r="1728" spans="2:6" ht="28.8">
      <c r="C1728" s="187" t="s">
        <v>589</v>
      </c>
      <c r="D1728" s="18">
        <v>0.15</v>
      </c>
      <c r="E1728" s="18">
        <v>0.15</v>
      </c>
      <c r="F1728" s="18">
        <v>0</v>
      </c>
    </row>
    <row r="1729" spans="2:6" ht="28.8">
      <c r="C1729" s="187" t="s">
        <v>590</v>
      </c>
      <c r="D1729" s="18">
        <v>0.1</v>
      </c>
      <c r="E1729" s="18">
        <v>0.1</v>
      </c>
      <c r="F1729" s="18">
        <v>0</v>
      </c>
    </row>
    <row r="1730" spans="2:6">
      <c r="C1730" s="11"/>
      <c r="D1730" s="22">
        <f>SUM(D1722:D1729)</f>
        <v>1</v>
      </c>
      <c r="E1730" s="22">
        <f>SUM(E1722:E1729)</f>
        <v>1</v>
      </c>
      <c r="F1730" s="22">
        <f>SUM(F1722:F1729)</f>
        <v>0.75</v>
      </c>
    </row>
    <row r="1731" spans="2:6">
      <c r="C1731" s="11"/>
      <c r="D1731" s="15"/>
      <c r="E1731" s="19">
        <f>+D1730-E1730</f>
        <v>0</v>
      </c>
      <c r="F1731" s="19">
        <f>E1730-F1730</f>
        <v>0.25</v>
      </c>
    </row>
    <row r="1732" spans="2:6">
      <c r="C1732" s="11"/>
      <c r="D1732" s="15"/>
      <c r="E1732" s="15"/>
      <c r="F1732" s="15"/>
    </row>
    <row r="1733" spans="2:6">
      <c r="C1733" s="11" t="s">
        <v>419</v>
      </c>
      <c r="D1733" s="15" t="s">
        <v>455</v>
      </c>
      <c r="E1733" s="15"/>
      <c r="F1733" s="15"/>
    </row>
    <row r="1734" spans="2:6">
      <c r="C1734" s="11"/>
      <c r="D1734" s="15"/>
      <c r="E1734" s="15"/>
      <c r="F1734" s="15"/>
    </row>
    <row r="1735" spans="2:6">
      <c r="C1735" s="11"/>
      <c r="D1735" s="15"/>
      <c r="E1735" s="15"/>
      <c r="F1735" s="15"/>
    </row>
    <row r="1736" spans="2:6">
      <c r="B1736" s="584" t="s">
        <v>1202</v>
      </c>
      <c r="C1736" s="12" t="s">
        <v>36</v>
      </c>
      <c r="D1736" s="16" t="s">
        <v>353</v>
      </c>
      <c r="E1736" s="16" t="s">
        <v>354</v>
      </c>
      <c r="F1736" s="16" t="s">
        <v>355</v>
      </c>
    </row>
    <row r="1737" spans="2:6">
      <c r="C1737" s="13" t="s">
        <v>591</v>
      </c>
      <c r="D1737" s="51">
        <v>0.05</v>
      </c>
      <c r="E1737" s="51">
        <v>0.05</v>
      </c>
      <c r="F1737" s="51">
        <v>0.05</v>
      </c>
    </row>
    <row r="1738" spans="2:6">
      <c r="C1738" s="13" t="s">
        <v>586</v>
      </c>
      <c r="D1738" s="51">
        <v>0.5</v>
      </c>
      <c r="E1738" s="51">
        <v>0.5</v>
      </c>
      <c r="F1738" s="51">
        <v>0.5</v>
      </c>
    </row>
    <row r="1739" spans="2:6">
      <c r="C1739" s="13" t="s">
        <v>592</v>
      </c>
      <c r="D1739" s="51">
        <v>0.1</v>
      </c>
      <c r="E1739" s="51">
        <v>0.1</v>
      </c>
      <c r="F1739" s="51">
        <v>0.1</v>
      </c>
    </row>
    <row r="1740" spans="2:6">
      <c r="C1740" s="11" t="s">
        <v>593</v>
      </c>
      <c r="D1740" s="51">
        <v>0.2</v>
      </c>
      <c r="E1740" s="51">
        <v>0.2</v>
      </c>
      <c r="F1740" s="51">
        <v>0.2</v>
      </c>
    </row>
    <row r="1741" spans="2:6">
      <c r="C1741" s="11" t="s">
        <v>594</v>
      </c>
      <c r="D1741" s="51">
        <v>0.1</v>
      </c>
      <c r="E1741" s="51">
        <v>0.1</v>
      </c>
      <c r="F1741" s="51">
        <v>0</v>
      </c>
    </row>
    <row r="1742" spans="2:6">
      <c r="C1742" s="11" t="s">
        <v>595</v>
      </c>
      <c r="D1742" s="51">
        <v>0.05</v>
      </c>
      <c r="E1742" s="51">
        <v>0.05</v>
      </c>
      <c r="F1742" s="51">
        <v>0</v>
      </c>
    </row>
    <row r="1743" spans="2:6">
      <c r="C1743" s="11"/>
      <c r="D1743" s="19">
        <f>SUM(D1737:D1742)</f>
        <v>1</v>
      </c>
      <c r="E1743" s="19">
        <f>SUM(E1737:E1742)</f>
        <v>1</v>
      </c>
      <c r="F1743" s="19">
        <f>SUM(F1737:F1742)</f>
        <v>0.85000000000000009</v>
      </c>
    </row>
    <row r="1744" spans="2:6">
      <c r="C1744" s="11"/>
      <c r="D1744" s="51"/>
      <c r="E1744" s="19">
        <f>+D1743-E1743</f>
        <v>0</v>
      </c>
      <c r="F1744" s="19">
        <f>E1743-F1743</f>
        <v>0.14999999999999991</v>
      </c>
    </row>
    <row r="1745" spans="2:6">
      <c r="C1745" s="11" t="s">
        <v>419</v>
      </c>
      <c r="D1745" s="15" t="s">
        <v>455</v>
      </c>
      <c r="E1745" s="15"/>
      <c r="F1745" s="15"/>
    </row>
    <row r="1746" spans="2:6">
      <c r="C1746" s="11"/>
      <c r="D1746" s="15"/>
      <c r="E1746" s="15"/>
      <c r="F1746" s="15"/>
    </row>
    <row r="1747" spans="2:6">
      <c r="C1747" s="11"/>
      <c r="D1747" s="15"/>
      <c r="E1747" s="15"/>
      <c r="F1747" s="15"/>
    </row>
    <row r="1748" spans="2:6">
      <c r="B1748" s="519" t="s">
        <v>1079</v>
      </c>
      <c r="C1748" s="738" t="s">
        <v>37</v>
      </c>
      <c r="D1748" s="16" t="s">
        <v>353</v>
      </c>
      <c r="E1748" s="16" t="s">
        <v>354</v>
      </c>
      <c r="F1748" s="16" t="s">
        <v>355</v>
      </c>
    </row>
    <row r="1749" spans="2:6" ht="28.8">
      <c r="C1749" s="187" t="s">
        <v>1467</v>
      </c>
      <c r="D1749" s="16"/>
      <c r="E1749" s="16"/>
      <c r="F1749" s="16"/>
    </row>
    <row r="1750" spans="2:6" ht="28.8">
      <c r="C1750" s="187" t="s">
        <v>1468</v>
      </c>
      <c r="D1750" s="16"/>
      <c r="E1750" s="16"/>
      <c r="F1750" s="16"/>
    </row>
    <row r="1751" spans="2:6">
      <c r="C1751" s="187" t="s">
        <v>596</v>
      </c>
      <c r="D1751" s="18">
        <v>0.02</v>
      </c>
      <c r="E1751" s="18">
        <v>0.02</v>
      </c>
      <c r="F1751" s="18">
        <v>0.02</v>
      </c>
    </row>
    <row r="1752" spans="2:6" ht="28.8">
      <c r="C1752" s="187" t="s">
        <v>1551</v>
      </c>
      <c r="D1752" s="18">
        <v>0.05</v>
      </c>
      <c r="E1752" s="18">
        <v>0.05</v>
      </c>
      <c r="F1752" s="18">
        <v>0.05</v>
      </c>
    </row>
    <row r="1753" spans="2:6">
      <c r="C1753" s="187" t="s">
        <v>1552</v>
      </c>
      <c r="D1753" s="18">
        <v>0.1</v>
      </c>
      <c r="E1753" s="18">
        <v>0.1</v>
      </c>
      <c r="F1753" s="18">
        <v>0</v>
      </c>
    </row>
    <row r="1754" spans="2:6">
      <c r="C1754" s="187" t="s">
        <v>1553</v>
      </c>
      <c r="D1754" s="18">
        <v>7.0000000000000007E-2</v>
      </c>
      <c r="E1754" s="18">
        <v>7.0000000000000007E-2</v>
      </c>
      <c r="F1754" s="18">
        <v>0</v>
      </c>
    </row>
    <row r="1755" spans="2:6">
      <c r="C1755" s="187" t="s">
        <v>597</v>
      </c>
      <c r="D1755" s="18">
        <v>0.05</v>
      </c>
      <c r="E1755" s="18">
        <v>0.05</v>
      </c>
      <c r="F1755" s="18">
        <v>0.05</v>
      </c>
    </row>
    <row r="1756" spans="2:6">
      <c r="C1756" s="187" t="s">
        <v>1554</v>
      </c>
      <c r="D1756" s="18">
        <v>0.05</v>
      </c>
      <c r="E1756" s="18">
        <v>0.05</v>
      </c>
      <c r="F1756" s="18">
        <v>0.05</v>
      </c>
    </row>
    <row r="1757" spans="2:6">
      <c r="C1757" s="187" t="s">
        <v>598</v>
      </c>
      <c r="D1757" s="18">
        <v>0.2</v>
      </c>
      <c r="E1757" s="18">
        <v>0.2</v>
      </c>
      <c r="F1757" s="18">
        <v>0</v>
      </c>
    </row>
    <row r="1758" spans="2:6">
      <c r="C1758" s="187" t="s">
        <v>599</v>
      </c>
      <c r="D1758" s="18">
        <v>0.15</v>
      </c>
      <c r="E1758" s="18">
        <v>0.15</v>
      </c>
      <c r="F1758" s="18">
        <v>0</v>
      </c>
    </row>
    <row r="1759" spans="2:6">
      <c r="C1759" s="11"/>
      <c r="D1759" s="15"/>
      <c r="E1759" s="18" t="e">
        <f>#REF!-#REF!</f>
        <v>#REF!</v>
      </c>
      <c r="F1759" s="18" t="e">
        <f>#REF!-#REF!</f>
        <v>#REF!</v>
      </c>
    </row>
    <row r="1760" spans="2:6">
      <c r="C1760" s="11" t="s">
        <v>501</v>
      </c>
      <c r="D1760" s="15" t="s">
        <v>600</v>
      </c>
      <c r="E1760" s="15"/>
      <c r="F1760" s="15"/>
    </row>
    <row r="1761" spans="2:6">
      <c r="C1761" s="11"/>
      <c r="D1761" s="15"/>
      <c r="E1761" s="15"/>
      <c r="F1761" s="15"/>
    </row>
    <row r="1762" spans="2:6">
      <c r="B1762" s="519" t="s">
        <v>1079</v>
      </c>
      <c r="C1762" s="12" t="s">
        <v>38</v>
      </c>
      <c r="D1762" s="16" t="s">
        <v>353</v>
      </c>
      <c r="E1762" s="16" t="s">
        <v>354</v>
      </c>
      <c r="F1762" s="16" t="s">
        <v>355</v>
      </c>
    </row>
    <row r="1763" spans="2:6" ht="28.8">
      <c r="C1763" s="187" t="s">
        <v>1467</v>
      </c>
      <c r="D1763" s="16"/>
      <c r="E1763" s="16"/>
      <c r="F1763" s="16"/>
    </row>
    <row r="1764" spans="2:6" ht="28.8">
      <c r="C1764" s="187" t="s">
        <v>1468</v>
      </c>
      <c r="D1764" s="16"/>
      <c r="E1764" s="16"/>
      <c r="F1764" s="16"/>
    </row>
    <row r="1765" spans="2:6">
      <c r="C1765" s="11" t="s">
        <v>596</v>
      </c>
      <c r="D1765" s="18">
        <v>0.25</v>
      </c>
      <c r="E1765" s="18">
        <v>0.25</v>
      </c>
      <c r="F1765" s="18">
        <v>0.25</v>
      </c>
    </row>
    <row r="1766" spans="2:6">
      <c r="C1766" s="11" t="s">
        <v>601</v>
      </c>
      <c r="D1766" s="18">
        <v>0.15</v>
      </c>
      <c r="E1766" s="18">
        <v>0.15</v>
      </c>
      <c r="F1766" s="18">
        <v>0.15</v>
      </c>
    </row>
    <row r="1767" spans="2:6" ht="28.8">
      <c r="C1767" s="187" t="s">
        <v>1555</v>
      </c>
      <c r="D1767" s="18">
        <v>0.05</v>
      </c>
      <c r="E1767" s="18">
        <v>0.05</v>
      </c>
      <c r="F1767" s="18">
        <v>0.05</v>
      </c>
    </row>
    <row r="1768" spans="2:6">
      <c r="C1768" s="11" t="s">
        <v>1556</v>
      </c>
      <c r="D1768" s="18">
        <v>0.05</v>
      </c>
      <c r="E1768" s="18">
        <v>0.05</v>
      </c>
      <c r="F1768" s="18">
        <v>0.05</v>
      </c>
    </row>
    <row r="1769" spans="2:6">
      <c r="C1769" s="11"/>
      <c r="D1769" s="18">
        <f>SUM(D1765:D1768)</f>
        <v>0.5</v>
      </c>
      <c r="E1769" s="18">
        <f>SUM(E1765:E1768)</f>
        <v>0.5</v>
      </c>
      <c r="F1769" s="18">
        <f>SUM(F1765:F1768)</f>
        <v>0.5</v>
      </c>
    </row>
    <row r="1770" spans="2:6">
      <c r="C1770" s="11"/>
      <c r="D1770" s="15"/>
      <c r="E1770" s="18">
        <f>D1769-E1769</f>
        <v>0</v>
      </c>
      <c r="F1770" s="18">
        <f>E1769-F1769</f>
        <v>0</v>
      </c>
    </row>
    <row r="1771" spans="2:6">
      <c r="C1771" s="11" t="s">
        <v>412</v>
      </c>
      <c r="D1771" s="15" t="s">
        <v>600</v>
      </c>
      <c r="E1771" s="15"/>
      <c r="F1771" s="15"/>
    </row>
    <row r="1772" spans="2:6">
      <c r="C1772" s="11"/>
      <c r="D1772" s="15"/>
      <c r="E1772" s="15"/>
      <c r="F1772" s="15"/>
    </row>
    <row r="1773" spans="2:6">
      <c r="B1773" s="519" t="s">
        <v>1079</v>
      </c>
      <c r="C1773" s="12" t="s">
        <v>602</v>
      </c>
      <c r="D1773" s="16" t="s">
        <v>353</v>
      </c>
      <c r="E1773" s="16" t="s">
        <v>354</v>
      </c>
      <c r="F1773" s="16" t="s">
        <v>355</v>
      </c>
    </row>
    <row r="1774" spans="2:6">
      <c r="C1774" s="11" t="s">
        <v>1557</v>
      </c>
      <c r="D1774" s="16"/>
      <c r="E1774" s="16"/>
      <c r="F1774" s="16"/>
    </row>
    <row r="1775" spans="2:6" ht="28.8">
      <c r="C1775" s="187" t="s">
        <v>603</v>
      </c>
      <c r="D1775" s="18">
        <v>0.02</v>
      </c>
      <c r="E1775" s="18">
        <v>0.02</v>
      </c>
      <c r="F1775" s="18">
        <v>0.01</v>
      </c>
    </row>
    <row r="1776" spans="2:6">
      <c r="C1776" s="187" t="s">
        <v>604</v>
      </c>
      <c r="D1776" s="18">
        <v>0.02</v>
      </c>
      <c r="E1776" s="18">
        <v>0.02</v>
      </c>
      <c r="F1776" s="18">
        <v>0.01</v>
      </c>
    </row>
    <row r="1777" spans="3:6">
      <c r="C1777" s="187" t="s">
        <v>605</v>
      </c>
      <c r="D1777" s="18">
        <v>0.02</v>
      </c>
      <c r="E1777" s="18">
        <v>0.02</v>
      </c>
      <c r="F1777" s="18">
        <v>0.01</v>
      </c>
    </row>
    <row r="1778" spans="3:6">
      <c r="C1778" s="187" t="s">
        <v>1558</v>
      </c>
      <c r="D1778" s="18">
        <v>0.1</v>
      </c>
      <c r="E1778" s="18">
        <v>0.1</v>
      </c>
      <c r="F1778" s="18">
        <v>0.05</v>
      </c>
    </row>
    <row r="1779" spans="3:6">
      <c r="C1779" s="187" t="s">
        <v>606</v>
      </c>
      <c r="D1779" s="18">
        <v>0.1</v>
      </c>
      <c r="E1779" s="18">
        <v>0.1</v>
      </c>
      <c r="F1779" s="18">
        <v>0.1</v>
      </c>
    </row>
    <row r="1780" spans="3:6">
      <c r="C1780" s="187" t="s">
        <v>607</v>
      </c>
      <c r="D1780" s="18">
        <v>0.1</v>
      </c>
      <c r="E1780" s="18">
        <v>0.1</v>
      </c>
      <c r="F1780" s="18">
        <v>0.05</v>
      </c>
    </row>
    <row r="1781" spans="3:6" ht="28.8">
      <c r="C1781" s="187" t="s">
        <v>608</v>
      </c>
      <c r="D1781" s="18">
        <v>7.0000000000000007E-2</v>
      </c>
      <c r="E1781" s="18">
        <v>7.0000000000000007E-2</v>
      </c>
      <c r="F1781" s="18">
        <v>0.04</v>
      </c>
    </row>
    <row r="1782" spans="3:6">
      <c r="C1782" s="187" t="s">
        <v>609</v>
      </c>
      <c r="D1782" s="18">
        <v>0.1</v>
      </c>
      <c r="E1782" s="18">
        <v>0.1</v>
      </c>
      <c r="F1782" s="18">
        <v>0.1</v>
      </c>
    </row>
    <row r="1783" spans="3:6">
      <c r="C1783" s="187" t="s">
        <v>1559</v>
      </c>
      <c r="D1783" s="18">
        <v>0.1</v>
      </c>
      <c r="E1783" s="18">
        <v>0.1</v>
      </c>
      <c r="F1783" s="18">
        <v>0.01</v>
      </c>
    </row>
    <row r="1784" spans="3:6">
      <c r="C1784" s="187" t="s">
        <v>610</v>
      </c>
      <c r="D1784" s="18">
        <v>7.0000000000000007E-2</v>
      </c>
      <c r="E1784" s="18">
        <v>7.0000000000000007E-2</v>
      </c>
      <c r="F1784" s="18">
        <v>0.02</v>
      </c>
    </row>
    <row r="1785" spans="3:6">
      <c r="C1785" s="187" t="s">
        <v>611</v>
      </c>
      <c r="D1785" s="18">
        <v>0.1</v>
      </c>
      <c r="E1785" s="18">
        <v>0.1</v>
      </c>
      <c r="F1785" s="18">
        <v>0.02</v>
      </c>
    </row>
    <row r="1786" spans="3:6" ht="28.8">
      <c r="C1786" s="187" t="s">
        <v>612</v>
      </c>
      <c r="D1786" s="18">
        <v>0.1</v>
      </c>
      <c r="E1786" s="18">
        <v>0.1</v>
      </c>
      <c r="F1786" s="18">
        <v>0.1</v>
      </c>
    </row>
    <row r="1787" spans="3:6">
      <c r="C1787" s="187" t="s">
        <v>1560</v>
      </c>
      <c r="D1787" s="18">
        <v>0.03</v>
      </c>
      <c r="E1787" s="18">
        <v>0.03</v>
      </c>
      <c r="F1787" s="18">
        <v>0</v>
      </c>
    </row>
    <row r="1788" spans="3:6">
      <c r="C1788" s="187" t="s">
        <v>613</v>
      </c>
      <c r="D1788" s="18">
        <v>7.0000000000000007E-2</v>
      </c>
      <c r="E1788" s="18">
        <v>7.0000000000000007E-2</v>
      </c>
      <c r="F1788" s="18">
        <v>0.02</v>
      </c>
    </row>
    <row r="1789" spans="3:6">
      <c r="C1789" s="11"/>
      <c r="D1789" s="22">
        <f>SUM(D1775:D1788)</f>
        <v>1</v>
      </c>
      <c r="E1789" s="22">
        <f>SUM(E1775:E1788)</f>
        <v>1</v>
      </c>
      <c r="F1789" s="22">
        <f>E1789-E1790</f>
        <v>1</v>
      </c>
    </row>
    <row r="1790" spans="3:6">
      <c r="C1790" s="11"/>
      <c r="D1790" s="18"/>
      <c r="E1790" s="22">
        <f>D1789-E1789</f>
        <v>0</v>
      </c>
      <c r="F1790" s="22">
        <f>E1789-F1789</f>
        <v>0</v>
      </c>
    </row>
    <row r="1791" spans="3:6">
      <c r="C1791" s="11"/>
      <c r="D1791" s="18"/>
      <c r="E1791" s="22"/>
      <c r="F1791" s="22"/>
    </row>
    <row r="1792" spans="3:6">
      <c r="C1792" s="10" t="s">
        <v>415</v>
      </c>
      <c r="D1792" s="18"/>
      <c r="E1792" s="22"/>
      <c r="F1792" s="22"/>
    </row>
    <row r="1793" spans="2:6">
      <c r="C1793" s="11"/>
      <c r="D1793" s="18"/>
      <c r="E1793" s="18"/>
      <c r="F1793" s="18"/>
    </row>
    <row r="1794" spans="2:6">
      <c r="B1794" s="519" t="s">
        <v>1079</v>
      </c>
      <c r="C1794" s="12" t="s">
        <v>614</v>
      </c>
      <c r="D1794" s="16" t="s">
        <v>353</v>
      </c>
      <c r="E1794" s="16" t="s">
        <v>354</v>
      </c>
      <c r="F1794" s="16" t="s">
        <v>355</v>
      </c>
    </row>
    <row r="1795" spans="2:6">
      <c r="C1795" s="11" t="s">
        <v>1557</v>
      </c>
      <c r="D1795" s="16"/>
      <c r="E1795" s="16"/>
      <c r="F1795" s="16"/>
    </row>
    <row r="1796" spans="2:6" ht="28.8">
      <c r="C1796" s="187" t="s">
        <v>1561</v>
      </c>
      <c r="D1796" s="18">
        <v>0.08</v>
      </c>
      <c r="E1796" s="18">
        <v>0.08</v>
      </c>
      <c r="F1796" s="18">
        <v>0</v>
      </c>
    </row>
    <row r="1797" spans="2:6">
      <c r="C1797" s="187" t="s">
        <v>615</v>
      </c>
      <c r="D1797" s="18">
        <v>0.08</v>
      </c>
      <c r="E1797" s="18">
        <v>0.08</v>
      </c>
      <c r="F1797" s="51">
        <v>0</v>
      </c>
    </row>
    <row r="1798" spans="2:6" ht="28.8">
      <c r="C1798" s="187" t="s">
        <v>608</v>
      </c>
      <c r="D1798" s="18">
        <v>0.1</v>
      </c>
      <c r="E1798" s="18">
        <v>0.1</v>
      </c>
      <c r="F1798" s="51">
        <v>0.05</v>
      </c>
    </row>
    <row r="1799" spans="2:6">
      <c r="C1799" s="187" t="s">
        <v>609</v>
      </c>
      <c r="D1799" s="18">
        <v>0.12</v>
      </c>
      <c r="E1799" s="18">
        <v>0.12</v>
      </c>
      <c r="F1799" s="51">
        <v>0.06</v>
      </c>
    </row>
    <row r="1800" spans="2:6">
      <c r="C1800" s="187" t="s">
        <v>1559</v>
      </c>
      <c r="D1800" s="18">
        <v>0.08</v>
      </c>
      <c r="E1800" s="18">
        <v>0.08</v>
      </c>
      <c r="F1800" s="51">
        <v>0</v>
      </c>
    </row>
    <row r="1801" spans="2:6">
      <c r="C1801" s="187" t="s">
        <v>610</v>
      </c>
      <c r="D1801" s="18">
        <v>0.1</v>
      </c>
      <c r="E1801" s="18">
        <v>0.1</v>
      </c>
      <c r="F1801" s="51">
        <v>0.05</v>
      </c>
    </row>
    <row r="1802" spans="2:6">
      <c r="C1802" s="187" t="s">
        <v>611</v>
      </c>
      <c r="D1802" s="18">
        <v>0.12</v>
      </c>
      <c r="E1802" s="18">
        <v>0.12</v>
      </c>
      <c r="F1802" s="51">
        <v>0</v>
      </c>
    </row>
    <row r="1803" spans="2:6" ht="28.8">
      <c r="C1803" s="187" t="s">
        <v>616</v>
      </c>
      <c r="D1803" s="18">
        <v>0.12</v>
      </c>
      <c r="E1803" s="18">
        <v>0.12</v>
      </c>
      <c r="F1803" s="51">
        <v>0.12</v>
      </c>
    </row>
    <row r="1804" spans="2:6">
      <c r="C1804" s="187" t="s">
        <v>1560</v>
      </c>
      <c r="D1804" s="18">
        <v>0.1</v>
      </c>
      <c r="E1804" s="18">
        <v>0.1</v>
      </c>
      <c r="F1804" s="51">
        <v>0.05</v>
      </c>
    </row>
    <row r="1805" spans="2:6">
      <c r="C1805" s="187" t="s">
        <v>617</v>
      </c>
      <c r="D1805" s="18">
        <v>0.1</v>
      </c>
      <c r="E1805" s="18">
        <v>0.1</v>
      </c>
      <c r="F1805" s="51">
        <v>0.1</v>
      </c>
    </row>
    <row r="1806" spans="2:6">
      <c r="C1806" s="11"/>
      <c r="D1806" s="22">
        <f>SUM(D1796:D1805)</f>
        <v>1</v>
      </c>
      <c r="E1806" s="22">
        <f>SUM(E1796:E1805)</f>
        <v>1</v>
      </c>
      <c r="F1806" s="22">
        <f>SUM(F1796:F1805)</f>
        <v>0.43000000000000005</v>
      </c>
    </row>
    <row r="1807" spans="2:6">
      <c r="C1807" s="11"/>
      <c r="D1807" s="18"/>
      <c r="E1807" s="22">
        <f>D1806-E1806</f>
        <v>0</v>
      </c>
      <c r="F1807" s="22">
        <f>E1806-F1806</f>
        <v>0.56999999999999995</v>
      </c>
    </row>
    <row r="1808" spans="2:6">
      <c r="C1808" s="10" t="s">
        <v>415</v>
      </c>
      <c r="D1808" s="15"/>
      <c r="E1808" s="15"/>
      <c r="F1808" s="15"/>
    </row>
    <row r="1809" spans="2:6">
      <c r="C1809" s="11"/>
      <c r="D1809" s="15"/>
      <c r="E1809" s="15"/>
      <c r="F1809" s="15"/>
    </row>
    <row r="1810" spans="2:6">
      <c r="B1810" s="519" t="s">
        <v>1079</v>
      </c>
      <c r="C1810" s="12" t="s">
        <v>39</v>
      </c>
      <c r="D1810" s="16" t="s">
        <v>353</v>
      </c>
      <c r="E1810" s="16" t="s">
        <v>354</v>
      </c>
      <c r="F1810" s="16" t="s">
        <v>355</v>
      </c>
    </row>
    <row r="1811" spans="2:6" ht="28.8">
      <c r="C1811" s="187" t="s">
        <v>1473</v>
      </c>
      <c r="D1811" s="16"/>
      <c r="E1811" s="16"/>
      <c r="F1811" s="16"/>
    </row>
    <row r="1812" spans="2:6" ht="43.2">
      <c r="C1812" s="187" t="s">
        <v>1474</v>
      </c>
      <c r="D1812" s="16"/>
      <c r="E1812" s="16"/>
      <c r="F1812" s="16"/>
    </row>
    <row r="1813" spans="2:6">
      <c r="C1813" s="187" t="s">
        <v>1475</v>
      </c>
      <c r="D1813" s="16"/>
      <c r="E1813" s="16"/>
      <c r="F1813" s="16"/>
    </row>
    <row r="1814" spans="2:6">
      <c r="C1814" s="187" t="s">
        <v>1476</v>
      </c>
      <c r="D1814" s="16"/>
      <c r="E1814" s="16"/>
      <c r="F1814" s="16"/>
    </row>
    <row r="1815" spans="2:6">
      <c r="C1815" s="187" t="s">
        <v>1477</v>
      </c>
      <c r="D1815" s="16"/>
      <c r="E1815" s="16"/>
      <c r="F1815" s="16"/>
    </row>
    <row r="1816" spans="2:6" ht="28.8">
      <c r="C1816" s="216" t="s">
        <v>1478</v>
      </c>
      <c r="D1816" s="16"/>
      <c r="E1816" s="16"/>
      <c r="F1816" s="16"/>
    </row>
    <row r="1817" spans="2:6">
      <c r="C1817" s="216" t="s">
        <v>1479</v>
      </c>
      <c r="D1817" s="16"/>
      <c r="E1817" s="16"/>
      <c r="F1817" s="16"/>
    </row>
    <row r="1818" spans="2:6" ht="28.8">
      <c r="C1818" s="465" t="s">
        <v>1480</v>
      </c>
      <c r="D1818" s="16"/>
      <c r="E1818" s="16"/>
      <c r="F1818" s="16"/>
    </row>
    <row r="1819" spans="2:6">
      <c r="C1819" s="10"/>
      <c r="D1819" s="16"/>
      <c r="E1819" s="16"/>
      <c r="F1819" s="16"/>
    </row>
    <row r="1820" spans="2:6">
      <c r="C1820" s="11"/>
      <c r="D1820" s="19" t="e">
        <f>SUM(#REF!)</f>
        <v>#REF!</v>
      </c>
      <c r="E1820" s="234" t="e">
        <f>SUM(#REF!)</f>
        <v>#REF!</v>
      </c>
      <c r="F1820" s="19" t="e">
        <f>SUM(#REF!)</f>
        <v>#REF!</v>
      </c>
    </row>
    <row r="1821" spans="2:6">
      <c r="C1821" s="11"/>
      <c r="D1821" s="15"/>
      <c r="E1821" s="234" t="e">
        <f>D1820-E1820</f>
        <v>#REF!</v>
      </c>
      <c r="F1821" s="19" t="e">
        <f>E1820-F1820</f>
        <v>#REF!</v>
      </c>
    </row>
    <row r="1822" spans="2:6">
      <c r="C1822" s="11"/>
      <c r="D1822" s="15"/>
      <c r="E1822" s="15"/>
      <c r="F1822" s="15"/>
    </row>
    <row r="1823" spans="2:6">
      <c r="C1823" s="11" t="s">
        <v>359</v>
      </c>
      <c r="D1823" s="15">
        <v>10</v>
      </c>
      <c r="E1823" s="15"/>
      <c r="F1823" s="15"/>
    </row>
    <row r="1824" spans="2:6">
      <c r="C1824" s="11"/>
      <c r="D1824" s="15"/>
      <c r="E1824" s="15"/>
      <c r="F1824" s="15"/>
    </row>
    <row r="1825" spans="2:6">
      <c r="C1825" s="11"/>
      <c r="D1825" s="15"/>
      <c r="E1825" s="15"/>
      <c r="F1825" s="15"/>
    </row>
    <row r="1826" spans="2:6">
      <c r="C1826" s="11"/>
      <c r="D1826" s="15"/>
      <c r="E1826" s="15"/>
      <c r="F1826" s="15"/>
    </row>
    <row r="1827" spans="2:6">
      <c r="B1827" s="519" t="s">
        <v>1079</v>
      </c>
      <c r="C1827" s="214" t="s">
        <v>1562</v>
      </c>
      <c r="D1827" s="16" t="s">
        <v>353</v>
      </c>
      <c r="E1827" s="16" t="s">
        <v>354</v>
      </c>
      <c r="F1827" s="16" t="s">
        <v>355</v>
      </c>
    </row>
    <row r="1828" spans="2:6">
      <c r="C1828" s="187" t="s">
        <v>618</v>
      </c>
      <c r="D1828" s="18">
        <v>0.02</v>
      </c>
      <c r="E1828" s="18">
        <v>0.02</v>
      </c>
      <c r="F1828" s="18">
        <v>0.02</v>
      </c>
    </row>
    <row r="1829" spans="2:6">
      <c r="C1829" s="187" t="s">
        <v>1563</v>
      </c>
      <c r="D1829" s="18">
        <v>0.15</v>
      </c>
      <c r="E1829" s="18">
        <v>0.15</v>
      </c>
      <c r="F1829" s="18">
        <v>0.15</v>
      </c>
    </row>
    <row r="1830" spans="2:6" ht="28.8">
      <c r="C1830" s="187" t="s">
        <v>1564</v>
      </c>
      <c r="D1830" s="18">
        <v>0.1</v>
      </c>
      <c r="E1830" s="18">
        <v>0.1</v>
      </c>
      <c r="F1830" s="18">
        <v>0.1</v>
      </c>
    </row>
    <row r="1831" spans="2:6">
      <c r="C1831" s="187" t="s">
        <v>1565</v>
      </c>
      <c r="D1831" s="18">
        <v>0.03</v>
      </c>
      <c r="E1831" s="18">
        <v>0.03</v>
      </c>
      <c r="F1831" s="18">
        <v>0</v>
      </c>
    </row>
    <row r="1832" spans="2:6" ht="28.8">
      <c r="C1832" s="187" t="s">
        <v>621</v>
      </c>
      <c r="D1832" s="18">
        <v>0.03</v>
      </c>
      <c r="E1832" s="18">
        <v>0.03</v>
      </c>
      <c r="F1832" s="18">
        <v>0.03</v>
      </c>
    </row>
    <row r="1833" spans="2:6">
      <c r="C1833" s="187" t="s">
        <v>622</v>
      </c>
      <c r="D1833" s="18">
        <v>0.1</v>
      </c>
      <c r="E1833" s="18">
        <v>0.1</v>
      </c>
      <c r="F1833" s="18">
        <v>0.1</v>
      </c>
    </row>
    <row r="1834" spans="2:6" ht="28.8">
      <c r="C1834" s="187" t="s">
        <v>623</v>
      </c>
      <c r="D1834" s="18">
        <v>0.15</v>
      </c>
      <c r="E1834" s="18">
        <v>0.15</v>
      </c>
      <c r="F1834" s="18">
        <v>0.15</v>
      </c>
    </row>
    <row r="1835" spans="2:6">
      <c r="C1835" s="187" t="s">
        <v>624</v>
      </c>
      <c r="D1835" s="18">
        <v>0.05</v>
      </c>
      <c r="E1835" s="18">
        <v>0.05</v>
      </c>
      <c r="F1835" s="18">
        <v>0.05</v>
      </c>
    </row>
    <row r="1836" spans="2:6" ht="28.8">
      <c r="C1836" s="187" t="s">
        <v>625</v>
      </c>
      <c r="D1836" s="18">
        <v>0.1</v>
      </c>
      <c r="E1836" s="18">
        <v>0.1</v>
      </c>
      <c r="F1836" s="18">
        <v>0.1</v>
      </c>
    </row>
    <row r="1837" spans="2:6">
      <c r="C1837" s="187" t="s">
        <v>626</v>
      </c>
      <c r="D1837" s="18">
        <v>0.1</v>
      </c>
      <c r="E1837" s="18">
        <v>0.1</v>
      </c>
      <c r="F1837" s="18">
        <v>0.1</v>
      </c>
    </row>
    <row r="1838" spans="2:6">
      <c r="C1838" s="187" t="s">
        <v>627</v>
      </c>
      <c r="D1838" s="18">
        <v>0.1</v>
      </c>
      <c r="E1838" s="18">
        <v>0.1</v>
      </c>
      <c r="F1838" s="18">
        <v>0.1</v>
      </c>
    </row>
    <row r="1839" spans="2:6">
      <c r="C1839" s="187" t="s">
        <v>1566</v>
      </c>
      <c r="D1839" s="18">
        <v>0.05</v>
      </c>
      <c r="E1839" s="18">
        <v>0.05</v>
      </c>
      <c r="F1839" s="18">
        <v>0.05</v>
      </c>
    </row>
    <row r="1840" spans="2:6">
      <c r="C1840" s="187" t="s">
        <v>628</v>
      </c>
      <c r="D1840" s="18">
        <v>0.02</v>
      </c>
      <c r="E1840" s="18">
        <v>0.02</v>
      </c>
      <c r="F1840" s="18">
        <v>0.02</v>
      </c>
    </row>
    <row r="1841" spans="2:6">
      <c r="C1841" s="10"/>
      <c r="D1841" s="22">
        <f>SUM(D1828:D1840)</f>
        <v>1</v>
      </c>
      <c r="E1841" s="22">
        <f>SUM(E1828:E1840)</f>
        <v>1</v>
      </c>
      <c r="F1841" s="22">
        <f>SUM(F1828:F1840)</f>
        <v>0.97000000000000008</v>
      </c>
    </row>
    <row r="1842" spans="2:6">
      <c r="C1842" s="10"/>
      <c r="D1842" s="16"/>
      <c r="E1842" s="22">
        <f>D1841-E1841</f>
        <v>0</v>
      </c>
      <c r="F1842" s="22">
        <f>E1841-F1841</f>
        <v>2.9999999999999916E-2</v>
      </c>
    </row>
    <row r="1843" spans="2:6">
      <c r="C1843" s="10"/>
      <c r="D1843" s="16"/>
      <c r="E1843" s="16"/>
      <c r="F1843" s="16"/>
    </row>
    <row r="1844" spans="2:6">
      <c r="C1844" s="10" t="s">
        <v>422</v>
      </c>
      <c r="D1844" s="16" t="s">
        <v>418</v>
      </c>
      <c r="E1844" s="16"/>
      <c r="F1844" s="16"/>
    </row>
    <row r="1845" spans="2:6">
      <c r="C1845" s="10"/>
      <c r="D1845" s="16"/>
      <c r="E1845" s="16"/>
      <c r="F1845" s="16"/>
    </row>
    <row r="1846" spans="2:6">
      <c r="C1846" s="10"/>
      <c r="D1846" s="16"/>
      <c r="E1846" s="16"/>
      <c r="F1846" s="16"/>
    </row>
    <row r="1847" spans="2:6">
      <c r="B1847" s="519" t="s">
        <v>1079</v>
      </c>
      <c r="C1847" s="469" t="s">
        <v>1567</v>
      </c>
      <c r="D1847" s="16" t="s">
        <v>353</v>
      </c>
      <c r="E1847" s="16" t="s">
        <v>354</v>
      </c>
      <c r="F1847" s="16" t="s">
        <v>355</v>
      </c>
    </row>
    <row r="1848" spans="2:6">
      <c r="C1848" s="187" t="s">
        <v>1568</v>
      </c>
      <c r="D1848" s="18">
        <v>0.02</v>
      </c>
      <c r="E1848" s="18">
        <v>0.02</v>
      </c>
      <c r="F1848" s="18">
        <v>0.02</v>
      </c>
    </row>
    <row r="1849" spans="2:6" ht="28.8">
      <c r="C1849" s="187" t="s">
        <v>1569</v>
      </c>
      <c r="D1849" s="18">
        <v>0.15</v>
      </c>
      <c r="E1849" s="18">
        <v>0.15</v>
      </c>
      <c r="F1849" s="18">
        <v>0.05</v>
      </c>
    </row>
    <row r="1850" spans="2:6" ht="28.8">
      <c r="C1850" s="187" t="s">
        <v>1570</v>
      </c>
      <c r="D1850" s="18">
        <v>0.1</v>
      </c>
      <c r="E1850" s="18">
        <v>0.1</v>
      </c>
      <c r="F1850" s="18">
        <v>0.05</v>
      </c>
    </row>
    <row r="1851" spans="2:6">
      <c r="C1851" s="187" t="s">
        <v>1571</v>
      </c>
      <c r="D1851" s="18">
        <v>0.03</v>
      </c>
      <c r="E1851" s="18">
        <v>0.03</v>
      </c>
      <c r="F1851" s="18">
        <v>0</v>
      </c>
    </row>
    <row r="1852" spans="2:6" ht="28.8">
      <c r="C1852" s="187" t="s">
        <v>1572</v>
      </c>
      <c r="D1852" s="18">
        <v>0.03</v>
      </c>
      <c r="E1852" s="18">
        <v>0.03</v>
      </c>
      <c r="F1852" s="18">
        <v>0.03</v>
      </c>
    </row>
    <row r="1853" spans="2:6">
      <c r="C1853" s="187" t="s">
        <v>622</v>
      </c>
      <c r="D1853" s="18">
        <v>0.1</v>
      </c>
      <c r="E1853" s="18">
        <v>0.1</v>
      </c>
      <c r="F1853" s="18">
        <v>0.1</v>
      </c>
    </row>
    <row r="1854" spans="2:6" ht="28.8">
      <c r="C1854" s="187" t="s">
        <v>623</v>
      </c>
      <c r="D1854" s="18">
        <v>0.15</v>
      </c>
      <c r="E1854" s="18">
        <v>0.15</v>
      </c>
      <c r="F1854" s="18">
        <v>0.15</v>
      </c>
    </row>
    <row r="1855" spans="2:6">
      <c r="C1855" s="187" t="s">
        <v>624</v>
      </c>
      <c r="D1855" s="18">
        <v>0.05</v>
      </c>
      <c r="E1855" s="18">
        <v>0.05</v>
      </c>
      <c r="F1855" s="18">
        <v>0.05</v>
      </c>
    </row>
    <row r="1856" spans="2:6" ht="28.8">
      <c r="C1856" s="187" t="s">
        <v>625</v>
      </c>
      <c r="D1856" s="18">
        <v>0.1</v>
      </c>
      <c r="E1856" s="18">
        <v>0.1</v>
      </c>
      <c r="F1856" s="18">
        <v>0.1</v>
      </c>
    </row>
    <row r="1857" spans="2:6">
      <c r="C1857" s="187" t="s">
        <v>626</v>
      </c>
      <c r="D1857" s="18">
        <v>0.1</v>
      </c>
      <c r="E1857" s="18">
        <v>0.1</v>
      </c>
      <c r="F1857" s="18">
        <v>0.1</v>
      </c>
    </row>
    <row r="1858" spans="2:6">
      <c r="C1858" s="187" t="s">
        <v>627</v>
      </c>
      <c r="D1858" s="18">
        <v>0.1</v>
      </c>
      <c r="E1858" s="18">
        <v>0.1</v>
      </c>
      <c r="F1858" s="18">
        <v>0.1</v>
      </c>
    </row>
    <row r="1859" spans="2:6">
      <c r="C1859" s="187" t="s">
        <v>1566</v>
      </c>
      <c r="D1859" s="18">
        <v>0.05</v>
      </c>
      <c r="E1859" s="18">
        <v>0.05</v>
      </c>
      <c r="F1859" s="18">
        <v>0.05</v>
      </c>
    </row>
    <row r="1860" spans="2:6">
      <c r="C1860" s="187" t="s">
        <v>630</v>
      </c>
      <c r="D1860" s="18">
        <v>0.02</v>
      </c>
      <c r="E1860" s="18">
        <v>0.02</v>
      </c>
      <c r="F1860" s="18">
        <v>0.02</v>
      </c>
    </row>
    <row r="1861" spans="2:6">
      <c r="C1861" s="10"/>
      <c r="D1861" s="22">
        <f>SUM(D1848:D1860)</f>
        <v>1</v>
      </c>
      <c r="E1861" s="22">
        <f>SUM(E1848:E1860)</f>
        <v>1</v>
      </c>
      <c r="F1861" s="22">
        <f>SUM(F1848:F1860)</f>
        <v>0.82000000000000006</v>
      </c>
    </row>
    <row r="1862" spans="2:6">
      <c r="C1862" s="10"/>
      <c r="D1862" s="16"/>
      <c r="E1862" s="22">
        <f>D1861-E1861</f>
        <v>0</v>
      </c>
      <c r="F1862" s="22">
        <f>E1861-F1861</f>
        <v>0.17999999999999994</v>
      </c>
    </row>
    <row r="1863" spans="2:6">
      <c r="C1863" s="10"/>
      <c r="D1863" s="16"/>
      <c r="E1863" s="22"/>
      <c r="F1863" s="22"/>
    </row>
    <row r="1864" spans="2:6">
      <c r="C1864" s="10" t="s">
        <v>422</v>
      </c>
      <c r="D1864" s="16" t="s">
        <v>418</v>
      </c>
      <c r="E1864" s="16"/>
      <c r="F1864" s="16"/>
    </row>
    <row r="1865" spans="2:6">
      <c r="C1865" s="10"/>
      <c r="D1865" s="16"/>
      <c r="E1865" s="16"/>
      <c r="F1865" s="16"/>
    </row>
    <row r="1866" spans="2:6">
      <c r="B1866" s="584" t="s">
        <v>1202</v>
      </c>
      <c r="C1866" s="12" t="s">
        <v>40</v>
      </c>
      <c r="D1866" s="16" t="s">
        <v>353</v>
      </c>
      <c r="E1866" s="16" t="s">
        <v>354</v>
      </c>
      <c r="F1866" s="16" t="s">
        <v>355</v>
      </c>
    </row>
    <row r="1867" spans="2:6" ht="28.8">
      <c r="C1867" s="187" t="s">
        <v>631</v>
      </c>
      <c r="D1867" s="28">
        <v>0.02</v>
      </c>
      <c r="E1867" s="28">
        <v>0.02</v>
      </c>
      <c r="F1867" s="28">
        <v>0.02</v>
      </c>
    </row>
    <row r="1868" spans="2:6" ht="28.8">
      <c r="C1868" s="187" t="s">
        <v>625</v>
      </c>
      <c r="D1868" s="17">
        <v>0.3</v>
      </c>
      <c r="E1868" s="17">
        <v>0.3</v>
      </c>
      <c r="F1868" s="17">
        <v>0.3</v>
      </c>
    </row>
    <row r="1869" spans="2:6">
      <c r="C1869" s="187" t="s">
        <v>626</v>
      </c>
      <c r="D1869" s="17">
        <v>0.2</v>
      </c>
      <c r="E1869" s="17">
        <v>0.2</v>
      </c>
      <c r="F1869" s="17">
        <v>0.2</v>
      </c>
    </row>
    <row r="1870" spans="2:6">
      <c r="C1870" s="187" t="s">
        <v>627</v>
      </c>
      <c r="D1870" s="17">
        <v>0.25</v>
      </c>
      <c r="E1870" s="17">
        <v>0.25</v>
      </c>
      <c r="F1870" s="17">
        <v>0.25</v>
      </c>
    </row>
    <row r="1871" spans="2:6">
      <c r="C1871" s="187" t="s">
        <v>1566</v>
      </c>
      <c r="D1871" s="17">
        <v>0.2</v>
      </c>
      <c r="E1871" s="17">
        <v>0.2</v>
      </c>
      <c r="F1871" s="17">
        <v>0.2</v>
      </c>
    </row>
    <row r="1872" spans="2:6">
      <c r="C1872" s="187" t="s">
        <v>632</v>
      </c>
      <c r="D1872" s="17">
        <v>0.03</v>
      </c>
      <c r="E1872" s="17">
        <v>0.03</v>
      </c>
      <c r="F1872" s="17">
        <v>0.03</v>
      </c>
    </row>
    <row r="1873" spans="2:6">
      <c r="C1873" s="11"/>
      <c r="D1873" s="27">
        <f>SUM(D1867:D1872)</f>
        <v>1</v>
      </c>
      <c r="E1873" s="27">
        <f t="shared" ref="E1873:F1873" si="177">SUM(E1867:E1872)</f>
        <v>1</v>
      </c>
      <c r="F1873" s="27">
        <f t="shared" si="177"/>
        <v>1</v>
      </c>
    </row>
    <row r="1874" spans="2:6">
      <c r="C1874" s="11"/>
      <c r="D1874" s="15"/>
      <c r="E1874" s="22">
        <f>D1873-E1873</f>
        <v>0</v>
      </c>
      <c r="F1874" s="22">
        <f>D1873-F1873</f>
        <v>0</v>
      </c>
    </row>
    <row r="1875" spans="2:6">
      <c r="C1875" s="11"/>
      <c r="D1875" s="15"/>
      <c r="E1875" s="15"/>
      <c r="F1875" s="15"/>
    </row>
    <row r="1876" spans="2:6">
      <c r="C1876" s="10" t="s">
        <v>422</v>
      </c>
      <c r="D1876" s="16" t="s">
        <v>418</v>
      </c>
      <c r="E1876" s="15"/>
      <c r="F1876" s="15"/>
    </row>
    <row r="1877" spans="2:6">
      <c r="C1877" s="11"/>
      <c r="D1877" s="15"/>
      <c r="E1877" s="15"/>
      <c r="F1877" s="15"/>
    </row>
    <row r="1878" spans="2:6">
      <c r="B1878" s="519" t="s">
        <v>1079</v>
      </c>
      <c r="C1878" s="12" t="s">
        <v>41</v>
      </c>
      <c r="D1878" s="16" t="s">
        <v>353</v>
      </c>
      <c r="E1878" s="16" t="s">
        <v>354</v>
      </c>
      <c r="F1878" s="16" t="s">
        <v>355</v>
      </c>
    </row>
    <row r="1879" spans="2:6" ht="28.8">
      <c r="C1879" s="187" t="s">
        <v>1473</v>
      </c>
      <c r="D1879" s="17"/>
      <c r="E1879" s="17"/>
      <c r="F1879" s="17"/>
    </row>
    <row r="1880" spans="2:6" ht="43.2">
      <c r="C1880" s="187" t="s">
        <v>1474</v>
      </c>
      <c r="D1880" s="17"/>
      <c r="E1880" s="17"/>
      <c r="F1880" s="17"/>
    </row>
    <row r="1881" spans="2:6">
      <c r="C1881" s="187" t="s">
        <v>1475</v>
      </c>
      <c r="D1881" s="17"/>
      <c r="E1881" s="17"/>
      <c r="F1881" s="17"/>
    </row>
    <row r="1882" spans="2:6">
      <c r="C1882" s="187" t="s">
        <v>1476</v>
      </c>
      <c r="D1882" s="17"/>
      <c r="E1882" s="17"/>
      <c r="F1882" s="17"/>
    </row>
    <row r="1883" spans="2:6">
      <c r="C1883" s="187" t="s">
        <v>1477</v>
      </c>
      <c r="D1883" s="17"/>
      <c r="E1883" s="17"/>
      <c r="F1883" s="17"/>
    </row>
    <row r="1884" spans="2:6" ht="28.8">
      <c r="C1884" s="216" t="s">
        <v>1478</v>
      </c>
      <c r="D1884" s="17"/>
      <c r="E1884" s="17"/>
      <c r="F1884" s="17"/>
    </row>
    <row r="1885" spans="2:6">
      <c r="C1885" s="216" t="s">
        <v>1479</v>
      </c>
      <c r="D1885" s="19"/>
      <c r="E1885" s="19"/>
      <c r="F1885" s="19"/>
    </row>
    <row r="1886" spans="2:6" ht="28.8">
      <c r="C1886" s="465" t="s">
        <v>1480</v>
      </c>
      <c r="D1886" s="15"/>
      <c r="E1886" s="19"/>
      <c r="F1886" s="19"/>
    </row>
    <row r="1887" spans="2:6">
      <c r="C1887" s="11"/>
      <c r="D1887" s="15"/>
      <c r="E1887" s="15"/>
      <c r="F1887" s="15"/>
    </row>
    <row r="1888" spans="2:6">
      <c r="C1888" s="10" t="s">
        <v>633</v>
      </c>
      <c r="D1888" s="16">
        <v>5</v>
      </c>
      <c r="E1888" s="15"/>
      <c r="F1888" s="15"/>
    </row>
    <row r="1889" spans="2:6">
      <c r="C1889" s="11"/>
      <c r="D1889" s="15"/>
      <c r="E1889" s="15"/>
      <c r="F1889" s="15"/>
    </row>
    <row r="1890" spans="2:6">
      <c r="B1890" s="578" t="s">
        <v>1202</v>
      </c>
      <c r="C1890" s="12" t="s">
        <v>1573</v>
      </c>
      <c r="D1890" s="16" t="s">
        <v>353</v>
      </c>
      <c r="E1890" s="16" t="s">
        <v>354</v>
      </c>
      <c r="F1890" s="16" t="s">
        <v>355</v>
      </c>
    </row>
    <row r="1891" spans="2:6" ht="28.8">
      <c r="C1891" s="465" t="s">
        <v>1574</v>
      </c>
      <c r="D1891" s="28">
        <v>0.05</v>
      </c>
      <c r="E1891" s="235">
        <v>2.5000000000000001E-2</v>
      </c>
      <c r="F1891" s="235">
        <v>2.5000000000000001E-2</v>
      </c>
    </row>
    <row r="1892" spans="2:6">
      <c r="C1892" s="187" t="s">
        <v>634</v>
      </c>
      <c r="D1892" s="28">
        <v>0.2</v>
      </c>
      <c r="E1892" s="235">
        <v>0.2</v>
      </c>
      <c r="F1892" s="235">
        <v>0.2</v>
      </c>
    </row>
    <row r="1893" spans="2:6">
      <c r="C1893" s="187" t="s">
        <v>635</v>
      </c>
      <c r="D1893" s="28">
        <v>0.1</v>
      </c>
      <c r="E1893" s="235">
        <v>0.1</v>
      </c>
      <c r="F1893" s="235">
        <v>0.1</v>
      </c>
    </row>
    <row r="1894" spans="2:6">
      <c r="C1894" s="187" t="s">
        <v>636</v>
      </c>
      <c r="D1894" s="28">
        <v>0.05</v>
      </c>
      <c r="E1894" s="235">
        <v>2.5000000000000001E-2</v>
      </c>
      <c r="F1894" s="235">
        <v>2.5000000000000001E-2</v>
      </c>
    </row>
    <row r="1895" spans="2:6">
      <c r="C1895" s="187" t="s">
        <v>637</v>
      </c>
      <c r="D1895" s="28">
        <v>0.05</v>
      </c>
      <c r="E1895" s="235">
        <v>2.5000000000000001E-2</v>
      </c>
      <c r="F1895" s="235">
        <v>2.5000000000000001E-2</v>
      </c>
    </row>
    <row r="1896" spans="2:6">
      <c r="C1896" s="187" t="s">
        <v>638</v>
      </c>
      <c r="D1896" s="28">
        <v>0.1</v>
      </c>
      <c r="E1896" s="235">
        <v>0.05</v>
      </c>
      <c r="F1896" s="235">
        <v>0.05</v>
      </c>
    </row>
    <row r="1897" spans="2:6" ht="28.8">
      <c r="C1897" s="187" t="s">
        <v>639</v>
      </c>
      <c r="D1897" s="28">
        <v>0.25</v>
      </c>
      <c r="E1897" s="235">
        <v>0.14000000000000001</v>
      </c>
      <c r="F1897" s="235">
        <v>0.14000000000000001</v>
      </c>
    </row>
    <row r="1898" spans="2:6">
      <c r="C1898" s="187" t="s">
        <v>640</v>
      </c>
      <c r="D1898" s="28">
        <v>0.1</v>
      </c>
      <c r="E1898" s="235">
        <v>0.05</v>
      </c>
      <c r="F1898" s="235">
        <v>0.05</v>
      </c>
    </row>
    <row r="1899" spans="2:6">
      <c r="C1899" s="187" t="s">
        <v>641</v>
      </c>
      <c r="D1899" s="28">
        <v>0.1</v>
      </c>
      <c r="E1899" s="235">
        <v>0.1</v>
      </c>
      <c r="F1899" s="235">
        <v>0.1</v>
      </c>
    </row>
    <row r="1900" spans="2:6">
      <c r="C1900" s="11"/>
      <c r="D1900" s="27">
        <f>SUM(D1891:D1899)</f>
        <v>0.99999999999999989</v>
      </c>
      <c r="E1900" s="231">
        <f>SUM(E1891:E1899)</f>
        <v>0.71500000000000008</v>
      </c>
      <c r="F1900" s="27">
        <f>SUM(F1891:F1899)</f>
        <v>0.71500000000000008</v>
      </c>
    </row>
    <row r="1901" spans="2:6">
      <c r="C1901" s="11"/>
      <c r="D1901" s="27"/>
      <c r="E1901" s="27">
        <f>D1900-E1900</f>
        <v>0.28499999999999981</v>
      </c>
      <c r="F1901" s="27">
        <f>E1900-F1900</f>
        <v>0</v>
      </c>
    </row>
    <row r="1902" spans="2:6">
      <c r="C1902" s="10"/>
      <c r="D1902" s="16"/>
      <c r="E1902" s="16"/>
      <c r="F1902" s="16"/>
    </row>
    <row r="1903" spans="2:6">
      <c r="C1903" s="10" t="s">
        <v>642</v>
      </c>
      <c r="D1903" s="16" t="s">
        <v>643</v>
      </c>
      <c r="E1903" s="16"/>
      <c r="F1903" s="16"/>
    </row>
    <row r="1904" spans="2:6">
      <c r="C1904" s="10"/>
      <c r="D1904" s="16"/>
      <c r="E1904" s="16"/>
      <c r="F1904" s="16"/>
    </row>
    <row r="1905" spans="2:6">
      <c r="B1905" s="584" t="s">
        <v>1202</v>
      </c>
      <c r="C1905" s="12" t="s">
        <v>1575</v>
      </c>
      <c r="D1905" s="16" t="s">
        <v>353</v>
      </c>
      <c r="E1905" s="16" t="s">
        <v>354</v>
      </c>
      <c r="F1905" s="16" t="s">
        <v>355</v>
      </c>
    </row>
    <row r="1906" spans="2:6" ht="28.8">
      <c r="C1906" s="187" t="s">
        <v>644</v>
      </c>
      <c r="D1906" s="28">
        <v>0.02</v>
      </c>
      <c r="E1906" s="28">
        <v>0.02</v>
      </c>
      <c r="F1906" s="28">
        <v>0.02</v>
      </c>
    </row>
    <row r="1907" spans="2:6">
      <c r="C1907" s="187" t="s">
        <v>645</v>
      </c>
      <c r="D1907" s="28">
        <v>0.36</v>
      </c>
      <c r="E1907" s="28">
        <v>0.36</v>
      </c>
      <c r="F1907" s="28">
        <v>0.36</v>
      </c>
    </row>
    <row r="1908" spans="2:6">
      <c r="C1908" s="187" t="s">
        <v>646</v>
      </c>
      <c r="D1908" s="28">
        <v>0.2</v>
      </c>
      <c r="E1908" s="28">
        <v>0.2</v>
      </c>
      <c r="F1908" s="28">
        <v>0.2</v>
      </c>
    </row>
    <row r="1909" spans="2:6">
      <c r="C1909" s="187" t="s">
        <v>647</v>
      </c>
      <c r="D1909" s="28">
        <v>0.42</v>
      </c>
      <c r="E1909" s="28">
        <v>0.42</v>
      </c>
      <c r="F1909" s="28">
        <v>0.42</v>
      </c>
    </row>
    <row r="1910" spans="2:6">
      <c r="C1910" s="11"/>
      <c r="D1910" s="27">
        <f>SUM(D1906:D1909)</f>
        <v>1</v>
      </c>
      <c r="E1910" s="27">
        <f>SUM(E1906:E1909)</f>
        <v>1</v>
      </c>
      <c r="F1910" s="27">
        <f>SUM(F1906:F1909)</f>
        <v>1</v>
      </c>
    </row>
    <row r="1911" spans="2:6">
      <c r="C1911" s="11"/>
      <c r="D1911" s="15"/>
      <c r="E1911" s="22">
        <f>D1910-E1910</f>
        <v>0</v>
      </c>
      <c r="F1911" s="22">
        <f>E1910-F1910</f>
        <v>0</v>
      </c>
    </row>
    <row r="1912" spans="2:6">
      <c r="C1912" s="11"/>
      <c r="D1912" s="15"/>
      <c r="E1912" s="15"/>
      <c r="F1912" s="15"/>
    </row>
    <row r="1913" spans="2:6">
      <c r="C1913" s="10" t="s">
        <v>642</v>
      </c>
      <c r="D1913" s="16" t="s">
        <v>643</v>
      </c>
      <c r="E1913" s="16"/>
      <c r="F1913" s="16"/>
    </row>
    <row r="1914" spans="2:6">
      <c r="C1914" s="11"/>
      <c r="D1914" s="15"/>
      <c r="E1914" s="15"/>
      <c r="F1914" s="15"/>
    </row>
    <row r="1915" spans="2:6">
      <c r="C1915" s="11"/>
      <c r="D1915" s="15"/>
      <c r="E1915" s="15"/>
      <c r="F1915" s="15"/>
    </row>
    <row r="1916" spans="2:6">
      <c r="B1916" s="519" t="s">
        <v>1079</v>
      </c>
      <c r="C1916" s="12" t="s">
        <v>648</v>
      </c>
      <c r="D1916" s="16" t="s">
        <v>353</v>
      </c>
      <c r="E1916" s="16" t="s">
        <v>354</v>
      </c>
      <c r="F1916" s="16" t="s">
        <v>355</v>
      </c>
    </row>
    <row r="1917" spans="2:6">
      <c r="C1917" s="187" t="s">
        <v>1576</v>
      </c>
      <c r="D1917" s="28">
        <v>0.05</v>
      </c>
      <c r="E1917" s="28">
        <v>0.05</v>
      </c>
      <c r="F1917" s="28">
        <v>0</v>
      </c>
    </row>
    <row r="1918" spans="2:6">
      <c r="C1918" s="187" t="s">
        <v>1577</v>
      </c>
      <c r="D1918" s="28">
        <v>0.8</v>
      </c>
      <c r="E1918" s="28">
        <v>0.8</v>
      </c>
      <c r="F1918" s="28">
        <v>0</v>
      </c>
    </row>
    <row r="1919" spans="2:6" ht="28.8">
      <c r="C1919" s="187" t="s">
        <v>1578</v>
      </c>
      <c r="D1919" s="28">
        <v>0.05</v>
      </c>
      <c r="E1919" s="28">
        <v>0.05</v>
      </c>
      <c r="F1919" s="28">
        <v>0</v>
      </c>
    </row>
    <row r="1920" spans="2:6">
      <c r="C1920" s="11"/>
      <c r="D1920" s="27">
        <f>SUM(D1917:D1919)</f>
        <v>0.90000000000000013</v>
      </c>
      <c r="E1920" s="27">
        <f>SUM(E1917:E1919)</f>
        <v>0.90000000000000013</v>
      </c>
      <c r="F1920" s="27">
        <f>SUM(F1917:F1919)</f>
        <v>0</v>
      </c>
    </row>
    <row r="1921" spans="2:6">
      <c r="C1921" s="11"/>
      <c r="D1921" s="15"/>
      <c r="E1921" s="22">
        <f>D1920-E1920</f>
        <v>0</v>
      </c>
      <c r="F1921" s="22">
        <f>E1920-F1920</f>
        <v>0.90000000000000013</v>
      </c>
    </row>
    <row r="1922" spans="2:6">
      <c r="C1922" s="10" t="s">
        <v>642</v>
      </c>
      <c r="D1922" s="16" t="s">
        <v>643</v>
      </c>
      <c r="E1922" s="16"/>
      <c r="F1922" s="16"/>
    </row>
    <row r="1923" spans="2:6">
      <c r="C1923" s="10"/>
      <c r="D1923" s="16"/>
      <c r="E1923" s="16"/>
      <c r="F1923" s="16"/>
    </row>
    <row r="1924" spans="2:6">
      <c r="C1924" s="10"/>
      <c r="D1924" s="16"/>
      <c r="E1924" s="16"/>
      <c r="F1924" s="16"/>
    </row>
    <row r="1925" spans="2:6">
      <c r="C1925" s="10"/>
      <c r="D1925" s="16"/>
      <c r="E1925" s="16"/>
      <c r="F1925" s="16"/>
    </row>
    <row r="1926" spans="2:6">
      <c r="B1926" s="578" t="s">
        <v>1202</v>
      </c>
      <c r="C1926" s="12" t="s">
        <v>46</v>
      </c>
      <c r="D1926" s="16" t="s">
        <v>353</v>
      </c>
      <c r="E1926" s="16" t="s">
        <v>354</v>
      </c>
      <c r="F1926" s="16" t="s">
        <v>355</v>
      </c>
    </row>
    <row r="1927" spans="2:6" ht="28.8">
      <c r="C1927" s="187" t="s">
        <v>1579</v>
      </c>
      <c r="D1927" s="18">
        <v>0.02</v>
      </c>
      <c r="E1927" s="18">
        <v>0.02</v>
      </c>
      <c r="F1927" s="18">
        <v>0.01</v>
      </c>
    </row>
    <row r="1928" spans="2:6" ht="28.8">
      <c r="C1928" s="187" t="s">
        <v>1580</v>
      </c>
      <c r="D1928" s="18">
        <v>0.2</v>
      </c>
      <c r="E1928" s="18">
        <v>0.2</v>
      </c>
      <c r="F1928" s="18">
        <v>0.2</v>
      </c>
    </row>
    <row r="1929" spans="2:6">
      <c r="C1929" s="187" t="s">
        <v>1581</v>
      </c>
      <c r="D1929" s="18"/>
      <c r="E1929" s="18"/>
      <c r="F1929" s="18"/>
    </row>
    <row r="1930" spans="2:6" ht="28.8">
      <c r="C1930" s="187" t="s">
        <v>620</v>
      </c>
      <c r="D1930" s="18">
        <v>0.1</v>
      </c>
      <c r="E1930" s="18">
        <v>0.1</v>
      </c>
      <c r="F1930" s="18">
        <v>0.05</v>
      </c>
    </row>
    <row r="1931" spans="2:6">
      <c r="C1931" s="187" t="s">
        <v>1582</v>
      </c>
      <c r="D1931" s="18">
        <v>0.03</v>
      </c>
      <c r="E1931" s="18">
        <v>0.03</v>
      </c>
      <c r="F1931" s="18">
        <v>0</v>
      </c>
    </row>
    <row r="1932" spans="2:6" ht="28.8">
      <c r="C1932" s="187" t="s">
        <v>1583</v>
      </c>
      <c r="D1932" s="18">
        <v>0.03</v>
      </c>
      <c r="E1932" s="18">
        <v>0.03</v>
      </c>
      <c r="F1932" s="18">
        <v>0.03</v>
      </c>
    </row>
    <row r="1933" spans="2:6">
      <c r="C1933" s="187" t="s">
        <v>622</v>
      </c>
      <c r="D1933" s="18">
        <v>0.1</v>
      </c>
      <c r="E1933" s="18">
        <v>0.1</v>
      </c>
      <c r="F1933" s="18">
        <v>0.1</v>
      </c>
    </row>
    <row r="1934" spans="2:6" ht="28.8">
      <c r="C1934" s="187" t="s">
        <v>1584</v>
      </c>
      <c r="D1934" s="18">
        <v>0.2</v>
      </c>
      <c r="E1934" s="18">
        <v>0.2</v>
      </c>
      <c r="F1934" s="18">
        <v>0.2</v>
      </c>
    </row>
    <row r="1935" spans="2:6">
      <c r="C1935" s="187" t="s">
        <v>624</v>
      </c>
      <c r="D1935" s="18">
        <v>0.1</v>
      </c>
      <c r="E1935" s="18">
        <v>0.1</v>
      </c>
      <c r="F1935" s="18">
        <v>0.1</v>
      </c>
    </row>
    <row r="1936" spans="2:6">
      <c r="C1936" s="187" t="s">
        <v>649</v>
      </c>
      <c r="D1936" s="18">
        <v>0.1</v>
      </c>
      <c r="E1936" s="18">
        <v>0.1</v>
      </c>
      <c r="F1936" s="18">
        <v>0.05</v>
      </c>
    </row>
    <row r="1937" spans="2:6">
      <c r="C1937" s="187" t="s">
        <v>1585</v>
      </c>
      <c r="D1937" s="18">
        <v>0.1</v>
      </c>
      <c r="E1937" s="18">
        <v>0.1</v>
      </c>
      <c r="F1937" s="18">
        <v>0.05</v>
      </c>
    </row>
    <row r="1938" spans="2:6">
      <c r="C1938" s="11"/>
      <c r="D1938" s="22">
        <f>SUM(D1927:D1937)</f>
        <v>0.97999999999999987</v>
      </c>
      <c r="E1938" s="22">
        <f>SUM(E1927:E1937)</f>
        <v>0.97999999999999987</v>
      </c>
      <c r="F1938" s="22">
        <f>SUM(F1927:F1937)</f>
        <v>0.79000000000000015</v>
      </c>
    </row>
    <row r="1939" spans="2:6">
      <c r="C1939" s="11"/>
      <c r="D1939" s="15"/>
      <c r="E1939" s="22">
        <f>D1938-E1938</f>
        <v>0</v>
      </c>
      <c r="F1939" s="22">
        <f>E1938-F1938</f>
        <v>0.18999999999999972</v>
      </c>
    </row>
    <row r="1940" spans="2:6">
      <c r="C1940" s="11"/>
      <c r="D1940" s="15"/>
      <c r="E1940" s="15"/>
      <c r="F1940" s="15"/>
    </row>
    <row r="1941" spans="2:6">
      <c r="C1941" s="10" t="s">
        <v>633</v>
      </c>
      <c r="D1941" s="16">
        <v>30</v>
      </c>
      <c r="E1941" s="15"/>
      <c r="F1941" s="15"/>
    </row>
    <row r="1942" spans="2:6">
      <c r="C1942" s="11"/>
      <c r="D1942" s="15"/>
      <c r="E1942" s="15"/>
      <c r="F1942" s="15"/>
    </row>
    <row r="1943" spans="2:6">
      <c r="B1943" s="578" t="s">
        <v>1202</v>
      </c>
      <c r="C1943" s="12" t="s">
        <v>47</v>
      </c>
      <c r="D1943" s="16" t="s">
        <v>353</v>
      </c>
      <c r="E1943" s="16" t="s">
        <v>354</v>
      </c>
      <c r="F1943" s="16" t="s">
        <v>355</v>
      </c>
    </row>
    <row r="1944" spans="2:6">
      <c r="C1944" s="187" t="s">
        <v>629</v>
      </c>
      <c r="D1944" s="18">
        <v>0.02</v>
      </c>
      <c r="E1944" s="18">
        <v>0.02</v>
      </c>
      <c r="F1944" s="18">
        <v>0.02</v>
      </c>
    </row>
    <row r="1945" spans="2:6" ht="28.8">
      <c r="C1945" s="187" t="s">
        <v>619</v>
      </c>
      <c r="D1945" s="18">
        <v>0.15</v>
      </c>
      <c r="E1945" s="18">
        <v>0.15</v>
      </c>
      <c r="F1945" s="18">
        <v>0</v>
      </c>
    </row>
    <row r="1946" spans="2:6" ht="28.8">
      <c r="C1946" s="187" t="s">
        <v>620</v>
      </c>
      <c r="D1946" s="18">
        <v>0.1</v>
      </c>
      <c r="E1946" s="18">
        <v>0.1</v>
      </c>
      <c r="F1946" s="18">
        <v>0.05</v>
      </c>
    </row>
    <row r="1947" spans="2:6">
      <c r="C1947" s="187" t="s">
        <v>650</v>
      </c>
      <c r="D1947" s="18">
        <v>0.03</v>
      </c>
      <c r="E1947" s="18">
        <v>0.03</v>
      </c>
      <c r="F1947" s="18">
        <v>0</v>
      </c>
    </row>
    <row r="1948" spans="2:6">
      <c r="C1948" s="187" t="s">
        <v>651</v>
      </c>
      <c r="D1948" s="18">
        <v>0.03</v>
      </c>
      <c r="E1948" s="18">
        <v>0.03</v>
      </c>
      <c r="F1948" s="18">
        <v>0</v>
      </c>
    </row>
    <row r="1949" spans="2:6">
      <c r="C1949" s="187" t="s">
        <v>622</v>
      </c>
      <c r="D1949" s="18">
        <v>0.1</v>
      </c>
      <c r="E1949" s="18">
        <v>0.1</v>
      </c>
      <c r="F1949" s="18">
        <v>0.05</v>
      </c>
    </row>
    <row r="1950" spans="2:6">
      <c r="C1950" s="187" t="s">
        <v>652</v>
      </c>
      <c r="D1950" s="18">
        <v>0.02</v>
      </c>
      <c r="E1950" s="18">
        <v>0.02</v>
      </c>
      <c r="F1950" s="18">
        <v>0</v>
      </c>
    </row>
    <row r="1951" spans="2:6" ht="28.8">
      <c r="C1951" s="187" t="s">
        <v>653</v>
      </c>
      <c r="D1951" s="18">
        <v>0.2</v>
      </c>
      <c r="E1951" s="18">
        <v>0.2</v>
      </c>
      <c r="F1951" s="18">
        <v>0</v>
      </c>
    </row>
    <row r="1952" spans="2:6">
      <c r="C1952" s="187" t="s">
        <v>624</v>
      </c>
      <c r="D1952" s="18">
        <v>0.1</v>
      </c>
      <c r="E1952" s="18">
        <v>0.1</v>
      </c>
      <c r="F1952" s="18">
        <v>0</v>
      </c>
    </row>
    <row r="1953" spans="2:6">
      <c r="C1953" s="187" t="s">
        <v>654</v>
      </c>
      <c r="D1953" s="18">
        <v>0.1</v>
      </c>
      <c r="E1953" s="18">
        <v>0.1</v>
      </c>
      <c r="F1953" s="18">
        <v>0</v>
      </c>
    </row>
    <row r="1954" spans="2:6">
      <c r="C1954" s="187" t="s">
        <v>655</v>
      </c>
      <c r="D1954" s="18">
        <v>0.05</v>
      </c>
      <c r="E1954" s="18">
        <v>0.05</v>
      </c>
      <c r="F1954" s="18">
        <v>0</v>
      </c>
    </row>
    <row r="1955" spans="2:6">
      <c r="C1955" s="11"/>
      <c r="D1955" s="22">
        <f>SUM(D1944:D1954)</f>
        <v>0.90000000000000013</v>
      </c>
      <c r="E1955" s="22">
        <f>SUM(E1944:E1954)</f>
        <v>0.90000000000000013</v>
      </c>
      <c r="F1955" s="22">
        <f>SUM(F1944:F1954)</f>
        <v>0.12000000000000001</v>
      </c>
    </row>
    <row r="1956" spans="2:6">
      <c r="C1956" s="11"/>
      <c r="D1956" s="16"/>
      <c r="E1956" s="22">
        <f>D1955-E1955</f>
        <v>0</v>
      </c>
      <c r="F1956" s="22">
        <f>E1955-F1955</f>
        <v>0.78000000000000014</v>
      </c>
    </row>
    <row r="1957" spans="2:6">
      <c r="C1957" s="10"/>
      <c r="D1957" s="16"/>
      <c r="E1957" s="16"/>
      <c r="F1957" s="16"/>
    </row>
    <row r="1958" spans="2:6">
      <c r="C1958" s="10" t="s">
        <v>633</v>
      </c>
      <c r="D1958" s="16">
        <v>30</v>
      </c>
      <c r="E1958" s="15"/>
      <c r="F1958" s="15"/>
    </row>
    <row r="1959" spans="2:6">
      <c r="C1959" s="10"/>
      <c r="D1959" s="16"/>
      <c r="E1959" s="16"/>
      <c r="F1959" s="16"/>
    </row>
    <row r="1960" spans="2:6">
      <c r="B1960" s="519" t="s">
        <v>1079</v>
      </c>
      <c r="C1960" s="12" t="s">
        <v>48</v>
      </c>
      <c r="D1960" s="16" t="s">
        <v>353</v>
      </c>
      <c r="E1960" s="16" t="s">
        <v>354</v>
      </c>
      <c r="F1960" s="16" t="s">
        <v>355</v>
      </c>
    </row>
    <row r="1961" spans="2:6" ht="28.8">
      <c r="C1961" s="187" t="s">
        <v>1586</v>
      </c>
      <c r="D1961" s="28">
        <v>0.08</v>
      </c>
      <c r="E1961" s="28">
        <v>0.08</v>
      </c>
      <c r="F1961" s="28">
        <v>0</v>
      </c>
    </row>
    <row r="1962" spans="2:6">
      <c r="C1962" s="187" t="s">
        <v>656</v>
      </c>
      <c r="D1962" s="28"/>
      <c r="E1962" s="28"/>
      <c r="F1962" s="28"/>
    </row>
    <row r="1963" spans="2:6">
      <c r="C1963" s="11"/>
      <c r="D1963" s="27">
        <f>SUM(D1961:D1962)</f>
        <v>0.08</v>
      </c>
      <c r="E1963" s="27">
        <f>SUM(E1961:E1962)</f>
        <v>0.08</v>
      </c>
      <c r="F1963" s="27">
        <f>SUM(F1961:F1962)</f>
        <v>0</v>
      </c>
    </row>
    <row r="1964" spans="2:6">
      <c r="C1964" s="11"/>
      <c r="D1964" s="15"/>
      <c r="E1964" s="22">
        <f>D1963-E1963</f>
        <v>0</v>
      </c>
      <c r="F1964" s="22">
        <f>E1963-F1963</f>
        <v>0.08</v>
      </c>
    </row>
    <row r="1965" spans="2:6">
      <c r="C1965" s="10" t="s">
        <v>633</v>
      </c>
      <c r="D1965" s="16">
        <v>15</v>
      </c>
      <c r="E1965" s="15"/>
      <c r="F1965" s="15"/>
    </row>
    <row r="1966" spans="2:6">
      <c r="C1966" s="10"/>
      <c r="D1966" s="16"/>
      <c r="E1966" s="15"/>
      <c r="F1966" s="15"/>
    </row>
    <row r="1967" spans="2:6">
      <c r="B1967" s="519" t="s">
        <v>1079</v>
      </c>
      <c r="C1967" s="12" t="s">
        <v>1587</v>
      </c>
      <c r="D1967" s="16" t="s">
        <v>353</v>
      </c>
      <c r="E1967" s="16" t="s">
        <v>354</v>
      </c>
      <c r="F1967" s="16" t="s">
        <v>355</v>
      </c>
    </row>
    <row r="1968" spans="2:6">
      <c r="C1968" s="187" t="s">
        <v>1588</v>
      </c>
      <c r="D1968" s="28">
        <v>0.05</v>
      </c>
      <c r="E1968" s="235">
        <v>2.5000000000000001E-2</v>
      </c>
      <c r="F1968" s="235">
        <v>2.5000000000000001E-2</v>
      </c>
    </row>
    <row r="1969" spans="3:6">
      <c r="C1969" s="187" t="s">
        <v>1589</v>
      </c>
      <c r="D1969" s="28">
        <v>0.1</v>
      </c>
      <c r="E1969" s="235">
        <v>0.05</v>
      </c>
      <c r="F1969" s="235">
        <v>0.05</v>
      </c>
    </row>
    <row r="1970" spans="3:6">
      <c r="C1970" s="187" t="s">
        <v>1590</v>
      </c>
      <c r="D1970" s="28">
        <v>0.7</v>
      </c>
      <c r="E1970" s="235">
        <v>0.35</v>
      </c>
      <c r="F1970" s="235">
        <v>0.35</v>
      </c>
    </row>
    <row r="1971" spans="3:6">
      <c r="C1971" s="261" t="s">
        <v>1591</v>
      </c>
      <c r="D1971" s="28"/>
      <c r="E1971" s="235"/>
      <c r="F1971" s="235"/>
    </row>
    <row r="1972" spans="3:6">
      <c r="C1972" s="187" t="s">
        <v>1592</v>
      </c>
      <c r="D1972" s="28">
        <v>0.1</v>
      </c>
      <c r="E1972" s="235">
        <v>0.05</v>
      </c>
      <c r="F1972" s="235">
        <v>0.05</v>
      </c>
    </row>
    <row r="1973" spans="3:6">
      <c r="C1973" s="187" t="s">
        <v>657</v>
      </c>
      <c r="D1973" s="28">
        <v>0.05</v>
      </c>
      <c r="E1973" s="235">
        <v>2.5000000000000001E-2</v>
      </c>
      <c r="F1973" s="235">
        <v>2.5000000000000001E-2</v>
      </c>
    </row>
    <row r="1974" spans="3:6">
      <c r="C1974" s="11"/>
      <c r="D1974" s="27">
        <f>SUM(D1968:D1973)</f>
        <v>1</v>
      </c>
      <c r="E1974" s="231">
        <f>SUM(E1968:E1973)</f>
        <v>0.5</v>
      </c>
      <c r="F1974" s="27">
        <f>SUM(F1968:F1973)</f>
        <v>0.5</v>
      </c>
    </row>
    <row r="1975" spans="3:6">
      <c r="C1975" s="11"/>
      <c r="D1975" s="28"/>
      <c r="E1975" s="27">
        <f>D1974-E1974</f>
        <v>0.5</v>
      </c>
      <c r="F1975" s="27">
        <f>E1974-F1974</f>
        <v>0</v>
      </c>
    </row>
    <row r="1976" spans="3:6">
      <c r="C1976" s="10" t="s">
        <v>633</v>
      </c>
      <c r="D1976" s="16">
        <v>15</v>
      </c>
      <c r="E1976" s="15"/>
      <c r="F1976" s="15"/>
    </row>
    <row r="1977" spans="3:6">
      <c r="C1977" s="10"/>
      <c r="D1977" s="16"/>
      <c r="E1977" s="15"/>
      <c r="F1977" s="15"/>
    </row>
    <row r="1978" spans="3:6">
      <c r="C1978" s="10"/>
      <c r="D1978" s="16"/>
      <c r="E1978" s="15"/>
      <c r="F1978" s="15"/>
    </row>
    <row r="1979" spans="3:6">
      <c r="C1979" s="12" t="s">
        <v>1593</v>
      </c>
      <c r="D1979" s="16" t="s">
        <v>353</v>
      </c>
      <c r="E1979" s="16" t="s">
        <v>354</v>
      </c>
      <c r="F1979" s="16" t="s">
        <v>355</v>
      </c>
    </row>
    <row r="1980" spans="3:6">
      <c r="C1980" s="187" t="s">
        <v>1594</v>
      </c>
      <c r="D1980" s="28">
        <v>0.01</v>
      </c>
      <c r="E1980" s="28">
        <v>0.01</v>
      </c>
      <c r="F1980" s="28">
        <v>0.01</v>
      </c>
    </row>
    <row r="1981" spans="3:6">
      <c r="C1981" s="187" t="s">
        <v>1595</v>
      </c>
      <c r="D1981" s="28">
        <v>0.4</v>
      </c>
      <c r="E1981" s="28">
        <v>0.4</v>
      </c>
      <c r="F1981" s="28">
        <v>0.05</v>
      </c>
    </row>
    <row r="1982" spans="3:6">
      <c r="C1982" s="187" t="s">
        <v>1596</v>
      </c>
      <c r="D1982" s="28">
        <v>0.43</v>
      </c>
      <c r="E1982" s="28">
        <v>0.43</v>
      </c>
      <c r="F1982" s="28">
        <v>0.21</v>
      </c>
    </row>
    <row r="1983" spans="3:6">
      <c r="C1983" s="187" t="s">
        <v>1597</v>
      </c>
      <c r="D1983" s="28">
        <v>0.01</v>
      </c>
      <c r="E1983" s="28">
        <v>0.01</v>
      </c>
      <c r="F1983" s="28">
        <v>0.01</v>
      </c>
    </row>
    <row r="1984" spans="3:6" ht="28.8">
      <c r="C1984" s="187" t="s">
        <v>1598</v>
      </c>
      <c r="D1984" s="28">
        <v>0.01</v>
      </c>
      <c r="E1984" s="28">
        <v>0.01</v>
      </c>
      <c r="F1984" s="28">
        <v>0.01</v>
      </c>
    </row>
    <row r="1985" spans="3:6">
      <c r="C1985" s="187" t="s">
        <v>659</v>
      </c>
      <c r="D1985" s="28">
        <v>0.05</v>
      </c>
      <c r="E1985" s="28">
        <v>0.05</v>
      </c>
      <c r="F1985" s="28">
        <v>0.05</v>
      </c>
    </row>
    <row r="1986" spans="3:6" ht="28.8">
      <c r="C1986" s="187" t="s">
        <v>660</v>
      </c>
      <c r="D1986" s="28">
        <v>0.05</v>
      </c>
      <c r="E1986" s="28">
        <v>0.05</v>
      </c>
      <c r="F1986" s="28">
        <v>0.05</v>
      </c>
    </row>
    <row r="1987" spans="3:6">
      <c r="C1987" s="187" t="s">
        <v>1599</v>
      </c>
      <c r="D1987" s="28">
        <v>0.02</v>
      </c>
      <c r="E1987" s="28">
        <v>0.02</v>
      </c>
      <c r="F1987" s="28">
        <v>0.02</v>
      </c>
    </row>
    <row r="1988" spans="3:6">
      <c r="C1988" s="187" t="s">
        <v>661</v>
      </c>
      <c r="D1988" s="28">
        <v>0.02</v>
      </c>
      <c r="E1988" s="28">
        <v>0.02</v>
      </c>
      <c r="F1988" s="28">
        <v>0.02</v>
      </c>
    </row>
    <row r="1989" spans="3:6">
      <c r="C1989" s="11"/>
      <c r="D1989" s="27">
        <f>SUM(D1980:D1988)</f>
        <v>1.0000000000000002</v>
      </c>
      <c r="E1989" s="27">
        <f>SUM(E1980:E1988)</f>
        <v>1.0000000000000002</v>
      </c>
      <c r="F1989" s="27">
        <f>SUM(F1980:F1988)</f>
        <v>0.43000000000000005</v>
      </c>
    </row>
    <row r="1990" spans="3:6">
      <c r="C1990" s="11"/>
      <c r="D1990" s="27"/>
      <c r="E1990" s="27">
        <f>D1989-E1989</f>
        <v>0</v>
      </c>
      <c r="F1990" s="27">
        <f>E1989-F1989</f>
        <v>0.57000000000000017</v>
      </c>
    </row>
    <row r="1991" spans="3:6">
      <c r="C1991" s="11"/>
      <c r="D1991" s="27"/>
      <c r="E1991" s="28"/>
      <c r="F1991" s="28"/>
    </row>
    <row r="1992" spans="3:6">
      <c r="C1992" s="10" t="s">
        <v>662</v>
      </c>
      <c r="D1992" s="16" t="s">
        <v>458</v>
      </c>
      <c r="E1992" s="15"/>
      <c r="F1992" s="15"/>
    </row>
    <row r="1993" spans="3:6">
      <c r="C1993" s="11"/>
      <c r="D1993" s="16"/>
      <c r="E1993" s="15"/>
      <c r="F1993" s="15"/>
    </row>
    <row r="1994" spans="3:6">
      <c r="C1994" s="469" t="s">
        <v>1600</v>
      </c>
      <c r="D1994" s="16" t="s">
        <v>353</v>
      </c>
      <c r="E1994" s="16" t="s">
        <v>354</v>
      </c>
      <c r="F1994" s="16" t="s">
        <v>355</v>
      </c>
    </row>
    <row r="1995" spans="3:6">
      <c r="C1995" s="11" t="s">
        <v>663</v>
      </c>
      <c r="D1995" s="27">
        <v>0.1</v>
      </c>
      <c r="E1995" s="27">
        <v>0.1</v>
      </c>
      <c r="F1995" s="28">
        <v>0.1</v>
      </c>
    </row>
    <row r="1996" spans="3:6">
      <c r="C1996" s="11" t="s">
        <v>664</v>
      </c>
      <c r="D1996" s="27">
        <v>0.55000000000000004</v>
      </c>
      <c r="E1996" s="27">
        <v>0.55000000000000004</v>
      </c>
      <c r="F1996" s="28">
        <v>0</v>
      </c>
    </row>
    <row r="1997" spans="3:6">
      <c r="C1997" s="11" t="s">
        <v>1601</v>
      </c>
      <c r="D1997" s="27">
        <v>0.23</v>
      </c>
      <c r="E1997" s="27">
        <v>0.23</v>
      </c>
      <c r="F1997" s="28">
        <v>0</v>
      </c>
    </row>
    <row r="1998" spans="3:6">
      <c r="C1998" s="11" t="s">
        <v>665</v>
      </c>
      <c r="D1998" s="27">
        <v>0.1</v>
      </c>
      <c r="E1998" s="27">
        <v>0.1</v>
      </c>
      <c r="F1998" s="28">
        <v>0</v>
      </c>
    </row>
    <row r="1999" spans="3:6">
      <c r="C1999" s="11" t="s">
        <v>666</v>
      </c>
      <c r="D1999" s="27">
        <v>0.02</v>
      </c>
      <c r="E1999" s="27">
        <v>0.02</v>
      </c>
      <c r="F1999" s="28">
        <v>0</v>
      </c>
    </row>
    <row r="2000" spans="3:6">
      <c r="C2000" s="11"/>
      <c r="D2000" s="27">
        <f>SUM(D1995:D1999)</f>
        <v>1</v>
      </c>
      <c r="E2000" s="27">
        <f>SUM(E1995:E1999)</f>
        <v>1</v>
      </c>
      <c r="F2000" s="28">
        <f>SUM(F1995:F1999)</f>
        <v>0.1</v>
      </c>
    </row>
    <row r="2001" spans="3:6">
      <c r="C2001" s="11"/>
      <c r="D2001" s="16"/>
      <c r="E2001" s="15">
        <f>D2000-E2000</f>
        <v>0</v>
      </c>
      <c r="F2001" s="28">
        <f>E2000-F2000</f>
        <v>0.9</v>
      </c>
    </row>
    <row r="2002" spans="3:6">
      <c r="C2002" s="11"/>
      <c r="D2002" s="16"/>
      <c r="E2002" s="15"/>
      <c r="F2002" s="15"/>
    </row>
    <row r="2003" spans="3:6">
      <c r="C2003" s="10" t="s">
        <v>667</v>
      </c>
      <c r="D2003" s="16" t="s">
        <v>668</v>
      </c>
      <c r="E2003" s="15"/>
      <c r="F2003" s="15"/>
    </row>
    <row r="2004" spans="3:6">
      <c r="C2004" s="11"/>
      <c r="D2004" s="16"/>
      <c r="E2004" s="15"/>
      <c r="F2004" s="15"/>
    </row>
    <row r="2005" spans="3:6">
      <c r="C2005" s="469" t="s">
        <v>1602</v>
      </c>
      <c r="D2005" s="16" t="s">
        <v>353</v>
      </c>
      <c r="E2005" s="16" t="s">
        <v>354</v>
      </c>
      <c r="F2005" s="16" t="s">
        <v>355</v>
      </c>
    </row>
    <row r="2006" spans="3:6">
      <c r="C2006" s="187" t="s">
        <v>669</v>
      </c>
      <c r="D2006" s="28">
        <v>0.05</v>
      </c>
      <c r="E2006" s="28">
        <v>0.05</v>
      </c>
      <c r="F2006" s="28">
        <v>0.05</v>
      </c>
    </row>
    <row r="2007" spans="3:6">
      <c r="C2007" s="187" t="s">
        <v>1603</v>
      </c>
      <c r="D2007" s="28">
        <v>0.05</v>
      </c>
      <c r="E2007" s="28">
        <v>0.05</v>
      </c>
      <c r="F2007" s="28">
        <v>0.05</v>
      </c>
    </row>
    <row r="2008" spans="3:6" ht="28.8">
      <c r="C2008" s="187" t="s">
        <v>670</v>
      </c>
      <c r="D2008" s="28">
        <v>0.3</v>
      </c>
      <c r="E2008" s="28">
        <v>0.3</v>
      </c>
      <c r="F2008" s="28">
        <v>0</v>
      </c>
    </row>
    <row r="2009" spans="3:6" ht="28.8">
      <c r="C2009" s="187" t="s">
        <v>671</v>
      </c>
      <c r="D2009" s="28">
        <v>0.45</v>
      </c>
      <c r="E2009" s="28">
        <v>0.45</v>
      </c>
      <c r="F2009" s="28">
        <v>0.45</v>
      </c>
    </row>
    <row r="2010" spans="3:6">
      <c r="C2010" s="187" t="s">
        <v>672</v>
      </c>
      <c r="D2010" s="28">
        <v>0.1</v>
      </c>
      <c r="E2010" s="28">
        <v>0.1</v>
      </c>
      <c r="F2010" s="28">
        <v>0.1</v>
      </c>
    </row>
    <row r="2011" spans="3:6">
      <c r="C2011" s="187" t="s">
        <v>673</v>
      </c>
      <c r="D2011" s="28">
        <v>0.05</v>
      </c>
      <c r="E2011" s="28">
        <v>0.05</v>
      </c>
      <c r="F2011" s="28">
        <v>0.05</v>
      </c>
    </row>
    <row r="2012" spans="3:6">
      <c r="C2012" s="11"/>
      <c r="D2012" s="27">
        <f>SUM(D2006:D2011)</f>
        <v>1</v>
      </c>
      <c r="E2012" s="27">
        <f>SUM(E2006:E2011)</f>
        <v>1</v>
      </c>
      <c r="F2012" s="27">
        <f>SUM(F2006:F2011)</f>
        <v>0.70000000000000007</v>
      </c>
    </row>
    <row r="2013" spans="3:6">
      <c r="C2013" s="11"/>
      <c r="D2013" s="27"/>
      <c r="E2013" s="28">
        <f>D2012-E2012</f>
        <v>0</v>
      </c>
      <c r="F2013" s="28">
        <f>E2012-F2012</f>
        <v>0.29999999999999993</v>
      </c>
    </row>
    <row r="2014" spans="3:6">
      <c r="C2014" s="11"/>
      <c r="D2014" s="27"/>
      <c r="E2014" s="28"/>
      <c r="F2014" s="28"/>
    </row>
    <row r="2015" spans="3:6">
      <c r="C2015" s="10" t="s">
        <v>642</v>
      </c>
      <c r="D2015" s="16" t="s">
        <v>674</v>
      </c>
      <c r="E2015" s="15"/>
      <c r="F2015" s="15"/>
    </row>
    <row r="2016" spans="3:6">
      <c r="C2016" s="11"/>
      <c r="D2016" s="27"/>
      <c r="E2016" s="28"/>
      <c r="F2016" s="28"/>
    </row>
    <row r="2017" spans="3:6">
      <c r="C2017" s="11"/>
      <c r="D2017" s="27"/>
      <c r="E2017" s="28"/>
      <c r="F2017" s="28"/>
    </row>
    <row r="2018" spans="3:6">
      <c r="C2018" s="12" t="s">
        <v>1604</v>
      </c>
      <c r="D2018" s="16" t="s">
        <v>353</v>
      </c>
      <c r="E2018" s="16" t="s">
        <v>354</v>
      </c>
      <c r="F2018" s="16" t="s">
        <v>355</v>
      </c>
    </row>
    <row r="2019" spans="3:6">
      <c r="C2019" s="11" t="s">
        <v>1605</v>
      </c>
      <c r="D2019" s="28">
        <v>0.05</v>
      </c>
      <c r="E2019" s="28">
        <v>0.05</v>
      </c>
      <c r="F2019" s="28">
        <v>0.02</v>
      </c>
    </row>
    <row r="2020" spans="3:6">
      <c r="C2020" s="11" t="s">
        <v>675</v>
      </c>
      <c r="D2020" s="28">
        <v>0.25</v>
      </c>
      <c r="E2020" s="28">
        <v>0.25</v>
      </c>
      <c r="F2020" s="28">
        <v>0.25</v>
      </c>
    </row>
    <row r="2021" spans="3:6">
      <c r="C2021" s="11" t="s">
        <v>676</v>
      </c>
      <c r="D2021" s="28">
        <v>0.1</v>
      </c>
      <c r="E2021" s="28">
        <v>0.1</v>
      </c>
      <c r="F2021" s="28">
        <v>0</v>
      </c>
    </row>
    <row r="2022" spans="3:6">
      <c r="C2022" s="11" t="s">
        <v>677</v>
      </c>
      <c r="D2022" s="28">
        <v>0.1</v>
      </c>
      <c r="E2022" s="28">
        <v>0.1</v>
      </c>
      <c r="F2022" s="28">
        <v>0.1</v>
      </c>
    </row>
    <row r="2023" spans="3:6">
      <c r="C2023" s="11" t="s">
        <v>678</v>
      </c>
      <c r="D2023" s="28">
        <v>0.4</v>
      </c>
      <c r="E2023" s="28">
        <v>0.4</v>
      </c>
      <c r="F2023" s="28">
        <v>0.4</v>
      </c>
    </row>
    <row r="2024" spans="3:6">
      <c r="C2024" s="11" t="s">
        <v>679</v>
      </c>
      <c r="D2024" s="28">
        <v>0.1</v>
      </c>
      <c r="E2024" s="28">
        <v>0.1</v>
      </c>
      <c r="F2024" s="28">
        <v>0.1</v>
      </c>
    </row>
    <row r="2025" spans="3:6">
      <c r="C2025" s="11"/>
      <c r="D2025" s="27">
        <f>SUM(D2019:D2024)</f>
        <v>1</v>
      </c>
      <c r="E2025" s="27">
        <f>SUM(E2019:E2024)</f>
        <v>1</v>
      </c>
      <c r="F2025" s="27">
        <f>SUM(F2019:F2024)</f>
        <v>0.87</v>
      </c>
    </row>
    <row r="2026" spans="3:6">
      <c r="C2026" s="11"/>
      <c r="D2026" s="27"/>
      <c r="E2026" s="27">
        <f>D2025-E2025</f>
        <v>0</v>
      </c>
      <c r="F2026" s="27">
        <f>E2025-F2025</f>
        <v>0.13</v>
      </c>
    </row>
    <row r="2027" spans="3:6">
      <c r="C2027" s="11"/>
      <c r="D2027" s="16"/>
      <c r="E2027" s="15"/>
      <c r="F2027" s="15"/>
    </row>
    <row r="2028" spans="3:6">
      <c r="C2028" s="10" t="s">
        <v>642</v>
      </c>
      <c r="D2028" s="16" t="s">
        <v>680</v>
      </c>
      <c r="E2028" s="15"/>
      <c r="F2028" s="15"/>
    </row>
    <row r="2029" spans="3:6">
      <c r="C2029" s="11"/>
      <c r="D2029" s="16"/>
      <c r="E2029" s="15"/>
      <c r="F2029" s="15"/>
    </row>
    <row r="2030" spans="3:6">
      <c r="C2030" s="12" t="s">
        <v>82</v>
      </c>
      <c r="D2030" s="16" t="s">
        <v>353</v>
      </c>
      <c r="E2030" s="16" t="s">
        <v>354</v>
      </c>
      <c r="F2030" s="16" t="s">
        <v>355</v>
      </c>
    </row>
    <row r="2031" spans="3:6">
      <c r="C2031" s="187" t="s">
        <v>681</v>
      </c>
      <c r="D2031" s="27">
        <v>0.01</v>
      </c>
      <c r="E2031" s="27">
        <v>0.01</v>
      </c>
      <c r="F2031" s="28">
        <v>0.01</v>
      </c>
    </row>
    <row r="2032" spans="3:6">
      <c r="C2032" s="187" t="s">
        <v>658</v>
      </c>
      <c r="D2032" s="27">
        <v>0.3</v>
      </c>
      <c r="E2032" s="27">
        <v>0.3</v>
      </c>
      <c r="F2032" s="28">
        <v>0.05</v>
      </c>
    </row>
    <row r="2033" spans="3:6">
      <c r="C2033" s="187" t="s">
        <v>682</v>
      </c>
      <c r="D2033" s="27">
        <v>0.3</v>
      </c>
      <c r="E2033" s="27">
        <v>0.3</v>
      </c>
      <c r="F2033" s="28">
        <v>0.3</v>
      </c>
    </row>
    <row r="2034" spans="3:6">
      <c r="C2034" s="187" t="s">
        <v>683</v>
      </c>
      <c r="D2034" s="27">
        <v>0.05</v>
      </c>
      <c r="E2034" s="27">
        <v>0.05</v>
      </c>
      <c r="F2034" s="28">
        <v>0.05</v>
      </c>
    </row>
    <row r="2035" spans="3:6">
      <c r="C2035" s="187" t="s">
        <v>684</v>
      </c>
      <c r="D2035" s="27">
        <v>0.2</v>
      </c>
      <c r="E2035" s="27">
        <v>0.2</v>
      </c>
      <c r="F2035" s="28">
        <v>0.15</v>
      </c>
    </row>
    <row r="2036" spans="3:6" ht="28.8">
      <c r="C2036" s="187" t="s">
        <v>685</v>
      </c>
      <c r="D2036" s="27">
        <v>0.03</v>
      </c>
      <c r="E2036" s="27">
        <v>0.03</v>
      </c>
      <c r="F2036" s="28">
        <v>0.03</v>
      </c>
    </row>
    <row r="2037" spans="3:6">
      <c r="C2037" s="187" t="s">
        <v>686</v>
      </c>
      <c r="D2037" s="27">
        <v>0.01</v>
      </c>
      <c r="E2037" s="27">
        <v>0.01</v>
      </c>
      <c r="F2037" s="28">
        <v>0.01</v>
      </c>
    </row>
    <row r="2038" spans="3:6">
      <c r="C2038" s="187" t="s">
        <v>687</v>
      </c>
      <c r="D2038" s="27">
        <v>0.1</v>
      </c>
      <c r="E2038" s="27">
        <v>0.1</v>
      </c>
      <c r="F2038" s="28">
        <v>0.1</v>
      </c>
    </row>
    <row r="2039" spans="3:6">
      <c r="C2039" s="11"/>
      <c r="D2039" s="27">
        <f>SUM(D2031:D2038)</f>
        <v>1.0000000000000002</v>
      </c>
      <c r="E2039" s="27">
        <f>SUM(E2031:E2038)</f>
        <v>1.0000000000000002</v>
      </c>
      <c r="F2039" s="28">
        <f>SUM(F2031:F2038)</f>
        <v>0.7</v>
      </c>
    </row>
    <row r="2040" spans="3:6">
      <c r="C2040" s="11"/>
      <c r="D2040" s="27"/>
      <c r="E2040" s="28">
        <f>D2039-E2039</f>
        <v>0</v>
      </c>
      <c r="F2040" s="28">
        <f>E2039-F2039</f>
        <v>0.30000000000000027</v>
      </c>
    </row>
    <row r="2041" spans="3:6">
      <c r="C2041" s="11"/>
      <c r="D2041" s="16"/>
      <c r="E2041" s="15"/>
      <c r="F2041" s="15"/>
    </row>
    <row r="2042" spans="3:6">
      <c r="C2042" s="10" t="s">
        <v>642</v>
      </c>
      <c r="D2042" s="16" t="s">
        <v>458</v>
      </c>
      <c r="E2042" s="15"/>
      <c r="F2042" s="15"/>
    </row>
    <row r="2043" spans="3:6">
      <c r="C2043" s="11"/>
      <c r="D2043" s="16"/>
      <c r="E2043" s="15"/>
      <c r="F2043" s="15"/>
    </row>
    <row r="2044" spans="3:6">
      <c r="C2044" s="12" t="s">
        <v>1606</v>
      </c>
      <c r="D2044" s="16" t="s">
        <v>353</v>
      </c>
      <c r="E2044" s="16" t="s">
        <v>354</v>
      </c>
      <c r="F2044" s="16" t="s">
        <v>355</v>
      </c>
    </row>
    <row r="2045" spans="3:6">
      <c r="C2045" s="486" t="s">
        <v>1607</v>
      </c>
      <c r="D2045" s="487">
        <v>0.02</v>
      </c>
      <c r="E2045" s="487">
        <v>0.02</v>
      </c>
      <c r="F2045" s="487">
        <v>0.02</v>
      </c>
    </row>
    <row r="2046" spans="3:6">
      <c r="C2046" s="187" t="s">
        <v>675</v>
      </c>
      <c r="D2046" s="28">
        <v>0.2</v>
      </c>
      <c r="E2046" s="28">
        <v>0.2</v>
      </c>
      <c r="F2046" s="28">
        <v>0.2</v>
      </c>
    </row>
    <row r="2047" spans="3:6">
      <c r="C2047" s="486" t="s">
        <v>688</v>
      </c>
      <c r="D2047" s="487">
        <v>0.05</v>
      </c>
      <c r="E2047" s="487">
        <v>0.05</v>
      </c>
      <c r="F2047" s="487">
        <v>0.05</v>
      </c>
    </row>
    <row r="2048" spans="3:6">
      <c r="C2048" s="486" t="s">
        <v>689</v>
      </c>
      <c r="D2048" s="487">
        <v>0.02</v>
      </c>
      <c r="E2048" s="487">
        <v>0.02</v>
      </c>
      <c r="F2048" s="487">
        <v>0</v>
      </c>
    </row>
    <row r="2049" spans="3:6">
      <c r="C2049" s="486" t="s">
        <v>690</v>
      </c>
      <c r="D2049" s="487">
        <v>0.02</v>
      </c>
      <c r="E2049" s="487">
        <v>0.02</v>
      </c>
      <c r="F2049" s="487">
        <v>0</v>
      </c>
    </row>
    <row r="2050" spans="3:6">
      <c r="C2050" s="486" t="s">
        <v>691</v>
      </c>
      <c r="D2050" s="487">
        <v>0.25</v>
      </c>
      <c r="E2050" s="487">
        <v>0.25</v>
      </c>
      <c r="F2050" s="487">
        <v>0.25</v>
      </c>
    </row>
    <row r="2051" spans="3:6">
      <c r="C2051" s="486" t="s">
        <v>692</v>
      </c>
      <c r="D2051" s="487">
        <v>0.2</v>
      </c>
      <c r="E2051" s="487">
        <v>0.2</v>
      </c>
      <c r="F2051" s="487">
        <v>0.2</v>
      </c>
    </row>
    <row r="2052" spans="3:6">
      <c r="C2052" s="486" t="s">
        <v>693</v>
      </c>
      <c r="D2052" s="487">
        <v>0.02</v>
      </c>
      <c r="E2052" s="487">
        <v>0.02</v>
      </c>
      <c r="F2052" s="487">
        <v>0.02</v>
      </c>
    </row>
    <row r="2053" spans="3:6">
      <c r="C2053" s="486" t="s">
        <v>1608</v>
      </c>
      <c r="D2053" s="487">
        <v>0.01</v>
      </c>
      <c r="E2053" s="487">
        <v>0.01</v>
      </c>
      <c r="F2053" s="487">
        <v>0.01</v>
      </c>
    </row>
    <row r="2054" spans="3:6" ht="28.8">
      <c r="C2054" s="486" t="s">
        <v>694</v>
      </c>
      <c r="D2054" s="487">
        <v>0.1</v>
      </c>
      <c r="E2054" s="487">
        <v>0.1</v>
      </c>
      <c r="F2054" s="487">
        <v>0.1</v>
      </c>
    </row>
    <row r="2055" spans="3:6">
      <c r="C2055" s="486" t="s">
        <v>695</v>
      </c>
      <c r="D2055" s="487">
        <v>0.01</v>
      </c>
      <c r="E2055" s="487">
        <v>0.01</v>
      </c>
      <c r="F2055" s="487">
        <v>0.01</v>
      </c>
    </row>
    <row r="2056" spans="3:6" ht="28.8">
      <c r="C2056" s="488" t="s">
        <v>1609</v>
      </c>
      <c r="D2056" s="487">
        <v>0.05</v>
      </c>
      <c r="E2056" s="487">
        <v>0.05</v>
      </c>
      <c r="F2056" s="487">
        <v>0.05</v>
      </c>
    </row>
    <row r="2057" spans="3:6" ht="28.8">
      <c r="C2057" s="486" t="s">
        <v>696</v>
      </c>
      <c r="D2057" s="487">
        <v>0.05</v>
      </c>
      <c r="E2057" s="487">
        <v>0.05</v>
      </c>
      <c r="F2057" s="487">
        <v>0.05</v>
      </c>
    </row>
    <row r="2058" spans="3:6">
      <c r="C2058" s="53"/>
      <c r="D2058" s="55">
        <f>SUM(D2045:D2057)</f>
        <v>1</v>
      </c>
      <c r="E2058" s="55">
        <f>SUM(E2045:E2057)</f>
        <v>1</v>
      </c>
      <c r="F2058" s="55">
        <f>SUM(F2045:F2057)</f>
        <v>0.96000000000000008</v>
      </c>
    </row>
    <row r="2059" spans="3:6">
      <c r="C2059" s="53"/>
      <c r="D2059" s="55"/>
      <c r="E2059" s="55">
        <f>D2058-E2058</f>
        <v>0</v>
      </c>
      <c r="F2059" s="55">
        <f>E2058-F2058</f>
        <v>3.9999999999999925E-2</v>
      </c>
    </row>
    <row r="2060" spans="3:6">
      <c r="C2060" s="53"/>
      <c r="D2060" s="55"/>
      <c r="E2060" s="55"/>
      <c r="F2060" s="55"/>
    </row>
    <row r="2061" spans="3:6">
      <c r="C2061" s="10" t="s">
        <v>422</v>
      </c>
      <c r="D2061" s="27" t="s">
        <v>697</v>
      </c>
      <c r="E2061" s="28"/>
      <c r="F2061" s="28"/>
    </row>
    <row r="2062" spans="3:6">
      <c r="C2062" s="10"/>
      <c r="D2062" s="27"/>
      <c r="E2062" s="28"/>
      <c r="F2062" s="28"/>
    </row>
    <row r="2063" spans="3:6">
      <c r="C2063" s="10"/>
      <c r="D2063" s="27"/>
      <c r="E2063" s="28"/>
      <c r="F2063" s="28"/>
    </row>
    <row r="2064" spans="3:6">
      <c r="C2064" s="469" t="s">
        <v>81</v>
      </c>
      <c r="D2064" s="473" t="s">
        <v>353</v>
      </c>
      <c r="E2064" s="473" t="s">
        <v>354</v>
      </c>
      <c r="F2064" s="473" t="s">
        <v>355</v>
      </c>
    </row>
    <row r="2065" spans="3:6" ht="28.8">
      <c r="C2065" s="465" t="s">
        <v>698</v>
      </c>
      <c r="D2065" s="489"/>
      <c r="E2065" s="478"/>
      <c r="F2065" s="478"/>
    </row>
    <row r="2066" spans="3:6">
      <c r="C2066" s="465" t="s">
        <v>699</v>
      </c>
      <c r="D2066" s="489"/>
      <c r="E2066" s="478"/>
      <c r="F2066" s="478"/>
    </row>
    <row r="2067" spans="3:6">
      <c r="C2067" s="465" t="s">
        <v>700</v>
      </c>
      <c r="D2067" s="489"/>
      <c r="E2067" s="478"/>
      <c r="F2067" s="478"/>
    </row>
    <row r="2068" spans="3:6">
      <c r="C2068" s="465" t="s">
        <v>701</v>
      </c>
      <c r="D2068" s="489"/>
      <c r="E2068" s="478"/>
      <c r="F2068" s="478"/>
    </row>
    <row r="2069" spans="3:6">
      <c r="C2069" s="465" t="s">
        <v>702</v>
      </c>
      <c r="D2069" s="489"/>
      <c r="E2069" s="478"/>
      <c r="F2069" s="478"/>
    </row>
    <row r="2070" spans="3:6" ht="28.8">
      <c r="C2070" s="465" t="s">
        <v>1610</v>
      </c>
      <c r="D2070" s="489"/>
      <c r="E2070" s="478"/>
      <c r="F2070" s="478"/>
    </row>
    <row r="2071" spans="3:6">
      <c r="C2071" s="466"/>
      <c r="D2071" s="489"/>
      <c r="E2071" s="478"/>
      <c r="F2071" s="478"/>
    </row>
    <row r="2072" spans="3:6">
      <c r="C2072" s="10" t="s">
        <v>703</v>
      </c>
      <c r="D2072" s="27"/>
      <c r="E2072" s="28"/>
      <c r="F2072" s="28"/>
    </row>
    <row r="2073" spans="3:6">
      <c r="C2073" s="10"/>
      <c r="D2073" s="27"/>
      <c r="E2073" s="28"/>
      <c r="F2073" s="28"/>
    </row>
    <row r="2074" spans="3:6">
      <c r="C2074" s="12" t="s">
        <v>1611</v>
      </c>
      <c r="D2074" s="27"/>
      <c r="E2074" s="28"/>
      <c r="F2074" s="28"/>
    </row>
    <row r="2075" spans="3:6">
      <c r="C2075" s="10"/>
      <c r="D2075" s="27"/>
      <c r="E2075" s="28"/>
      <c r="F2075" s="28"/>
    </row>
    <row r="2076" spans="3:6">
      <c r="C2076" s="11"/>
      <c r="D2076" s="15"/>
      <c r="E2076" s="15"/>
      <c r="F2076" s="15"/>
    </row>
    <row r="2077" spans="3:6">
      <c r="C2077" s="70" t="s">
        <v>67</v>
      </c>
      <c r="D2077" s="44" t="s">
        <v>353</v>
      </c>
      <c r="E2077" s="44" t="s">
        <v>354</v>
      </c>
      <c r="F2077" s="44" t="s">
        <v>355</v>
      </c>
    </row>
    <row r="2078" spans="3:6">
      <c r="C2078" s="549" t="s">
        <v>704</v>
      </c>
      <c r="D2078" s="72">
        <v>0.02</v>
      </c>
      <c r="E2078" s="72">
        <v>0.02</v>
      </c>
      <c r="F2078" s="72">
        <v>0.02</v>
      </c>
    </row>
    <row r="2079" spans="3:6" ht="27">
      <c r="C2079" s="549" t="s">
        <v>705</v>
      </c>
      <c r="D2079" s="72">
        <v>0.25</v>
      </c>
      <c r="E2079" s="72">
        <v>0.25</v>
      </c>
      <c r="F2079" s="72">
        <v>0.25</v>
      </c>
    </row>
    <row r="2080" spans="3:6" ht="27">
      <c r="C2080" s="549" t="s">
        <v>706</v>
      </c>
      <c r="D2080" s="72">
        <v>0.25</v>
      </c>
      <c r="E2080" s="72">
        <v>0.25</v>
      </c>
      <c r="F2080" s="72">
        <v>0.25</v>
      </c>
    </row>
    <row r="2081" spans="3:6" ht="27">
      <c r="C2081" s="549" t="s">
        <v>707</v>
      </c>
      <c r="D2081" s="72">
        <v>0.02</v>
      </c>
      <c r="E2081" s="72">
        <v>0.02</v>
      </c>
      <c r="F2081" s="72">
        <v>0</v>
      </c>
    </row>
    <row r="2082" spans="3:6" ht="27">
      <c r="C2082" s="549" t="s">
        <v>708</v>
      </c>
      <c r="D2082" s="72">
        <v>0.15</v>
      </c>
      <c r="E2082" s="72">
        <v>0.15</v>
      </c>
      <c r="F2082" s="72">
        <v>0.15</v>
      </c>
    </row>
    <row r="2083" spans="3:6" ht="27">
      <c r="C2083" s="549" t="s">
        <v>709</v>
      </c>
      <c r="D2083" s="72">
        <v>0.05</v>
      </c>
      <c r="E2083" s="72">
        <v>0.05</v>
      </c>
      <c r="F2083" s="72">
        <v>0.05</v>
      </c>
    </row>
    <row r="2084" spans="3:6" ht="27">
      <c r="C2084" s="549" t="s">
        <v>710</v>
      </c>
      <c r="D2084" s="72">
        <v>0.01</v>
      </c>
      <c r="E2084" s="72">
        <v>0.01</v>
      </c>
      <c r="F2084" s="72">
        <v>0.01</v>
      </c>
    </row>
    <row r="2085" spans="3:6" ht="40.200000000000003">
      <c r="C2085" s="549" t="s">
        <v>711</v>
      </c>
      <c r="D2085" s="72">
        <v>0.02</v>
      </c>
      <c r="E2085" s="72">
        <v>0.02</v>
      </c>
      <c r="F2085" s="72">
        <v>0.02</v>
      </c>
    </row>
    <row r="2086" spans="3:6" ht="27">
      <c r="C2086" s="549" t="s">
        <v>712</v>
      </c>
      <c r="D2086" s="72">
        <v>0.08</v>
      </c>
      <c r="E2086" s="72">
        <v>0.08</v>
      </c>
      <c r="F2086" s="72">
        <v>0.08</v>
      </c>
    </row>
    <row r="2087" spans="3:6">
      <c r="C2087" s="549" t="s">
        <v>713</v>
      </c>
      <c r="D2087" s="72">
        <v>0.1</v>
      </c>
      <c r="E2087" s="72">
        <v>0.1</v>
      </c>
      <c r="F2087" s="72">
        <v>0.1</v>
      </c>
    </row>
    <row r="2088" spans="3:6">
      <c r="C2088" s="549" t="s">
        <v>714</v>
      </c>
      <c r="D2088" s="72">
        <v>0.05</v>
      </c>
      <c r="E2088" s="72">
        <v>0.05</v>
      </c>
      <c r="F2088" s="72">
        <v>0.05</v>
      </c>
    </row>
    <row r="2089" spans="3:6">
      <c r="C2089" s="549" t="s">
        <v>715</v>
      </c>
      <c r="D2089" s="72">
        <v>0.02</v>
      </c>
      <c r="E2089" s="72">
        <v>0.02</v>
      </c>
      <c r="F2089" s="72">
        <v>0</v>
      </c>
    </row>
    <row r="2090" spans="3:6">
      <c r="C2090" s="71" t="s">
        <v>716</v>
      </c>
      <c r="D2090" s="74">
        <v>1</v>
      </c>
      <c r="E2090" s="74">
        <v>1</v>
      </c>
      <c r="F2090" s="74">
        <v>0.96</v>
      </c>
    </row>
    <row r="2091" spans="3:6">
      <c r="C2091" s="71" t="s">
        <v>716</v>
      </c>
      <c r="D2091" s="73" t="s">
        <v>716</v>
      </c>
      <c r="E2091" s="74">
        <v>0</v>
      </c>
      <c r="F2091" s="74">
        <f>E2090-F2090</f>
        <v>4.0000000000000036E-2</v>
      </c>
    </row>
    <row r="2092" spans="3:6">
      <c r="C2092" s="44" t="s">
        <v>422</v>
      </c>
      <c r="D2092" s="73" t="s">
        <v>668</v>
      </c>
      <c r="E2092" s="73" t="s">
        <v>716</v>
      </c>
      <c r="F2092" s="73" t="s">
        <v>716</v>
      </c>
    </row>
    <row r="2093" spans="3:6">
      <c r="C2093" s="71" t="s">
        <v>716</v>
      </c>
      <c r="D2093" s="73" t="s">
        <v>716</v>
      </c>
      <c r="E2093" s="73" t="s">
        <v>716</v>
      </c>
      <c r="F2093" s="73" t="s">
        <v>716</v>
      </c>
    </row>
    <row r="2094" spans="3:6">
      <c r="C2094" s="70" t="s">
        <v>717</v>
      </c>
      <c r="D2094" s="44" t="s">
        <v>353</v>
      </c>
      <c r="E2094" s="44" t="s">
        <v>354</v>
      </c>
      <c r="F2094" s="44" t="s">
        <v>355</v>
      </c>
    </row>
    <row r="2095" spans="3:6" ht="27">
      <c r="C2095" s="549" t="s">
        <v>718</v>
      </c>
      <c r="D2095" s="72">
        <v>0.7</v>
      </c>
      <c r="E2095" s="72">
        <v>0.7</v>
      </c>
      <c r="F2095" s="72">
        <v>0.7</v>
      </c>
    </row>
    <row r="2096" spans="3:6" ht="27">
      <c r="C2096" s="549" t="s">
        <v>719</v>
      </c>
      <c r="D2096" s="72">
        <v>0.05</v>
      </c>
      <c r="E2096" s="72">
        <v>0.05</v>
      </c>
      <c r="F2096" s="72">
        <v>0.05</v>
      </c>
    </row>
    <row r="2097" spans="3:6">
      <c r="C2097" s="549" t="s">
        <v>720</v>
      </c>
      <c r="D2097" s="72">
        <v>0.1</v>
      </c>
      <c r="E2097" s="72">
        <v>0.1</v>
      </c>
      <c r="F2097" s="72">
        <v>0.1</v>
      </c>
    </row>
    <row r="2098" spans="3:6">
      <c r="C2098" s="549" t="s">
        <v>714</v>
      </c>
      <c r="D2098" s="72">
        <v>0.05</v>
      </c>
      <c r="E2098" s="72">
        <v>0.05</v>
      </c>
      <c r="F2098" s="72">
        <v>0.05</v>
      </c>
    </row>
    <row r="2099" spans="3:6">
      <c r="C2099" s="549" t="s">
        <v>715</v>
      </c>
      <c r="D2099" s="72">
        <v>0.1</v>
      </c>
      <c r="E2099" s="72">
        <v>0.1</v>
      </c>
      <c r="F2099" s="72">
        <v>0</v>
      </c>
    </row>
    <row r="2100" spans="3:6">
      <c r="C2100" s="75"/>
      <c r="D2100" s="76">
        <v>1</v>
      </c>
      <c r="E2100" s="76">
        <v>1</v>
      </c>
      <c r="F2100" s="76">
        <v>0.9</v>
      </c>
    </row>
    <row r="2101" spans="3:6">
      <c r="C2101" s="75"/>
      <c r="D2101" s="44"/>
      <c r="E2101" s="76">
        <v>0</v>
      </c>
      <c r="F2101" s="76">
        <f>E2100-F2100</f>
        <v>9.9999999999999978E-2</v>
      </c>
    </row>
    <row r="2102" spans="3:6">
      <c r="C2102" s="44" t="s">
        <v>422</v>
      </c>
      <c r="D2102" s="44" t="s">
        <v>464</v>
      </c>
      <c r="E2102" s="44"/>
      <c r="F2102" s="44"/>
    </row>
    <row r="2103" spans="3:6">
      <c r="C2103" s="75"/>
      <c r="D2103" s="44"/>
      <c r="E2103" s="44"/>
      <c r="F2103" s="44"/>
    </row>
    <row r="2104" spans="3:6">
      <c r="C2104" s="75"/>
      <c r="D2104" s="44"/>
      <c r="E2104" s="44"/>
      <c r="F2104" s="44"/>
    </row>
    <row r="2105" spans="3:6">
      <c r="C2105" s="75"/>
      <c r="D2105" s="44"/>
      <c r="E2105" s="44"/>
      <c r="F2105" s="44"/>
    </row>
    <row r="2106" spans="3:6">
      <c r="C2106" s="75"/>
      <c r="D2106" s="44"/>
      <c r="E2106" s="44"/>
      <c r="F2106" s="44"/>
    </row>
    <row r="2107" spans="3:6">
      <c r="C2107" s="75"/>
      <c r="D2107" s="44"/>
      <c r="E2107" s="44"/>
      <c r="F2107" s="44"/>
    </row>
    <row r="2108" spans="3:6">
      <c r="C2108" s="70" t="s">
        <v>66</v>
      </c>
      <c r="D2108" s="44" t="s">
        <v>353</v>
      </c>
      <c r="E2108" s="44" t="s">
        <v>354</v>
      </c>
      <c r="F2108" s="44" t="s">
        <v>355</v>
      </c>
    </row>
    <row r="2109" spans="3:6" ht="27">
      <c r="C2109" s="550" t="s">
        <v>721</v>
      </c>
      <c r="D2109" s="47">
        <v>0.25</v>
      </c>
      <c r="E2109" s="47">
        <v>0.25</v>
      </c>
      <c r="F2109" s="47">
        <v>0.2</v>
      </c>
    </row>
    <row r="2110" spans="3:6" ht="27">
      <c r="C2110" s="550" t="s">
        <v>722</v>
      </c>
      <c r="D2110" s="47">
        <v>0.08</v>
      </c>
      <c r="E2110" s="47">
        <v>0.08</v>
      </c>
      <c r="F2110" s="47">
        <v>0.08</v>
      </c>
    </row>
    <row r="2111" spans="3:6" ht="27">
      <c r="C2111" s="550" t="s">
        <v>723</v>
      </c>
      <c r="D2111" s="47">
        <v>0.05</v>
      </c>
      <c r="E2111" s="47">
        <v>0.05</v>
      </c>
      <c r="F2111" s="47">
        <v>0.05</v>
      </c>
    </row>
    <row r="2112" spans="3:6">
      <c r="C2112" s="550" t="s">
        <v>724</v>
      </c>
      <c r="D2112" s="47">
        <v>0.1</v>
      </c>
      <c r="E2112" s="47">
        <v>0.1</v>
      </c>
      <c r="F2112" s="47">
        <v>0.1</v>
      </c>
    </row>
    <row r="2113" spans="3:6" ht="27">
      <c r="C2113" s="550" t="s">
        <v>725</v>
      </c>
      <c r="D2113" s="47">
        <v>0.05</v>
      </c>
      <c r="E2113" s="47">
        <v>0.05</v>
      </c>
      <c r="F2113" s="47">
        <v>0.05</v>
      </c>
    </row>
    <row r="2114" spans="3:6" ht="27">
      <c r="C2114" s="550" t="s">
        <v>726</v>
      </c>
      <c r="D2114" s="47">
        <v>0.08</v>
      </c>
      <c r="E2114" s="47">
        <v>0.08</v>
      </c>
      <c r="F2114" s="47">
        <v>0.08</v>
      </c>
    </row>
    <row r="2115" spans="3:6" ht="27">
      <c r="C2115" s="550" t="s">
        <v>727</v>
      </c>
      <c r="D2115" s="47">
        <v>0.05</v>
      </c>
      <c r="E2115" s="47">
        <v>0.05</v>
      </c>
      <c r="F2115" s="47">
        <v>0.05</v>
      </c>
    </row>
    <row r="2116" spans="3:6" ht="27">
      <c r="C2116" s="550" t="s">
        <v>728</v>
      </c>
      <c r="D2116" s="47">
        <v>0.25</v>
      </c>
      <c r="E2116" s="47">
        <v>0.25</v>
      </c>
      <c r="F2116" s="47">
        <v>0.2</v>
      </c>
    </row>
    <row r="2117" spans="3:6">
      <c r="C2117" s="550" t="s">
        <v>729</v>
      </c>
      <c r="D2117" s="47">
        <v>0.08</v>
      </c>
      <c r="E2117" s="47">
        <v>0.08</v>
      </c>
      <c r="F2117" s="47">
        <v>0.08</v>
      </c>
    </row>
    <row r="2118" spans="3:6">
      <c r="C2118" s="550" t="s">
        <v>730</v>
      </c>
      <c r="D2118" s="47">
        <v>0.01</v>
      </c>
      <c r="E2118" s="47">
        <v>0.01</v>
      </c>
      <c r="F2118" s="47">
        <v>0.01</v>
      </c>
    </row>
    <row r="2119" spans="3:6">
      <c r="C2119" s="75"/>
      <c r="D2119" s="47">
        <v>1</v>
      </c>
      <c r="E2119" s="47">
        <v>1</v>
      </c>
      <c r="F2119" s="47">
        <v>0.9</v>
      </c>
    </row>
    <row r="2120" spans="3:6">
      <c r="C2120" s="75"/>
      <c r="D2120" s="44"/>
      <c r="E2120" s="76">
        <v>0</v>
      </c>
      <c r="F2120" s="76">
        <f>E2119-F2119</f>
        <v>9.9999999999999978E-2</v>
      </c>
    </row>
    <row r="2121" spans="3:6">
      <c r="C2121" s="44" t="s">
        <v>422</v>
      </c>
      <c r="D2121" s="44" t="s">
        <v>418</v>
      </c>
      <c r="E2121" s="44"/>
      <c r="F2121" s="44"/>
    </row>
    <row r="2122" spans="3:6">
      <c r="C2122" s="75"/>
      <c r="D2122" s="44"/>
      <c r="E2122" s="44"/>
      <c r="F2122" s="44"/>
    </row>
    <row r="2123" spans="3:6">
      <c r="C2123" s="70" t="s">
        <v>65</v>
      </c>
      <c r="D2123" s="44" t="s">
        <v>353</v>
      </c>
      <c r="E2123" s="44" t="s">
        <v>354</v>
      </c>
      <c r="F2123" s="44" t="s">
        <v>355</v>
      </c>
    </row>
    <row r="2124" spans="3:6" ht="27">
      <c r="C2124" s="550" t="s">
        <v>731</v>
      </c>
      <c r="D2124" s="47">
        <v>0.01</v>
      </c>
      <c r="E2124" s="47">
        <v>0.01</v>
      </c>
      <c r="F2124" s="47">
        <v>0</v>
      </c>
    </row>
    <row r="2125" spans="3:6">
      <c r="C2125" s="550" t="s">
        <v>732</v>
      </c>
      <c r="D2125" s="47">
        <v>0.1</v>
      </c>
      <c r="E2125" s="47">
        <v>0.1</v>
      </c>
      <c r="F2125" s="47">
        <v>0</v>
      </c>
    </row>
    <row r="2126" spans="3:6">
      <c r="C2126" s="551" t="s">
        <v>733</v>
      </c>
      <c r="D2126" s="47">
        <v>0.52</v>
      </c>
      <c r="E2126" s="47">
        <v>0.52</v>
      </c>
      <c r="F2126" s="47">
        <v>0</v>
      </c>
    </row>
    <row r="2127" spans="3:6" ht="27">
      <c r="C2127" s="551" t="s">
        <v>734</v>
      </c>
      <c r="D2127" s="47">
        <v>0.3</v>
      </c>
      <c r="E2127" s="47">
        <v>0.3</v>
      </c>
      <c r="F2127" s="47">
        <v>0</v>
      </c>
    </row>
    <row r="2128" spans="3:6">
      <c r="C2128" s="551" t="s">
        <v>735</v>
      </c>
      <c r="D2128" s="47">
        <v>0.02</v>
      </c>
      <c r="E2128" s="47">
        <v>0.02</v>
      </c>
      <c r="F2128" s="47">
        <v>0</v>
      </c>
    </row>
    <row r="2129" spans="3:6">
      <c r="C2129" s="551" t="s">
        <v>736</v>
      </c>
      <c r="D2129" s="47">
        <v>0.05</v>
      </c>
      <c r="E2129" s="47">
        <v>0.05</v>
      </c>
      <c r="F2129" s="47">
        <v>0</v>
      </c>
    </row>
    <row r="2130" spans="3:6">
      <c r="C2130" s="77"/>
      <c r="D2130" s="47">
        <v>1</v>
      </c>
      <c r="E2130" s="47">
        <v>1</v>
      </c>
      <c r="F2130" s="47">
        <v>0</v>
      </c>
    </row>
    <row r="2131" spans="3:6">
      <c r="C2131" s="77"/>
      <c r="D2131" s="46"/>
      <c r="E2131" s="47">
        <v>0</v>
      </c>
      <c r="F2131" s="47">
        <f>E2130-F2130</f>
        <v>1</v>
      </c>
    </row>
    <row r="2132" spans="3:6">
      <c r="C2132" s="77" t="s">
        <v>430</v>
      </c>
      <c r="D2132" s="46" t="s">
        <v>737</v>
      </c>
      <c r="E2132" s="46"/>
      <c r="F2132" s="44"/>
    </row>
    <row r="2133" spans="3:6">
      <c r="C2133" s="77"/>
      <c r="D2133" s="78" t="s">
        <v>716</v>
      </c>
      <c r="E2133" s="78" t="s">
        <v>716</v>
      </c>
      <c r="F2133" s="79" t="s">
        <v>716</v>
      </c>
    </row>
    <row r="2134" spans="3:6">
      <c r="C2134" s="77"/>
      <c r="D2134" s="78" t="s">
        <v>716</v>
      </c>
      <c r="E2134" s="78" t="s">
        <v>716</v>
      </c>
      <c r="F2134" s="79" t="s">
        <v>716</v>
      </c>
    </row>
    <row r="2135" spans="3:6">
      <c r="C2135" s="70" t="s">
        <v>64</v>
      </c>
      <c r="D2135" s="44" t="s">
        <v>353</v>
      </c>
      <c r="E2135" s="44" t="s">
        <v>354</v>
      </c>
      <c r="F2135" s="44" t="s">
        <v>355</v>
      </c>
    </row>
    <row r="2136" spans="3:6">
      <c r="C2136" s="552" t="s">
        <v>738</v>
      </c>
      <c r="D2136" s="47">
        <v>0.01</v>
      </c>
      <c r="E2136" s="47">
        <v>0.01</v>
      </c>
      <c r="F2136" s="47">
        <v>0</v>
      </c>
    </row>
    <row r="2137" spans="3:6">
      <c r="C2137" s="552" t="s">
        <v>739</v>
      </c>
      <c r="D2137" s="47">
        <v>0.2</v>
      </c>
      <c r="E2137" s="47">
        <v>0.2</v>
      </c>
      <c r="F2137" s="47">
        <v>0.05</v>
      </c>
    </row>
    <row r="2138" spans="3:6" ht="27">
      <c r="C2138" s="552" t="s">
        <v>740</v>
      </c>
      <c r="D2138" s="47">
        <v>0.5</v>
      </c>
      <c r="E2138" s="47">
        <v>0.5</v>
      </c>
      <c r="F2138" s="47">
        <v>0.5</v>
      </c>
    </row>
    <row r="2139" spans="3:6">
      <c r="C2139" s="552" t="s">
        <v>741</v>
      </c>
      <c r="D2139" s="47">
        <v>0.05</v>
      </c>
      <c r="E2139" s="47">
        <v>0.05</v>
      </c>
      <c r="F2139" s="47">
        <v>0.05</v>
      </c>
    </row>
    <row r="2140" spans="3:6" ht="27">
      <c r="C2140" s="552" t="s">
        <v>742</v>
      </c>
      <c r="D2140" s="47">
        <v>0.05</v>
      </c>
      <c r="E2140" s="47">
        <v>0.05</v>
      </c>
      <c r="F2140" s="47">
        <v>0.05</v>
      </c>
    </row>
    <row r="2141" spans="3:6">
      <c r="C2141" s="552" t="s">
        <v>743</v>
      </c>
      <c r="D2141" s="47">
        <v>0.03</v>
      </c>
      <c r="E2141" s="47">
        <v>0.03</v>
      </c>
      <c r="F2141" s="47">
        <v>0.03</v>
      </c>
    </row>
    <row r="2142" spans="3:6">
      <c r="C2142" s="552" t="s">
        <v>744</v>
      </c>
      <c r="D2142" s="47">
        <v>0.1</v>
      </c>
      <c r="E2142" s="47">
        <v>0.1</v>
      </c>
      <c r="F2142" s="47">
        <v>0.05</v>
      </c>
    </row>
    <row r="2143" spans="3:6" ht="27">
      <c r="C2143" s="552" t="s">
        <v>745</v>
      </c>
      <c r="D2143" s="47">
        <v>0.05</v>
      </c>
      <c r="E2143" s="47">
        <v>0.05</v>
      </c>
      <c r="F2143" s="47">
        <v>0.03</v>
      </c>
    </row>
    <row r="2144" spans="3:6">
      <c r="C2144" s="552" t="s">
        <v>746</v>
      </c>
      <c r="D2144" s="47">
        <v>0.01</v>
      </c>
      <c r="E2144" s="47">
        <v>0.01</v>
      </c>
      <c r="F2144" s="47">
        <v>0</v>
      </c>
    </row>
    <row r="2145" spans="3:6">
      <c r="C2145" s="80"/>
      <c r="D2145" s="47">
        <v>1</v>
      </c>
      <c r="E2145" s="47">
        <v>1</v>
      </c>
      <c r="F2145" s="47">
        <v>0.76</v>
      </c>
    </row>
    <row r="2146" spans="3:6">
      <c r="C2146" s="80"/>
      <c r="D2146" s="46"/>
      <c r="E2146" s="47">
        <v>0</v>
      </c>
      <c r="F2146" s="47">
        <f>E2145-F2145</f>
        <v>0.24</v>
      </c>
    </row>
    <row r="2147" spans="3:6">
      <c r="C2147" s="80" t="s">
        <v>430</v>
      </c>
      <c r="D2147" s="46" t="s">
        <v>418</v>
      </c>
      <c r="E2147" s="46"/>
      <c r="F2147" s="46"/>
    </row>
    <row r="2148" spans="3:6">
      <c r="C2148" s="80"/>
      <c r="D2148" s="46"/>
      <c r="E2148" s="46"/>
      <c r="F2148" s="46"/>
    </row>
    <row r="2149" spans="3:6">
      <c r="C2149" s="70" t="s">
        <v>68</v>
      </c>
      <c r="D2149" s="44" t="s">
        <v>353</v>
      </c>
      <c r="E2149" s="44" t="s">
        <v>354</v>
      </c>
      <c r="F2149" s="44" t="s">
        <v>355</v>
      </c>
    </row>
    <row r="2150" spans="3:6" ht="27">
      <c r="C2150" s="552" t="s">
        <v>747</v>
      </c>
      <c r="D2150" s="47">
        <v>0.01</v>
      </c>
      <c r="E2150" s="47">
        <v>0.01</v>
      </c>
      <c r="F2150" s="47">
        <v>0.01</v>
      </c>
    </row>
    <row r="2151" spans="3:6">
      <c r="C2151" s="552" t="s">
        <v>748</v>
      </c>
      <c r="D2151" s="47">
        <v>0.1</v>
      </c>
      <c r="E2151" s="47">
        <v>0.1</v>
      </c>
      <c r="F2151" s="47">
        <v>0.1</v>
      </c>
    </row>
    <row r="2152" spans="3:6" ht="27">
      <c r="C2152" s="552" t="s">
        <v>749</v>
      </c>
      <c r="D2152" s="47">
        <v>0.5</v>
      </c>
      <c r="E2152" s="47">
        <v>0.5</v>
      </c>
      <c r="F2152" s="47">
        <v>0.5</v>
      </c>
    </row>
    <row r="2153" spans="3:6">
      <c r="C2153" s="552" t="s">
        <v>750</v>
      </c>
      <c r="D2153" s="47">
        <v>0.03</v>
      </c>
      <c r="E2153" s="47">
        <v>0.03</v>
      </c>
      <c r="F2153" s="47">
        <v>0.03</v>
      </c>
    </row>
    <row r="2154" spans="3:6">
      <c r="C2154" s="552" t="s">
        <v>751</v>
      </c>
      <c r="D2154" s="47">
        <v>0.25</v>
      </c>
      <c r="E2154" s="47">
        <v>0.25</v>
      </c>
      <c r="F2154" s="47">
        <v>0.25</v>
      </c>
    </row>
    <row r="2155" spans="3:6">
      <c r="C2155" s="552" t="s">
        <v>752</v>
      </c>
      <c r="D2155" s="47">
        <v>0.05</v>
      </c>
      <c r="E2155" s="47">
        <v>0.05</v>
      </c>
      <c r="F2155" s="47">
        <v>0.05</v>
      </c>
    </row>
    <row r="2156" spans="3:6">
      <c r="C2156" s="552" t="s">
        <v>753</v>
      </c>
      <c r="D2156" s="47">
        <v>0.04</v>
      </c>
      <c r="E2156" s="47">
        <v>0.04</v>
      </c>
      <c r="F2156" s="47">
        <v>0.04</v>
      </c>
    </row>
    <row r="2157" spans="3:6">
      <c r="C2157" s="552" t="s">
        <v>715</v>
      </c>
      <c r="D2157" s="47">
        <v>0.02</v>
      </c>
      <c r="E2157" s="47">
        <v>0.02</v>
      </c>
      <c r="F2157" s="47">
        <v>0</v>
      </c>
    </row>
    <row r="2158" spans="3:6">
      <c r="C2158" s="80"/>
      <c r="D2158" s="47">
        <v>1</v>
      </c>
      <c r="E2158" s="47">
        <v>1</v>
      </c>
      <c r="F2158" s="47">
        <v>0.98</v>
      </c>
    </row>
    <row r="2159" spans="3:6">
      <c r="C2159" s="80"/>
      <c r="D2159" s="46"/>
      <c r="E2159" s="47">
        <v>0</v>
      </c>
      <c r="F2159" s="47">
        <f>E2158-F2158</f>
        <v>2.0000000000000018E-2</v>
      </c>
    </row>
    <row r="2160" spans="3:6">
      <c r="C2160" s="80"/>
      <c r="D2160" s="46"/>
      <c r="E2160" s="46"/>
      <c r="F2160" s="46"/>
    </row>
    <row r="2161" spans="3:36">
      <c r="C2161" s="67" t="s">
        <v>430</v>
      </c>
      <c r="D2161" s="46" t="s">
        <v>418</v>
      </c>
      <c r="E2161" s="46"/>
      <c r="F2161" s="46"/>
    </row>
    <row r="2162" spans="3:36">
      <c r="C2162" s="67"/>
      <c r="D2162" s="46"/>
      <c r="E2162" s="46"/>
      <c r="F2162" s="46"/>
    </row>
    <row r="2163" spans="3:36" s="100" customFormat="1">
      <c r="C2163" s="203"/>
      <c r="D2163" s="204"/>
      <c r="E2163" s="204"/>
      <c r="F2163" s="204"/>
      <c r="AD2163" s="332"/>
      <c r="AJ2163" s="392"/>
    </row>
    <row r="2164" spans="3:36">
      <c r="C2164" s="201"/>
      <c r="D2164" s="202"/>
      <c r="E2164" s="202"/>
      <c r="F2164" s="202"/>
    </row>
    <row r="2165" spans="3:36">
      <c r="C2165" s="201"/>
      <c r="D2165" s="202"/>
      <c r="E2165" s="202"/>
      <c r="F2165" s="202"/>
    </row>
    <row r="2166" spans="3:36">
      <c r="C2166" s="201"/>
      <c r="D2166" s="202"/>
      <c r="E2166" s="202"/>
      <c r="F2166" s="202"/>
    </row>
    <row r="2167" spans="3:36">
      <c r="C2167" s="201"/>
      <c r="D2167" s="202"/>
      <c r="E2167" s="202"/>
      <c r="F2167" s="202"/>
    </row>
    <row r="2168" spans="3:36">
      <c r="C2168" s="201"/>
      <c r="D2168" s="202"/>
      <c r="E2168" s="202"/>
      <c r="F2168" s="202"/>
    </row>
    <row r="2169" spans="3:36">
      <c r="C2169" s="201"/>
      <c r="D2169" s="84"/>
      <c r="E2169" s="84"/>
      <c r="F2169" s="84"/>
    </row>
    <row r="2170" spans="3:36">
      <c r="C2170" s="186" t="s">
        <v>49</v>
      </c>
      <c r="D2170" s="90" t="s">
        <v>353</v>
      </c>
      <c r="E2170" s="90" t="s">
        <v>354</v>
      </c>
      <c r="F2170" s="90" t="s">
        <v>355</v>
      </c>
    </row>
    <row r="2171" spans="3:36" ht="28.8">
      <c r="C2171" s="191" t="s">
        <v>754</v>
      </c>
      <c r="D2171" s="195">
        <v>0.01</v>
      </c>
      <c r="E2171" s="195">
        <v>0.01</v>
      </c>
      <c r="F2171" s="195">
        <v>0.01</v>
      </c>
    </row>
    <row r="2172" spans="3:36">
      <c r="C2172" s="189" t="s">
        <v>755</v>
      </c>
      <c r="D2172" s="200">
        <v>0.02</v>
      </c>
      <c r="E2172" s="200">
        <v>0.02</v>
      </c>
      <c r="F2172" s="200">
        <v>0.02</v>
      </c>
    </row>
    <row r="2173" spans="3:36">
      <c r="C2173" s="187" t="s">
        <v>756</v>
      </c>
      <c r="D2173" s="51">
        <v>0.1</v>
      </c>
      <c r="E2173" s="51">
        <v>0.1</v>
      </c>
      <c r="F2173" s="51">
        <v>0.1</v>
      </c>
    </row>
    <row r="2174" spans="3:36" ht="28.8">
      <c r="C2174" s="187" t="s">
        <v>757</v>
      </c>
      <c r="D2174" s="51">
        <v>0.1</v>
      </c>
      <c r="E2174" s="51">
        <v>0.1</v>
      </c>
      <c r="F2174" s="51">
        <v>0.1</v>
      </c>
    </row>
    <row r="2175" spans="3:36" ht="28.8">
      <c r="C2175" s="187" t="s">
        <v>758</v>
      </c>
      <c r="D2175" s="51">
        <v>0.08</v>
      </c>
      <c r="E2175" s="51">
        <v>0.08</v>
      </c>
      <c r="F2175" s="51">
        <v>0.08</v>
      </c>
    </row>
    <row r="2176" spans="3:36">
      <c r="C2176" s="187" t="s">
        <v>759</v>
      </c>
      <c r="D2176" s="51">
        <v>0.08</v>
      </c>
      <c r="E2176" s="51">
        <v>0.08</v>
      </c>
      <c r="F2176" s="51">
        <v>0.08</v>
      </c>
    </row>
    <row r="2177" spans="3:6" ht="28.8">
      <c r="C2177" s="187" t="s">
        <v>760</v>
      </c>
      <c r="D2177" s="51">
        <v>0.02</v>
      </c>
      <c r="E2177" s="51">
        <v>0.02</v>
      </c>
      <c r="F2177" s="51">
        <v>0.02</v>
      </c>
    </row>
    <row r="2178" spans="3:6">
      <c r="C2178" s="187" t="s">
        <v>761</v>
      </c>
      <c r="D2178" s="51">
        <v>0.02</v>
      </c>
      <c r="E2178" s="51">
        <v>0.02</v>
      </c>
      <c r="F2178" s="51">
        <v>0.02</v>
      </c>
    </row>
    <row r="2179" spans="3:6">
      <c r="C2179" s="187" t="s">
        <v>762</v>
      </c>
      <c r="D2179" s="51">
        <v>0.1</v>
      </c>
      <c r="E2179" s="51">
        <v>0.1</v>
      </c>
      <c r="F2179" s="51">
        <v>0.1</v>
      </c>
    </row>
    <row r="2180" spans="3:6">
      <c r="C2180" s="187" t="s">
        <v>763</v>
      </c>
      <c r="D2180" s="51">
        <v>0.05</v>
      </c>
      <c r="E2180" s="51">
        <v>0.05</v>
      </c>
      <c r="F2180" s="51">
        <v>0.05</v>
      </c>
    </row>
    <row r="2181" spans="3:6">
      <c r="C2181" s="187" t="s">
        <v>764</v>
      </c>
      <c r="D2181" s="51">
        <v>0.05</v>
      </c>
      <c r="E2181" s="51">
        <v>0.05</v>
      </c>
      <c r="F2181" s="51">
        <v>0.05</v>
      </c>
    </row>
    <row r="2182" spans="3:6">
      <c r="C2182" s="187" t="s">
        <v>765</v>
      </c>
      <c r="D2182" s="51">
        <v>0.1</v>
      </c>
      <c r="E2182" s="51">
        <v>0.05</v>
      </c>
      <c r="F2182" s="51">
        <v>0</v>
      </c>
    </row>
    <row r="2183" spans="3:6">
      <c r="C2183" s="187" t="s">
        <v>766</v>
      </c>
      <c r="D2183" s="51">
        <v>0.15</v>
      </c>
      <c r="E2183" s="51">
        <v>0.15</v>
      </c>
      <c r="F2183" s="51">
        <v>0</v>
      </c>
    </row>
    <row r="2184" spans="3:6">
      <c r="C2184" s="187" t="s">
        <v>767</v>
      </c>
      <c r="D2184" s="51">
        <v>0.02</v>
      </c>
      <c r="E2184" s="51">
        <v>0.02</v>
      </c>
      <c r="F2184" s="51">
        <v>0</v>
      </c>
    </row>
    <row r="2185" spans="3:6" ht="28.8">
      <c r="C2185" s="187" t="s">
        <v>768</v>
      </c>
      <c r="D2185" s="51">
        <v>0.05</v>
      </c>
      <c r="E2185" s="51">
        <v>0.05</v>
      </c>
      <c r="F2185" s="51">
        <v>0</v>
      </c>
    </row>
    <row r="2186" spans="3:6">
      <c r="C2186" s="187" t="s">
        <v>769</v>
      </c>
      <c r="D2186" s="51">
        <v>0.05</v>
      </c>
      <c r="E2186" s="51">
        <v>0.05</v>
      </c>
      <c r="F2186" s="51">
        <v>0</v>
      </c>
    </row>
    <row r="2187" spans="3:6">
      <c r="C2187" s="11"/>
      <c r="D2187" s="19">
        <f>SUM(D2171:D2186)</f>
        <v>1.0000000000000002</v>
      </c>
      <c r="E2187" s="19">
        <f>SUM(E2171:E2186)</f>
        <v>0.95000000000000029</v>
      </c>
      <c r="F2187" s="19">
        <f>SUM(F2171:F2186)</f>
        <v>0.63000000000000012</v>
      </c>
    </row>
    <row r="2188" spans="3:6">
      <c r="C2188" s="85"/>
      <c r="D2188" s="86"/>
      <c r="E2188" s="205">
        <f>D2187-E2187</f>
        <v>4.9999999999999933E-2</v>
      </c>
      <c r="F2188" s="205">
        <f>E2187-F2187</f>
        <v>0.32000000000000017</v>
      </c>
    </row>
    <row r="2189" spans="3:6">
      <c r="D2189" s="84"/>
      <c r="E2189" s="177"/>
      <c r="F2189" s="177"/>
    </row>
    <row r="2190" spans="3:6">
      <c r="C2190" s="1" t="s">
        <v>419</v>
      </c>
      <c r="D2190" s="84" t="s">
        <v>770</v>
      </c>
      <c r="E2190" s="84"/>
      <c r="F2190" s="84"/>
    </row>
    <row r="2191" spans="3:6">
      <c r="C2191" s="1"/>
      <c r="D2191" s="84"/>
      <c r="E2191" s="84"/>
      <c r="F2191" s="84"/>
    </row>
    <row r="2192" spans="3:6">
      <c r="C2192" s="1"/>
      <c r="D2192" s="84"/>
      <c r="E2192" s="84"/>
      <c r="F2192" s="84"/>
    </row>
    <row r="2193" spans="3:36">
      <c r="C2193" s="1"/>
      <c r="D2193" s="84"/>
      <c r="E2193" s="84"/>
      <c r="F2193" s="84"/>
    </row>
    <row r="2194" spans="3:36">
      <c r="C2194" s="1"/>
      <c r="D2194" s="84"/>
      <c r="E2194" s="84"/>
      <c r="F2194" s="84"/>
    </row>
    <row r="2195" spans="3:36">
      <c r="C2195" s="1"/>
      <c r="D2195" s="84"/>
      <c r="E2195" s="84"/>
      <c r="F2195" s="84"/>
    </row>
    <row r="2196" spans="3:36">
      <c r="C2196" s="1"/>
      <c r="D2196" s="84"/>
      <c r="E2196" s="84"/>
      <c r="F2196" s="84"/>
    </row>
    <row r="2197" spans="3:36">
      <c r="C2197" s="1"/>
      <c r="D2197" s="84"/>
      <c r="E2197" s="84"/>
      <c r="F2197" s="84"/>
    </row>
    <row r="2198" spans="3:36" s="100" customFormat="1">
      <c r="C2198" s="192"/>
      <c r="D2198" s="108"/>
      <c r="E2198" s="108"/>
      <c r="F2198" s="108"/>
      <c r="AD2198" s="332"/>
      <c r="AJ2198" s="392"/>
    </row>
    <row r="2199" spans="3:36">
      <c r="C2199" s="1"/>
      <c r="D2199" s="84"/>
      <c r="E2199" s="84"/>
      <c r="F2199" s="84"/>
    </row>
    <row r="2200" spans="3:36">
      <c r="C2200" s="1"/>
      <c r="D2200" s="84"/>
      <c r="E2200" s="84"/>
      <c r="F2200" s="84"/>
    </row>
    <row r="2201" spans="3:36">
      <c r="D2201" s="84"/>
      <c r="E2201" s="84"/>
      <c r="F2201" s="84"/>
    </row>
    <row r="2202" spans="3:36">
      <c r="D2202" s="84"/>
      <c r="E2202" s="84"/>
      <c r="F2202" s="84"/>
    </row>
    <row r="2203" spans="3:36">
      <c r="C2203" s="179" t="s">
        <v>50</v>
      </c>
      <c r="D2203" s="180" t="s">
        <v>353</v>
      </c>
      <c r="E2203" s="180" t="s">
        <v>354</v>
      </c>
      <c r="F2203" s="180" t="s">
        <v>355</v>
      </c>
    </row>
    <row r="2204" spans="3:36" ht="28.8">
      <c r="C2204" s="187" t="s">
        <v>754</v>
      </c>
      <c r="D2204" s="51">
        <v>0.01</v>
      </c>
      <c r="E2204" s="51">
        <v>0.01</v>
      </c>
      <c r="F2204" s="51">
        <v>0.01</v>
      </c>
    </row>
    <row r="2205" spans="3:36">
      <c r="C2205" s="187" t="s">
        <v>755</v>
      </c>
      <c r="D2205" s="51">
        <v>0.02</v>
      </c>
      <c r="E2205" s="51">
        <v>0.02</v>
      </c>
      <c r="F2205" s="51">
        <v>0.02</v>
      </c>
    </row>
    <row r="2206" spans="3:36">
      <c r="C2206" s="187" t="s">
        <v>756</v>
      </c>
      <c r="D2206" s="51">
        <v>0.1</v>
      </c>
      <c r="E2206" s="51">
        <v>0.1</v>
      </c>
      <c r="F2206" s="51">
        <v>0.1</v>
      </c>
    </row>
    <row r="2207" spans="3:36" ht="28.8">
      <c r="C2207" s="187" t="s">
        <v>771</v>
      </c>
      <c r="D2207" s="51">
        <v>0.1</v>
      </c>
      <c r="E2207" s="51">
        <v>0.1</v>
      </c>
      <c r="F2207" s="51">
        <v>0.1</v>
      </c>
    </row>
    <row r="2208" spans="3:36" ht="28.8">
      <c r="C2208" s="187" t="s">
        <v>772</v>
      </c>
      <c r="D2208" s="51">
        <v>0.05</v>
      </c>
      <c r="E2208" s="51">
        <v>0.05</v>
      </c>
      <c r="F2208" s="51">
        <v>0.05</v>
      </c>
    </row>
    <row r="2209" spans="3:6">
      <c r="C2209" s="187" t="s">
        <v>759</v>
      </c>
      <c r="D2209" s="51">
        <v>0.08</v>
      </c>
      <c r="E2209" s="51">
        <v>0.08</v>
      </c>
      <c r="F2209" s="51">
        <v>0.08</v>
      </c>
    </row>
    <row r="2210" spans="3:6" ht="28.8">
      <c r="C2210" s="187" t="s">
        <v>760</v>
      </c>
      <c r="D2210" s="51">
        <v>0.02</v>
      </c>
      <c r="E2210" s="51">
        <v>0.02</v>
      </c>
      <c r="F2210" s="51">
        <v>0.02</v>
      </c>
    </row>
    <row r="2211" spans="3:6" ht="28.8">
      <c r="C2211" s="187" t="s">
        <v>773</v>
      </c>
      <c r="D2211" s="51">
        <v>0.02</v>
      </c>
      <c r="E2211" s="51">
        <v>0.02</v>
      </c>
      <c r="F2211" s="51">
        <v>0.02</v>
      </c>
    </row>
    <row r="2212" spans="3:6" ht="28.8">
      <c r="C2212" s="187" t="s">
        <v>774</v>
      </c>
      <c r="D2212" s="51">
        <v>0.03</v>
      </c>
      <c r="E2212" s="51">
        <v>0.03</v>
      </c>
      <c r="F2212" s="51">
        <v>0.03</v>
      </c>
    </row>
    <row r="2213" spans="3:6">
      <c r="C2213" s="187" t="s">
        <v>775</v>
      </c>
      <c r="D2213" s="51">
        <v>0.1</v>
      </c>
      <c r="E2213" s="51">
        <v>0.1</v>
      </c>
      <c r="F2213" s="51">
        <v>0.1</v>
      </c>
    </row>
    <row r="2214" spans="3:6">
      <c r="C2214" s="187" t="s">
        <v>763</v>
      </c>
      <c r="D2214" s="51">
        <v>0.05</v>
      </c>
      <c r="E2214" s="51">
        <v>0.05</v>
      </c>
      <c r="F2214" s="51">
        <v>0.05</v>
      </c>
    </row>
    <row r="2215" spans="3:6">
      <c r="C2215" s="187" t="s">
        <v>764</v>
      </c>
      <c r="D2215" s="51">
        <v>0.05</v>
      </c>
      <c r="E2215" s="51">
        <v>0.05</v>
      </c>
      <c r="F2215" s="51">
        <v>0.05</v>
      </c>
    </row>
    <row r="2216" spans="3:6">
      <c r="C2216" s="187" t="s">
        <v>765</v>
      </c>
      <c r="D2216" s="51">
        <v>0.1</v>
      </c>
      <c r="E2216" s="51">
        <v>0.05</v>
      </c>
      <c r="F2216" s="51">
        <v>0</v>
      </c>
    </row>
    <row r="2217" spans="3:6">
      <c r="C2217" s="187" t="s">
        <v>766</v>
      </c>
      <c r="D2217" s="51">
        <v>0.15</v>
      </c>
      <c r="E2217" s="51">
        <v>0.15</v>
      </c>
      <c r="F2217" s="51">
        <v>0</v>
      </c>
    </row>
    <row r="2218" spans="3:6">
      <c r="C2218" s="187" t="s">
        <v>767</v>
      </c>
      <c r="D2218" s="51">
        <v>0.02</v>
      </c>
      <c r="E2218" s="51">
        <v>0.02</v>
      </c>
      <c r="F2218" s="51">
        <v>0</v>
      </c>
    </row>
    <row r="2219" spans="3:6" ht="28.8">
      <c r="C2219" s="187" t="s">
        <v>768</v>
      </c>
      <c r="D2219" s="51">
        <v>0.05</v>
      </c>
      <c r="E2219" s="51">
        <v>0.05</v>
      </c>
      <c r="F2219" s="51">
        <v>0</v>
      </c>
    </row>
    <row r="2220" spans="3:6">
      <c r="C2220" s="187" t="s">
        <v>769</v>
      </c>
      <c r="D2220" s="51">
        <v>0.05</v>
      </c>
      <c r="E2220" s="51">
        <v>0.05</v>
      </c>
      <c r="F2220" s="51">
        <v>0</v>
      </c>
    </row>
    <row r="2221" spans="3:6">
      <c r="C2221" s="85"/>
      <c r="D2221" s="205">
        <f>SUM(D2204:D2220)</f>
        <v>1.0000000000000002</v>
      </c>
      <c r="E2221" s="205">
        <f>SUM(E2204:E2220)</f>
        <v>0.95000000000000029</v>
      </c>
      <c r="F2221" s="205">
        <f>SUM(F2204:F2220)</f>
        <v>0.63000000000000012</v>
      </c>
    </row>
    <row r="2222" spans="3:6">
      <c r="D2222" s="84"/>
      <c r="E2222" s="185">
        <f>D2221-E2221</f>
        <v>4.9999999999999933E-2</v>
      </c>
      <c r="F2222" s="185">
        <f>E2221-F2221</f>
        <v>0.32000000000000017</v>
      </c>
    </row>
    <row r="2223" spans="3:6">
      <c r="D2223" s="84"/>
      <c r="E2223" s="177"/>
      <c r="F2223" s="177"/>
    </row>
    <row r="2224" spans="3:6">
      <c r="C2224" s="1" t="s">
        <v>419</v>
      </c>
      <c r="D2224" s="84" t="s">
        <v>770</v>
      </c>
      <c r="E2224" s="84"/>
      <c r="F2224" s="84"/>
    </row>
    <row r="2225" spans="3:36">
      <c r="C2225" s="1"/>
      <c r="D2225" s="84"/>
      <c r="E2225" s="84"/>
      <c r="F2225" s="84"/>
    </row>
    <row r="2226" spans="3:36">
      <c r="C2226" s="1"/>
      <c r="D2226" s="84"/>
      <c r="E2226" s="84"/>
      <c r="F2226" s="84"/>
    </row>
    <row r="2227" spans="3:36">
      <c r="C2227" s="1"/>
      <c r="D2227" s="84"/>
      <c r="E2227" s="84"/>
      <c r="F2227" s="84"/>
    </row>
    <row r="2228" spans="3:36">
      <c r="C2228" s="1"/>
      <c r="D2228" s="84"/>
      <c r="E2228" s="84"/>
      <c r="F2228" s="84"/>
    </row>
    <row r="2229" spans="3:36">
      <c r="C2229" s="1"/>
      <c r="D2229" s="84"/>
      <c r="E2229" s="84"/>
      <c r="F2229" s="84"/>
    </row>
    <row r="2230" spans="3:36">
      <c r="C2230" s="1"/>
      <c r="D2230" s="84"/>
      <c r="E2230" s="84"/>
      <c r="F2230" s="84"/>
    </row>
    <row r="2231" spans="3:36">
      <c r="C2231" s="1"/>
      <c r="D2231" s="84"/>
      <c r="E2231" s="84"/>
      <c r="F2231" s="84"/>
    </row>
    <row r="2232" spans="3:36" s="100" customFormat="1">
      <c r="C2232" s="192"/>
      <c r="D2232" s="108"/>
      <c r="E2232" s="108"/>
      <c r="F2232" s="108"/>
      <c r="AD2232" s="332"/>
      <c r="AJ2232" s="392"/>
    </row>
    <row r="2233" spans="3:36">
      <c r="C2233" s="1"/>
      <c r="D2233" s="84"/>
      <c r="E2233" s="84"/>
      <c r="F2233" s="84"/>
    </row>
    <row r="2234" spans="3:36">
      <c r="C2234" s="1"/>
      <c r="D2234" s="84"/>
      <c r="E2234" s="84"/>
      <c r="F2234" s="84"/>
    </row>
    <row r="2235" spans="3:36">
      <c r="D2235" s="84"/>
      <c r="E2235" s="84"/>
      <c r="F2235" s="84"/>
    </row>
    <row r="2236" spans="3:36">
      <c r="D2236" s="84"/>
      <c r="E2236" s="84"/>
      <c r="F2236" s="84"/>
    </row>
    <row r="2237" spans="3:36">
      <c r="C2237" s="186" t="s">
        <v>51</v>
      </c>
      <c r="D2237" s="90" t="s">
        <v>353</v>
      </c>
      <c r="E2237" s="90" t="s">
        <v>354</v>
      </c>
      <c r="F2237" s="90" t="s">
        <v>355</v>
      </c>
    </row>
    <row r="2238" spans="3:36" ht="28.8">
      <c r="C2238" s="191" t="s">
        <v>754</v>
      </c>
      <c r="D2238" s="195">
        <v>0.01</v>
      </c>
      <c r="E2238" s="195">
        <v>0.01</v>
      </c>
      <c r="F2238" s="195">
        <v>0.01</v>
      </c>
    </row>
    <row r="2239" spans="3:36">
      <c r="C2239" s="189" t="s">
        <v>755</v>
      </c>
      <c r="D2239" s="200">
        <v>0.02</v>
      </c>
      <c r="E2239" s="200">
        <v>0.02</v>
      </c>
      <c r="F2239" s="200">
        <v>0.02</v>
      </c>
    </row>
    <row r="2240" spans="3:36">
      <c r="C2240" s="187" t="s">
        <v>756</v>
      </c>
      <c r="D2240" s="51">
        <v>0.1</v>
      </c>
      <c r="E2240" s="51">
        <v>0.1</v>
      </c>
      <c r="F2240" s="51">
        <v>0.1</v>
      </c>
    </row>
    <row r="2241" spans="3:6">
      <c r="C2241" s="187" t="s">
        <v>762</v>
      </c>
      <c r="D2241" s="51">
        <v>0.1</v>
      </c>
      <c r="E2241" s="51">
        <v>0.1</v>
      </c>
      <c r="F2241" s="51">
        <v>0.1</v>
      </c>
    </row>
    <row r="2242" spans="3:6">
      <c r="C2242" s="187" t="s">
        <v>763</v>
      </c>
      <c r="D2242" s="51">
        <v>0.15</v>
      </c>
      <c r="E2242" s="51">
        <v>0.15</v>
      </c>
      <c r="F2242" s="51">
        <v>0.15</v>
      </c>
    </row>
    <row r="2243" spans="3:6">
      <c r="C2243" s="187" t="s">
        <v>764</v>
      </c>
      <c r="D2243" s="51">
        <v>0.15</v>
      </c>
      <c r="E2243" s="51">
        <v>0.15</v>
      </c>
      <c r="F2243" s="51">
        <v>0.15</v>
      </c>
    </row>
    <row r="2244" spans="3:6">
      <c r="C2244" s="187" t="s">
        <v>765</v>
      </c>
      <c r="D2244" s="51">
        <v>0.1</v>
      </c>
      <c r="E2244" s="51">
        <v>0.1</v>
      </c>
      <c r="F2244" s="51">
        <v>0</v>
      </c>
    </row>
    <row r="2245" spans="3:6">
      <c r="C2245" s="187" t="s">
        <v>766</v>
      </c>
      <c r="D2245" s="51">
        <v>0.15</v>
      </c>
      <c r="E2245" s="51">
        <v>0.15</v>
      </c>
      <c r="F2245" s="51">
        <v>0</v>
      </c>
    </row>
    <row r="2246" spans="3:6">
      <c r="C2246" s="187" t="s">
        <v>776</v>
      </c>
      <c r="D2246" s="51">
        <v>0.02</v>
      </c>
      <c r="E2246" s="51">
        <v>0.02</v>
      </c>
      <c r="F2246" s="51">
        <v>0</v>
      </c>
    </row>
    <row r="2247" spans="3:6" ht="28.8">
      <c r="C2247" s="187" t="s">
        <v>777</v>
      </c>
      <c r="D2247" s="51">
        <v>0.1</v>
      </c>
      <c r="E2247" s="51">
        <v>0.1</v>
      </c>
      <c r="F2247" s="51">
        <v>0</v>
      </c>
    </row>
    <row r="2248" spans="3:6">
      <c r="C2248" s="187" t="s">
        <v>769</v>
      </c>
      <c r="D2248" s="51">
        <v>0.1</v>
      </c>
      <c r="E2248" s="51">
        <v>0.1</v>
      </c>
      <c r="F2248" s="51">
        <v>0</v>
      </c>
    </row>
    <row r="2249" spans="3:6">
      <c r="C2249" s="11"/>
      <c r="D2249" s="19">
        <f>SUM(D2238:D2248)</f>
        <v>1</v>
      </c>
      <c r="E2249" s="19">
        <f>SUM(E2238:E2248)</f>
        <v>1</v>
      </c>
      <c r="F2249" s="19">
        <f>SUM(F2238:F2248)</f>
        <v>0.53</v>
      </c>
    </row>
    <row r="2250" spans="3:6">
      <c r="C2250" s="85"/>
      <c r="D2250" s="86"/>
      <c r="E2250" s="205">
        <f>D2249-E2249</f>
        <v>0</v>
      </c>
      <c r="F2250" s="205">
        <f>E2249-F2249</f>
        <v>0.47</v>
      </c>
    </row>
    <row r="2251" spans="3:6">
      <c r="D2251" s="84"/>
      <c r="E2251" s="177"/>
      <c r="F2251" s="177"/>
    </row>
    <row r="2252" spans="3:6">
      <c r="C2252" s="1" t="s">
        <v>778</v>
      </c>
      <c r="D2252" s="84">
        <v>30</v>
      </c>
      <c r="E2252" s="84"/>
      <c r="F2252" s="84"/>
    </row>
    <row r="2253" spans="3:6">
      <c r="C2253" s="1"/>
      <c r="D2253" s="84"/>
      <c r="E2253" s="84"/>
      <c r="F2253" s="84"/>
    </row>
    <row r="2254" spans="3:6">
      <c r="C2254" s="1"/>
      <c r="D2254" s="84"/>
      <c r="E2254" s="84"/>
      <c r="F2254" s="84"/>
    </row>
    <row r="2255" spans="3:6">
      <c r="C2255" s="1"/>
      <c r="D2255" s="84"/>
      <c r="E2255" s="84"/>
      <c r="F2255" s="84"/>
    </row>
    <row r="2256" spans="3:6">
      <c r="C2256" s="1"/>
      <c r="D2256" s="84"/>
      <c r="E2256" s="84"/>
      <c r="F2256" s="84"/>
    </row>
    <row r="2257" spans="3:36">
      <c r="C2257" s="1"/>
      <c r="D2257" s="84"/>
      <c r="E2257" s="84"/>
      <c r="F2257" s="84"/>
    </row>
    <row r="2258" spans="3:36">
      <c r="C2258" s="1"/>
      <c r="D2258" s="84"/>
      <c r="E2258" s="84"/>
      <c r="F2258" s="84"/>
    </row>
    <row r="2259" spans="3:36">
      <c r="C2259" s="1"/>
      <c r="D2259" s="84"/>
      <c r="E2259" s="84"/>
      <c r="F2259" s="84"/>
    </row>
    <row r="2260" spans="3:36">
      <c r="C2260" s="1"/>
      <c r="D2260" s="84"/>
      <c r="E2260" s="84"/>
      <c r="F2260" s="84"/>
    </row>
    <row r="2261" spans="3:36" s="100" customFormat="1">
      <c r="C2261" s="192"/>
      <c r="D2261" s="108"/>
      <c r="E2261" s="108"/>
      <c r="F2261" s="108"/>
      <c r="AD2261" s="332"/>
      <c r="AJ2261" s="392"/>
    </row>
    <row r="2262" spans="3:36">
      <c r="C2262" s="1"/>
      <c r="D2262" s="84"/>
      <c r="E2262" s="84"/>
      <c r="F2262" s="84"/>
    </row>
    <row r="2263" spans="3:36">
      <c r="D2263" s="84"/>
      <c r="E2263" s="84"/>
      <c r="F2263" s="84"/>
    </row>
    <row r="2264" spans="3:36">
      <c r="D2264" s="84"/>
      <c r="E2264" s="84"/>
      <c r="F2264" s="84"/>
    </row>
    <row r="2265" spans="3:36">
      <c r="C2265" s="186" t="s">
        <v>52</v>
      </c>
      <c r="D2265" s="90" t="s">
        <v>353</v>
      </c>
      <c r="E2265" s="90" t="s">
        <v>354</v>
      </c>
      <c r="F2265" s="90" t="s">
        <v>355</v>
      </c>
    </row>
    <row r="2266" spans="3:36" ht="28.8">
      <c r="C2266" s="189" t="s">
        <v>754</v>
      </c>
      <c r="D2266" s="200">
        <v>0.01</v>
      </c>
      <c r="E2266" s="200">
        <v>0.01</v>
      </c>
      <c r="F2266" s="200">
        <v>0.01</v>
      </c>
    </row>
    <row r="2267" spans="3:36">
      <c r="C2267" s="187" t="s">
        <v>755</v>
      </c>
      <c r="D2267" s="51">
        <v>0.02</v>
      </c>
      <c r="E2267" s="51">
        <v>0.02</v>
      </c>
      <c r="F2267" s="51">
        <v>0.02</v>
      </c>
    </row>
    <row r="2268" spans="3:36">
      <c r="C2268" s="11" t="s">
        <v>779</v>
      </c>
      <c r="D2268" s="51">
        <v>0.1</v>
      </c>
      <c r="E2268" s="51">
        <v>0.1</v>
      </c>
      <c r="F2268" s="51">
        <v>0.1</v>
      </c>
    </row>
    <row r="2269" spans="3:36">
      <c r="C2269" s="187" t="s">
        <v>780</v>
      </c>
      <c r="D2269" s="51">
        <v>0.1</v>
      </c>
      <c r="E2269" s="51">
        <v>0.1</v>
      </c>
      <c r="F2269" s="51">
        <v>0.1</v>
      </c>
    </row>
    <row r="2270" spans="3:36">
      <c r="C2270" s="11" t="s">
        <v>781</v>
      </c>
      <c r="D2270" s="51">
        <v>0.1</v>
      </c>
      <c r="E2270" s="51">
        <v>0.1</v>
      </c>
      <c r="F2270" s="51">
        <v>0.1</v>
      </c>
    </row>
    <row r="2271" spans="3:36">
      <c r="C2271" s="187" t="s">
        <v>782</v>
      </c>
      <c r="D2271" s="51">
        <v>0.1</v>
      </c>
      <c r="E2271" s="51">
        <v>0.1</v>
      </c>
      <c r="F2271" s="51">
        <v>0.1</v>
      </c>
    </row>
    <row r="2272" spans="3:36">
      <c r="C2272" s="187" t="s">
        <v>783</v>
      </c>
      <c r="D2272" s="51">
        <v>0.02</v>
      </c>
      <c r="E2272" s="51">
        <v>0.02</v>
      </c>
      <c r="F2272" s="51">
        <v>0.02</v>
      </c>
    </row>
    <row r="2273" spans="3:6">
      <c r="C2273" s="187" t="s">
        <v>784</v>
      </c>
      <c r="D2273" s="51">
        <v>0.02</v>
      </c>
      <c r="E2273" s="51">
        <v>0.02</v>
      </c>
      <c r="F2273" s="51">
        <v>0.02</v>
      </c>
    </row>
    <row r="2274" spans="3:6">
      <c r="C2274" s="11" t="s">
        <v>762</v>
      </c>
      <c r="D2274" s="51">
        <v>0.1</v>
      </c>
      <c r="E2274" s="51">
        <v>0.1</v>
      </c>
      <c r="F2274" s="51">
        <v>0.1</v>
      </c>
    </row>
    <row r="2275" spans="3:6">
      <c r="C2275" s="11" t="s">
        <v>763</v>
      </c>
      <c r="D2275" s="51">
        <v>0.1</v>
      </c>
      <c r="E2275" s="51">
        <v>0.1</v>
      </c>
      <c r="F2275" s="51">
        <v>0.1</v>
      </c>
    </row>
    <row r="2276" spans="3:6">
      <c r="C2276" s="187" t="s">
        <v>764</v>
      </c>
      <c r="D2276" s="51">
        <v>0.05</v>
      </c>
      <c r="E2276" s="51">
        <v>0.05</v>
      </c>
      <c r="F2276" s="51">
        <v>0.05</v>
      </c>
    </row>
    <row r="2277" spans="3:6">
      <c r="C2277" s="11" t="s">
        <v>769</v>
      </c>
      <c r="D2277" s="51">
        <v>0.05</v>
      </c>
      <c r="E2277" s="51">
        <v>0.05</v>
      </c>
      <c r="F2277" s="51">
        <v>0.05</v>
      </c>
    </row>
    <row r="2278" spans="3:6">
      <c r="C2278" s="187" t="s">
        <v>785</v>
      </c>
      <c r="D2278" s="51">
        <v>0.01</v>
      </c>
      <c r="E2278" s="51">
        <v>0.01</v>
      </c>
      <c r="F2278" s="51">
        <v>0.01</v>
      </c>
    </row>
    <row r="2279" spans="3:6" ht="28.8">
      <c r="C2279" s="187" t="s">
        <v>786</v>
      </c>
      <c r="D2279" s="51">
        <v>0.1</v>
      </c>
      <c r="E2279" s="51">
        <v>0.1</v>
      </c>
      <c r="F2279" s="51">
        <v>0.1</v>
      </c>
    </row>
    <row r="2280" spans="3:6">
      <c r="C2280" s="11" t="s">
        <v>787</v>
      </c>
      <c r="D2280" s="51">
        <v>0.05</v>
      </c>
      <c r="E2280" s="51">
        <v>0.05</v>
      </c>
      <c r="F2280" s="51">
        <v>0.05</v>
      </c>
    </row>
    <row r="2281" spans="3:6">
      <c r="C2281" s="11" t="s">
        <v>788</v>
      </c>
      <c r="D2281" s="51">
        <v>0.05</v>
      </c>
      <c r="E2281" s="51">
        <v>0.05</v>
      </c>
      <c r="F2281" s="51">
        <v>0.05</v>
      </c>
    </row>
    <row r="2282" spans="3:6">
      <c r="C2282" s="11" t="s">
        <v>789</v>
      </c>
      <c r="D2282" s="51">
        <v>0.01</v>
      </c>
      <c r="E2282" s="51">
        <v>0.01</v>
      </c>
      <c r="F2282" s="51">
        <v>0.01</v>
      </c>
    </row>
    <row r="2283" spans="3:6" ht="28.8">
      <c r="C2283" s="187" t="s">
        <v>790</v>
      </c>
      <c r="D2283" s="51">
        <v>0.01</v>
      </c>
      <c r="E2283" s="51">
        <v>0.01</v>
      </c>
      <c r="F2283" s="51">
        <v>0.01</v>
      </c>
    </row>
    <row r="2284" spans="3:6">
      <c r="C2284" s="85"/>
      <c r="D2284" s="205">
        <f>SUM(D2266:D2283)</f>
        <v>1.0000000000000002</v>
      </c>
      <c r="E2284" s="205">
        <f>SUM(E2266:E2283)</f>
        <v>1.0000000000000002</v>
      </c>
      <c r="F2284" s="205">
        <f>SUM(F2266:F2283)</f>
        <v>1.0000000000000002</v>
      </c>
    </row>
    <row r="2285" spans="3:6">
      <c r="D2285" s="84"/>
      <c r="E2285" s="232">
        <f>D2284-E2284</f>
        <v>0</v>
      </c>
      <c r="F2285" s="232">
        <f>E2284-F2284</f>
        <v>0</v>
      </c>
    </row>
    <row r="2286" spans="3:6">
      <c r="C2286" s="1" t="s">
        <v>419</v>
      </c>
      <c r="D2286" s="84" t="s">
        <v>770</v>
      </c>
      <c r="E2286" s="84"/>
      <c r="F2286" s="84"/>
    </row>
    <row r="2287" spans="3:6">
      <c r="C2287" s="1"/>
      <c r="D2287" s="84"/>
      <c r="E2287" s="84"/>
      <c r="F2287" s="84"/>
    </row>
    <row r="2288" spans="3:6">
      <c r="C2288" s="1"/>
      <c r="D2288" s="84"/>
      <c r="E2288" s="84"/>
      <c r="F2288" s="84"/>
    </row>
    <row r="2289" spans="3:36">
      <c r="C2289" s="1"/>
      <c r="D2289" s="84"/>
      <c r="E2289" s="84"/>
      <c r="F2289" s="84"/>
    </row>
    <row r="2290" spans="3:36">
      <c r="C2290" s="1"/>
      <c r="D2290" s="84"/>
      <c r="E2290" s="84"/>
      <c r="F2290" s="84"/>
    </row>
    <row r="2291" spans="3:36">
      <c r="C2291" s="1"/>
      <c r="D2291" s="84"/>
      <c r="E2291" s="84"/>
      <c r="F2291" s="84"/>
    </row>
    <row r="2292" spans="3:36">
      <c r="C2292" s="1"/>
      <c r="D2292" s="84"/>
      <c r="E2292" s="84"/>
      <c r="F2292" s="84"/>
    </row>
    <row r="2293" spans="3:36">
      <c r="C2293" s="1"/>
      <c r="D2293" s="84"/>
      <c r="E2293" s="84"/>
      <c r="F2293" s="84"/>
    </row>
    <row r="2294" spans="3:36" s="100" customFormat="1">
      <c r="C2294" s="192"/>
      <c r="D2294" s="108"/>
      <c r="E2294" s="108"/>
      <c r="F2294" s="108"/>
      <c r="AD2294" s="332"/>
      <c r="AJ2294" s="392"/>
    </row>
    <row r="2295" spans="3:36">
      <c r="C2295" s="1"/>
      <c r="D2295" s="84"/>
      <c r="E2295" s="84"/>
      <c r="F2295" s="84"/>
    </row>
    <row r="2296" spans="3:36">
      <c r="C2296" s="1"/>
      <c r="D2296" s="84"/>
      <c r="E2296" s="84"/>
      <c r="F2296" s="84"/>
    </row>
    <row r="2297" spans="3:36">
      <c r="D2297" s="84"/>
      <c r="E2297" s="84"/>
      <c r="F2297" s="84"/>
    </row>
    <row r="2298" spans="3:36">
      <c r="D2298" s="84"/>
      <c r="E2298" s="84"/>
      <c r="F2298" s="84"/>
    </row>
    <row r="2299" spans="3:36">
      <c r="C2299" s="186" t="s">
        <v>53</v>
      </c>
      <c r="D2299" s="90" t="s">
        <v>353</v>
      </c>
      <c r="E2299" s="90" t="s">
        <v>354</v>
      </c>
      <c r="F2299" s="90" t="s">
        <v>355</v>
      </c>
    </row>
    <row r="2300" spans="3:36" ht="28.8">
      <c r="C2300" s="189" t="s">
        <v>754</v>
      </c>
      <c r="D2300" s="200">
        <v>0.01</v>
      </c>
      <c r="E2300" s="200">
        <v>0.01</v>
      </c>
      <c r="F2300" s="200">
        <v>0.01</v>
      </c>
    </row>
    <row r="2301" spans="3:36">
      <c r="C2301" s="187" t="s">
        <v>755</v>
      </c>
      <c r="D2301" s="51">
        <v>0.02</v>
      </c>
      <c r="E2301" s="51">
        <v>0.02</v>
      </c>
      <c r="F2301" s="51">
        <v>0.02</v>
      </c>
    </row>
    <row r="2302" spans="3:36">
      <c r="C2302" s="187" t="s">
        <v>780</v>
      </c>
      <c r="D2302" s="51">
        <v>0.1</v>
      </c>
      <c r="E2302" s="51">
        <v>0.1</v>
      </c>
      <c r="F2302" s="51">
        <v>0.1</v>
      </c>
    </row>
    <row r="2303" spans="3:36">
      <c r="C2303" s="187" t="s">
        <v>781</v>
      </c>
      <c r="D2303" s="51">
        <v>0.1</v>
      </c>
      <c r="E2303" s="51">
        <v>0.1</v>
      </c>
      <c r="F2303" s="51">
        <v>0.1</v>
      </c>
    </row>
    <row r="2304" spans="3:36">
      <c r="C2304" s="187" t="s">
        <v>782</v>
      </c>
      <c r="D2304" s="51">
        <v>0.1</v>
      </c>
      <c r="E2304" s="51">
        <v>0.1</v>
      </c>
      <c r="F2304" s="51">
        <v>0.1</v>
      </c>
    </row>
    <row r="2305" spans="3:6" ht="28.8">
      <c r="C2305" s="187" t="s">
        <v>791</v>
      </c>
      <c r="D2305" s="51">
        <v>0.05</v>
      </c>
      <c r="E2305" s="51">
        <v>0.05</v>
      </c>
      <c r="F2305" s="51">
        <v>0.05</v>
      </c>
    </row>
    <row r="2306" spans="3:6">
      <c r="C2306" s="187" t="s">
        <v>792</v>
      </c>
      <c r="D2306" s="51">
        <v>0.05</v>
      </c>
      <c r="E2306" s="51">
        <v>0.05</v>
      </c>
      <c r="F2306" s="51">
        <v>0.05</v>
      </c>
    </row>
    <row r="2307" spans="3:6">
      <c r="C2307" s="187" t="s">
        <v>793</v>
      </c>
      <c r="D2307" s="51">
        <v>0.05</v>
      </c>
      <c r="E2307" s="51">
        <v>0.05</v>
      </c>
      <c r="F2307" s="51">
        <v>0</v>
      </c>
    </row>
    <row r="2308" spans="3:6">
      <c r="C2308" s="187" t="s">
        <v>794</v>
      </c>
      <c r="D2308" s="51">
        <v>0.15</v>
      </c>
      <c r="E2308" s="51">
        <v>0.15</v>
      </c>
      <c r="F2308" s="51">
        <v>0.15</v>
      </c>
    </row>
    <row r="2309" spans="3:6">
      <c r="C2309" s="187" t="s">
        <v>795</v>
      </c>
      <c r="D2309" s="51">
        <v>0.1</v>
      </c>
      <c r="E2309" s="51">
        <v>0.1</v>
      </c>
      <c r="F2309" s="51">
        <v>0.1</v>
      </c>
    </row>
    <row r="2310" spans="3:6" ht="28.8">
      <c r="C2310" s="187" t="s">
        <v>796</v>
      </c>
      <c r="D2310" s="51">
        <v>0.01</v>
      </c>
      <c r="E2310" s="51">
        <v>0.01</v>
      </c>
      <c r="F2310" s="51">
        <v>0.01</v>
      </c>
    </row>
    <row r="2311" spans="3:6" ht="28.8">
      <c r="C2311" s="187" t="s">
        <v>786</v>
      </c>
      <c r="D2311" s="51">
        <v>0.1</v>
      </c>
      <c r="E2311" s="51">
        <v>0.1</v>
      </c>
      <c r="F2311" s="51">
        <v>0.1</v>
      </c>
    </row>
    <row r="2312" spans="3:6">
      <c r="C2312" s="187" t="s">
        <v>787</v>
      </c>
      <c r="D2312" s="51">
        <v>0.08</v>
      </c>
      <c r="E2312" s="51">
        <v>0.08</v>
      </c>
      <c r="F2312" s="51">
        <v>0.08</v>
      </c>
    </row>
    <row r="2313" spans="3:6">
      <c r="C2313" s="187" t="s">
        <v>788</v>
      </c>
      <c r="D2313" s="51">
        <v>0.06</v>
      </c>
      <c r="E2313" s="51">
        <v>0.06</v>
      </c>
      <c r="F2313" s="51">
        <v>0.06</v>
      </c>
    </row>
    <row r="2314" spans="3:6">
      <c r="C2314" s="187" t="s">
        <v>789</v>
      </c>
      <c r="D2314" s="51">
        <v>0.01</v>
      </c>
      <c r="E2314" s="51">
        <v>0.01</v>
      </c>
      <c r="F2314" s="51">
        <v>0.01</v>
      </c>
    </row>
    <row r="2315" spans="3:6" ht="28.8">
      <c r="C2315" s="187" t="s">
        <v>790</v>
      </c>
      <c r="D2315" s="51">
        <v>0.01</v>
      </c>
      <c r="E2315" s="51">
        <v>0.01</v>
      </c>
      <c r="F2315" s="51">
        <v>0.01</v>
      </c>
    </row>
    <row r="2316" spans="3:6">
      <c r="C2316" s="85"/>
      <c r="D2316" s="212">
        <f>SUM(D2300:D2315)</f>
        <v>1</v>
      </c>
      <c r="E2316" s="212">
        <f>SUM(E2300:E2315)</f>
        <v>1</v>
      </c>
      <c r="F2316" s="212">
        <f>SUM(F2300:F2315)</f>
        <v>0.95</v>
      </c>
    </row>
    <row r="2317" spans="3:6">
      <c r="D2317" s="211"/>
      <c r="E2317" s="211">
        <f>D2316-E2316</f>
        <v>0</v>
      </c>
      <c r="F2317" s="211">
        <f>E2316-F2316</f>
        <v>5.0000000000000044E-2</v>
      </c>
    </row>
    <row r="2318" spans="3:6">
      <c r="C2318" s="1" t="s">
        <v>419</v>
      </c>
      <c r="D2318" s="84" t="s">
        <v>770</v>
      </c>
      <c r="E2318" s="84"/>
      <c r="F2318" s="84"/>
    </row>
    <row r="2319" spans="3:6">
      <c r="C2319" s="1"/>
      <c r="D2319" s="84"/>
      <c r="E2319" s="84"/>
      <c r="F2319" s="84"/>
    </row>
    <row r="2320" spans="3:6">
      <c r="C2320" s="1"/>
      <c r="D2320" s="84"/>
      <c r="E2320" s="84"/>
      <c r="F2320" s="84"/>
    </row>
    <row r="2321" spans="3:36">
      <c r="C2321" s="1"/>
      <c r="D2321" s="84"/>
      <c r="E2321" s="84"/>
      <c r="F2321" s="84"/>
    </row>
    <row r="2322" spans="3:36">
      <c r="C2322" s="1"/>
      <c r="D2322" s="84"/>
      <c r="E2322" s="84"/>
      <c r="F2322" s="84"/>
    </row>
    <row r="2323" spans="3:36">
      <c r="C2323" s="1"/>
      <c r="D2323" s="84"/>
      <c r="E2323" s="84"/>
      <c r="F2323" s="84"/>
    </row>
    <row r="2324" spans="3:36">
      <c r="C2324" s="1"/>
      <c r="D2324" s="84"/>
      <c r="E2324" s="84"/>
      <c r="F2324" s="84"/>
    </row>
    <row r="2325" spans="3:36">
      <c r="C2325" s="1"/>
      <c r="D2325" s="84"/>
      <c r="E2325" s="84"/>
      <c r="F2325" s="84"/>
    </row>
    <row r="2326" spans="3:36">
      <c r="C2326" s="1"/>
      <c r="D2326" s="84"/>
      <c r="E2326" s="84"/>
      <c r="F2326" s="84"/>
    </row>
    <row r="2327" spans="3:36">
      <c r="C2327" s="1"/>
      <c r="D2327" s="84"/>
      <c r="E2327" s="84"/>
      <c r="F2327" s="84"/>
    </row>
    <row r="2328" spans="3:36">
      <c r="C2328" s="1"/>
      <c r="D2328" s="84"/>
      <c r="E2328" s="84"/>
      <c r="F2328" s="84"/>
    </row>
    <row r="2329" spans="3:36" s="100" customFormat="1">
      <c r="C2329" s="192"/>
      <c r="D2329" s="108"/>
      <c r="E2329" s="108"/>
      <c r="F2329" s="108"/>
      <c r="AD2329" s="332"/>
      <c r="AJ2329" s="392"/>
    </row>
    <row r="2330" spans="3:36">
      <c r="C2330" s="1"/>
      <c r="D2330" s="84"/>
      <c r="E2330" s="84"/>
      <c r="F2330" s="84"/>
    </row>
    <row r="2331" spans="3:36">
      <c r="C2331" s="1"/>
      <c r="D2331" s="84"/>
      <c r="E2331" s="84"/>
      <c r="F2331" s="84"/>
    </row>
    <row r="2332" spans="3:36">
      <c r="D2332" s="84"/>
      <c r="E2332" s="84"/>
      <c r="F2332" s="84"/>
    </row>
    <row r="2333" spans="3:36">
      <c r="C2333" s="186" t="s">
        <v>54</v>
      </c>
      <c r="D2333" s="90" t="s">
        <v>353</v>
      </c>
      <c r="E2333" s="90" t="s">
        <v>354</v>
      </c>
      <c r="F2333" s="90" t="s">
        <v>355</v>
      </c>
    </row>
    <row r="2334" spans="3:36" ht="28.8">
      <c r="C2334" s="191" t="s">
        <v>754</v>
      </c>
      <c r="D2334" s="195">
        <v>0.01</v>
      </c>
      <c r="E2334" s="195">
        <v>0.01</v>
      </c>
      <c r="F2334" s="195">
        <v>0.01</v>
      </c>
    </row>
    <row r="2335" spans="3:36">
      <c r="C2335" s="189" t="s">
        <v>755</v>
      </c>
      <c r="D2335" s="200">
        <v>0.02</v>
      </c>
      <c r="E2335" s="200">
        <v>0.02</v>
      </c>
      <c r="F2335" s="200">
        <v>0.02</v>
      </c>
    </row>
    <row r="2336" spans="3:36">
      <c r="C2336" s="187" t="s">
        <v>779</v>
      </c>
      <c r="D2336" s="51">
        <v>0.1</v>
      </c>
      <c r="E2336" s="51">
        <v>0.1</v>
      </c>
      <c r="F2336" s="51">
        <v>0.1</v>
      </c>
    </row>
    <row r="2337" spans="3:6" ht="28.8">
      <c r="C2337" s="187" t="s">
        <v>797</v>
      </c>
      <c r="D2337" s="51">
        <v>0.05</v>
      </c>
      <c r="E2337" s="51">
        <v>0.05</v>
      </c>
      <c r="F2337" s="51">
        <v>0.05</v>
      </c>
    </row>
    <row r="2338" spans="3:6" ht="28.8">
      <c r="C2338" s="187" t="s">
        <v>798</v>
      </c>
      <c r="D2338" s="51">
        <v>0.05</v>
      </c>
      <c r="E2338" s="51">
        <v>0.05</v>
      </c>
      <c r="F2338" s="51">
        <v>0.05</v>
      </c>
    </row>
    <row r="2339" spans="3:6">
      <c r="C2339" s="187" t="s">
        <v>799</v>
      </c>
      <c r="D2339" s="51">
        <v>0.1</v>
      </c>
      <c r="E2339" s="51">
        <v>0.1</v>
      </c>
      <c r="F2339" s="51">
        <v>0.1</v>
      </c>
    </row>
    <row r="2340" spans="3:6">
      <c r="C2340" s="187" t="s">
        <v>800</v>
      </c>
      <c r="D2340" s="51">
        <v>0.1</v>
      </c>
      <c r="E2340" s="51">
        <v>0.1</v>
      </c>
      <c r="F2340" s="51">
        <v>0.1</v>
      </c>
    </row>
    <row r="2341" spans="3:6">
      <c r="C2341" s="187" t="s">
        <v>801</v>
      </c>
      <c r="D2341" s="51">
        <v>0.1</v>
      </c>
      <c r="E2341" s="51">
        <v>0.1</v>
      </c>
      <c r="F2341" s="51">
        <v>0.1</v>
      </c>
    </row>
    <row r="2342" spans="3:6">
      <c r="C2342" s="187" t="s">
        <v>802</v>
      </c>
      <c r="D2342" s="51">
        <v>0.1</v>
      </c>
      <c r="E2342" s="51">
        <v>0.1</v>
      </c>
      <c r="F2342" s="51">
        <v>0.1</v>
      </c>
    </row>
    <row r="2343" spans="3:6">
      <c r="C2343" s="187" t="s">
        <v>803</v>
      </c>
      <c r="D2343" s="51">
        <v>0.2</v>
      </c>
      <c r="E2343" s="51">
        <v>0.2</v>
      </c>
      <c r="F2343" s="51">
        <v>0.1</v>
      </c>
    </row>
    <row r="2344" spans="3:6">
      <c r="C2344" s="187" t="s">
        <v>804</v>
      </c>
      <c r="D2344" s="51">
        <v>0.02</v>
      </c>
      <c r="E2344" s="51">
        <v>0.02</v>
      </c>
      <c r="F2344" s="51">
        <v>0.02</v>
      </c>
    </row>
    <row r="2345" spans="3:6">
      <c r="C2345" s="187" t="s">
        <v>805</v>
      </c>
      <c r="D2345" s="51">
        <v>0.05</v>
      </c>
      <c r="E2345" s="51">
        <v>0.05</v>
      </c>
      <c r="F2345" s="51">
        <v>0.05</v>
      </c>
    </row>
    <row r="2346" spans="3:6">
      <c r="C2346" s="190" t="s">
        <v>806</v>
      </c>
      <c r="D2346" s="178">
        <v>0.05</v>
      </c>
      <c r="E2346" s="178">
        <v>0.05</v>
      </c>
      <c r="F2346" s="178">
        <v>0.05</v>
      </c>
    </row>
    <row r="2347" spans="3:6" ht="28.8">
      <c r="C2347" s="191" t="s">
        <v>807</v>
      </c>
      <c r="D2347" s="195">
        <v>0.05</v>
      </c>
      <c r="E2347" s="195">
        <v>0.05</v>
      </c>
      <c r="F2347" s="195">
        <v>0.05</v>
      </c>
    </row>
    <row r="2348" spans="3:6">
      <c r="D2348" s="185">
        <f>SUM(D2334:D2347)</f>
        <v>1</v>
      </c>
      <c r="E2348" s="185">
        <f>SUM(E2334:E2347)</f>
        <v>1</v>
      </c>
      <c r="F2348" s="185">
        <f>SUM(F2334:F2347)</f>
        <v>0.9</v>
      </c>
    </row>
    <row r="2349" spans="3:6">
      <c r="D2349" s="185"/>
      <c r="E2349" s="185">
        <f>D2348-E2348</f>
        <v>0</v>
      </c>
      <c r="F2349" s="185">
        <f>E2348-F2348</f>
        <v>9.9999999999999978E-2</v>
      </c>
    </row>
    <row r="2350" spans="3:6">
      <c r="C2350" s="1" t="s">
        <v>419</v>
      </c>
      <c r="D2350" s="84" t="s">
        <v>770</v>
      </c>
      <c r="E2350" s="84"/>
      <c r="F2350" s="84"/>
    </row>
    <row r="2351" spans="3:6">
      <c r="C2351" s="1"/>
      <c r="D2351" s="84"/>
      <c r="E2351" s="84"/>
      <c r="F2351" s="84"/>
    </row>
    <row r="2352" spans="3:6">
      <c r="C2352" s="1"/>
      <c r="D2352" s="84"/>
      <c r="E2352" s="84"/>
      <c r="F2352" s="84"/>
    </row>
    <row r="2353" spans="3:36">
      <c r="C2353" s="1"/>
      <c r="D2353" s="84"/>
      <c r="E2353" s="84"/>
      <c r="F2353" s="84"/>
    </row>
    <row r="2354" spans="3:36">
      <c r="C2354" s="1"/>
      <c r="D2354" s="84"/>
      <c r="E2354" s="84"/>
      <c r="F2354" s="84"/>
    </row>
    <row r="2355" spans="3:36">
      <c r="C2355" s="1"/>
      <c r="D2355" s="84"/>
      <c r="E2355" s="84"/>
      <c r="F2355" s="84"/>
    </row>
    <row r="2356" spans="3:36">
      <c r="C2356" s="1"/>
      <c r="D2356" s="84"/>
      <c r="E2356" s="84"/>
      <c r="F2356" s="84"/>
    </row>
    <row r="2357" spans="3:36">
      <c r="C2357" s="1"/>
      <c r="D2357" s="84"/>
      <c r="E2357" s="84"/>
      <c r="F2357" s="84"/>
    </row>
    <row r="2358" spans="3:36">
      <c r="C2358" s="1"/>
      <c r="D2358" s="84"/>
      <c r="E2358" s="84"/>
      <c r="F2358" s="84"/>
    </row>
    <row r="2359" spans="3:36" s="100" customFormat="1">
      <c r="C2359" s="192"/>
      <c r="D2359" s="108"/>
      <c r="E2359" s="108"/>
      <c r="F2359" s="108"/>
      <c r="AD2359" s="332"/>
      <c r="AJ2359" s="392"/>
    </row>
    <row r="2360" spans="3:36">
      <c r="C2360" s="1"/>
      <c r="D2360" s="84"/>
      <c r="E2360" s="84"/>
      <c r="F2360" s="84"/>
    </row>
    <row r="2361" spans="3:36">
      <c r="C2361" s="1"/>
      <c r="D2361" s="84"/>
      <c r="E2361" s="84"/>
      <c r="F2361" s="84"/>
    </row>
    <row r="2362" spans="3:36">
      <c r="D2362" s="84"/>
      <c r="E2362" s="84"/>
      <c r="F2362" s="84"/>
    </row>
    <row r="2363" spans="3:36">
      <c r="C2363" s="186" t="s">
        <v>55</v>
      </c>
      <c r="D2363" s="253" t="s">
        <v>353</v>
      </c>
      <c r="E2363" s="90" t="s">
        <v>354</v>
      </c>
      <c r="F2363" s="90" t="s">
        <v>355</v>
      </c>
    </row>
    <row r="2364" spans="3:36" ht="28.8">
      <c r="C2364" s="189" t="s">
        <v>808</v>
      </c>
      <c r="D2364" s="51">
        <v>0.02</v>
      </c>
      <c r="E2364" s="51">
        <v>0.01</v>
      </c>
      <c r="F2364" s="51">
        <v>0.01</v>
      </c>
    </row>
    <row r="2365" spans="3:36">
      <c r="C2365" s="187" t="s">
        <v>809</v>
      </c>
      <c r="D2365" s="51">
        <v>0.02</v>
      </c>
      <c r="E2365" s="51">
        <v>0.01</v>
      </c>
      <c r="F2365" s="51">
        <v>0</v>
      </c>
    </row>
    <row r="2366" spans="3:36" ht="28.8">
      <c r="C2366" s="187" t="s">
        <v>810</v>
      </c>
      <c r="D2366" s="51">
        <v>0.02</v>
      </c>
      <c r="E2366" s="51">
        <v>0.01</v>
      </c>
      <c r="F2366" s="51">
        <v>0.01</v>
      </c>
    </row>
    <row r="2367" spans="3:36" ht="28.8">
      <c r="C2367" s="187" t="s">
        <v>811</v>
      </c>
      <c r="D2367" s="51">
        <v>0.02</v>
      </c>
      <c r="E2367" s="51">
        <v>0.01</v>
      </c>
      <c r="F2367" s="51">
        <v>0.01</v>
      </c>
    </row>
    <row r="2368" spans="3:36" ht="28.8">
      <c r="C2368" s="187" t="s">
        <v>812</v>
      </c>
      <c r="D2368" s="51">
        <v>0.02</v>
      </c>
      <c r="E2368" s="51">
        <v>0.01</v>
      </c>
      <c r="F2368" s="51">
        <v>0.01</v>
      </c>
    </row>
    <row r="2369" spans="3:6" ht="28.8">
      <c r="C2369" s="187" t="s">
        <v>813</v>
      </c>
      <c r="D2369" s="51">
        <v>0.08</v>
      </c>
      <c r="E2369" s="51">
        <v>0.04</v>
      </c>
      <c r="F2369" s="51">
        <v>0.04</v>
      </c>
    </row>
    <row r="2370" spans="3:6" ht="28.8">
      <c r="C2370" s="187" t="s">
        <v>814</v>
      </c>
      <c r="D2370" s="51">
        <v>0.08</v>
      </c>
      <c r="E2370" s="51">
        <v>0.04</v>
      </c>
      <c r="F2370" s="51">
        <v>0.04</v>
      </c>
    </row>
    <row r="2371" spans="3:6" ht="28.8">
      <c r="C2371" s="187" t="s">
        <v>815</v>
      </c>
      <c r="D2371" s="51">
        <v>0.1</v>
      </c>
      <c r="E2371" s="51">
        <v>0.05</v>
      </c>
      <c r="F2371" s="51">
        <v>0.05</v>
      </c>
    </row>
    <row r="2372" spans="3:6" ht="28.8">
      <c r="C2372" s="187" t="s">
        <v>816</v>
      </c>
      <c r="D2372" s="51">
        <v>0.1</v>
      </c>
      <c r="E2372" s="51">
        <v>0.05</v>
      </c>
      <c r="F2372" s="51">
        <v>0.05</v>
      </c>
    </row>
    <row r="2373" spans="3:6" ht="28.8">
      <c r="C2373" s="187" t="s">
        <v>817</v>
      </c>
      <c r="D2373" s="51">
        <v>0.1</v>
      </c>
      <c r="E2373" s="51">
        <v>0.05</v>
      </c>
      <c r="F2373" s="51">
        <v>0.05</v>
      </c>
    </row>
    <row r="2374" spans="3:6" ht="28.8">
      <c r="C2374" s="187" t="s">
        <v>818</v>
      </c>
      <c r="D2374" s="51">
        <v>0.1</v>
      </c>
      <c r="E2374" s="51">
        <v>0.05</v>
      </c>
      <c r="F2374" s="51">
        <v>0.05</v>
      </c>
    </row>
    <row r="2375" spans="3:6" ht="28.8">
      <c r="C2375" s="187" t="s">
        <v>819</v>
      </c>
      <c r="D2375" s="51">
        <v>0.02</v>
      </c>
      <c r="E2375" s="51">
        <v>0.01</v>
      </c>
      <c r="F2375" s="51">
        <v>0.01</v>
      </c>
    </row>
    <row r="2376" spans="3:6" ht="28.8">
      <c r="C2376" s="187" t="s">
        <v>820</v>
      </c>
      <c r="D2376" s="51">
        <v>0.05</v>
      </c>
      <c r="E2376" s="51">
        <v>0.02</v>
      </c>
      <c r="F2376" s="51">
        <v>0.02</v>
      </c>
    </row>
    <row r="2377" spans="3:6" ht="28.8">
      <c r="C2377" s="187" t="s">
        <v>821</v>
      </c>
      <c r="D2377" s="51">
        <v>0.02</v>
      </c>
      <c r="E2377" s="51">
        <v>0.01</v>
      </c>
      <c r="F2377" s="51">
        <v>0</v>
      </c>
    </row>
    <row r="2378" spans="3:6" ht="28.8">
      <c r="C2378" s="187" t="s">
        <v>822</v>
      </c>
      <c r="D2378" s="51">
        <v>0.1</v>
      </c>
      <c r="E2378" s="51">
        <v>0.05</v>
      </c>
      <c r="F2378" s="51">
        <v>0</v>
      </c>
    </row>
    <row r="2379" spans="3:6">
      <c r="C2379" s="190" t="s">
        <v>823</v>
      </c>
      <c r="D2379" s="178">
        <v>0.1</v>
      </c>
      <c r="E2379" s="178">
        <v>0.05</v>
      </c>
      <c r="F2379" s="178">
        <v>0.05</v>
      </c>
    </row>
    <row r="2380" spans="3:6">
      <c r="C2380" s="191" t="s">
        <v>824</v>
      </c>
      <c r="D2380" s="195">
        <v>0.05</v>
      </c>
      <c r="E2380" s="195">
        <v>0.02</v>
      </c>
      <c r="F2380" s="195">
        <v>0</v>
      </c>
    </row>
    <row r="2381" spans="3:6">
      <c r="D2381" s="185">
        <f>SUM(D2364:D2380)</f>
        <v>1</v>
      </c>
      <c r="E2381" s="185">
        <f>SUM(E2364:E2380)</f>
        <v>0.49</v>
      </c>
      <c r="F2381" s="185">
        <f>SUM(F2364:F2380)</f>
        <v>0.39999999999999997</v>
      </c>
    </row>
    <row r="2382" spans="3:6">
      <c r="D2382" s="177"/>
      <c r="E2382" s="211">
        <f>D2381-E2381</f>
        <v>0.51</v>
      </c>
      <c r="F2382" s="185">
        <f>E2381-F2381</f>
        <v>9.0000000000000024E-2</v>
      </c>
    </row>
    <row r="2383" spans="3:6">
      <c r="C2383" s="1" t="s">
        <v>419</v>
      </c>
      <c r="D2383" s="84" t="s">
        <v>825</v>
      </c>
      <c r="E2383" s="84"/>
      <c r="F2383" s="84"/>
    </row>
    <row r="2384" spans="3:6">
      <c r="C2384" s="1"/>
      <c r="D2384" s="84"/>
      <c r="E2384" s="84"/>
      <c r="F2384" s="84"/>
    </row>
    <row r="2385" spans="3:36">
      <c r="C2385" s="1"/>
      <c r="D2385" s="84"/>
      <c r="E2385" s="84"/>
      <c r="F2385" s="84"/>
    </row>
    <row r="2386" spans="3:36">
      <c r="C2386" s="1"/>
      <c r="D2386" s="84"/>
      <c r="E2386" s="84"/>
      <c r="F2386" s="84"/>
    </row>
    <row r="2387" spans="3:36">
      <c r="C2387" s="1"/>
      <c r="D2387" s="84"/>
      <c r="E2387" s="84"/>
      <c r="F2387" s="84"/>
    </row>
    <row r="2388" spans="3:36">
      <c r="C2388" s="1"/>
      <c r="D2388" s="84"/>
      <c r="E2388" s="84"/>
      <c r="F2388" s="84"/>
    </row>
    <row r="2389" spans="3:36">
      <c r="C2389" s="1"/>
      <c r="D2389" s="84"/>
      <c r="E2389" s="84"/>
      <c r="F2389" s="84"/>
    </row>
    <row r="2390" spans="3:36">
      <c r="C2390" s="1"/>
      <c r="D2390" s="84"/>
      <c r="E2390" s="84"/>
      <c r="F2390" s="84"/>
    </row>
    <row r="2391" spans="3:36">
      <c r="C2391" s="1"/>
      <c r="D2391" s="84"/>
      <c r="E2391" s="84"/>
      <c r="F2391" s="84"/>
    </row>
    <row r="2392" spans="3:36" s="100" customFormat="1">
      <c r="C2392" s="192"/>
      <c r="D2392" s="108"/>
      <c r="E2392" s="108"/>
      <c r="F2392" s="108"/>
      <c r="AD2392" s="332"/>
      <c r="AJ2392" s="392"/>
    </row>
    <row r="2393" spans="3:36">
      <c r="C2393" s="1"/>
      <c r="D2393" s="84"/>
      <c r="E2393" s="84"/>
      <c r="F2393" s="84"/>
    </row>
    <row r="2394" spans="3:36">
      <c r="C2394" s="1"/>
      <c r="D2394" s="84"/>
      <c r="E2394" s="84"/>
      <c r="F2394" s="84"/>
    </row>
    <row r="2395" spans="3:36">
      <c r="C2395" s="1"/>
      <c r="D2395" s="84"/>
      <c r="E2395" s="84"/>
      <c r="F2395" s="84"/>
    </row>
    <row r="2396" spans="3:36">
      <c r="C2396" s="186" t="s">
        <v>56</v>
      </c>
      <c r="D2396" s="90" t="s">
        <v>353</v>
      </c>
      <c r="E2396" s="90" t="s">
        <v>354</v>
      </c>
      <c r="F2396" s="90" t="s">
        <v>355</v>
      </c>
    </row>
    <row r="2397" spans="3:36" ht="28.8">
      <c r="C2397" s="189" t="s">
        <v>826</v>
      </c>
      <c r="D2397" s="200">
        <v>0.02</v>
      </c>
      <c r="E2397" s="200">
        <v>0.01</v>
      </c>
      <c r="F2397" s="200">
        <v>0.01</v>
      </c>
    </row>
    <row r="2398" spans="3:36">
      <c r="C2398" s="187" t="s">
        <v>827</v>
      </c>
      <c r="D2398" s="51">
        <v>0.1</v>
      </c>
      <c r="E2398" s="51">
        <v>0.05</v>
      </c>
      <c r="F2398" s="51">
        <v>0.05</v>
      </c>
    </row>
    <row r="2399" spans="3:36">
      <c r="C2399" s="187" t="s">
        <v>828</v>
      </c>
      <c r="D2399" s="51">
        <v>0.1</v>
      </c>
      <c r="E2399" s="51">
        <v>0.05</v>
      </c>
      <c r="F2399" s="51">
        <v>0.05</v>
      </c>
    </row>
    <row r="2400" spans="3:36">
      <c r="C2400" s="187" t="s">
        <v>829</v>
      </c>
      <c r="D2400" s="51">
        <v>0.2</v>
      </c>
      <c r="E2400" s="51">
        <v>0.1</v>
      </c>
      <c r="F2400" s="51">
        <v>0</v>
      </c>
    </row>
    <row r="2401" spans="3:6">
      <c r="C2401" s="187" t="s">
        <v>830</v>
      </c>
      <c r="D2401" s="51">
        <v>0.15</v>
      </c>
      <c r="E2401" s="51">
        <v>7.0000000000000007E-2</v>
      </c>
      <c r="F2401" s="51">
        <v>0</v>
      </c>
    </row>
    <row r="2402" spans="3:6" ht="28.8">
      <c r="C2402" s="187" t="s">
        <v>812</v>
      </c>
      <c r="D2402" s="51">
        <v>0.05</v>
      </c>
      <c r="E2402" s="51">
        <v>0.02</v>
      </c>
      <c r="F2402" s="51">
        <v>0.02</v>
      </c>
    </row>
    <row r="2403" spans="3:6" ht="28.8">
      <c r="C2403" s="187" t="s">
        <v>813</v>
      </c>
      <c r="D2403" s="51">
        <v>0.12</v>
      </c>
      <c r="E2403" s="51">
        <v>0.06</v>
      </c>
      <c r="F2403" s="51">
        <v>0.06</v>
      </c>
    </row>
    <row r="2404" spans="3:6" ht="28.8">
      <c r="C2404" s="187" t="s">
        <v>814</v>
      </c>
      <c r="D2404" s="51">
        <v>0.12</v>
      </c>
      <c r="E2404" s="51">
        <v>0.06</v>
      </c>
      <c r="F2404" s="51">
        <v>0.06</v>
      </c>
    </row>
    <row r="2405" spans="3:6">
      <c r="C2405" s="187" t="s">
        <v>823</v>
      </c>
      <c r="D2405" s="51">
        <v>0.1</v>
      </c>
      <c r="E2405" s="51">
        <v>0.05</v>
      </c>
      <c r="F2405" s="51">
        <v>0.05</v>
      </c>
    </row>
    <row r="2406" spans="3:6">
      <c r="C2406" s="187" t="s">
        <v>824</v>
      </c>
      <c r="D2406" s="51">
        <v>0.04</v>
      </c>
      <c r="E2406" s="51">
        <v>0.02</v>
      </c>
      <c r="F2406" s="51">
        <v>0</v>
      </c>
    </row>
    <row r="2407" spans="3:6">
      <c r="C2407" s="209"/>
      <c r="D2407" s="210">
        <f>SUM(D2397:D2406)</f>
        <v>1</v>
      </c>
      <c r="E2407" s="210">
        <f>SUM(E2397:E2406)</f>
        <v>0.49000000000000005</v>
      </c>
      <c r="F2407" s="210">
        <f>SUM(F2397:F2406)</f>
        <v>0.3</v>
      </c>
    </row>
    <row r="2408" spans="3:6">
      <c r="C2408" s="206"/>
      <c r="D2408" s="207"/>
      <c r="E2408" s="208">
        <f>D2407-E2407</f>
        <v>0.51</v>
      </c>
      <c r="F2408" s="208">
        <f>E2407-F2407</f>
        <v>0.19000000000000006</v>
      </c>
    </row>
    <row r="2409" spans="3:6">
      <c r="C2409" s="1" t="s">
        <v>419</v>
      </c>
      <c r="D2409" s="84" t="s">
        <v>600</v>
      </c>
      <c r="E2409" s="84"/>
      <c r="F2409" s="84"/>
    </row>
    <row r="2410" spans="3:6">
      <c r="C2410" s="1"/>
      <c r="D2410" s="84"/>
      <c r="E2410" s="84"/>
      <c r="F2410" s="84"/>
    </row>
    <row r="2411" spans="3:6">
      <c r="C2411" s="1"/>
      <c r="D2411" s="84"/>
      <c r="E2411" s="84"/>
      <c r="F2411" s="84"/>
    </row>
    <row r="2412" spans="3:6">
      <c r="C2412" s="1"/>
      <c r="D2412" s="84"/>
      <c r="E2412" s="84"/>
      <c r="F2412" s="84"/>
    </row>
    <row r="2413" spans="3:6">
      <c r="C2413" s="1"/>
      <c r="D2413" s="84"/>
      <c r="E2413" s="84"/>
      <c r="F2413" s="84"/>
    </row>
    <row r="2414" spans="3:6">
      <c r="C2414" s="1"/>
      <c r="D2414" s="84"/>
      <c r="E2414" s="84"/>
      <c r="F2414" s="84"/>
    </row>
    <row r="2415" spans="3:6">
      <c r="C2415" s="1"/>
      <c r="D2415" s="84"/>
      <c r="E2415" s="84"/>
      <c r="F2415" s="84"/>
    </row>
    <row r="2416" spans="3:6">
      <c r="C2416" s="1"/>
      <c r="D2416" s="84"/>
      <c r="E2416" s="84"/>
      <c r="F2416" s="84"/>
    </row>
    <row r="2417" spans="3:36">
      <c r="C2417" s="1"/>
      <c r="D2417" s="84"/>
      <c r="E2417" s="84"/>
      <c r="F2417" s="84"/>
    </row>
    <row r="2418" spans="3:36">
      <c r="C2418" s="1"/>
      <c r="D2418" s="84"/>
      <c r="E2418" s="84"/>
      <c r="F2418" s="84"/>
    </row>
    <row r="2419" spans="3:36" s="100" customFormat="1">
      <c r="C2419" s="192"/>
      <c r="D2419" s="108"/>
      <c r="E2419" s="108"/>
      <c r="F2419" s="108"/>
      <c r="AD2419" s="332"/>
      <c r="AJ2419" s="392"/>
    </row>
    <row r="2420" spans="3:36">
      <c r="C2420" s="1"/>
      <c r="D2420" s="84"/>
      <c r="E2420" s="84"/>
      <c r="F2420" s="84"/>
    </row>
    <row r="2421" spans="3:36">
      <c r="C2421" s="1"/>
      <c r="D2421" s="84"/>
      <c r="E2421" s="84"/>
      <c r="F2421" s="84"/>
    </row>
    <row r="2422" spans="3:36">
      <c r="C2422" s="1"/>
      <c r="D2422" s="84"/>
      <c r="E2422" s="84"/>
      <c r="F2422" s="84"/>
      <c r="I2422" s="872" t="s">
        <v>1612</v>
      </c>
      <c r="J2422" s="873"/>
      <c r="K2422" s="873"/>
      <c r="L2422" s="873"/>
      <c r="M2422" s="873"/>
      <c r="N2422" s="873"/>
      <c r="O2422" s="873"/>
      <c r="P2422" s="874"/>
    </row>
    <row r="2423" spans="3:36">
      <c r="C2423" s="1"/>
      <c r="D2423" s="84"/>
      <c r="E2423" s="84"/>
      <c r="F2423" s="84"/>
      <c r="I2423" s="854" t="s">
        <v>1613</v>
      </c>
      <c r="J2423" s="855"/>
      <c r="K2423" s="855"/>
      <c r="L2423" s="855"/>
      <c r="M2423" s="855"/>
      <c r="N2423" s="855"/>
      <c r="O2423" s="855"/>
      <c r="P2423" s="856"/>
    </row>
    <row r="2424" spans="3:36">
      <c r="C2424" s="206"/>
      <c r="D2424" s="207"/>
      <c r="E2424" s="207"/>
      <c r="F2424" s="207"/>
      <c r="I2424" s="875" t="s">
        <v>1614</v>
      </c>
      <c r="J2424" s="875"/>
      <c r="K2424" s="318"/>
      <c r="L2424" s="849" t="s">
        <v>1615</v>
      </c>
      <c r="M2424" s="849"/>
      <c r="N2424" s="319"/>
      <c r="O2424" s="850" t="s">
        <v>1616</v>
      </c>
      <c r="P2424" s="850"/>
    </row>
    <row r="2425" spans="3:36" ht="28.8">
      <c r="C2425" s="186" t="s">
        <v>57</v>
      </c>
      <c r="D2425" s="90" t="s">
        <v>353</v>
      </c>
      <c r="E2425" s="90" t="s">
        <v>354</v>
      </c>
      <c r="F2425" s="90" t="s">
        <v>355</v>
      </c>
      <c r="I2425" s="93" t="s">
        <v>1080</v>
      </c>
      <c r="J2425" s="94" t="s">
        <v>1081</v>
      </c>
      <c r="K2425" s="94"/>
      <c r="L2425" s="93" t="s">
        <v>1080</v>
      </c>
      <c r="M2425" s="93" t="s">
        <v>1081</v>
      </c>
      <c r="N2425" s="93"/>
      <c r="O2425" s="93" t="s">
        <v>1080</v>
      </c>
      <c r="P2425" s="94" t="s">
        <v>1081</v>
      </c>
    </row>
    <row r="2426" spans="3:36" ht="28.8">
      <c r="C2426" s="189" t="s">
        <v>831</v>
      </c>
      <c r="D2426" s="200">
        <v>0.02</v>
      </c>
      <c r="E2426" s="200">
        <v>0.02</v>
      </c>
      <c r="F2426" s="200">
        <v>0</v>
      </c>
      <c r="I2426" s="97">
        <f t="shared" ref="I2426:J2430" si="178">E2426</f>
        <v>0.02</v>
      </c>
      <c r="J2426" s="98">
        <f t="shared" si="178"/>
        <v>0</v>
      </c>
      <c r="K2426" s="98"/>
      <c r="L2426" s="98"/>
      <c r="M2426" s="98"/>
      <c r="N2426" s="98"/>
      <c r="O2426" s="125"/>
      <c r="P2426" s="125"/>
    </row>
    <row r="2427" spans="3:36" ht="28.8">
      <c r="C2427" s="187" t="s">
        <v>832</v>
      </c>
      <c r="D2427" s="51">
        <v>0.02</v>
      </c>
      <c r="E2427" s="51">
        <v>0.02</v>
      </c>
      <c r="F2427" s="51">
        <v>0</v>
      </c>
      <c r="I2427" s="97">
        <f t="shared" si="178"/>
        <v>0.02</v>
      </c>
      <c r="J2427" s="98">
        <f t="shared" si="178"/>
        <v>0</v>
      </c>
      <c r="K2427" s="98"/>
      <c r="L2427" s="98"/>
      <c r="M2427" s="98"/>
      <c r="N2427" s="98"/>
      <c r="O2427" s="125"/>
      <c r="P2427" s="125"/>
    </row>
    <row r="2428" spans="3:36" ht="28.8">
      <c r="C2428" s="187" t="s">
        <v>833</v>
      </c>
      <c r="D2428" s="51">
        <v>0.05</v>
      </c>
      <c r="E2428" s="51">
        <v>0.05</v>
      </c>
      <c r="F2428" s="51">
        <v>0.05</v>
      </c>
      <c r="I2428" s="111">
        <f t="shared" si="178"/>
        <v>0.05</v>
      </c>
      <c r="J2428" s="112">
        <f t="shared" si="178"/>
        <v>0.05</v>
      </c>
      <c r="K2428" s="112"/>
      <c r="L2428" s="112"/>
      <c r="M2428" s="112"/>
      <c r="N2428" s="112"/>
      <c r="O2428" s="131"/>
      <c r="P2428" s="131"/>
    </row>
    <row r="2429" spans="3:36" ht="28.8">
      <c r="C2429" s="187" t="s">
        <v>834</v>
      </c>
      <c r="D2429" s="51">
        <v>0.1</v>
      </c>
      <c r="E2429" s="51">
        <v>0.1</v>
      </c>
      <c r="F2429" s="51">
        <v>0</v>
      </c>
      <c r="I2429" s="97">
        <f t="shared" si="178"/>
        <v>0.1</v>
      </c>
      <c r="J2429" s="98">
        <f t="shared" si="178"/>
        <v>0</v>
      </c>
      <c r="K2429" s="98"/>
      <c r="L2429" s="98"/>
      <c r="M2429" s="98"/>
      <c r="N2429" s="98"/>
      <c r="O2429" s="125"/>
      <c r="P2429" s="125"/>
    </row>
    <row r="2430" spans="3:36">
      <c r="C2430" s="187" t="s">
        <v>835</v>
      </c>
      <c r="D2430" s="51">
        <v>0.1</v>
      </c>
      <c r="E2430" s="51">
        <v>0.1</v>
      </c>
      <c r="F2430" s="51">
        <v>0</v>
      </c>
      <c r="I2430" s="125">
        <f t="shared" si="178"/>
        <v>0.1</v>
      </c>
      <c r="J2430" s="125">
        <f t="shared" si="178"/>
        <v>0</v>
      </c>
      <c r="K2430" s="125"/>
      <c r="L2430" s="125"/>
      <c r="M2430" s="125"/>
      <c r="N2430" s="125"/>
      <c r="O2430" s="125"/>
      <c r="P2430" s="125"/>
    </row>
    <row r="2431" spans="3:36">
      <c r="C2431" s="187" t="s">
        <v>836</v>
      </c>
      <c r="D2431" s="51">
        <v>0.1</v>
      </c>
      <c r="E2431" s="51">
        <v>0.1</v>
      </c>
      <c r="F2431" s="51">
        <v>0.1</v>
      </c>
      <c r="I2431" s="125"/>
      <c r="J2431" s="125"/>
      <c r="K2431" s="125"/>
      <c r="L2431" s="125">
        <f>E2431</f>
        <v>0.1</v>
      </c>
      <c r="M2431" s="125">
        <f>F2431</f>
        <v>0.1</v>
      </c>
      <c r="N2431" s="125"/>
      <c r="O2431" s="125"/>
      <c r="P2431" s="125"/>
    </row>
    <row r="2432" spans="3:36">
      <c r="C2432" s="187" t="s">
        <v>837</v>
      </c>
      <c r="D2432" s="51">
        <v>0.1</v>
      </c>
      <c r="E2432" s="51">
        <v>0.1</v>
      </c>
      <c r="F2432" s="51">
        <v>0.1</v>
      </c>
      <c r="I2432" s="131"/>
      <c r="J2432" s="131"/>
      <c r="K2432" s="131"/>
      <c r="L2432" s="131"/>
      <c r="M2432" s="131"/>
      <c r="N2432" s="131"/>
      <c r="O2432" s="131">
        <f>E2432</f>
        <v>0.1</v>
      </c>
      <c r="P2432" s="131">
        <f>F2432</f>
        <v>0.1</v>
      </c>
    </row>
    <row r="2433" spans="3:16" ht="28.8">
      <c r="C2433" s="187" t="s">
        <v>838</v>
      </c>
      <c r="D2433" s="51">
        <v>0.05</v>
      </c>
      <c r="E2433" s="51">
        <v>0.05</v>
      </c>
      <c r="F2433" s="51">
        <v>0.05</v>
      </c>
      <c r="I2433" s="125"/>
      <c r="J2433" s="125"/>
      <c r="K2433" s="125"/>
      <c r="L2433" s="125">
        <f t="shared" ref="L2433:M2435" si="179">E2433</f>
        <v>0.05</v>
      </c>
      <c r="M2433" s="125">
        <f t="shared" si="179"/>
        <v>0.05</v>
      </c>
      <c r="N2433" s="125"/>
      <c r="O2433" s="125"/>
      <c r="P2433" s="125"/>
    </row>
    <row r="2434" spans="3:16" ht="28.8">
      <c r="C2434" s="187" t="s">
        <v>839</v>
      </c>
      <c r="D2434" s="51">
        <v>0.02</v>
      </c>
      <c r="E2434" s="51">
        <v>0.02</v>
      </c>
      <c r="F2434" s="51">
        <v>0</v>
      </c>
      <c r="I2434" s="87"/>
      <c r="J2434" s="87"/>
      <c r="K2434" s="87"/>
      <c r="L2434" s="125">
        <f t="shared" si="179"/>
        <v>0.02</v>
      </c>
      <c r="M2434" s="125">
        <f t="shared" si="179"/>
        <v>0</v>
      </c>
      <c r="N2434" s="125"/>
      <c r="O2434" s="125">
        <f>E2434</f>
        <v>0.02</v>
      </c>
      <c r="P2434" s="125">
        <f>F2434</f>
        <v>0</v>
      </c>
    </row>
    <row r="2435" spans="3:16" ht="28.8">
      <c r="C2435" s="187" t="s">
        <v>840</v>
      </c>
      <c r="D2435" s="51">
        <v>0.02</v>
      </c>
      <c r="E2435" s="51">
        <v>0.02</v>
      </c>
      <c r="F2435" s="51">
        <v>0</v>
      </c>
      <c r="I2435" s="87"/>
      <c r="J2435" s="87"/>
      <c r="K2435" s="87"/>
      <c r="L2435" s="125">
        <f t="shared" si="179"/>
        <v>0.02</v>
      </c>
      <c r="M2435" s="125">
        <f t="shared" si="179"/>
        <v>0</v>
      </c>
      <c r="N2435" s="125"/>
      <c r="O2435" s="125">
        <f>E2435</f>
        <v>0.02</v>
      </c>
      <c r="P2435" s="125">
        <f>F2435</f>
        <v>0</v>
      </c>
    </row>
    <row r="2436" spans="3:16">
      <c r="C2436" s="187" t="s">
        <v>841</v>
      </c>
      <c r="D2436" s="51">
        <v>0.05</v>
      </c>
      <c r="E2436" s="51">
        <v>0.05</v>
      </c>
      <c r="F2436" s="51">
        <v>0</v>
      </c>
      <c r="I2436" s="125">
        <f t="shared" ref="I2436:J2439" si="180">E2436</f>
        <v>0.05</v>
      </c>
      <c r="J2436" s="125">
        <f t="shared" si="180"/>
        <v>0</v>
      </c>
      <c r="K2436" s="125"/>
      <c r="L2436" s="87"/>
      <c r="M2436" s="87"/>
      <c r="N2436" s="87"/>
      <c r="O2436" s="87"/>
      <c r="P2436" s="87"/>
    </row>
    <row r="2437" spans="3:16" ht="28.8">
      <c r="C2437" s="187" t="s">
        <v>842</v>
      </c>
      <c r="D2437" s="51">
        <v>0.02</v>
      </c>
      <c r="E2437" s="51">
        <v>0.02</v>
      </c>
      <c r="F2437" s="51">
        <v>0.02</v>
      </c>
      <c r="I2437" s="125">
        <f t="shared" si="180"/>
        <v>0.02</v>
      </c>
      <c r="J2437" s="125">
        <f t="shared" si="180"/>
        <v>0.02</v>
      </c>
      <c r="K2437" s="125"/>
      <c r="L2437" s="87"/>
      <c r="M2437" s="87"/>
      <c r="N2437" s="87"/>
      <c r="O2437" s="87"/>
      <c r="P2437" s="87"/>
    </row>
    <row r="2438" spans="3:16" ht="28.8">
      <c r="C2438" s="187" t="s">
        <v>843</v>
      </c>
      <c r="D2438" s="51">
        <v>7.0000000000000007E-2</v>
      </c>
      <c r="E2438" s="51">
        <v>7.0000000000000007E-2</v>
      </c>
      <c r="F2438" s="51">
        <v>0</v>
      </c>
      <c r="I2438" s="125">
        <f t="shared" si="180"/>
        <v>7.0000000000000007E-2</v>
      </c>
      <c r="J2438" s="125">
        <f t="shared" si="180"/>
        <v>0</v>
      </c>
      <c r="K2438" s="125"/>
      <c r="L2438" s="87"/>
      <c r="M2438" s="87"/>
      <c r="N2438" s="87"/>
      <c r="O2438" s="87"/>
      <c r="P2438" s="87"/>
    </row>
    <row r="2439" spans="3:16">
      <c r="C2439" s="11" t="s">
        <v>844</v>
      </c>
      <c r="D2439" s="51">
        <v>0.05</v>
      </c>
      <c r="E2439" s="51">
        <v>0.05</v>
      </c>
      <c r="F2439" s="51">
        <v>0.05</v>
      </c>
      <c r="I2439" s="125">
        <f t="shared" si="180"/>
        <v>0.05</v>
      </c>
      <c r="J2439" s="125">
        <f t="shared" si="180"/>
        <v>0.05</v>
      </c>
      <c r="K2439" s="125"/>
      <c r="L2439" s="87"/>
      <c r="M2439" s="87"/>
      <c r="N2439" s="87"/>
      <c r="O2439" s="87"/>
      <c r="P2439" s="87"/>
    </row>
    <row r="2440" spans="3:16">
      <c r="C2440" s="11" t="s">
        <v>845</v>
      </c>
      <c r="D2440" s="51">
        <v>0.05</v>
      </c>
      <c r="E2440" s="51">
        <v>0.05</v>
      </c>
      <c r="F2440" s="51">
        <v>0.05</v>
      </c>
      <c r="I2440" s="87"/>
      <c r="J2440" s="87"/>
      <c r="K2440" s="87"/>
      <c r="L2440" s="125">
        <f>E2440</f>
        <v>0.05</v>
      </c>
      <c r="M2440" s="125">
        <f>F2440</f>
        <v>0.05</v>
      </c>
      <c r="N2440" s="125"/>
      <c r="O2440" s="125">
        <f>E2440</f>
        <v>0.05</v>
      </c>
      <c r="P2440" s="125">
        <f>F2440</f>
        <v>0.05</v>
      </c>
    </row>
    <row r="2441" spans="3:16">
      <c r="C2441" s="11" t="s">
        <v>846</v>
      </c>
      <c r="D2441" s="51">
        <v>0.01</v>
      </c>
      <c r="E2441" s="51">
        <v>0.01</v>
      </c>
      <c r="F2441" s="51">
        <v>0.01</v>
      </c>
      <c r="I2441" s="125">
        <f>E2441</f>
        <v>0.01</v>
      </c>
      <c r="J2441" s="125">
        <f>F2441</f>
        <v>0.01</v>
      </c>
      <c r="K2441" s="125"/>
      <c r="L2441" s="87"/>
      <c r="M2441" s="87"/>
      <c r="N2441" s="87"/>
      <c r="O2441" s="87"/>
      <c r="P2441" s="87"/>
    </row>
    <row r="2442" spans="3:16">
      <c r="C2442" s="187" t="s">
        <v>847</v>
      </c>
      <c r="D2442" s="51">
        <v>0.02</v>
      </c>
      <c r="E2442" s="51">
        <v>0.02</v>
      </c>
      <c r="F2442" s="51">
        <v>0.02</v>
      </c>
      <c r="I2442" s="87"/>
      <c r="J2442" s="87"/>
      <c r="K2442" s="87"/>
      <c r="L2442" s="125">
        <f>E2442</f>
        <v>0.02</v>
      </c>
      <c r="M2442" s="125">
        <f>F2442</f>
        <v>0.02</v>
      </c>
      <c r="N2442" s="125"/>
      <c r="O2442" s="125">
        <f>E2442</f>
        <v>0.02</v>
      </c>
      <c r="P2442" s="125">
        <f>F2442</f>
        <v>0.02</v>
      </c>
    </row>
    <row r="2443" spans="3:16" ht="28.8">
      <c r="C2443" s="187" t="s">
        <v>848</v>
      </c>
      <c r="D2443" s="51">
        <v>0.05</v>
      </c>
      <c r="E2443" s="51">
        <v>0.05</v>
      </c>
      <c r="F2443" s="51">
        <v>0.05</v>
      </c>
      <c r="I2443" s="125">
        <f>E2443</f>
        <v>0.05</v>
      </c>
      <c r="J2443" s="125">
        <f>F2443</f>
        <v>0.05</v>
      </c>
      <c r="K2443" s="125"/>
      <c r="L2443" s="87"/>
      <c r="M2443" s="87"/>
      <c r="N2443" s="87"/>
      <c r="O2443" s="87"/>
      <c r="P2443" s="87"/>
    </row>
    <row r="2444" spans="3:16">
      <c r="C2444" s="11" t="s">
        <v>849</v>
      </c>
      <c r="D2444" s="51">
        <v>0.06</v>
      </c>
      <c r="E2444" s="51">
        <v>0.06</v>
      </c>
      <c r="F2444" s="51">
        <v>0.06</v>
      </c>
      <c r="I2444" s="87"/>
      <c r="J2444" s="87"/>
      <c r="K2444" s="87"/>
      <c r="L2444" s="125">
        <f>E2444</f>
        <v>0.06</v>
      </c>
      <c r="M2444" s="125">
        <f>F2444</f>
        <v>0.06</v>
      </c>
      <c r="N2444" s="125"/>
      <c r="O2444" s="87"/>
      <c r="P2444" s="87"/>
    </row>
    <row r="2445" spans="3:16">
      <c r="C2445" s="85" t="s">
        <v>846</v>
      </c>
      <c r="D2445" s="178">
        <v>0.01</v>
      </c>
      <c r="E2445" s="178">
        <v>0.01</v>
      </c>
      <c r="F2445" s="178">
        <v>0.01</v>
      </c>
      <c r="I2445" s="125">
        <f>E2445</f>
        <v>0.01</v>
      </c>
      <c r="J2445" s="125">
        <f>F2445</f>
        <v>0.01</v>
      </c>
      <c r="K2445" s="125"/>
      <c r="L2445" s="87"/>
      <c r="M2445" s="87"/>
      <c r="N2445" s="87"/>
      <c r="O2445" s="87"/>
      <c r="P2445" s="87"/>
    </row>
    <row r="2446" spans="3:16">
      <c r="C2446" s="191" t="s">
        <v>847</v>
      </c>
      <c r="D2446" s="195">
        <v>0.02</v>
      </c>
      <c r="E2446" s="195">
        <v>0.02</v>
      </c>
      <c r="F2446" s="195">
        <v>0.02</v>
      </c>
      <c r="I2446" s="87"/>
      <c r="J2446" s="87"/>
      <c r="K2446" s="87"/>
      <c r="L2446" s="125">
        <f>E2446</f>
        <v>0.02</v>
      </c>
      <c r="M2446" s="125">
        <f>F2446</f>
        <v>0.02</v>
      </c>
      <c r="N2446" s="125"/>
      <c r="O2446" s="87"/>
      <c r="P2446" s="87"/>
    </row>
    <row r="2447" spans="3:16">
      <c r="C2447" s="87" t="s">
        <v>1617</v>
      </c>
      <c r="D2447" s="195">
        <v>0.01</v>
      </c>
      <c r="E2447" s="195">
        <v>0.01</v>
      </c>
      <c r="F2447" s="195">
        <v>0.01</v>
      </c>
      <c r="I2447" s="125">
        <f>E2447</f>
        <v>0.01</v>
      </c>
      <c r="J2447" s="125">
        <f>F2447</f>
        <v>0.01</v>
      </c>
      <c r="K2447" s="125"/>
      <c r="L2447" s="87"/>
      <c r="M2447" s="87"/>
      <c r="N2447" s="87"/>
      <c r="O2447" s="87"/>
      <c r="P2447" s="87"/>
    </row>
    <row r="2448" spans="3:16">
      <c r="D2448" s="185">
        <f>SUM(D2426:D2447)</f>
        <v>1.0000000000000004</v>
      </c>
      <c r="E2448" s="185">
        <f>SUM(E2426:E2447)</f>
        <v>1.0000000000000004</v>
      </c>
      <c r="F2448" s="185">
        <f>SUM(F2426:F2447)</f>
        <v>0.60000000000000009</v>
      </c>
      <c r="I2448" s="33">
        <f>SUM(I2426:I2447)</f>
        <v>0.56000000000000005</v>
      </c>
      <c r="J2448" s="33">
        <f t="shared" ref="J2448:P2448" si="181">SUM(J2426:J2447)</f>
        <v>0.2</v>
      </c>
      <c r="K2448" s="33"/>
      <c r="L2448" s="33">
        <f t="shared" si="181"/>
        <v>0.34</v>
      </c>
      <c r="M2448" s="33">
        <f t="shared" si="181"/>
        <v>0.30000000000000004</v>
      </c>
      <c r="N2448" s="33"/>
      <c r="O2448" s="33">
        <f t="shared" si="181"/>
        <v>0.21</v>
      </c>
      <c r="P2448" s="33">
        <f t="shared" si="181"/>
        <v>0.17</v>
      </c>
    </row>
    <row r="2449" spans="3:36">
      <c r="D2449" s="84"/>
      <c r="E2449" s="182">
        <f>D2448-E2448</f>
        <v>0</v>
      </c>
      <c r="F2449" s="182">
        <f>E2448-F2448</f>
        <v>0.40000000000000036</v>
      </c>
    </row>
    <row r="2450" spans="3:36">
      <c r="C2450" s="1" t="s">
        <v>419</v>
      </c>
      <c r="D2450" s="84" t="s">
        <v>825</v>
      </c>
      <c r="E2450" s="84"/>
      <c r="F2450" s="84"/>
    </row>
    <row r="2451" spans="3:36">
      <c r="C2451" s="1"/>
      <c r="D2451" s="84"/>
      <c r="E2451" s="84"/>
      <c r="F2451" s="84"/>
    </row>
    <row r="2452" spans="3:36">
      <c r="C2452" s="1"/>
      <c r="D2452" s="84"/>
      <c r="E2452" s="84"/>
      <c r="F2452" s="84"/>
    </row>
    <row r="2453" spans="3:36">
      <c r="C2453" s="1"/>
      <c r="D2453" s="84"/>
      <c r="E2453" s="84"/>
      <c r="F2453" s="84"/>
    </row>
    <row r="2454" spans="3:36">
      <c r="C2454" s="1"/>
      <c r="D2454" s="84"/>
      <c r="E2454" s="84"/>
      <c r="F2454" s="84"/>
    </row>
    <row r="2455" spans="3:36">
      <c r="C2455" s="1"/>
      <c r="D2455" s="84"/>
      <c r="E2455" s="84"/>
      <c r="F2455" s="84"/>
    </row>
    <row r="2456" spans="3:36">
      <c r="C2456" s="1"/>
      <c r="D2456" s="84"/>
      <c r="E2456" s="84"/>
      <c r="F2456" s="84"/>
    </row>
    <row r="2457" spans="3:36">
      <c r="C2457" s="1"/>
      <c r="D2457" s="84"/>
      <c r="E2457" s="84"/>
      <c r="F2457" s="84"/>
    </row>
    <row r="2458" spans="3:36">
      <c r="C2458" s="1"/>
      <c r="D2458" s="84"/>
      <c r="E2458" s="84"/>
      <c r="F2458" s="84"/>
    </row>
    <row r="2459" spans="3:36">
      <c r="C2459" s="1"/>
      <c r="D2459" s="84"/>
      <c r="E2459" s="84"/>
      <c r="F2459" s="84"/>
    </row>
    <row r="2460" spans="3:36" s="100" customFormat="1">
      <c r="C2460" s="192"/>
      <c r="D2460" s="108"/>
      <c r="E2460" s="108"/>
      <c r="F2460" s="108"/>
      <c r="AD2460" s="332"/>
      <c r="AJ2460" s="392"/>
    </row>
    <row r="2461" spans="3:36">
      <c r="C2461" s="1"/>
      <c r="D2461" s="84"/>
      <c r="E2461" s="84"/>
      <c r="F2461" s="84"/>
    </row>
    <row r="2462" spans="3:36">
      <c r="C2462" s="1"/>
      <c r="D2462" s="84"/>
      <c r="E2462" s="84"/>
      <c r="F2462" s="84"/>
      <c r="I2462" s="872" t="s">
        <v>1612</v>
      </c>
      <c r="J2462" s="873"/>
      <c r="K2462" s="873"/>
      <c r="L2462" s="873"/>
      <c r="M2462" s="873"/>
      <c r="N2462" s="873"/>
      <c r="O2462" s="873"/>
      <c r="P2462" s="874"/>
    </row>
    <row r="2463" spans="3:36">
      <c r="C2463" s="1"/>
      <c r="D2463" s="84"/>
      <c r="E2463" s="84"/>
      <c r="F2463" s="84"/>
      <c r="I2463" s="854" t="s">
        <v>1613</v>
      </c>
      <c r="J2463" s="855"/>
      <c r="K2463" s="855"/>
      <c r="L2463" s="855"/>
      <c r="M2463" s="855"/>
      <c r="N2463" s="855"/>
      <c r="O2463" s="855"/>
      <c r="P2463" s="856"/>
    </row>
    <row r="2464" spans="3:36">
      <c r="D2464" s="84"/>
      <c r="E2464" s="84"/>
      <c r="F2464" s="84"/>
      <c r="I2464" s="875" t="s">
        <v>1614</v>
      </c>
      <c r="J2464" s="875"/>
      <c r="K2464" s="318"/>
      <c r="L2464" s="849" t="s">
        <v>1615</v>
      </c>
      <c r="M2464" s="849"/>
      <c r="N2464" s="319"/>
      <c r="O2464" s="850" t="s">
        <v>1616</v>
      </c>
      <c r="P2464" s="850"/>
    </row>
    <row r="2465" spans="3:16" ht="28.8">
      <c r="C2465" s="186" t="s">
        <v>58</v>
      </c>
      <c r="D2465" s="90" t="s">
        <v>353</v>
      </c>
      <c r="E2465" s="90" t="s">
        <v>354</v>
      </c>
      <c r="F2465" s="90" t="s">
        <v>355</v>
      </c>
      <c r="I2465" s="93" t="s">
        <v>1080</v>
      </c>
      <c r="J2465" s="94" t="s">
        <v>1081</v>
      </c>
      <c r="K2465" s="94"/>
      <c r="L2465" s="93" t="s">
        <v>1080</v>
      </c>
      <c r="M2465" s="93" t="s">
        <v>1081</v>
      </c>
      <c r="N2465" s="93"/>
      <c r="O2465" s="93" t="s">
        <v>1080</v>
      </c>
      <c r="P2465" s="94" t="s">
        <v>1081</v>
      </c>
    </row>
    <row r="2466" spans="3:16" ht="28.8">
      <c r="C2466" s="189" t="s">
        <v>850</v>
      </c>
      <c r="D2466" s="200">
        <v>0.02</v>
      </c>
      <c r="E2466" s="200">
        <v>0.02</v>
      </c>
      <c r="F2466" s="200">
        <v>0</v>
      </c>
      <c r="I2466" s="97">
        <f t="shared" ref="I2466:J2468" si="182">E2466</f>
        <v>0.02</v>
      </c>
      <c r="J2466" s="98">
        <f t="shared" si="182"/>
        <v>0</v>
      </c>
      <c r="K2466" s="98"/>
      <c r="L2466" s="98"/>
      <c r="M2466" s="98"/>
      <c r="N2466" s="98"/>
      <c r="O2466" s="125"/>
      <c r="P2466" s="125"/>
    </row>
    <row r="2467" spans="3:16" ht="28.8">
      <c r="C2467" s="187" t="s">
        <v>851</v>
      </c>
      <c r="D2467" s="51">
        <v>0.1</v>
      </c>
      <c r="E2467" s="51">
        <v>0.1</v>
      </c>
      <c r="F2467" s="51">
        <v>0.05</v>
      </c>
      <c r="I2467" s="97">
        <f t="shared" si="182"/>
        <v>0.1</v>
      </c>
      <c r="J2467" s="98">
        <f t="shared" si="182"/>
        <v>0.05</v>
      </c>
      <c r="K2467" s="98"/>
      <c r="L2467" s="98"/>
      <c r="M2467" s="98"/>
      <c r="N2467" s="98"/>
      <c r="O2467" s="125"/>
      <c r="P2467" s="125"/>
    </row>
    <row r="2468" spans="3:16">
      <c r="C2468" s="187" t="s">
        <v>852</v>
      </c>
      <c r="D2468" s="51">
        <v>0.2</v>
      </c>
      <c r="E2468" s="51">
        <v>0.2</v>
      </c>
      <c r="F2468" s="51">
        <v>0</v>
      </c>
      <c r="I2468" s="111">
        <f t="shared" si="182"/>
        <v>0.2</v>
      </c>
      <c r="J2468" s="112">
        <f t="shared" si="182"/>
        <v>0</v>
      </c>
      <c r="K2468" s="112"/>
      <c r="L2468" s="112"/>
      <c r="M2468" s="112"/>
      <c r="N2468" s="112"/>
      <c r="O2468" s="131"/>
      <c r="P2468" s="131"/>
    </row>
    <row r="2469" spans="3:16">
      <c r="C2469" s="187" t="s">
        <v>853</v>
      </c>
      <c r="D2469" s="51">
        <v>0.14000000000000001</v>
      </c>
      <c r="E2469" s="51">
        <v>0.14000000000000001</v>
      </c>
      <c r="F2469" s="51">
        <v>0.14000000000000001</v>
      </c>
      <c r="I2469" s="97"/>
      <c r="J2469" s="98"/>
      <c r="K2469" s="98"/>
      <c r="L2469" s="98">
        <f>E2469</f>
        <v>0.14000000000000001</v>
      </c>
      <c r="M2469" s="98">
        <f>F2469</f>
        <v>0.14000000000000001</v>
      </c>
      <c r="N2469" s="98"/>
      <c r="O2469" s="125"/>
      <c r="P2469" s="125"/>
    </row>
    <row r="2470" spans="3:16">
      <c r="C2470" s="187" t="s">
        <v>854</v>
      </c>
      <c r="D2470" s="51">
        <v>0.14000000000000001</v>
      </c>
      <c r="E2470" s="51">
        <v>0.14000000000000001</v>
      </c>
      <c r="F2470" s="51">
        <v>0.14000000000000001</v>
      </c>
      <c r="I2470" s="125"/>
      <c r="J2470" s="125"/>
      <c r="K2470" s="125"/>
      <c r="L2470" s="125"/>
      <c r="M2470" s="125"/>
      <c r="N2470" s="125"/>
      <c r="O2470" s="125">
        <f>E2470</f>
        <v>0.14000000000000001</v>
      </c>
      <c r="P2470" s="125">
        <f>F2470</f>
        <v>0.14000000000000001</v>
      </c>
    </row>
    <row r="2471" spans="3:16">
      <c r="C2471" s="187" t="s">
        <v>855</v>
      </c>
      <c r="D2471" s="51">
        <v>0.2</v>
      </c>
      <c r="E2471" s="51">
        <v>0.2</v>
      </c>
      <c r="F2471" s="51">
        <v>0.2</v>
      </c>
      <c r="I2471" s="125"/>
      <c r="J2471" s="125"/>
      <c r="K2471" s="125"/>
      <c r="L2471" s="125">
        <f>E2471</f>
        <v>0.2</v>
      </c>
      <c r="M2471" s="125">
        <f>F2471</f>
        <v>0.2</v>
      </c>
      <c r="N2471" s="125"/>
      <c r="O2471" s="125"/>
      <c r="P2471" s="125"/>
    </row>
    <row r="2472" spans="3:16">
      <c r="C2472" s="190" t="s">
        <v>856</v>
      </c>
      <c r="D2472" s="178">
        <v>0.1</v>
      </c>
      <c r="E2472" s="178">
        <v>0.1</v>
      </c>
      <c r="F2472" s="178">
        <v>0.1</v>
      </c>
      <c r="I2472" s="125">
        <f>E2472</f>
        <v>0.1</v>
      </c>
      <c r="J2472" s="125">
        <f>F2472</f>
        <v>0.1</v>
      </c>
      <c r="K2472" s="125"/>
      <c r="L2472" s="125"/>
      <c r="M2472" s="125"/>
      <c r="N2472" s="125"/>
      <c r="O2472" s="125"/>
      <c r="P2472" s="125"/>
    </row>
    <row r="2473" spans="3:16" ht="28.8">
      <c r="C2473" s="191" t="s">
        <v>857</v>
      </c>
      <c r="D2473" s="195">
        <v>0.1</v>
      </c>
      <c r="E2473" s="195">
        <v>0.1</v>
      </c>
      <c r="F2473" s="195">
        <v>0.1</v>
      </c>
      <c r="I2473" s="125"/>
      <c r="J2473" s="125"/>
      <c r="K2473" s="125"/>
      <c r="L2473" s="124">
        <f>E2473</f>
        <v>0.1</v>
      </c>
      <c r="M2473" s="124">
        <f>F2473</f>
        <v>0.1</v>
      </c>
      <c r="N2473" s="124"/>
      <c r="O2473" s="124">
        <f>E2473</f>
        <v>0.1</v>
      </c>
      <c r="P2473" s="124">
        <f>F2473</f>
        <v>0.1</v>
      </c>
    </row>
    <row r="2474" spans="3:16">
      <c r="D2474" s="185">
        <f>SUM(D2466:D2473)</f>
        <v>1</v>
      </c>
      <c r="E2474" s="185">
        <f>SUM(E2466:E2473)</f>
        <v>1</v>
      </c>
      <c r="F2474" s="185">
        <f>SUM(F2466:F2473)</f>
        <v>0.73</v>
      </c>
      <c r="I2474" s="33">
        <f>SUM(I2466:I2473)</f>
        <v>0.42000000000000004</v>
      </c>
      <c r="J2474" s="33">
        <f t="shared" ref="J2474:P2474" si="183">SUM(J2466:J2473)</f>
        <v>0.15000000000000002</v>
      </c>
      <c r="K2474" s="33"/>
      <c r="L2474" s="33">
        <f t="shared" si="183"/>
        <v>0.44000000000000006</v>
      </c>
      <c r="M2474" s="33">
        <f t="shared" si="183"/>
        <v>0.44000000000000006</v>
      </c>
      <c r="N2474" s="33"/>
      <c r="O2474" s="33">
        <f t="shared" si="183"/>
        <v>0.24000000000000002</v>
      </c>
      <c r="P2474" s="33">
        <f t="shared" si="183"/>
        <v>0.24000000000000002</v>
      </c>
    </row>
    <row r="2475" spans="3:16">
      <c r="D2475" s="177"/>
      <c r="E2475" s="185">
        <f>D2474-E2474</f>
        <v>0</v>
      </c>
      <c r="F2475" s="185">
        <f>E2474-F2474</f>
        <v>0.27</v>
      </c>
    </row>
    <row r="2476" spans="3:16">
      <c r="D2476" s="84"/>
      <c r="E2476" s="182"/>
      <c r="F2476" s="182"/>
    </row>
    <row r="2477" spans="3:16">
      <c r="C2477" s="1"/>
      <c r="D2477" s="84"/>
      <c r="E2477" s="84"/>
      <c r="F2477" s="84"/>
    </row>
    <row r="2478" spans="3:16">
      <c r="C2478" s="127" t="s">
        <v>1618</v>
      </c>
      <c r="D2478" s="120">
        <v>4</v>
      </c>
      <c r="E2478" s="120"/>
      <c r="F2478" s="120"/>
    </row>
    <row r="2479" spans="3:16">
      <c r="C2479" s="87" t="s">
        <v>1619</v>
      </c>
      <c r="D2479" s="88">
        <v>4</v>
      </c>
      <c r="E2479" s="88"/>
      <c r="F2479" s="88"/>
    </row>
    <row r="2480" spans="3:16">
      <c r="C2480" s="87" t="s">
        <v>1620</v>
      </c>
      <c r="D2480" s="88"/>
      <c r="E2480" s="88"/>
      <c r="F2480" s="88"/>
    </row>
    <row r="2481" spans="3:36">
      <c r="C2481" s="87" t="s">
        <v>362</v>
      </c>
      <c r="D2481" s="88"/>
      <c r="E2481" s="88"/>
      <c r="F2481" s="88"/>
    </row>
    <row r="2482" spans="3:36">
      <c r="C2482" s="87" t="s">
        <v>363</v>
      </c>
      <c r="D2482" s="88"/>
      <c r="E2482" s="88"/>
      <c r="F2482" s="88"/>
    </row>
    <row r="2483" spans="3:36">
      <c r="C2483" s="1"/>
      <c r="D2483" s="84"/>
      <c r="E2483" s="84"/>
      <c r="F2483" s="84"/>
    </row>
    <row r="2484" spans="3:36">
      <c r="C2484" s="1"/>
      <c r="D2484" s="84"/>
      <c r="E2484" s="84"/>
      <c r="F2484" s="84"/>
    </row>
    <row r="2485" spans="3:36" s="100" customFormat="1">
      <c r="C2485" s="192"/>
      <c r="D2485" s="108"/>
      <c r="E2485" s="108"/>
      <c r="F2485" s="108"/>
      <c r="AD2485" s="332"/>
      <c r="AJ2485" s="392"/>
    </row>
    <row r="2486" spans="3:36">
      <c r="C2486" s="1"/>
      <c r="D2486" s="84"/>
      <c r="E2486" s="84"/>
      <c r="F2486" s="84"/>
    </row>
    <row r="2487" spans="3:36">
      <c r="C2487" s="1"/>
      <c r="D2487" s="84"/>
      <c r="E2487" s="84"/>
      <c r="F2487" s="84"/>
      <c r="I2487" s="872" t="s">
        <v>1612</v>
      </c>
      <c r="J2487" s="873"/>
      <c r="K2487" s="873"/>
      <c r="L2487" s="873"/>
      <c r="M2487" s="873"/>
      <c r="N2487" s="873"/>
      <c r="O2487" s="873"/>
      <c r="P2487" s="874"/>
    </row>
    <row r="2488" spans="3:36">
      <c r="C2488" s="1"/>
      <c r="D2488" s="84"/>
      <c r="E2488" s="84"/>
      <c r="F2488" s="84"/>
      <c r="I2488" s="854" t="s">
        <v>1613</v>
      </c>
      <c r="J2488" s="855"/>
      <c r="K2488" s="855"/>
      <c r="L2488" s="855"/>
      <c r="M2488" s="855"/>
      <c r="N2488" s="855"/>
      <c r="O2488" s="855"/>
      <c r="P2488" s="856"/>
    </row>
    <row r="2489" spans="3:36">
      <c r="D2489" s="84"/>
      <c r="E2489" s="84"/>
      <c r="F2489" s="84"/>
      <c r="I2489" s="875" t="s">
        <v>1614</v>
      </c>
      <c r="J2489" s="875"/>
      <c r="K2489" s="318"/>
      <c r="L2489" s="849" t="s">
        <v>1615</v>
      </c>
      <c r="M2489" s="849"/>
      <c r="N2489" s="319"/>
      <c r="O2489" s="850" t="s">
        <v>1616</v>
      </c>
      <c r="P2489" s="850"/>
    </row>
    <row r="2490" spans="3:36" ht="28.8">
      <c r="C2490" s="186" t="s">
        <v>59</v>
      </c>
      <c r="D2490" s="90" t="s">
        <v>353</v>
      </c>
      <c r="E2490" s="90" t="s">
        <v>354</v>
      </c>
      <c r="F2490" s="90" t="s">
        <v>355</v>
      </c>
      <c r="I2490" s="93" t="s">
        <v>1080</v>
      </c>
      <c r="J2490" s="94" t="s">
        <v>1081</v>
      </c>
      <c r="K2490" s="94"/>
      <c r="L2490" s="93" t="s">
        <v>1080</v>
      </c>
      <c r="M2490" s="93" t="s">
        <v>1081</v>
      </c>
      <c r="N2490" s="93"/>
      <c r="O2490" s="93" t="s">
        <v>1080</v>
      </c>
      <c r="P2490" s="94" t="s">
        <v>1081</v>
      </c>
    </row>
    <row r="2491" spans="3:36" ht="28.8">
      <c r="C2491" s="191" t="s">
        <v>858</v>
      </c>
      <c r="D2491" s="195">
        <v>0.02</v>
      </c>
      <c r="E2491" s="195">
        <v>0.02</v>
      </c>
      <c r="F2491" s="195">
        <v>0.02</v>
      </c>
      <c r="I2491" s="97"/>
      <c r="J2491" s="98"/>
      <c r="K2491" s="98"/>
      <c r="L2491" s="98">
        <f>E2491</f>
        <v>0.02</v>
      </c>
      <c r="M2491" s="98">
        <f>F2491</f>
        <v>0.02</v>
      </c>
      <c r="N2491" s="98"/>
      <c r="O2491" s="125"/>
      <c r="P2491" s="125"/>
    </row>
    <row r="2492" spans="3:36">
      <c r="C2492" s="87" t="s">
        <v>859</v>
      </c>
      <c r="D2492" s="195">
        <v>0.7</v>
      </c>
      <c r="E2492" s="195">
        <v>0.7</v>
      </c>
      <c r="F2492" s="195">
        <v>0.7</v>
      </c>
      <c r="I2492" s="97"/>
      <c r="J2492" s="98"/>
      <c r="K2492" s="98"/>
      <c r="L2492" s="98">
        <f>E2492</f>
        <v>0.7</v>
      </c>
      <c r="M2492" s="98">
        <f>F2492</f>
        <v>0.7</v>
      </c>
      <c r="N2492" s="98"/>
      <c r="O2492" s="125"/>
      <c r="P2492" s="125"/>
    </row>
    <row r="2493" spans="3:36" ht="28.8">
      <c r="C2493" s="191" t="s">
        <v>860</v>
      </c>
      <c r="D2493" s="195">
        <v>0.14000000000000001</v>
      </c>
      <c r="E2493" s="195">
        <v>0.14000000000000001</v>
      </c>
      <c r="F2493" s="195">
        <v>0.14000000000000001</v>
      </c>
      <c r="I2493" s="111">
        <f>E2493</f>
        <v>0.14000000000000001</v>
      </c>
      <c r="J2493" s="112">
        <f>E2493</f>
        <v>0.14000000000000001</v>
      </c>
      <c r="K2493" s="112"/>
      <c r="L2493" s="112"/>
      <c r="M2493" s="112"/>
      <c r="N2493" s="112"/>
      <c r="O2493" s="131"/>
      <c r="P2493" s="131"/>
    </row>
    <row r="2494" spans="3:36" ht="28.8">
      <c r="C2494" s="191" t="s">
        <v>861</v>
      </c>
      <c r="D2494" s="195">
        <v>0.14000000000000001</v>
      </c>
      <c r="E2494" s="195">
        <v>0.14000000000000001</v>
      </c>
      <c r="F2494" s="195">
        <v>0.14000000000000001</v>
      </c>
      <c r="I2494" s="97"/>
      <c r="J2494" s="98"/>
      <c r="K2494" s="98"/>
      <c r="L2494" s="98">
        <f>E2494</f>
        <v>0.14000000000000001</v>
      </c>
      <c r="M2494" s="98">
        <f>F2494</f>
        <v>0.14000000000000001</v>
      </c>
      <c r="N2494" s="98"/>
      <c r="O2494" s="125">
        <f>E2494</f>
        <v>0.14000000000000001</v>
      </c>
      <c r="P2494" s="125">
        <f>F2494</f>
        <v>0.14000000000000001</v>
      </c>
    </row>
    <row r="2495" spans="3:36">
      <c r="C2495" s="194"/>
      <c r="D2495" s="185">
        <f>SUM(D2491:D2494)</f>
        <v>1</v>
      </c>
      <c r="E2495" s="185">
        <f>SUM(E2491:E2494)</f>
        <v>1</v>
      </c>
      <c r="F2495" s="185">
        <f>SUM(F2491:F2494)</f>
        <v>1</v>
      </c>
      <c r="L2495" s="6"/>
      <c r="M2495" s="6"/>
      <c r="N2495" s="6"/>
    </row>
    <row r="2496" spans="3:36">
      <c r="D2496" s="84"/>
      <c r="E2496" s="185">
        <f>D2495-E2495</f>
        <v>0</v>
      </c>
      <c r="F2496" s="185">
        <f>E2495-F2495</f>
        <v>0</v>
      </c>
      <c r="L2496" s="6"/>
      <c r="M2496" s="6"/>
      <c r="N2496" s="6"/>
      <c r="O2496" s="6"/>
      <c r="P2496" s="6"/>
    </row>
    <row r="2497" spans="3:36">
      <c r="C2497" s="1"/>
      <c r="D2497" s="84"/>
      <c r="E2497" s="84"/>
      <c r="F2497" s="84"/>
      <c r="I2497" s="6"/>
      <c r="J2497" s="6"/>
      <c r="K2497" s="6"/>
      <c r="L2497" s="6"/>
      <c r="M2497" s="6"/>
      <c r="N2497" s="6"/>
    </row>
    <row r="2498" spans="3:36">
      <c r="C2498" s="127" t="s">
        <v>1618</v>
      </c>
      <c r="D2498" s="120">
        <v>3</v>
      </c>
      <c r="E2498" s="120"/>
      <c r="F2498" s="120"/>
    </row>
    <row r="2499" spans="3:36">
      <c r="C2499" s="87" t="s">
        <v>1619</v>
      </c>
      <c r="D2499" s="88">
        <v>4</v>
      </c>
      <c r="E2499" s="88"/>
      <c r="F2499" s="88"/>
    </row>
    <row r="2500" spans="3:36">
      <c r="C2500" s="87" t="s">
        <v>1620</v>
      </c>
      <c r="D2500" s="88"/>
      <c r="E2500" s="88"/>
      <c r="F2500" s="88"/>
    </row>
    <row r="2501" spans="3:36">
      <c r="C2501" s="87" t="s">
        <v>362</v>
      </c>
      <c r="D2501" s="88"/>
      <c r="E2501" s="88"/>
      <c r="F2501" s="88"/>
    </row>
    <row r="2502" spans="3:36">
      <c r="C2502" s="87" t="s">
        <v>363</v>
      </c>
      <c r="D2502" s="88"/>
      <c r="E2502" s="88"/>
      <c r="F2502" s="88"/>
    </row>
    <row r="2503" spans="3:36">
      <c r="C2503" s="1"/>
      <c r="D2503" s="84"/>
      <c r="E2503" s="84"/>
      <c r="F2503" s="84"/>
    </row>
    <row r="2504" spans="3:36">
      <c r="C2504" s="1"/>
      <c r="D2504" s="84"/>
      <c r="E2504" s="84"/>
      <c r="F2504" s="84"/>
    </row>
    <row r="2505" spans="3:36" s="100" customFormat="1">
      <c r="C2505" s="192"/>
      <c r="D2505" s="108"/>
      <c r="E2505" s="108"/>
      <c r="F2505" s="108"/>
      <c r="AD2505" s="332"/>
      <c r="AJ2505" s="392"/>
    </row>
    <row r="2506" spans="3:36">
      <c r="C2506" s="1"/>
      <c r="D2506" s="84"/>
      <c r="E2506" s="84"/>
      <c r="F2506" s="84"/>
    </row>
    <row r="2507" spans="3:36">
      <c r="C2507" s="1"/>
      <c r="D2507" s="84"/>
      <c r="E2507" s="84"/>
      <c r="F2507" s="84"/>
      <c r="I2507" s="872" t="s">
        <v>1612</v>
      </c>
      <c r="J2507" s="873"/>
      <c r="K2507" s="873"/>
      <c r="L2507" s="873"/>
      <c r="M2507" s="873"/>
      <c r="N2507" s="873"/>
      <c r="O2507" s="873"/>
      <c r="P2507" s="874"/>
    </row>
    <row r="2508" spans="3:36">
      <c r="C2508" s="1"/>
      <c r="D2508" s="84"/>
      <c r="E2508" s="84"/>
      <c r="F2508" s="84"/>
      <c r="I2508" s="854" t="s">
        <v>1613</v>
      </c>
      <c r="J2508" s="855"/>
      <c r="K2508" s="855"/>
      <c r="L2508" s="855"/>
      <c r="M2508" s="855"/>
      <c r="N2508" s="855"/>
      <c r="O2508" s="855"/>
      <c r="P2508" s="856"/>
    </row>
    <row r="2509" spans="3:36">
      <c r="D2509" s="84"/>
      <c r="E2509" s="84"/>
      <c r="F2509" s="84"/>
      <c r="I2509" s="875" t="s">
        <v>1614</v>
      </c>
      <c r="J2509" s="875"/>
      <c r="K2509" s="318"/>
      <c r="L2509" s="849" t="s">
        <v>1615</v>
      </c>
      <c r="M2509" s="849"/>
      <c r="N2509" s="319"/>
      <c r="O2509" s="850" t="s">
        <v>1616</v>
      </c>
      <c r="P2509" s="850"/>
    </row>
    <row r="2510" spans="3:36" ht="28.8">
      <c r="C2510" s="186" t="s">
        <v>60</v>
      </c>
      <c r="D2510" s="90" t="s">
        <v>353</v>
      </c>
      <c r="E2510" s="90" t="s">
        <v>354</v>
      </c>
      <c r="F2510" s="90" t="s">
        <v>355</v>
      </c>
      <c r="I2510" s="93" t="s">
        <v>1080</v>
      </c>
      <c r="J2510" s="94" t="s">
        <v>1081</v>
      </c>
      <c r="K2510" s="94"/>
      <c r="L2510" s="93" t="s">
        <v>1080</v>
      </c>
      <c r="M2510" s="93" t="s">
        <v>1081</v>
      </c>
      <c r="N2510" s="93"/>
      <c r="O2510" s="93" t="s">
        <v>1080</v>
      </c>
      <c r="P2510" s="94" t="s">
        <v>1081</v>
      </c>
    </row>
    <row r="2511" spans="3:36">
      <c r="C2511" s="189" t="s">
        <v>862</v>
      </c>
      <c r="D2511" s="200">
        <v>0.02</v>
      </c>
      <c r="E2511" s="200">
        <v>0.02</v>
      </c>
      <c r="F2511" s="200">
        <v>0.02</v>
      </c>
      <c r="I2511" s="97"/>
      <c r="J2511" s="98"/>
      <c r="K2511" s="98"/>
      <c r="L2511" s="98">
        <f>E2511</f>
        <v>0.02</v>
      </c>
      <c r="M2511" s="98">
        <f>F2511</f>
        <v>0.02</v>
      </c>
      <c r="N2511" s="98"/>
      <c r="O2511" s="125">
        <f>E2511</f>
        <v>0.02</v>
      </c>
      <c r="P2511" s="125">
        <f>F2511</f>
        <v>0.02</v>
      </c>
    </row>
    <row r="2512" spans="3:36">
      <c r="C2512" s="11" t="s">
        <v>863</v>
      </c>
      <c r="D2512" s="51">
        <v>0.02</v>
      </c>
      <c r="E2512" s="51">
        <v>0.02</v>
      </c>
      <c r="F2512" s="51">
        <v>0.02</v>
      </c>
      <c r="I2512" s="97"/>
      <c r="J2512" s="98"/>
      <c r="K2512" s="98"/>
      <c r="L2512" s="98">
        <f>E2512</f>
        <v>0.02</v>
      </c>
      <c r="M2512" s="98">
        <f>F2512</f>
        <v>0.02</v>
      </c>
      <c r="N2512" s="98"/>
      <c r="O2512" s="125"/>
      <c r="P2512" s="125"/>
    </row>
    <row r="2513" spans="3:16">
      <c r="C2513" s="11" t="s">
        <v>864</v>
      </c>
      <c r="D2513" s="51">
        <v>0.12</v>
      </c>
      <c r="E2513" s="51">
        <v>0.12</v>
      </c>
      <c r="F2513" s="51">
        <v>0.12</v>
      </c>
      <c r="I2513" s="111">
        <f>E2513</f>
        <v>0.12</v>
      </c>
      <c r="J2513" s="112">
        <f>F2513</f>
        <v>0.12</v>
      </c>
      <c r="K2513" s="112"/>
      <c r="L2513" s="112"/>
      <c r="M2513" s="112"/>
      <c r="N2513" s="112"/>
      <c r="O2513" s="131"/>
      <c r="P2513" s="131"/>
    </row>
    <row r="2514" spans="3:16">
      <c r="C2514" s="11" t="s">
        <v>865</v>
      </c>
      <c r="D2514" s="51">
        <v>0.12</v>
      </c>
      <c r="E2514" s="51">
        <v>0.12</v>
      </c>
      <c r="F2514" s="51">
        <v>0.12</v>
      </c>
      <c r="I2514" s="97">
        <f>E2514</f>
        <v>0.12</v>
      </c>
      <c r="J2514" s="98">
        <f>F2514</f>
        <v>0.12</v>
      </c>
      <c r="K2514" s="98"/>
      <c r="L2514" s="98"/>
      <c r="M2514" s="98"/>
      <c r="N2514" s="98"/>
      <c r="O2514" s="125"/>
      <c r="P2514" s="125"/>
    </row>
    <row r="2515" spans="3:16">
      <c r="C2515" s="11" t="s">
        <v>866</v>
      </c>
      <c r="D2515" s="51">
        <v>0.1</v>
      </c>
      <c r="E2515" s="51">
        <v>0.1</v>
      </c>
      <c r="F2515" s="51">
        <v>0.1</v>
      </c>
      <c r="I2515" s="87"/>
      <c r="J2515" s="87"/>
      <c r="K2515" s="87"/>
      <c r="L2515" s="125">
        <f>E2515</f>
        <v>0.1</v>
      </c>
      <c r="M2515" s="125">
        <f>F2515</f>
        <v>0.1</v>
      </c>
      <c r="N2515" s="125"/>
      <c r="O2515" s="87"/>
      <c r="P2515" s="87"/>
    </row>
    <row r="2516" spans="3:16">
      <c r="C2516" s="11" t="s">
        <v>867</v>
      </c>
      <c r="D2516" s="51">
        <v>0.15</v>
      </c>
      <c r="E2516" s="51">
        <v>0.15</v>
      </c>
      <c r="F2516" s="51">
        <v>0.15</v>
      </c>
      <c r="I2516" s="87"/>
      <c r="J2516" s="87"/>
      <c r="K2516" s="87"/>
      <c r="L2516" s="125"/>
      <c r="M2516" s="125"/>
      <c r="N2516" s="125"/>
      <c r="O2516" s="125">
        <f>E2516</f>
        <v>0.15</v>
      </c>
      <c r="P2516" s="125">
        <f>F2516</f>
        <v>0.15</v>
      </c>
    </row>
    <row r="2517" spans="3:16">
      <c r="C2517" s="11" t="s">
        <v>868</v>
      </c>
      <c r="D2517" s="51">
        <v>0.02</v>
      </c>
      <c r="E2517" s="51">
        <v>0.02</v>
      </c>
      <c r="F2517" s="51">
        <v>0.02</v>
      </c>
      <c r="I2517" s="125">
        <f t="shared" ref="I2517:J2519" si="184">E2517</f>
        <v>0.02</v>
      </c>
      <c r="J2517" s="125">
        <f t="shared" si="184"/>
        <v>0.02</v>
      </c>
      <c r="K2517" s="125"/>
      <c r="L2517" s="125"/>
      <c r="M2517" s="125"/>
      <c r="N2517" s="125"/>
      <c r="O2517" s="87"/>
      <c r="P2517" s="87"/>
    </row>
    <row r="2518" spans="3:16">
      <c r="C2518" s="11" t="s">
        <v>869</v>
      </c>
      <c r="D2518" s="51">
        <v>0.3</v>
      </c>
      <c r="E2518" s="51">
        <v>0.3</v>
      </c>
      <c r="F2518" s="51">
        <v>0.3</v>
      </c>
      <c r="I2518" s="125">
        <f t="shared" si="184"/>
        <v>0.3</v>
      </c>
      <c r="J2518" s="125">
        <f t="shared" si="184"/>
        <v>0.3</v>
      </c>
      <c r="K2518" s="125"/>
      <c r="L2518" s="87"/>
      <c r="M2518" s="87"/>
      <c r="N2518" s="87"/>
      <c r="O2518" s="87"/>
      <c r="P2518" s="87"/>
    </row>
    <row r="2519" spans="3:16">
      <c r="C2519" s="11" t="s">
        <v>870</v>
      </c>
      <c r="D2519" s="51">
        <v>0.05</v>
      </c>
      <c r="E2519" s="51">
        <v>0.05</v>
      </c>
      <c r="F2519" s="51">
        <v>0.05</v>
      </c>
      <c r="I2519" s="125">
        <f t="shared" si="184"/>
        <v>0.05</v>
      </c>
      <c r="J2519" s="125">
        <f t="shared" si="184"/>
        <v>0.05</v>
      </c>
      <c r="K2519" s="125"/>
      <c r="L2519" s="125"/>
      <c r="M2519" s="125"/>
      <c r="N2519" s="125"/>
      <c r="O2519" s="125"/>
      <c r="P2519" s="125"/>
    </row>
    <row r="2520" spans="3:16">
      <c r="C2520" s="190" t="s">
        <v>871</v>
      </c>
      <c r="D2520" s="178">
        <v>0.05</v>
      </c>
      <c r="E2520" s="178">
        <v>0.05</v>
      </c>
      <c r="F2520" s="178">
        <v>0.05</v>
      </c>
      <c r="I2520" s="125"/>
      <c r="J2520" s="125"/>
      <c r="K2520" s="125"/>
      <c r="L2520" s="125">
        <f>E2520</f>
        <v>0.05</v>
      </c>
      <c r="M2520" s="125">
        <f>F2520</f>
        <v>0.05</v>
      </c>
      <c r="N2520" s="125"/>
      <c r="O2520" s="125">
        <f>E2520</f>
        <v>0.05</v>
      </c>
      <c r="P2520" s="125">
        <f>F2520</f>
        <v>0.05</v>
      </c>
    </row>
    <row r="2521" spans="3:16" ht="28.8">
      <c r="C2521" s="191" t="s">
        <v>872</v>
      </c>
      <c r="D2521" s="195">
        <v>0.05</v>
      </c>
      <c r="E2521" s="195">
        <v>0.05</v>
      </c>
      <c r="F2521" s="195">
        <v>0.05</v>
      </c>
      <c r="I2521" s="125">
        <f>E2521</f>
        <v>0.05</v>
      </c>
      <c r="J2521" s="125">
        <f>F2521</f>
        <v>0.05</v>
      </c>
      <c r="K2521" s="125"/>
      <c r="L2521" s="125"/>
      <c r="M2521" s="125"/>
      <c r="N2521" s="125"/>
      <c r="O2521" s="125"/>
      <c r="P2521" s="125"/>
    </row>
    <row r="2522" spans="3:16">
      <c r="C2522" s="199"/>
      <c r="D2522" s="185">
        <f>SUM(D2511:D2521)</f>
        <v>1.0000000000000002</v>
      </c>
      <c r="E2522" s="185">
        <f>SUM(E2511:E2521)</f>
        <v>1.0000000000000002</v>
      </c>
      <c r="F2522" s="185">
        <f>SUM(F2511:F2521)</f>
        <v>1.0000000000000002</v>
      </c>
      <c r="I2522" s="33">
        <f>SUM(I2511:I2521)</f>
        <v>0.66000000000000014</v>
      </c>
      <c r="J2522" s="33">
        <f t="shared" ref="J2522:P2522" si="185">SUM(J2511:J2521)</f>
        <v>0.66000000000000014</v>
      </c>
      <c r="K2522" s="33"/>
      <c r="L2522" s="33">
        <f t="shared" si="185"/>
        <v>0.19</v>
      </c>
      <c r="M2522" s="33">
        <f t="shared" si="185"/>
        <v>0.19</v>
      </c>
      <c r="N2522" s="33"/>
      <c r="O2522" s="33">
        <f t="shared" si="185"/>
        <v>0.21999999999999997</v>
      </c>
      <c r="P2522" s="33">
        <f t="shared" si="185"/>
        <v>0.21999999999999997</v>
      </c>
    </row>
    <row r="2523" spans="3:16">
      <c r="D2523" s="182"/>
      <c r="E2523" s="185">
        <f>D2522-E2522</f>
        <v>0</v>
      </c>
      <c r="F2523" s="185">
        <f>F2522-E2522</f>
        <v>0</v>
      </c>
    </row>
    <row r="2524" spans="3:16">
      <c r="C2524" s="1"/>
      <c r="D2524" s="84"/>
      <c r="E2524" s="84"/>
      <c r="F2524" s="84"/>
    </row>
    <row r="2525" spans="3:16">
      <c r="C2525" s="127" t="s">
        <v>1618</v>
      </c>
      <c r="D2525" s="120">
        <v>4</v>
      </c>
      <c r="E2525" s="120"/>
      <c r="F2525" s="120"/>
    </row>
    <row r="2526" spans="3:16">
      <c r="C2526" s="87" t="s">
        <v>1619</v>
      </c>
      <c r="D2526" s="88">
        <v>4</v>
      </c>
      <c r="E2526" s="88"/>
      <c r="F2526" s="88"/>
    </row>
    <row r="2527" spans="3:16">
      <c r="C2527" s="87" t="s">
        <v>1620</v>
      </c>
      <c r="D2527" s="88"/>
      <c r="E2527" s="88"/>
      <c r="F2527" s="88"/>
    </row>
    <row r="2528" spans="3:16">
      <c r="C2528" s="87" t="s">
        <v>362</v>
      </c>
      <c r="D2528" s="88"/>
      <c r="E2528" s="88"/>
      <c r="F2528" s="88"/>
    </row>
    <row r="2529" spans="3:36">
      <c r="C2529" s="87" t="s">
        <v>363</v>
      </c>
      <c r="D2529" s="88"/>
      <c r="E2529" s="88"/>
      <c r="F2529" s="88"/>
    </row>
    <row r="2530" spans="3:36">
      <c r="C2530" s="1"/>
      <c r="D2530" s="84"/>
      <c r="E2530" s="84"/>
      <c r="F2530" s="84"/>
    </row>
    <row r="2531" spans="3:36">
      <c r="C2531" s="1"/>
      <c r="D2531" s="84"/>
      <c r="E2531" s="84"/>
      <c r="F2531" s="84"/>
    </row>
    <row r="2532" spans="3:36" s="100" customFormat="1">
      <c r="C2532" s="192"/>
      <c r="D2532" s="108"/>
      <c r="E2532" s="108"/>
      <c r="F2532" s="108"/>
      <c r="AD2532" s="332"/>
      <c r="AJ2532" s="392"/>
    </row>
    <row r="2533" spans="3:36">
      <c r="C2533" s="1"/>
      <c r="D2533" s="84"/>
      <c r="E2533" s="84"/>
      <c r="F2533" s="84"/>
    </row>
    <row r="2534" spans="3:36">
      <c r="C2534" s="1"/>
      <c r="D2534" s="84"/>
      <c r="E2534" s="84"/>
      <c r="F2534" s="84"/>
      <c r="I2534" s="872" t="s">
        <v>1612</v>
      </c>
      <c r="J2534" s="873"/>
      <c r="K2534" s="873"/>
      <c r="L2534" s="873"/>
      <c r="M2534" s="873"/>
      <c r="N2534" s="873"/>
      <c r="O2534" s="873"/>
      <c r="P2534" s="874"/>
    </row>
    <row r="2535" spans="3:36">
      <c r="C2535" s="1"/>
      <c r="D2535" s="84"/>
      <c r="E2535" s="84"/>
      <c r="F2535" s="84"/>
      <c r="I2535" s="854" t="s">
        <v>1613</v>
      </c>
      <c r="J2535" s="855"/>
      <c r="K2535" s="855"/>
      <c r="L2535" s="855"/>
      <c r="M2535" s="855"/>
      <c r="N2535" s="855"/>
      <c r="O2535" s="855"/>
      <c r="P2535" s="856"/>
    </row>
    <row r="2536" spans="3:36">
      <c r="D2536" s="84"/>
      <c r="E2536" s="84"/>
      <c r="F2536" s="84"/>
      <c r="I2536" s="875" t="s">
        <v>1614</v>
      </c>
      <c r="J2536" s="875"/>
      <c r="K2536" s="318"/>
      <c r="L2536" s="849" t="s">
        <v>1615</v>
      </c>
      <c r="M2536" s="849"/>
      <c r="N2536" s="319"/>
      <c r="O2536" s="850" t="s">
        <v>1616</v>
      </c>
      <c r="P2536" s="850"/>
    </row>
    <row r="2537" spans="3:36" ht="28.8">
      <c r="C2537" s="186" t="s">
        <v>61</v>
      </c>
      <c r="D2537" s="90" t="s">
        <v>353</v>
      </c>
      <c r="E2537" s="90" t="s">
        <v>354</v>
      </c>
      <c r="F2537" s="90" t="s">
        <v>355</v>
      </c>
      <c r="I2537" s="93" t="s">
        <v>1080</v>
      </c>
      <c r="J2537" s="94" t="s">
        <v>1081</v>
      </c>
      <c r="K2537" s="94"/>
      <c r="L2537" s="93" t="s">
        <v>1080</v>
      </c>
      <c r="M2537" s="93" t="s">
        <v>1081</v>
      </c>
      <c r="N2537" s="93"/>
      <c r="O2537" s="93" t="s">
        <v>1080</v>
      </c>
      <c r="P2537" s="94" t="s">
        <v>1081</v>
      </c>
    </row>
    <row r="2538" spans="3:36">
      <c r="C2538" s="189" t="s">
        <v>873</v>
      </c>
      <c r="D2538" s="200">
        <v>0.02</v>
      </c>
      <c r="E2538" s="200">
        <v>0.02</v>
      </c>
      <c r="F2538" s="200">
        <v>0.02</v>
      </c>
      <c r="I2538" s="97"/>
      <c r="J2538" s="98"/>
      <c r="K2538" s="98"/>
      <c r="L2538" s="129">
        <f>E2538</f>
        <v>0.02</v>
      </c>
      <c r="M2538" s="129">
        <f>F2538</f>
        <v>0.02</v>
      </c>
      <c r="N2538" s="129"/>
      <c r="O2538" s="124">
        <f>E2538</f>
        <v>0.02</v>
      </c>
      <c r="P2538" s="124">
        <f>F2538</f>
        <v>0.02</v>
      </c>
    </row>
    <row r="2539" spans="3:36">
      <c r="C2539" s="11" t="s">
        <v>863</v>
      </c>
      <c r="D2539" s="51">
        <v>0.02</v>
      </c>
      <c r="E2539" s="51">
        <v>0.02</v>
      </c>
      <c r="F2539" s="51">
        <v>0.02</v>
      </c>
      <c r="I2539" s="97"/>
      <c r="J2539" s="98"/>
      <c r="K2539" s="98"/>
      <c r="L2539" s="98">
        <f>E2539</f>
        <v>0.02</v>
      </c>
      <c r="M2539" s="98">
        <f>F2539</f>
        <v>0.02</v>
      </c>
      <c r="N2539" s="98"/>
      <c r="O2539" s="125"/>
      <c r="P2539" s="125"/>
    </row>
    <row r="2540" spans="3:36">
      <c r="C2540" s="11" t="s">
        <v>864</v>
      </c>
      <c r="D2540" s="51">
        <v>0.15</v>
      </c>
      <c r="E2540" s="51">
        <v>0.15</v>
      </c>
      <c r="F2540" s="51">
        <v>0.15</v>
      </c>
      <c r="I2540" s="111">
        <f>E2540</f>
        <v>0.15</v>
      </c>
      <c r="J2540" s="112">
        <f>F2540</f>
        <v>0.15</v>
      </c>
      <c r="K2540" s="112"/>
      <c r="L2540" s="112"/>
      <c r="M2540" s="112"/>
      <c r="N2540" s="112"/>
      <c r="O2540" s="131"/>
      <c r="P2540" s="131"/>
    </row>
    <row r="2541" spans="3:36" ht="28.8">
      <c r="C2541" s="187" t="s">
        <v>874</v>
      </c>
      <c r="D2541" s="51">
        <v>0.05</v>
      </c>
      <c r="E2541" s="51">
        <v>0.05</v>
      </c>
      <c r="F2541" s="51">
        <v>0.05</v>
      </c>
      <c r="I2541" s="97">
        <f>E2541</f>
        <v>0.05</v>
      </c>
      <c r="J2541" s="98">
        <f>F2541</f>
        <v>0.05</v>
      </c>
      <c r="K2541" s="98"/>
      <c r="L2541" s="98"/>
      <c r="M2541" s="98"/>
      <c r="N2541" s="98"/>
      <c r="O2541" s="125"/>
      <c r="P2541" s="125"/>
    </row>
    <row r="2542" spans="3:36">
      <c r="C2542" s="187" t="s">
        <v>875</v>
      </c>
      <c r="D2542" s="51">
        <v>0.05</v>
      </c>
      <c r="E2542" s="51">
        <v>0.05</v>
      </c>
      <c r="F2542" s="51">
        <v>0.05</v>
      </c>
      <c r="I2542" s="87"/>
      <c r="J2542" s="87"/>
      <c r="K2542" s="87"/>
      <c r="L2542" s="125">
        <f t="shared" ref="L2542:M2544" si="186">E2542</f>
        <v>0.05</v>
      </c>
      <c r="M2542" s="125">
        <f t="shared" si="186"/>
        <v>0.05</v>
      </c>
      <c r="N2542" s="125"/>
      <c r="O2542" s="87"/>
      <c r="P2542" s="87"/>
    </row>
    <row r="2543" spans="3:36" ht="28.8">
      <c r="C2543" s="187" t="s">
        <v>876</v>
      </c>
      <c r="D2543" s="51">
        <v>0.1</v>
      </c>
      <c r="E2543" s="51">
        <v>0.1</v>
      </c>
      <c r="F2543" s="51">
        <v>0.1</v>
      </c>
      <c r="I2543" s="87"/>
      <c r="J2543" s="87"/>
      <c r="K2543" s="87"/>
      <c r="L2543" s="125">
        <f t="shared" si="186"/>
        <v>0.1</v>
      </c>
      <c r="M2543" s="125">
        <f t="shared" si="186"/>
        <v>0.1</v>
      </c>
      <c r="N2543" s="125"/>
      <c r="O2543" s="87"/>
      <c r="P2543" s="87"/>
    </row>
    <row r="2544" spans="3:36">
      <c r="C2544" s="187" t="s">
        <v>877</v>
      </c>
      <c r="D2544" s="51">
        <v>0.31</v>
      </c>
      <c r="E2544" s="51">
        <v>0.31</v>
      </c>
      <c r="F2544" s="51">
        <v>0.31</v>
      </c>
      <c r="I2544" s="87"/>
      <c r="J2544" s="87"/>
      <c r="K2544" s="87"/>
      <c r="L2544" s="125">
        <f t="shared" si="186"/>
        <v>0.31</v>
      </c>
      <c r="M2544" s="125">
        <f t="shared" si="186"/>
        <v>0.31</v>
      </c>
      <c r="N2544" s="125"/>
      <c r="O2544" s="87"/>
      <c r="P2544" s="87"/>
    </row>
    <row r="2545" spans="3:36" ht="28.8">
      <c r="C2545" s="187" t="s">
        <v>878</v>
      </c>
      <c r="D2545" s="51">
        <v>0.05</v>
      </c>
      <c r="E2545" s="51">
        <v>0.05</v>
      </c>
      <c r="F2545" s="51">
        <v>0.05</v>
      </c>
      <c r="I2545" s="125">
        <f>E2545</f>
        <v>0.05</v>
      </c>
      <c r="J2545" s="125">
        <f>F2545</f>
        <v>0.05</v>
      </c>
      <c r="K2545" s="125"/>
      <c r="L2545" s="87"/>
      <c r="M2545" s="87"/>
      <c r="N2545" s="87"/>
      <c r="O2545" s="87"/>
      <c r="P2545" s="87"/>
    </row>
    <row r="2546" spans="3:36">
      <c r="C2546" s="190" t="s">
        <v>871</v>
      </c>
      <c r="D2546" s="178">
        <v>0.05</v>
      </c>
      <c r="E2546" s="178">
        <v>0.05</v>
      </c>
      <c r="F2546" s="178">
        <v>0.05</v>
      </c>
      <c r="I2546" s="87"/>
      <c r="J2546" s="87"/>
      <c r="K2546" s="87"/>
      <c r="L2546" s="124">
        <f>E2546</f>
        <v>0.05</v>
      </c>
      <c r="M2546" s="124">
        <f>F2546</f>
        <v>0.05</v>
      </c>
      <c r="N2546" s="124"/>
      <c r="O2546" s="124">
        <f>E2546</f>
        <v>0.05</v>
      </c>
      <c r="P2546" s="124">
        <f>F2546</f>
        <v>0.05</v>
      </c>
    </row>
    <row r="2547" spans="3:36">
      <c r="C2547" s="87" t="s">
        <v>879</v>
      </c>
      <c r="D2547" s="195">
        <v>0.1</v>
      </c>
      <c r="E2547" s="195">
        <v>0.1</v>
      </c>
      <c r="F2547" s="195">
        <v>0.1</v>
      </c>
      <c r="I2547" s="125">
        <f>E2547</f>
        <v>0.1</v>
      </c>
      <c r="J2547" s="125">
        <f>F2547</f>
        <v>0.1</v>
      </c>
      <c r="K2547" s="125"/>
      <c r="L2547" s="87"/>
      <c r="M2547" s="87"/>
      <c r="N2547" s="87"/>
      <c r="O2547" s="87"/>
      <c r="P2547" s="87"/>
    </row>
    <row r="2548" spans="3:36">
      <c r="C2548" s="191" t="s">
        <v>880</v>
      </c>
      <c r="D2548" s="195">
        <v>0.1</v>
      </c>
      <c r="E2548" s="195">
        <v>0.1</v>
      </c>
      <c r="F2548" s="195">
        <v>0.1</v>
      </c>
      <c r="I2548" s="87"/>
      <c r="J2548" s="87"/>
      <c r="K2548" s="87"/>
      <c r="L2548" s="124">
        <f>E2548</f>
        <v>0.1</v>
      </c>
      <c r="M2548" s="124">
        <f>F2548</f>
        <v>0.1</v>
      </c>
      <c r="N2548" s="124"/>
      <c r="O2548" s="124">
        <f>E2548</f>
        <v>0.1</v>
      </c>
      <c r="P2548" s="124">
        <f>F2548</f>
        <v>0.1</v>
      </c>
    </row>
    <row r="2549" spans="3:36">
      <c r="C2549" s="198"/>
      <c r="D2549" s="185">
        <f>SUM(D2538:D2548)</f>
        <v>1</v>
      </c>
      <c r="E2549" s="185">
        <f>SUM(E2538:E2548)</f>
        <v>1</v>
      </c>
      <c r="F2549" s="185">
        <f>SUM(F2538:F2548)</f>
        <v>1</v>
      </c>
    </row>
    <row r="2550" spans="3:36">
      <c r="D2550" s="185"/>
      <c r="E2550" s="185">
        <f>D2549-E2549</f>
        <v>0</v>
      </c>
      <c r="F2550" s="185">
        <f>E2549-F2549</f>
        <v>0</v>
      </c>
    </row>
    <row r="2551" spans="3:36">
      <c r="C2551" s="1"/>
      <c r="D2551" s="84"/>
      <c r="E2551" s="84"/>
      <c r="F2551" s="84"/>
    </row>
    <row r="2552" spans="3:36">
      <c r="C2552" s="1"/>
      <c r="D2552" s="84"/>
      <c r="E2552" s="84"/>
      <c r="F2552" s="84"/>
    </row>
    <row r="2553" spans="3:36">
      <c r="C2553" s="127" t="s">
        <v>1618</v>
      </c>
      <c r="D2553" s="120">
        <v>4</v>
      </c>
      <c r="E2553" s="120"/>
      <c r="F2553" s="120"/>
    </row>
    <row r="2554" spans="3:36">
      <c r="C2554" s="87" t="s">
        <v>1619</v>
      </c>
      <c r="D2554" s="88">
        <v>4</v>
      </c>
      <c r="E2554" s="88"/>
      <c r="F2554" s="88"/>
    </row>
    <row r="2555" spans="3:36">
      <c r="C2555" s="87" t="s">
        <v>1620</v>
      </c>
      <c r="D2555" s="88"/>
      <c r="E2555" s="88"/>
      <c r="F2555" s="88"/>
    </row>
    <row r="2556" spans="3:36">
      <c r="C2556" s="87" t="s">
        <v>362</v>
      </c>
      <c r="D2556" s="88"/>
      <c r="E2556" s="88"/>
      <c r="F2556" s="88"/>
    </row>
    <row r="2557" spans="3:36">
      <c r="C2557" s="87" t="s">
        <v>363</v>
      </c>
      <c r="D2557" s="88"/>
      <c r="E2557" s="88"/>
      <c r="F2557" s="88"/>
    </row>
    <row r="2558" spans="3:36">
      <c r="C2558" s="1"/>
      <c r="D2558" s="84"/>
      <c r="E2558" s="84"/>
      <c r="F2558" s="84"/>
    </row>
    <row r="2559" spans="3:36">
      <c r="C2559" s="1"/>
      <c r="D2559" s="84"/>
      <c r="E2559" s="84"/>
      <c r="F2559" s="84"/>
    </row>
    <row r="2560" spans="3:36" s="100" customFormat="1">
      <c r="C2560" s="192"/>
      <c r="D2560" s="108"/>
      <c r="E2560" s="108"/>
      <c r="F2560" s="108"/>
      <c r="AD2560" s="332"/>
      <c r="AJ2560" s="392"/>
    </row>
    <row r="2561" spans="3:16">
      <c r="C2561" s="1"/>
      <c r="D2561" s="84"/>
      <c r="E2561" s="84"/>
      <c r="F2561" s="84"/>
    </row>
    <row r="2562" spans="3:16">
      <c r="C2562" s="1"/>
      <c r="D2562" s="84"/>
      <c r="E2562" s="84"/>
      <c r="F2562" s="84"/>
      <c r="I2562" s="872" t="s">
        <v>1612</v>
      </c>
      <c r="J2562" s="873"/>
      <c r="K2562" s="873"/>
      <c r="L2562" s="873"/>
      <c r="M2562" s="873"/>
      <c r="N2562" s="873"/>
      <c r="O2562" s="873"/>
      <c r="P2562" s="874"/>
    </row>
    <row r="2563" spans="3:16">
      <c r="C2563" s="1"/>
      <c r="D2563" s="84"/>
      <c r="E2563" s="84"/>
      <c r="F2563" s="84"/>
      <c r="I2563" s="854" t="s">
        <v>1613</v>
      </c>
      <c r="J2563" s="855"/>
      <c r="K2563" s="855"/>
      <c r="L2563" s="855"/>
      <c r="M2563" s="855"/>
      <c r="N2563" s="855"/>
      <c r="O2563" s="855"/>
      <c r="P2563" s="856"/>
    </row>
    <row r="2564" spans="3:16">
      <c r="D2564" s="84"/>
      <c r="E2564" s="84"/>
      <c r="F2564" s="84"/>
      <c r="I2564" s="875" t="s">
        <v>1614</v>
      </c>
      <c r="J2564" s="875"/>
      <c r="K2564" s="318"/>
      <c r="L2564" s="849" t="s">
        <v>1615</v>
      </c>
      <c r="M2564" s="849"/>
      <c r="N2564" s="319"/>
      <c r="O2564" s="850" t="s">
        <v>1616</v>
      </c>
      <c r="P2564" s="850"/>
    </row>
    <row r="2565" spans="3:16" ht="28.8">
      <c r="C2565" s="186" t="s">
        <v>62</v>
      </c>
      <c r="D2565" s="90" t="s">
        <v>353</v>
      </c>
      <c r="E2565" s="90" t="s">
        <v>354</v>
      </c>
      <c r="F2565" s="90" t="s">
        <v>355</v>
      </c>
      <c r="I2565" s="93" t="s">
        <v>1080</v>
      </c>
      <c r="J2565" s="94" t="s">
        <v>1081</v>
      </c>
      <c r="K2565" s="94"/>
      <c r="L2565" s="93" t="s">
        <v>1080</v>
      </c>
      <c r="M2565" s="93" t="s">
        <v>1081</v>
      </c>
      <c r="N2565" s="93"/>
      <c r="O2565" s="93" t="s">
        <v>1080</v>
      </c>
      <c r="P2565" s="94" t="s">
        <v>1081</v>
      </c>
    </row>
    <row r="2566" spans="3:16" ht="28.8">
      <c r="C2566" s="191" t="s">
        <v>1621</v>
      </c>
      <c r="D2566" s="195">
        <v>0.02</v>
      </c>
      <c r="E2566" s="195">
        <v>0.02</v>
      </c>
      <c r="F2566" s="195">
        <v>0.02</v>
      </c>
      <c r="I2566" s="97"/>
      <c r="J2566" s="98"/>
      <c r="K2566" s="98"/>
      <c r="L2566" s="98">
        <f>E2566</f>
        <v>0.02</v>
      </c>
      <c r="M2566" s="98">
        <f>F2566</f>
        <v>0.02</v>
      </c>
      <c r="N2566" s="98"/>
      <c r="O2566" s="125"/>
      <c r="P2566" s="125"/>
    </row>
    <row r="2567" spans="3:16">
      <c r="C2567" s="197" t="s">
        <v>881</v>
      </c>
      <c r="D2567" s="196">
        <v>0.6</v>
      </c>
      <c r="E2567" s="196">
        <v>0.6</v>
      </c>
      <c r="F2567" s="196">
        <v>0.6</v>
      </c>
      <c r="I2567" s="97">
        <f>E2567</f>
        <v>0.6</v>
      </c>
      <c r="J2567" s="98">
        <f>F2567</f>
        <v>0.6</v>
      </c>
      <c r="K2567" s="98"/>
      <c r="L2567" s="98"/>
      <c r="M2567" s="98"/>
      <c r="N2567" s="98"/>
      <c r="O2567" s="125"/>
      <c r="P2567" s="125"/>
    </row>
    <row r="2568" spans="3:16">
      <c r="C2568" s="87" t="s">
        <v>882</v>
      </c>
      <c r="D2568" s="195">
        <v>0.36</v>
      </c>
      <c r="E2568" s="195">
        <v>0.36</v>
      </c>
      <c r="F2568" s="195">
        <v>0.36</v>
      </c>
      <c r="I2568" s="97"/>
      <c r="J2568" s="98"/>
      <c r="K2568" s="98"/>
      <c r="L2568" s="98">
        <f>E2568</f>
        <v>0.36</v>
      </c>
      <c r="M2568" s="98">
        <f>F2568</f>
        <v>0.36</v>
      </c>
      <c r="N2568" s="98"/>
      <c r="O2568" s="125">
        <f>E2568</f>
        <v>0.36</v>
      </c>
      <c r="P2568" s="125">
        <f>F2568</f>
        <v>0.36</v>
      </c>
    </row>
    <row r="2569" spans="3:16" ht="28.8">
      <c r="C2569" s="191" t="s">
        <v>883</v>
      </c>
      <c r="D2569" s="195">
        <v>0.02</v>
      </c>
      <c r="E2569" s="195">
        <v>0.02</v>
      </c>
      <c r="F2569" s="195">
        <v>0.02</v>
      </c>
      <c r="I2569" s="97"/>
      <c r="J2569" s="98"/>
      <c r="K2569" s="98"/>
      <c r="L2569" s="98">
        <f>E2569</f>
        <v>0.02</v>
      </c>
      <c r="M2569" s="98">
        <f>F2569</f>
        <v>0.02</v>
      </c>
      <c r="N2569" s="98"/>
      <c r="O2569" s="125">
        <f>E2569</f>
        <v>0.02</v>
      </c>
      <c r="P2569" s="125">
        <f>F2569</f>
        <v>0.02</v>
      </c>
    </row>
    <row r="2570" spans="3:16">
      <c r="D2570" s="185">
        <f>SUM(D2566:D2569)</f>
        <v>1</v>
      </c>
      <c r="E2570" s="185">
        <f>SUM(E2566:E2569)</f>
        <v>1</v>
      </c>
      <c r="F2570" s="185">
        <f>SUM(F2566:F2569)</f>
        <v>1</v>
      </c>
      <c r="I2570" s="33">
        <f>SUM(I2566:I2569)</f>
        <v>0.6</v>
      </c>
      <c r="J2570" s="33">
        <f t="shared" ref="J2570:P2570" si="187">SUM(J2566:J2569)</f>
        <v>0.6</v>
      </c>
      <c r="K2570" s="33"/>
      <c r="L2570" s="33">
        <f t="shared" si="187"/>
        <v>0.4</v>
      </c>
      <c r="M2570" s="33">
        <f t="shared" si="187"/>
        <v>0.4</v>
      </c>
      <c r="N2570" s="33"/>
      <c r="O2570" s="33">
        <f t="shared" si="187"/>
        <v>0.38</v>
      </c>
      <c r="P2570" s="33">
        <f t="shared" si="187"/>
        <v>0.38</v>
      </c>
    </row>
    <row r="2571" spans="3:16">
      <c r="C2571" s="194"/>
      <c r="D2571" s="84"/>
      <c r="E2571" s="185">
        <f>D2570-E2570</f>
        <v>0</v>
      </c>
      <c r="F2571" s="185">
        <f>E2570-F2570</f>
        <v>0</v>
      </c>
    </row>
    <row r="2572" spans="3:16">
      <c r="C2572" s="1"/>
      <c r="D2572" s="84"/>
      <c r="E2572" s="84"/>
      <c r="F2572" s="84"/>
    </row>
    <row r="2573" spans="3:16">
      <c r="C2573" s="127" t="s">
        <v>1622</v>
      </c>
      <c r="D2573" s="120">
        <v>30</v>
      </c>
      <c r="E2573" s="120"/>
      <c r="F2573" s="120"/>
    </row>
    <row r="2574" spans="3:16">
      <c r="C2574" s="87" t="s">
        <v>1619</v>
      </c>
      <c r="D2574" s="88">
        <v>7</v>
      </c>
      <c r="E2574" s="88"/>
      <c r="F2574" s="88"/>
    </row>
    <row r="2575" spans="3:16">
      <c r="C2575" s="87" t="s">
        <v>1620</v>
      </c>
      <c r="D2575" s="88"/>
      <c r="E2575" s="88"/>
      <c r="F2575" s="88"/>
    </row>
    <row r="2576" spans="3:16">
      <c r="C2576" s="87" t="s">
        <v>362</v>
      </c>
      <c r="D2576" s="88"/>
      <c r="E2576" s="88"/>
      <c r="F2576" s="88"/>
    </row>
    <row r="2577" spans="3:36">
      <c r="C2577" s="87" t="s">
        <v>363</v>
      </c>
      <c r="D2577" s="88"/>
      <c r="E2577" s="88"/>
      <c r="F2577" s="88"/>
    </row>
    <row r="2578" spans="3:36">
      <c r="C2578" s="1"/>
      <c r="D2578" s="84"/>
      <c r="E2578" s="84"/>
      <c r="F2578" s="84"/>
    </row>
    <row r="2579" spans="3:36">
      <c r="C2579" s="1"/>
      <c r="D2579" s="84"/>
      <c r="E2579" s="84"/>
      <c r="F2579" s="84"/>
    </row>
    <row r="2580" spans="3:36" s="100" customFormat="1">
      <c r="C2580" s="192"/>
      <c r="D2580" s="108"/>
      <c r="E2580" s="108"/>
      <c r="F2580" s="108"/>
      <c r="AD2580" s="332"/>
      <c r="AJ2580" s="392"/>
    </row>
    <row r="2581" spans="3:36">
      <c r="C2581" s="1"/>
      <c r="D2581" s="84"/>
      <c r="E2581" s="84"/>
      <c r="F2581" s="84"/>
    </row>
    <row r="2582" spans="3:36">
      <c r="C2582" s="1"/>
      <c r="D2582" s="84"/>
      <c r="E2582" s="84"/>
      <c r="F2582" s="84"/>
      <c r="I2582" s="872" t="s">
        <v>1612</v>
      </c>
      <c r="J2582" s="873"/>
      <c r="K2582" s="873"/>
      <c r="L2582" s="873"/>
      <c r="M2582" s="873"/>
      <c r="N2582" s="873"/>
      <c r="O2582" s="873"/>
      <c r="P2582" s="874"/>
    </row>
    <row r="2583" spans="3:36">
      <c r="D2583" s="84"/>
      <c r="E2583" s="84"/>
      <c r="F2583" s="84"/>
      <c r="I2583" s="854" t="s">
        <v>1613</v>
      </c>
      <c r="J2583" s="855"/>
      <c r="K2583" s="855"/>
      <c r="L2583" s="855"/>
      <c r="M2583" s="855"/>
      <c r="N2583" s="855"/>
      <c r="O2583" s="855"/>
      <c r="P2583" s="856"/>
    </row>
    <row r="2584" spans="3:36">
      <c r="D2584" s="84"/>
      <c r="E2584" s="84"/>
      <c r="F2584" s="84"/>
      <c r="I2584" s="875" t="s">
        <v>1614</v>
      </c>
      <c r="J2584" s="875"/>
      <c r="K2584" s="318"/>
      <c r="L2584" s="849" t="s">
        <v>1615</v>
      </c>
      <c r="M2584" s="849"/>
      <c r="N2584" s="319"/>
      <c r="O2584" s="850" t="s">
        <v>1616</v>
      </c>
      <c r="P2584" s="850"/>
    </row>
    <row r="2585" spans="3:36" ht="28.8">
      <c r="C2585" s="186" t="s">
        <v>63</v>
      </c>
      <c r="D2585" s="90" t="s">
        <v>353</v>
      </c>
      <c r="E2585" s="188" t="s">
        <v>354</v>
      </c>
      <c r="F2585" s="90" t="s">
        <v>355</v>
      </c>
      <c r="I2585" s="93" t="s">
        <v>1080</v>
      </c>
      <c r="J2585" s="94" t="s">
        <v>1081</v>
      </c>
      <c r="K2585" s="94"/>
      <c r="L2585" s="93" t="s">
        <v>1080</v>
      </c>
      <c r="M2585" s="93" t="s">
        <v>1081</v>
      </c>
      <c r="N2585" s="93"/>
      <c r="O2585" s="93" t="s">
        <v>1080</v>
      </c>
      <c r="P2585" s="94" t="s">
        <v>1081</v>
      </c>
    </row>
    <row r="2586" spans="3:36" ht="28.8">
      <c r="C2586" s="189" t="s">
        <v>1623</v>
      </c>
      <c r="D2586" s="92">
        <v>0.01</v>
      </c>
      <c r="E2586" s="92">
        <v>0.01</v>
      </c>
      <c r="F2586" s="92">
        <v>0.01</v>
      </c>
      <c r="I2586" s="97"/>
      <c r="J2586" s="98"/>
      <c r="K2586" s="98"/>
      <c r="L2586" s="98">
        <f>E2586</f>
        <v>0.01</v>
      </c>
      <c r="M2586" s="98">
        <f>F2586</f>
        <v>0.01</v>
      </c>
      <c r="N2586" s="98"/>
      <c r="O2586" s="125">
        <f>E2586</f>
        <v>0.01</v>
      </c>
      <c r="P2586" s="125">
        <f>F2586</f>
        <v>0.01</v>
      </c>
    </row>
    <row r="2587" spans="3:36" ht="28.8">
      <c r="C2587" s="187" t="s">
        <v>884</v>
      </c>
      <c r="D2587" s="18">
        <v>0.1</v>
      </c>
      <c r="E2587" s="18">
        <v>0.1</v>
      </c>
      <c r="F2587" s="18">
        <v>0.1</v>
      </c>
      <c r="I2587" s="97"/>
      <c r="J2587" s="98"/>
      <c r="K2587" s="98"/>
      <c r="L2587" s="98">
        <f>E2587</f>
        <v>0.1</v>
      </c>
      <c r="M2587" s="98">
        <f>F2587</f>
        <v>0.1</v>
      </c>
      <c r="N2587" s="98"/>
      <c r="O2587" s="125">
        <f>E2587</f>
        <v>0.1</v>
      </c>
      <c r="P2587" s="125">
        <f>F2587</f>
        <v>0.1</v>
      </c>
    </row>
    <row r="2588" spans="3:36">
      <c r="C2588" s="11" t="s">
        <v>885</v>
      </c>
      <c r="D2588" s="18">
        <v>0.4</v>
      </c>
      <c r="E2588" s="18">
        <v>0.4</v>
      </c>
      <c r="F2588" s="18">
        <v>0.4</v>
      </c>
      <c r="I2588" s="97">
        <f t="shared" ref="I2588:J2590" si="188">E2588</f>
        <v>0.4</v>
      </c>
      <c r="J2588" s="98">
        <f t="shared" si="188"/>
        <v>0.4</v>
      </c>
      <c r="K2588" s="98"/>
      <c r="L2588" s="98"/>
      <c r="M2588" s="95"/>
      <c r="N2588" s="95"/>
      <c r="O2588" s="87"/>
      <c r="P2588" s="87"/>
    </row>
    <row r="2589" spans="3:36">
      <c r="C2589" s="187" t="s">
        <v>886</v>
      </c>
      <c r="D2589" s="18">
        <v>0.1</v>
      </c>
      <c r="E2589" s="18">
        <v>0.1</v>
      </c>
      <c r="F2589" s="18">
        <v>0.1</v>
      </c>
      <c r="I2589" s="97">
        <f t="shared" si="188"/>
        <v>0.1</v>
      </c>
      <c r="J2589" s="98">
        <f t="shared" si="188"/>
        <v>0.1</v>
      </c>
      <c r="K2589" s="98"/>
      <c r="L2589" s="98"/>
      <c r="M2589" s="98"/>
      <c r="N2589" s="98"/>
      <c r="O2589" s="87"/>
      <c r="P2589" s="87"/>
    </row>
    <row r="2590" spans="3:36">
      <c r="C2590" s="187" t="s">
        <v>887</v>
      </c>
      <c r="D2590" s="18">
        <v>0.04</v>
      </c>
      <c r="E2590" s="18">
        <v>0.04</v>
      </c>
      <c r="F2590" s="18">
        <v>0.04</v>
      </c>
      <c r="I2590" s="112">
        <f t="shared" si="188"/>
        <v>0.04</v>
      </c>
      <c r="J2590" s="112">
        <f t="shared" si="188"/>
        <v>0.04</v>
      </c>
      <c r="K2590" s="112"/>
      <c r="L2590" s="112"/>
      <c r="M2590" s="112"/>
      <c r="N2590" s="112"/>
      <c r="O2590" s="130"/>
      <c r="P2590" s="130"/>
    </row>
    <row r="2591" spans="3:36" ht="28.8">
      <c r="C2591" s="187" t="s">
        <v>888</v>
      </c>
      <c r="D2591" s="18">
        <v>0.02</v>
      </c>
      <c r="E2591" s="18">
        <v>0.02</v>
      </c>
      <c r="F2591" s="18">
        <v>0.02</v>
      </c>
      <c r="I2591" s="130"/>
      <c r="J2591" s="130"/>
      <c r="K2591" s="130"/>
      <c r="L2591" s="193">
        <f>E2591</f>
        <v>0.02</v>
      </c>
      <c r="M2591" s="193">
        <f>F2591</f>
        <v>0.02</v>
      </c>
      <c r="N2591" s="193"/>
      <c r="O2591" s="193">
        <f>E2591</f>
        <v>0.02</v>
      </c>
      <c r="P2591" s="193">
        <f>F2591</f>
        <v>0.02</v>
      </c>
    </row>
    <row r="2592" spans="3:36" ht="28.8">
      <c r="C2592" s="187" t="s">
        <v>889</v>
      </c>
      <c r="D2592" s="18">
        <v>0.02</v>
      </c>
      <c r="E2592" s="18">
        <v>0.02</v>
      </c>
      <c r="F2592" s="18">
        <v>0.02</v>
      </c>
      <c r="I2592" s="125"/>
      <c r="J2592" s="125"/>
      <c r="K2592" s="125"/>
      <c r="L2592" s="125">
        <f>E2592</f>
        <v>0.02</v>
      </c>
      <c r="M2592" s="125">
        <f>F2592</f>
        <v>0.02</v>
      </c>
      <c r="N2592" s="125"/>
      <c r="O2592" s="125">
        <f>E2592</f>
        <v>0.02</v>
      </c>
      <c r="P2592" s="125">
        <f>F2592</f>
        <v>0.02</v>
      </c>
    </row>
    <row r="2593" spans="3:36">
      <c r="C2593" s="187" t="s">
        <v>890</v>
      </c>
      <c r="D2593" s="18">
        <v>0.2</v>
      </c>
      <c r="E2593" s="18">
        <v>0.2</v>
      </c>
      <c r="F2593" s="18">
        <v>0.2</v>
      </c>
      <c r="I2593" s="125">
        <f>E2593</f>
        <v>0.2</v>
      </c>
      <c r="J2593" s="125">
        <f>F2593</f>
        <v>0.2</v>
      </c>
      <c r="K2593" s="125"/>
      <c r="L2593" s="87"/>
      <c r="M2593" s="87"/>
      <c r="N2593" s="87"/>
      <c r="O2593" s="87"/>
      <c r="P2593" s="87"/>
    </row>
    <row r="2594" spans="3:36">
      <c r="C2594" s="190" t="s">
        <v>891</v>
      </c>
      <c r="D2594" s="183">
        <v>0.1</v>
      </c>
      <c r="E2594" s="183">
        <v>0.1</v>
      </c>
      <c r="F2594" s="183">
        <v>0.1</v>
      </c>
      <c r="I2594" s="87"/>
      <c r="J2594" s="87"/>
      <c r="K2594" s="87"/>
      <c r="L2594" s="125">
        <f>E2594</f>
        <v>0.1</v>
      </c>
      <c r="M2594" s="125">
        <f>F2594</f>
        <v>0.1</v>
      </c>
      <c r="N2594" s="125"/>
      <c r="O2594" s="125">
        <f>E2594</f>
        <v>0.1</v>
      </c>
      <c r="P2594" s="125">
        <f>F2594</f>
        <v>0.1</v>
      </c>
    </row>
    <row r="2595" spans="3:36" ht="28.8">
      <c r="C2595" s="191" t="s">
        <v>892</v>
      </c>
      <c r="D2595" s="184">
        <v>0.01</v>
      </c>
      <c r="E2595" s="184">
        <v>0.01</v>
      </c>
      <c r="F2595" s="184">
        <v>0.01</v>
      </c>
      <c r="I2595" s="87"/>
      <c r="J2595" s="87"/>
      <c r="K2595" s="87"/>
      <c r="L2595" s="125">
        <f>E2595</f>
        <v>0.01</v>
      </c>
      <c r="M2595" s="125">
        <f>F2595</f>
        <v>0.01</v>
      </c>
      <c r="N2595" s="125"/>
      <c r="O2595" s="125">
        <f>E2595</f>
        <v>0.01</v>
      </c>
      <c r="P2595" s="125">
        <f>F2595</f>
        <v>0.01</v>
      </c>
    </row>
    <row r="2596" spans="3:36">
      <c r="D2596" s="185">
        <f>SUM(D2586:D2595)</f>
        <v>1</v>
      </c>
      <c r="E2596" s="185">
        <f>SUM(E2586:E2595)</f>
        <v>1</v>
      </c>
      <c r="F2596" s="185">
        <f>SUM(F2586:F2595)</f>
        <v>1</v>
      </c>
      <c r="I2596" s="33">
        <f>SUM(I2586:I2595)</f>
        <v>0.74</v>
      </c>
      <c r="J2596" s="33">
        <f t="shared" ref="J2596:P2596" si="189">SUM(J2586:J2595)</f>
        <v>0.74</v>
      </c>
      <c r="K2596" s="33"/>
      <c r="L2596" s="33">
        <f t="shared" si="189"/>
        <v>0.26</v>
      </c>
      <c r="M2596" s="33">
        <f t="shared" si="189"/>
        <v>0.26</v>
      </c>
      <c r="N2596" s="33"/>
      <c r="O2596" s="33">
        <f t="shared" si="189"/>
        <v>0.26</v>
      </c>
      <c r="P2596" s="33">
        <f t="shared" si="189"/>
        <v>0.26</v>
      </c>
    </row>
    <row r="2597" spans="3:36">
      <c r="D2597" s="84"/>
      <c r="E2597" s="177">
        <f>D2596-E2596</f>
        <v>0</v>
      </c>
      <c r="F2597" s="211">
        <f>E2596-F2596</f>
        <v>0</v>
      </c>
    </row>
    <row r="2598" spans="3:36">
      <c r="D2598" s="84"/>
      <c r="E2598" s="84"/>
      <c r="F2598" s="84"/>
    </row>
    <row r="2599" spans="3:36">
      <c r="C2599" s="127" t="s">
        <v>1618</v>
      </c>
      <c r="D2599" s="120">
        <v>3</v>
      </c>
      <c r="E2599" s="120"/>
      <c r="F2599" s="120"/>
    </row>
    <row r="2600" spans="3:36">
      <c r="C2600" s="87" t="s">
        <v>1619</v>
      </c>
      <c r="D2600" s="88">
        <v>7</v>
      </c>
      <c r="E2600" s="88"/>
      <c r="F2600" s="88"/>
    </row>
    <row r="2601" spans="3:36">
      <c r="C2601" s="87" t="s">
        <v>1620</v>
      </c>
      <c r="D2601" s="88"/>
      <c r="E2601" s="88"/>
      <c r="F2601" s="88"/>
    </row>
    <row r="2602" spans="3:36">
      <c r="C2602" s="87" t="s">
        <v>362</v>
      </c>
      <c r="D2602" s="88"/>
      <c r="E2602" s="88"/>
      <c r="F2602" s="88"/>
    </row>
    <row r="2603" spans="3:36">
      <c r="C2603" s="87" t="s">
        <v>363</v>
      </c>
      <c r="D2603" s="88"/>
      <c r="E2603" s="88"/>
      <c r="F2603" s="88"/>
    </row>
    <row r="2604" spans="3:36">
      <c r="D2604" s="84"/>
      <c r="E2604" s="84"/>
      <c r="F2604" s="84"/>
    </row>
    <row r="2605" spans="3:36">
      <c r="D2605" s="84"/>
      <c r="E2605" s="84"/>
      <c r="F2605" s="84"/>
    </row>
    <row r="2606" spans="3:36">
      <c r="D2606" s="84"/>
      <c r="E2606" s="84"/>
      <c r="F2606" s="84"/>
    </row>
    <row r="2607" spans="3:36" s="100" customFormat="1">
      <c r="D2607" s="108"/>
      <c r="E2607" s="108"/>
      <c r="F2607" s="108"/>
      <c r="AD2607" s="332"/>
      <c r="AJ2607" s="392"/>
    </row>
    <row r="2608" spans="3:36">
      <c r="D2608" s="84"/>
      <c r="E2608" s="84"/>
      <c r="F2608" s="84"/>
    </row>
    <row r="2609" spans="2:16">
      <c r="D2609" s="84"/>
      <c r="E2609" s="84"/>
      <c r="F2609" s="84"/>
    </row>
    <row r="2610" spans="2:16">
      <c r="D2610" s="84"/>
      <c r="E2610" s="84"/>
      <c r="F2610" s="84"/>
      <c r="I2610" s="857" t="s">
        <v>1037</v>
      </c>
      <c r="J2610" s="858"/>
      <c r="K2610" s="858"/>
      <c r="L2610" s="858"/>
      <c r="M2610" s="858"/>
      <c r="N2610" s="858"/>
      <c r="O2610" s="858"/>
      <c r="P2610" s="859"/>
    </row>
    <row r="2611" spans="2:16">
      <c r="D2611" s="84"/>
      <c r="E2611" s="84"/>
      <c r="F2611" s="84"/>
      <c r="I2611" s="854" t="s">
        <v>1042</v>
      </c>
      <c r="J2611" s="855"/>
      <c r="K2611" s="855"/>
      <c r="L2611" s="855"/>
      <c r="M2611" s="855"/>
      <c r="N2611" s="855"/>
      <c r="O2611" s="855"/>
      <c r="P2611" s="856"/>
    </row>
    <row r="2612" spans="2:16" ht="45.75" customHeight="1">
      <c r="D2612" s="84"/>
      <c r="E2612" s="84"/>
      <c r="F2612" s="84"/>
      <c r="I2612" s="829" t="s">
        <v>1076</v>
      </c>
      <c r="J2612" s="831"/>
      <c r="K2612" s="330"/>
      <c r="L2612" s="829" t="s">
        <v>1077</v>
      </c>
      <c r="M2612" s="831"/>
      <c r="N2612" s="330"/>
      <c r="O2612" s="867" t="s">
        <v>1078</v>
      </c>
      <c r="P2612" s="924"/>
    </row>
    <row r="2613" spans="2:16" ht="28.8">
      <c r="B2613" s="519" t="s">
        <v>1079</v>
      </c>
      <c r="C2613" s="181" t="s">
        <v>893</v>
      </c>
      <c r="D2613" s="102" t="s">
        <v>353</v>
      </c>
      <c r="E2613" s="102" t="s">
        <v>354</v>
      </c>
      <c r="F2613" s="102" t="s">
        <v>355</v>
      </c>
      <c r="I2613" s="93" t="s">
        <v>1080</v>
      </c>
      <c r="J2613" s="94" t="s">
        <v>1081</v>
      </c>
      <c r="K2613" s="94"/>
      <c r="L2613" s="93" t="s">
        <v>1080</v>
      </c>
      <c r="M2613" s="94" t="s">
        <v>1081</v>
      </c>
      <c r="N2613" s="94"/>
      <c r="O2613" s="93" t="s">
        <v>1080</v>
      </c>
      <c r="P2613" s="94" t="s">
        <v>1081</v>
      </c>
    </row>
    <row r="2614" spans="2:16">
      <c r="C2614" s="120" t="s">
        <v>1624</v>
      </c>
      <c r="D2614" s="102"/>
      <c r="E2614" s="102"/>
      <c r="F2614" s="102"/>
      <c r="I2614" s="93"/>
      <c r="J2614" s="94"/>
      <c r="K2614" s="94"/>
      <c r="L2614" s="93"/>
      <c r="M2614" s="94"/>
      <c r="N2614" s="94"/>
      <c r="O2614" s="93"/>
      <c r="P2614" s="94"/>
    </row>
    <row r="2615" spans="2:16">
      <c r="C2615" s="45"/>
      <c r="D2615" s="76" t="e">
        <f>SUM(#REF!)</f>
        <v>#REF!</v>
      </c>
      <c r="E2615" s="69" t="e">
        <f>SUM(#REF!)</f>
        <v>#REF!</v>
      </c>
      <c r="F2615" s="76" t="e">
        <f>SUM(#REF!)</f>
        <v>#REF!</v>
      </c>
      <c r="I2615" s="33" t="e">
        <f>SUM(#REF!)</f>
        <v>#REF!</v>
      </c>
      <c r="J2615" s="33" t="e">
        <f>SUM(#REF!)</f>
        <v>#REF!</v>
      </c>
      <c r="K2615" s="33"/>
      <c r="L2615" s="33" t="e">
        <f>SUM(#REF!)</f>
        <v>#REF!</v>
      </c>
      <c r="M2615" s="33" t="e">
        <f>SUM(#REF!)</f>
        <v>#REF!</v>
      </c>
      <c r="N2615" s="33"/>
      <c r="O2615" s="33" t="e">
        <f>SUM(#REF!)</f>
        <v>#REF!</v>
      </c>
      <c r="P2615" s="33" t="e">
        <f>SUM(#REF!)</f>
        <v>#REF!</v>
      </c>
    </row>
    <row r="2616" spans="2:16">
      <c r="C2616" s="45"/>
      <c r="D2616" s="46"/>
      <c r="E2616" s="76">
        <v>0</v>
      </c>
      <c r="F2616" s="76" t="e">
        <f>E2615-F2615</f>
        <v>#REF!</v>
      </c>
    </row>
    <row r="2617" spans="2:16">
      <c r="C2617" s="44"/>
      <c r="D2617" s="46"/>
      <c r="E2617" s="46"/>
      <c r="F2617" s="46"/>
    </row>
    <row r="2618" spans="2:16">
      <c r="C2618" s="127" t="s">
        <v>1625</v>
      </c>
      <c r="D2618" s="120" t="s">
        <v>894</v>
      </c>
      <c r="E2618" s="120"/>
      <c r="F2618" s="120"/>
    </row>
    <row r="2619" spans="2:16">
      <c r="C2619" s="87" t="s">
        <v>1619</v>
      </c>
      <c r="D2619" s="88">
        <v>7</v>
      </c>
      <c r="E2619" s="88"/>
      <c r="F2619" s="88"/>
    </row>
    <row r="2620" spans="2:16">
      <c r="C2620" s="87" t="s">
        <v>1620</v>
      </c>
      <c r="D2620" s="88"/>
      <c r="E2620" s="88"/>
      <c r="F2620" s="88"/>
    </row>
    <row r="2621" spans="2:16">
      <c r="C2621" s="87" t="s">
        <v>362</v>
      </c>
      <c r="D2621" s="88"/>
      <c r="E2621" s="88"/>
      <c r="F2621" s="88"/>
    </row>
    <row r="2622" spans="2:16">
      <c r="C2622" s="87" t="s">
        <v>363</v>
      </c>
      <c r="D2622" s="88"/>
      <c r="E2622" s="88"/>
      <c r="F2622" s="88"/>
    </row>
    <row r="2623" spans="2:16">
      <c r="C2623" s="44"/>
      <c r="D2623" s="46"/>
      <c r="E2623" s="46"/>
      <c r="F2623" s="46"/>
    </row>
    <row r="2624" spans="2:16">
      <c r="C2624" s="44"/>
      <c r="D2624" s="46"/>
      <c r="E2624" s="46"/>
      <c r="F2624" s="46"/>
    </row>
    <row r="2625" spans="2:51" s="100" customFormat="1">
      <c r="C2625" s="105"/>
      <c r="D2625" s="99"/>
      <c r="E2625" s="99"/>
      <c r="F2625" s="99"/>
      <c r="AD2625" s="332"/>
      <c r="AJ2625" s="392"/>
    </row>
    <row r="2626" spans="2:51">
      <c r="C2626" s="44"/>
      <c r="D2626" s="46"/>
      <c r="E2626" s="46"/>
      <c r="F2626" s="46"/>
    </row>
    <row r="2627" spans="2:51">
      <c r="C2627" s="44"/>
      <c r="D2627" s="46"/>
      <c r="E2627" s="46"/>
      <c r="F2627" s="46"/>
    </row>
    <row r="2628" spans="2:51">
      <c r="C2628" s="44"/>
      <c r="D2628" s="46"/>
      <c r="E2628" s="46"/>
      <c r="F2628" s="46"/>
      <c r="I2628" s="886" t="s">
        <v>1037</v>
      </c>
      <c r="J2628" s="887"/>
      <c r="K2628" s="887"/>
      <c r="L2628" s="887"/>
      <c r="M2628" s="887"/>
      <c r="N2628" s="887"/>
      <c r="O2628" s="887"/>
      <c r="P2628" s="887"/>
      <c r="Q2628" s="887"/>
      <c r="R2628" s="887"/>
      <c r="S2628" s="887"/>
      <c r="T2628" s="887"/>
      <c r="U2628" s="887"/>
      <c r="V2628" s="887"/>
      <c r="W2628" s="887"/>
      <c r="X2628" s="887"/>
      <c r="Y2628" s="888"/>
      <c r="AC2628" s="857" t="s">
        <v>1037</v>
      </c>
      <c r="AD2628" s="858"/>
      <c r="AE2628" s="858"/>
      <c r="AF2628" s="858"/>
      <c r="AG2628" s="858"/>
      <c r="AH2628" s="858"/>
      <c r="AI2628" s="858"/>
      <c r="AJ2628" s="858"/>
      <c r="AK2628" s="859"/>
      <c r="AL2628" s="62"/>
      <c r="AM2628" s="62"/>
      <c r="AN2628" s="872" t="s">
        <v>349</v>
      </c>
      <c r="AO2628" s="873"/>
      <c r="AP2628" s="873"/>
      <c r="AQ2628" s="873"/>
      <c r="AR2628" s="874"/>
      <c r="AS2628" s="331"/>
      <c r="AW2628" s="62"/>
      <c r="AX2628" s="62"/>
      <c r="AY2628" s="62"/>
    </row>
    <row r="2629" spans="2:51">
      <c r="C2629" s="44"/>
      <c r="D2629" s="46"/>
      <c r="E2629" s="46"/>
      <c r="F2629" s="46"/>
      <c r="I2629" s="854" t="s">
        <v>1039</v>
      </c>
      <c r="J2629" s="855"/>
      <c r="K2629" s="855"/>
      <c r="L2629" s="855"/>
      <c r="M2629" s="855"/>
      <c r="N2629" s="855"/>
      <c r="O2629" s="855"/>
      <c r="P2629" s="855"/>
      <c r="Q2629" s="855"/>
      <c r="R2629" s="855"/>
      <c r="S2629" s="855"/>
      <c r="T2629" s="855"/>
      <c r="U2629" s="855"/>
      <c r="V2629" s="855"/>
      <c r="W2629" s="855"/>
      <c r="X2629" s="855"/>
      <c r="Y2629" s="856"/>
      <c r="AC2629" s="854" t="s">
        <v>1042</v>
      </c>
      <c r="AD2629" s="855"/>
      <c r="AE2629" s="855"/>
      <c r="AF2629" s="855"/>
      <c r="AG2629" s="855"/>
      <c r="AH2629" s="855"/>
      <c r="AI2629" s="855"/>
      <c r="AJ2629" s="855"/>
      <c r="AK2629" s="856"/>
      <c r="AL2629" s="62"/>
      <c r="AM2629" s="62"/>
      <c r="AN2629" s="921" t="s">
        <v>1626</v>
      </c>
      <c r="AO2629" s="866"/>
      <c r="AP2629" s="866"/>
      <c r="AQ2629" s="866"/>
      <c r="AR2629" s="922"/>
      <c r="AS2629" s="329"/>
      <c r="AW2629" s="62"/>
      <c r="AX2629" s="62"/>
      <c r="AY2629" s="62"/>
    </row>
    <row r="2630" spans="2:51" ht="15" customHeight="1">
      <c r="D2630" s="84"/>
      <c r="E2630" s="84"/>
      <c r="F2630" s="84"/>
      <c r="I2630" s="882" t="s">
        <v>1045</v>
      </c>
      <c r="J2630" s="881"/>
      <c r="K2630" s="96"/>
      <c r="L2630" s="880" t="s">
        <v>1046</v>
      </c>
      <c r="M2630" s="881"/>
      <c r="N2630" s="96"/>
      <c r="O2630" s="880" t="s">
        <v>350</v>
      </c>
      <c r="P2630" s="881"/>
      <c r="Q2630" s="278"/>
      <c r="R2630" s="878" t="s">
        <v>351</v>
      </c>
      <c r="S2630" s="879"/>
      <c r="T2630" s="62"/>
      <c r="U2630" s="880" t="s">
        <v>352</v>
      </c>
      <c r="V2630" s="881"/>
      <c r="W2630" s="96"/>
      <c r="X2630" s="880" t="s">
        <v>1047</v>
      </c>
      <c r="Y2630" s="881"/>
      <c r="AC2630" s="173" t="s">
        <v>1076</v>
      </c>
      <c r="AD2630" s="317"/>
      <c r="AE2630" s="174"/>
      <c r="AF2630" s="829" t="s">
        <v>1077</v>
      </c>
      <c r="AG2630" s="830"/>
      <c r="AH2630" s="831"/>
      <c r="AI2630" s="867" t="s">
        <v>1078</v>
      </c>
      <c r="AJ2630" s="923"/>
      <c r="AK2630" s="924"/>
      <c r="AL2630" s="172"/>
      <c r="AM2630" s="172"/>
      <c r="AN2630" s="847" t="s">
        <v>1055</v>
      </c>
      <c r="AO2630" s="847"/>
      <c r="AP2630" s="317"/>
      <c r="AQ2630" s="847" t="s">
        <v>1062</v>
      </c>
      <c r="AR2630" s="847"/>
      <c r="AS2630" s="279"/>
      <c r="AW2630" s="823"/>
      <c r="AX2630" s="823"/>
      <c r="AY2630" s="172"/>
    </row>
    <row r="2631" spans="2:51" ht="28.8">
      <c r="B2631" s="519" t="s">
        <v>1079</v>
      </c>
      <c r="C2631" s="101" t="s">
        <v>1</v>
      </c>
      <c r="D2631" s="102" t="s">
        <v>353</v>
      </c>
      <c r="E2631" s="102" t="s">
        <v>354</v>
      </c>
      <c r="F2631" s="102" t="s">
        <v>355</v>
      </c>
      <c r="I2631" s="164" t="s">
        <v>1080</v>
      </c>
      <c r="J2631" s="113" t="s">
        <v>1081</v>
      </c>
      <c r="K2631" s="113"/>
      <c r="L2631" s="164" t="s">
        <v>1080</v>
      </c>
      <c r="M2631" s="113" t="s">
        <v>1081</v>
      </c>
      <c r="N2631" s="113"/>
      <c r="O2631" s="164" t="s">
        <v>1080</v>
      </c>
      <c r="P2631" s="113" t="s">
        <v>1081</v>
      </c>
      <c r="Q2631" s="113" t="s">
        <v>1081</v>
      </c>
      <c r="R2631" s="164" t="s">
        <v>1080</v>
      </c>
      <c r="S2631" s="113" t="s">
        <v>1081</v>
      </c>
      <c r="T2631" s="113"/>
      <c r="U2631" s="164" t="s">
        <v>1080</v>
      </c>
      <c r="V2631" s="113" t="s">
        <v>1081</v>
      </c>
      <c r="W2631" s="113"/>
      <c r="X2631" s="164" t="s">
        <v>1080</v>
      </c>
      <c r="Y2631" s="113" t="s">
        <v>1081</v>
      </c>
      <c r="AC2631" s="323" t="s">
        <v>1080</v>
      </c>
      <c r="AD2631" s="93"/>
      <c r="AE2631" s="339" t="s">
        <v>1081</v>
      </c>
      <c r="AF2631" s="93" t="s">
        <v>1080</v>
      </c>
      <c r="AG2631" s="93"/>
      <c r="AH2631" s="94" t="s">
        <v>1081</v>
      </c>
      <c r="AI2631" s="323" t="s">
        <v>1080</v>
      </c>
      <c r="AJ2631" s="93"/>
      <c r="AK2631" s="94" t="s">
        <v>1081</v>
      </c>
      <c r="AL2631" s="175"/>
      <c r="AM2631" s="175"/>
      <c r="AN2631" s="93" t="s">
        <v>1080</v>
      </c>
      <c r="AO2631" s="94" t="s">
        <v>1081</v>
      </c>
      <c r="AP2631" s="94"/>
      <c r="AQ2631" s="93" t="s">
        <v>1080</v>
      </c>
      <c r="AR2631" s="94" t="s">
        <v>1081</v>
      </c>
      <c r="AS2631" s="62"/>
      <c r="AW2631" s="96"/>
      <c r="AX2631" s="62"/>
      <c r="AY2631" s="62"/>
    </row>
    <row r="2632" spans="2:51" ht="28.8">
      <c r="C2632" s="103" t="s">
        <v>1627</v>
      </c>
      <c r="D2632" s="104">
        <v>0.01</v>
      </c>
      <c r="E2632" s="104">
        <v>0.01</v>
      </c>
      <c r="F2632" s="104">
        <v>0</v>
      </c>
      <c r="I2632" s="97">
        <f>E2632</f>
        <v>0.01</v>
      </c>
      <c r="J2632" s="98">
        <f>F2632</f>
        <v>0</v>
      </c>
      <c r="K2632" s="98"/>
      <c r="L2632" s="98"/>
      <c r="M2632" s="98"/>
      <c r="N2632" s="98"/>
      <c r="O2632" s="125"/>
      <c r="P2632" s="125"/>
      <c r="Q2632" s="87"/>
      <c r="R2632" s="87"/>
      <c r="S2632" s="87"/>
      <c r="T2632" s="87"/>
      <c r="U2632" s="87"/>
      <c r="V2632" s="87"/>
      <c r="W2632" s="87"/>
      <c r="X2632" s="87"/>
      <c r="Y2632" s="87"/>
      <c r="AC2632" s="337"/>
      <c r="AD2632" s="97"/>
      <c r="AE2632" s="347"/>
      <c r="AF2632" s="98"/>
      <c r="AG2632" s="98"/>
      <c r="AH2632" s="98"/>
      <c r="AI2632" s="132"/>
      <c r="AJ2632" s="125"/>
      <c r="AK2632" s="125"/>
      <c r="AL2632" s="6"/>
      <c r="AM2632" s="6"/>
      <c r="AN2632" s="97"/>
      <c r="AO2632" s="98"/>
      <c r="AP2632" s="98"/>
      <c r="AQ2632" s="98"/>
      <c r="AR2632" s="98"/>
      <c r="AS2632" s="65"/>
      <c r="AW2632" s="6"/>
      <c r="AX2632" s="6"/>
      <c r="AY2632" s="6"/>
    </row>
    <row r="2633" spans="2:51">
      <c r="C2633" s="103" t="s">
        <v>1628</v>
      </c>
      <c r="D2633" s="104"/>
      <c r="E2633" s="104"/>
      <c r="F2633" s="104"/>
      <c r="I2633" s="97"/>
      <c r="J2633" s="98"/>
      <c r="K2633" s="98"/>
      <c r="L2633" s="98"/>
      <c r="M2633" s="98"/>
      <c r="N2633" s="98"/>
      <c r="O2633" s="125"/>
      <c r="P2633" s="125"/>
      <c r="Q2633" s="87"/>
      <c r="R2633" s="87"/>
      <c r="S2633" s="87"/>
      <c r="T2633" s="87"/>
      <c r="U2633" s="87"/>
      <c r="V2633" s="87"/>
      <c r="W2633" s="87"/>
      <c r="X2633" s="87"/>
      <c r="Y2633" s="87"/>
      <c r="AC2633" s="337"/>
      <c r="AD2633" s="97"/>
      <c r="AE2633" s="347"/>
      <c r="AF2633" s="98"/>
      <c r="AG2633" s="98"/>
      <c r="AH2633" s="98"/>
      <c r="AI2633" s="132"/>
      <c r="AJ2633" s="125"/>
      <c r="AK2633" s="125"/>
      <c r="AL2633" s="6"/>
      <c r="AM2633" s="6"/>
      <c r="AN2633" s="97"/>
      <c r="AO2633" s="98"/>
      <c r="AP2633" s="98"/>
      <c r="AQ2633" s="98"/>
      <c r="AR2633" s="98"/>
      <c r="AS2633" s="65"/>
      <c r="AW2633" s="6"/>
      <c r="AX2633" s="6"/>
      <c r="AY2633" s="6"/>
    </row>
    <row r="2634" spans="2:51" ht="28.8">
      <c r="C2634" s="103" t="s">
        <v>1629</v>
      </c>
      <c r="D2634" s="104"/>
      <c r="E2634" s="104"/>
      <c r="F2634" s="104"/>
      <c r="I2634" s="97"/>
      <c r="J2634" s="98"/>
      <c r="K2634" s="98"/>
      <c r="L2634" s="98"/>
      <c r="M2634" s="98"/>
      <c r="N2634" s="98"/>
      <c r="O2634" s="125"/>
      <c r="P2634" s="125"/>
      <c r="Q2634" s="87"/>
      <c r="R2634" s="87"/>
      <c r="S2634" s="87"/>
      <c r="T2634" s="87"/>
      <c r="U2634" s="87"/>
      <c r="V2634" s="87"/>
      <c r="W2634" s="87"/>
      <c r="X2634" s="87"/>
      <c r="Y2634" s="87"/>
      <c r="AC2634" s="337"/>
      <c r="AD2634" s="97"/>
      <c r="AE2634" s="347"/>
      <c r="AF2634" s="98"/>
      <c r="AG2634" s="98"/>
      <c r="AH2634" s="98"/>
      <c r="AI2634" s="132"/>
      <c r="AJ2634" s="125"/>
      <c r="AK2634" s="125"/>
      <c r="AL2634" s="6"/>
      <c r="AM2634" s="6"/>
      <c r="AN2634" s="97"/>
      <c r="AO2634" s="98"/>
      <c r="AP2634" s="98"/>
      <c r="AQ2634" s="98"/>
      <c r="AR2634" s="98"/>
      <c r="AS2634" s="65"/>
      <c r="AW2634" s="6"/>
      <c r="AX2634" s="6"/>
      <c r="AY2634" s="6"/>
    </row>
    <row r="2635" spans="2:51">
      <c r="C2635" s="127" t="s">
        <v>895</v>
      </c>
      <c r="D2635" s="104">
        <v>0.03</v>
      </c>
      <c r="E2635" s="104">
        <v>0.03</v>
      </c>
      <c r="F2635" s="104">
        <v>0.03</v>
      </c>
      <c r="I2635" s="139"/>
      <c r="J2635" s="139"/>
      <c r="K2635" s="139"/>
      <c r="L2635" s="139"/>
      <c r="M2635" s="139"/>
      <c r="N2635" s="139"/>
      <c r="O2635" s="139"/>
      <c r="P2635" s="139"/>
      <c r="Q2635" s="87"/>
      <c r="R2635" s="87"/>
      <c r="S2635" s="87"/>
      <c r="T2635" s="87"/>
      <c r="U2635" s="87"/>
      <c r="V2635" s="87"/>
      <c r="W2635" s="87"/>
      <c r="X2635" s="87"/>
      <c r="Y2635" s="87"/>
      <c r="AC2635" s="132">
        <f t="shared" ref="AC2635:AC2638" si="190">E2635</f>
        <v>0.03</v>
      </c>
      <c r="AD2635" s="125"/>
      <c r="AE2635" s="165">
        <f t="shared" ref="AE2635:AE2638" si="191">F2635</f>
        <v>0.03</v>
      </c>
      <c r="AF2635" s="125"/>
      <c r="AG2635" s="125"/>
      <c r="AH2635" s="125"/>
      <c r="AI2635" s="132"/>
      <c r="AJ2635" s="125"/>
      <c r="AK2635" s="125"/>
      <c r="AL2635" s="6"/>
      <c r="AM2635" s="6"/>
      <c r="AN2635" s="125"/>
      <c r="AO2635" s="125"/>
      <c r="AP2635" s="125"/>
      <c r="AQ2635" s="125"/>
      <c r="AR2635" s="125"/>
      <c r="AS2635" s="6"/>
      <c r="AW2635" s="6"/>
      <c r="AX2635" s="6"/>
      <c r="AY2635" s="6"/>
    </row>
    <row r="2636" spans="2:51">
      <c r="C2636" s="127" t="s">
        <v>896</v>
      </c>
      <c r="D2636" s="104">
        <v>0.35</v>
      </c>
      <c r="E2636" s="104">
        <v>0.35</v>
      </c>
      <c r="F2636" s="104">
        <v>0.35</v>
      </c>
      <c r="I2636" s="139"/>
      <c r="J2636" s="139"/>
      <c r="K2636" s="139"/>
      <c r="L2636" s="139"/>
      <c r="M2636" s="139"/>
      <c r="N2636" s="139"/>
      <c r="O2636" s="139"/>
      <c r="P2636" s="139"/>
      <c r="Q2636" s="87"/>
      <c r="R2636" s="87"/>
      <c r="S2636" s="87"/>
      <c r="T2636" s="87"/>
      <c r="U2636" s="87"/>
      <c r="V2636" s="87"/>
      <c r="W2636" s="87"/>
      <c r="X2636" s="87"/>
      <c r="Y2636" s="87"/>
      <c r="AC2636" s="132">
        <f t="shared" si="190"/>
        <v>0.35</v>
      </c>
      <c r="AD2636" s="125"/>
      <c r="AE2636" s="165">
        <f t="shared" si="191"/>
        <v>0.35</v>
      </c>
      <c r="AF2636" s="125"/>
      <c r="AG2636" s="125"/>
      <c r="AH2636" s="125"/>
      <c r="AI2636" s="132"/>
      <c r="AJ2636" s="125"/>
      <c r="AK2636" s="125"/>
      <c r="AL2636" s="6"/>
      <c r="AM2636" s="6"/>
      <c r="AN2636" s="125"/>
      <c r="AO2636" s="125"/>
      <c r="AP2636" s="125"/>
      <c r="AQ2636" s="125"/>
      <c r="AR2636" s="125"/>
      <c r="AS2636" s="6"/>
      <c r="AW2636" s="6"/>
      <c r="AX2636" s="6"/>
      <c r="AY2636" s="6"/>
    </row>
    <row r="2637" spans="2:51">
      <c r="C2637" s="127" t="s">
        <v>897</v>
      </c>
      <c r="D2637" s="104">
        <v>0.15</v>
      </c>
      <c r="E2637" s="104">
        <v>0.15</v>
      </c>
      <c r="F2637" s="104">
        <v>0.15</v>
      </c>
      <c r="I2637" s="87"/>
      <c r="J2637" s="87"/>
      <c r="K2637" s="87"/>
      <c r="L2637" s="87"/>
      <c r="M2637" s="87"/>
      <c r="N2637" s="87"/>
      <c r="O2637" s="87"/>
      <c r="P2637" s="87"/>
      <c r="Q2637" s="87"/>
      <c r="R2637" s="87"/>
      <c r="S2637" s="87"/>
      <c r="T2637" s="87"/>
      <c r="U2637" s="87"/>
      <c r="V2637" s="87"/>
      <c r="W2637" s="87"/>
      <c r="X2637" s="87"/>
      <c r="Y2637" s="87"/>
      <c r="AC2637" s="132">
        <f t="shared" si="190"/>
        <v>0.15</v>
      </c>
      <c r="AD2637" s="125"/>
      <c r="AE2637" s="165">
        <f t="shared" si="191"/>
        <v>0.15</v>
      </c>
      <c r="AF2637" s="125"/>
      <c r="AG2637" s="125"/>
      <c r="AH2637" s="125"/>
      <c r="AI2637" s="132"/>
      <c r="AJ2637" s="125"/>
      <c r="AK2637" s="125"/>
      <c r="AN2637" s="87"/>
      <c r="AO2637" s="87"/>
      <c r="AP2637" s="87"/>
      <c r="AQ2637" s="87"/>
      <c r="AR2637" s="87"/>
    </row>
    <row r="2638" spans="2:51">
      <c r="C2638" s="127" t="s">
        <v>898</v>
      </c>
      <c r="D2638" s="104">
        <v>0.03</v>
      </c>
      <c r="E2638" s="104">
        <v>0.03</v>
      </c>
      <c r="F2638" s="104">
        <v>0.03</v>
      </c>
      <c r="I2638" s="87"/>
      <c r="J2638" s="87"/>
      <c r="K2638" s="87"/>
      <c r="L2638" s="87"/>
      <c r="M2638" s="87"/>
      <c r="N2638" s="87"/>
      <c r="O2638" s="87"/>
      <c r="P2638" s="87"/>
      <c r="Q2638" s="87"/>
      <c r="R2638" s="87"/>
      <c r="S2638" s="87"/>
      <c r="T2638" s="87"/>
      <c r="U2638" s="87"/>
      <c r="V2638" s="87"/>
      <c r="W2638" s="87"/>
      <c r="X2638" s="87"/>
      <c r="Y2638" s="87"/>
      <c r="AC2638" s="132">
        <f t="shared" si="190"/>
        <v>0.03</v>
      </c>
      <c r="AD2638" s="125"/>
      <c r="AE2638" s="165">
        <f t="shared" si="191"/>
        <v>0.03</v>
      </c>
      <c r="AF2638" s="125"/>
      <c r="AG2638" s="125"/>
      <c r="AH2638" s="125"/>
      <c r="AI2638" s="132"/>
      <c r="AJ2638" s="125"/>
      <c r="AK2638" s="125"/>
      <c r="AN2638" s="87"/>
      <c r="AO2638" s="87"/>
      <c r="AP2638" s="87"/>
      <c r="AQ2638" s="87"/>
      <c r="AR2638" s="87"/>
    </row>
    <row r="2639" spans="2:51">
      <c r="C2639" s="127" t="s">
        <v>1630</v>
      </c>
      <c r="D2639" s="104">
        <v>0.05</v>
      </c>
      <c r="E2639" s="104">
        <v>0.05</v>
      </c>
      <c r="F2639" s="104">
        <v>0.05</v>
      </c>
      <c r="I2639" s="87"/>
      <c r="J2639" s="87"/>
      <c r="K2639" s="87"/>
      <c r="L2639" s="87"/>
      <c r="M2639" s="87"/>
      <c r="N2639" s="87"/>
      <c r="O2639" s="87"/>
      <c r="P2639" s="87"/>
      <c r="Q2639" s="87"/>
      <c r="R2639" s="87"/>
      <c r="S2639" s="87"/>
      <c r="T2639" s="87"/>
      <c r="U2639" s="87"/>
      <c r="V2639" s="87"/>
      <c r="W2639" s="87"/>
      <c r="X2639" s="87"/>
      <c r="Y2639" s="87"/>
      <c r="AC2639" s="132"/>
      <c r="AD2639" s="125"/>
      <c r="AE2639" s="165"/>
      <c r="AF2639" s="125"/>
      <c r="AG2639" s="125"/>
      <c r="AH2639" s="125"/>
      <c r="AI2639" s="132"/>
      <c r="AJ2639" s="125"/>
      <c r="AK2639" s="125"/>
      <c r="AN2639" s="87"/>
      <c r="AO2639" s="87"/>
      <c r="AP2639" s="87"/>
      <c r="AQ2639" s="87"/>
      <c r="AR2639" s="87"/>
    </row>
    <row r="2640" spans="2:51">
      <c r="C2640" s="127" t="s">
        <v>1631</v>
      </c>
      <c r="D2640" s="104">
        <v>0.05</v>
      </c>
      <c r="E2640" s="104">
        <v>0.02</v>
      </c>
      <c r="F2640" s="104">
        <v>0.02</v>
      </c>
      <c r="I2640" s="87"/>
      <c r="J2640" s="87"/>
      <c r="K2640" s="87"/>
      <c r="L2640" s="87"/>
      <c r="M2640" s="87"/>
      <c r="N2640" s="87"/>
      <c r="O2640" s="87"/>
      <c r="P2640" s="87"/>
      <c r="Q2640" s="125">
        <f>F2640</f>
        <v>0.02</v>
      </c>
      <c r="R2640" s="87"/>
      <c r="S2640" s="87"/>
      <c r="T2640" s="87"/>
      <c r="U2640" s="87"/>
      <c r="V2640" s="87"/>
      <c r="W2640" s="87"/>
      <c r="X2640" s="87"/>
      <c r="Y2640" s="87"/>
      <c r="AC2640" s="132"/>
      <c r="AD2640" s="125"/>
      <c r="AE2640" s="165"/>
      <c r="AF2640" s="125"/>
      <c r="AG2640" s="125"/>
      <c r="AH2640" s="125"/>
      <c r="AI2640" s="132"/>
      <c r="AJ2640" s="125"/>
      <c r="AK2640" s="125"/>
      <c r="AN2640" s="87"/>
      <c r="AO2640" s="87"/>
      <c r="AP2640" s="87"/>
      <c r="AQ2640" s="87"/>
      <c r="AR2640" s="87"/>
    </row>
    <row r="2641" spans="3:45">
      <c r="C2641" s="127" t="s">
        <v>1632</v>
      </c>
      <c r="D2641" s="104">
        <v>0.04</v>
      </c>
      <c r="E2641" s="104">
        <v>0.04</v>
      </c>
      <c r="F2641" s="104">
        <v>0.04</v>
      </c>
      <c r="I2641" s="87"/>
      <c r="J2641" s="87"/>
      <c r="K2641" s="87"/>
      <c r="L2641" s="87"/>
      <c r="M2641" s="87"/>
      <c r="N2641" s="87"/>
      <c r="O2641" s="87"/>
      <c r="P2641" s="87"/>
      <c r="Q2641" s="125">
        <f>F2641</f>
        <v>0.04</v>
      </c>
      <c r="R2641" s="87"/>
      <c r="S2641" s="87"/>
      <c r="T2641" s="87"/>
      <c r="U2641" s="87"/>
      <c r="V2641" s="87"/>
      <c r="W2641" s="87"/>
      <c r="X2641" s="87"/>
      <c r="Y2641" s="87"/>
      <c r="AC2641" s="132"/>
      <c r="AD2641" s="125"/>
      <c r="AE2641" s="165"/>
      <c r="AF2641" s="125"/>
      <c r="AG2641" s="125"/>
      <c r="AH2641" s="125"/>
      <c r="AI2641" s="132"/>
      <c r="AJ2641" s="125"/>
      <c r="AK2641" s="125"/>
      <c r="AN2641" s="87"/>
      <c r="AO2641" s="87"/>
      <c r="AP2641" s="87"/>
      <c r="AQ2641" s="87"/>
      <c r="AR2641" s="87"/>
    </row>
    <row r="2642" spans="3:45" ht="28.8">
      <c r="C2642" s="103" t="s">
        <v>1633</v>
      </c>
      <c r="D2642" s="104">
        <v>0.02</v>
      </c>
      <c r="E2642" s="104">
        <v>0.02</v>
      </c>
      <c r="F2642" s="104">
        <v>0.02</v>
      </c>
      <c r="I2642" s="125">
        <f>E2642</f>
        <v>0.02</v>
      </c>
      <c r="J2642" s="125">
        <f>F2642</f>
        <v>0.02</v>
      </c>
      <c r="K2642" s="125"/>
      <c r="L2642" s="87"/>
      <c r="M2642" s="87"/>
      <c r="N2642" s="87"/>
      <c r="O2642" s="87"/>
      <c r="P2642" s="87"/>
      <c r="Q2642" s="125">
        <f>F2642</f>
        <v>0.02</v>
      </c>
      <c r="R2642" s="87"/>
      <c r="S2642" s="87"/>
      <c r="T2642" s="87"/>
      <c r="U2642" s="87"/>
      <c r="V2642" s="87"/>
      <c r="W2642" s="87"/>
      <c r="X2642" s="87"/>
      <c r="Y2642" s="87"/>
      <c r="AC2642" s="132"/>
      <c r="AD2642" s="125"/>
      <c r="AE2642" s="165"/>
      <c r="AF2642" s="125"/>
      <c r="AG2642" s="125"/>
      <c r="AH2642" s="125"/>
      <c r="AI2642" s="132"/>
      <c r="AJ2642" s="125"/>
      <c r="AK2642" s="125"/>
      <c r="AN2642" s="87"/>
      <c r="AO2642" s="87"/>
      <c r="AP2642" s="87"/>
      <c r="AQ2642" s="87"/>
      <c r="AR2642" s="87"/>
    </row>
    <row r="2643" spans="3:45" ht="43.2">
      <c r="C2643" s="103" t="s">
        <v>1634</v>
      </c>
      <c r="D2643" s="104">
        <v>0.05</v>
      </c>
      <c r="E2643" s="104">
        <v>0.05</v>
      </c>
      <c r="F2643" s="104">
        <v>0.02</v>
      </c>
      <c r="I2643" s="87"/>
      <c r="J2643" s="87"/>
      <c r="K2643" s="87"/>
      <c r="L2643" s="87"/>
      <c r="M2643" s="87"/>
      <c r="N2643" s="87"/>
      <c r="O2643" s="87"/>
      <c r="P2643" s="87"/>
      <c r="Q2643" s="125">
        <f>F2643</f>
        <v>0.02</v>
      </c>
      <c r="R2643" s="87"/>
      <c r="S2643" s="87"/>
      <c r="T2643" s="87"/>
      <c r="U2643" s="87"/>
      <c r="V2643" s="87"/>
      <c r="W2643" s="87"/>
      <c r="X2643" s="87"/>
      <c r="Y2643" s="87"/>
      <c r="AC2643" s="132"/>
      <c r="AD2643" s="125"/>
      <c r="AE2643" s="165"/>
      <c r="AF2643" s="125"/>
      <c r="AG2643" s="125"/>
      <c r="AH2643" s="125"/>
      <c r="AI2643" s="132"/>
      <c r="AJ2643" s="125"/>
      <c r="AK2643" s="125"/>
      <c r="AN2643" s="87"/>
      <c r="AO2643" s="87"/>
      <c r="AP2643" s="87"/>
      <c r="AQ2643" s="87"/>
      <c r="AR2643" s="87"/>
    </row>
    <row r="2644" spans="3:45">
      <c r="C2644" s="127" t="s">
        <v>899</v>
      </c>
      <c r="D2644" s="104">
        <v>0.02</v>
      </c>
      <c r="E2644" s="104">
        <v>0.02</v>
      </c>
      <c r="F2644" s="104">
        <v>0.02</v>
      </c>
      <c r="I2644" s="87"/>
      <c r="J2644" s="87"/>
      <c r="K2644" s="87"/>
      <c r="L2644" s="87"/>
      <c r="M2644" s="87"/>
      <c r="N2644" s="87"/>
      <c r="O2644" s="87"/>
      <c r="P2644" s="87"/>
      <c r="Q2644" s="87"/>
      <c r="R2644" s="87"/>
      <c r="S2644" s="87"/>
      <c r="T2644" s="87"/>
      <c r="U2644" s="125">
        <f>E2644</f>
        <v>0.02</v>
      </c>
      <c r="V2644" s="125">
        <f>F2644</f>
        <v>0.02</v>
      </c>
      <c r="W2644" s="125"/>
      <c r="X2644" s="87"/>
      <c r="Y2644" s="87"/>
      <c r="AC2644" s="132"/>
      <c r="AD2644" s="125"/>
      <c r="AE2644" s="165"/>
      <c r="AF2644" s="125"/>
      <c r="AG2644" s="125"/>
      <c r="AH2644" s="125"/>
      <c r="AI2644" s="132"/>
      <c r="AJ2644" s="125"/>
      <c r="AK2644" s="125"/>
      <c r="AN2644" s="87"/>
      <c r="AO2644" s="87"/>
      <c r="AP2644" s="87"/>
      <c r="AQ2644" s="87"/>
      <c r="AR2644" s="87"/>
    </row>
    <row r="2645" spans="3:45">
      <c r="C2645" s="127" t="s">
        <v>1635</v>
      </c>
      <c r="D2645" s="104">
        <v>0.02</v>
      </c>
      <c r="E2645" s="104">
        <v>0.02</v>
      </c>
      <c r="F2645" s="104">
        <v>0.02</v>
      </c>
      <c r="I2645" s="87"/>
      <c r="J2645" s="87"/>
      <c r="K2645" s="87"/>
      <c r="L2645" s="87"/>
      <c r="M2645" s="87"/>
      <c r="N2645" s="87"/>
      <c r="O2645" s="87"/>
      <c r="P2645" s="87"/>
      <c r="Q2645" s="125">
        <f>F2645</f>
        <v>0.02</v>
      </c>
      <c r="R2645" s="87"/>
      <c r="S2645" s="87"/>
      <c r="T2645" s="87"/>
      <c r="U2645" s="87"/>
      <c r="V2645" s="87"/>
      <c r="W2645" s="87"/>
      <c r="X2645" s="87"/>
      <c r="Y2645" s="87"/>
      <c r="AC2645" s="132"/>
      <c r="AD2645" s="125"/>
      <c r="AE2645" s="165"/>
      <c r="AF2645" s="125"/>
      <c r="AG2645" s="125"/>
      <c r="AH2645" s="125"/>
      <c r="AI2645" s="132"/>
      <c r="AJ2645" s="125"/>
      <c r="AK2645" s="125"/>
      <c r="AN2645" s="87"/>
      <c r="AO2645" s="87"/>
      <c r="AP2645" s="87"/>
      <c r="AQ2645" s="87"/>
      <c r="AR2645" s="87"/>
    </row>
    <row r="2646" spans="3:45">
      <c r="C2646" s="127" t="s">
        <v>1636</v>
      </c>
      <c r="D2646" s="104">
        <v>0.05</v>
      </c>
      <c r="E2646" s="104">
        <v>0.05</v>
      </c>
      <c r="F2646" s="104">
        <v>0.05</v>
      </c>
      <c r="I2646" s="87"/>
      <c r="J2646" s="87"/>
      <c r="K2646" s="87"/>
      <c r="L2646" s="87"/>
      <c r="M2646" s="87"/>
      <c r="N2646" s="87"/>
      <c r="O2646" s="87"/>
      <c r="P2646" s="87"/>
      <c r="Q2646" s="87"/>
      <c r="R2646" s="87"/>
      <c r="S2646" s="87"/>
      <c r="T2646" s="87"/>
      <c r="U2646" s="87"/>
      <c r="V2646" s="87"/>
      <c r="W2646" s="87"/>
      <c r="X2646" s="87"/>
      <c r="Y2646" s="87"/>
      <c r="AC2646" s="132"/>
      <c r="AD2646" s="125"/>
      <c r="AE2646" s="165"/>
      <c r="AF2646" s="125"/>
      <c r="AG2646" s="125"/>
      <c r="AH2646" s="125"/>
      <c r="AI2646" s="132"/>
      <c r="AJ2646" s="125"/>
      <c r="AK2646" s="125"/>
      <c r="AN2646" s="125">
        <f>E2646</f>
        <v>0.05</v>
      </c>
      <c r="AO2646" s="125">
        <f>F2646</f>
        <v>0.05</v>
      </c>
      <c r="AP2646" s="125"/>
      <c r="AQ2646" s="125"/>
      <c r="AR2646" s="125"/>
      <c r="AS2646" s="6"/>
    </row>
    <row r="2647" spans="3:45">
      <c r="C2647" s="127" t="s">
        <v>900</v>
      </c>
      <c r="D2647" s="104">
        <v>0.02</v>
      </c>
      <c r="E2647" s="104">
        <v>0.02</v>
      </c>
      <c r="F2647" s="104">
        <v>0.02</v>
      </c>
      <c r="I2647" s="87"/>
      <c r="J2647" s="87"/>
      <c r="K2647" s="87"/>
      <c r="L2647" s="87"/>
      <c r="M2647" s="87"/>
      <c r="N2647" s="87"/>
      <c r="O2647" s="87"/>
      <c r="P2647" s="87"/>
      <c r="Q2647" s="87"/>
      <c r="R2647" s="87"/>
      <c r="S2647" s="87"/>
      <c r="T2647" s="87"/>
      <c r="U2647" s="87"/>
      <c r="V2647" s="87"/>
      <c r="W2647" s="87"/>
      <c r="X2647" s="87"/>
      <c r="Y2647" s="87"/>
      <c r="AC2647" s="132"/>
      <c r="AD2647" s="125"/>
      <c r="AE2647" s="165"/>
      <c r="AF2647" s="125"/>
      <c r="AG2647" s="125"/>
      <c r="AH2647" s="125"/>
      <c r="AI2647" s="132"/>
      <c r="AJ2647" s="125"/>
      <c r="AK2647" s="125"/>
      <c r="AN2647" s="87"/>
      <c r="AO2647" s="87"/>
      <c r="AP2647" s="87"/>
      <c r="AQ2647" s="125">
        <f>E2647</f>
        <v>0.02</v>
      </c>
      <c r="AR2647" s="125">
        <f>F2647</f>
        <v>0.02</v>
      </c>
      <c r="AS2647" s="6"/>
    </row>
    <row r="2648" spans="3:45">
      <c r="C2648" s="45"/>
      <c r="D2648" s="76">
        <v>1</v>
      </c>
      <c r="E2648" s="76">
        <f>SUM(E2632:E2647)</f>
        <v>0.86000000000000021</v>
      </c>
      <c r="F2648" s="76">
        <f>SUM(F2632:F2647)</f>
        <v>0.82000000000000028</v>
      </c>
      <c r="I2648" s="33">
        <f>SUM(I2632:I2647)</f>
        <v>0.03</v>
      </c>
      <c r="J2648" s="33">
        <f t="shared" ref="J2648:Y2648" si="192">SUM(J2632:J2647)</f>
        <v>0.02</v>
      </c>
      <c r="K2648" s="33"/>
      <c r="L2648" s="33">
        <f t="shared" si="192"/>
        <v>0</v>
      </c>
      <c r="M2648" s="33">
        <f t="shared" si="192"/>
        <v>0</v>
      </c>
      <c r="N2648" s="33"/>
      <c r="O2648" s="33">
        <f t="shared" si="192"/>
        <v>0</v>
      </c>
      <c r="P2648" s="33">
        <f t="shared" si="192"/>
        <v>0</v>
      </c>
      <c r="Q2648" s="33">
        <f t="shared" si="192"/>
        <v>0.12000000000000001</v>
      </c>
      <c r="R2648" s="33">
        <f t="shared" si="192"/>
        <v>0</v>
      </c>
      <c r="S2648" s="33">
        <f t="shared" si="192"/>
        <v>0</v>
      </c>
      <c r="T2648" s="33"/>
      <c r="U2648" s="33">
        <f t="shared" si="192"/>
        <v>0.02</v>
      </c>
      <c r="V2648" s="33">
        <f t="shared" si="192"/>
        <v>0.02</v>
      </c>
      <c r="W2648" s="33"/>
      <c r="X2648" s="33">
        <f t="shared" si="192"/>
        <v>0</v>
      </c>
      <c r="Y2648" s="33">
        <f t="shared" si="192"/>
        <v>0</v>
      </c>
      <c r="AC2648" s="33">
        <f>SUM(AC2632:AC2647)</f>
        <v>0.56000000000000005</v>
      </c>
      <c r="AD2648" s="139"/>
      <c r="AE2648" s="33">
        <f t="shared" ref="AE2648:AK2648" si="193">SUM(AE2632:AE2647)</f>
        <v>0.56000000000000005</v>
      </c>
      <c r="AF2648" s="33">
        <f t="shared" si="193"/>
        <v>0</v>
      </c>
      <c r="AG2648" s="33"/>
      <c r="AH2648" s="33">
        <f t="shared" si="193"/>
        <v>0</v>
      </c>
      <c r="AI2648" s="33">
        <f t="shared" si="193"/>
        <v>0</v>
      </c>
      <c r="AJ2648" s="397"/>
      <c r="AK2648" s="33">
        <f t="shared" si="193"/>
        <v>0</v>
      </c>
      <c r="AN2648" s="33">
        <f>SUM(AN2632:AN2647)</f>
        <v>0.05</v>
      </c>
      <c r="AO2648" s="33">
        <f t="shared" ref="AO2648:AR2648" si="194">SUM(AO2632:AO2647)</f>
        <v>0.05</v>
      </c>
      <c r="AP2648" s="33"/>
      <c r="AQ2648" s="33">
        <f t="shared" si="194"/>
        <v>0.02</v>
      </c>
      <c r="AR2648" s="33">
        <f t="shared" si="194"/>
        <v>0.02</v>
      </c>
      <c r="AS2648" s="33"/>
    </row>
    <row r="2649" spans="3:45">
      <c r="C2649" s="45"/>
      <c r="D2649" s="47"/>
      <c r="E2649" s="76">
        <f>D2648-E2648</f>
        <v>0.13999999999999979</v>
      </c>
      <c r="F2649" s="76">
        <f>E2648-F2648</f>
        <v>3.9999999999999925E-2</v>
      </c>
    </row>
    <row r="2650" spans="3:45">
      <c r="C2650" s="49"/>
      <c r="D2650" s="45"/>
      <c r="E2650" s="47"/>
      <c r="F2650" s="47"/>
    </row>
    <row r="2651" spans="3:45">
      <c r="C2651" s="127" t="s">
        <v>1637</v>
      </c>
      <c r="D2651" s="120" t="s">
        <v>468</v>
      </c>
      <c r="E2651" s="120"/>
      <c r="F2651" s="120"/>
    </row>
    <row r="2652" spans="3:45">
      <c r="C2652" s="87" t="s">
        <v>1619</v>
      </c>
      <c r="D2652" s="88">
        <v>7</v>
      </c>
      <c r="E2652" s="88"/>
      <c r="F2652" s="88"/>
    </row>
    <row r="2653" spans="3:45">
      <c r="C2653" s="87" t="s">
        <v>1620</v>
      </c>
      <c r="D2653" s="88"/>
      <c r="E2653" s="88"/>
      <c r="F2653" s="88"/>
    </row>
    <row r="2654" spans="3:45">
      <c r="C2654" s="87" t="s">
        <v>362</v>
      </c>
      <c r="D2654" s="88"/>
      <c r="E2654" s="88"/>
      <c r="F2654" s="88"/>
    </row>
    <row r="2655" spans="3:45">
      <c r="C2655" s="87" t="s">
        <v>363</v>
      </c>
      <c r="D2655" s="88"/>
      <c r="E2655" s="88"/>
      <c r="F2655" s="88"/>
    </row>
    <row r="2656" spans="3:45">
      <c r="C2656" s="49"/>
      <c r="D2656" s="45"/>
      <c r="E2656" s="46"/>
      <c r="F2656" s="46"/>
    </row>
    <row r="2657" spans="2:37" s="100" customFormat="1">
      <c r="C2657" s="115"/>
      <c r="D2657" s="117"/>
      <c r="E2657" s="99"/>
      <c r="F2657" s="99"/>
      <c r="AD2657" s="332"/>
      <c r="AJ2657" s="392"/>
    </row>
    <row r="2658" spans="2:37">
      <c r="C2658" s="49"/>
      <c r="D2658" s="45"/>
      <c r="E2658" s="46"/>
      <c r="F2658" s="46"/>
    </row>
    <row r="2659" spans="2:37">
      <c r="C2659" s="49"/>
      <c r="D2659" s="45"/>
      <c r="E2659" s="46"/>
      <c r="F2659" s="46"/>
      <c r="I2659" s="883" t="s">
        <v>1037</v>
      </c>
      <c r="J2659" s="884"/>
      <c r="K2659" s="884"/>
      <c r="L2659" s="884"/>
      <c r="M2659" s="884"/>
      <c r="N2659" s="884"/>
      <c r="O2659" s="884"/>
      <c r="P2659" s="884"/>
      <c r="Q2659" s="884"/>
      <c r="R2659" s="884"/>
      <c r="S2659" s="884"/>
      <c r="T2659" s="884"/>
      <c r="U2659" s="884"/>
      <c r="V2659" s="884"/>
      <c r="W2659" s="884"/>
      <c r="X2659" s="884"/>
      <c r="Y2659" s="885"/>
      <c r="Z2659" s="62"/>
      <c r="AA2659" s="62"/>
      <c r="AB2659" s="62"/>
      <c r="AC2659" s="62"/>
      <c r="AD2659" s="94"/>
      <c r="AE2659" s="62"/>
      <c r="AF2659" s="62"/>
      <c r="AG2659" s="62"/>
      <c r="AH2659" s="62"/>
      <c r="AI2659" s="62"/>
      <c r="AJ2659" s="398"/>
      <c r="AK2659" s="62"/>
    </row>
    <row r="2660" spans="2:37">
      <c r="C2660" s="49"/>
      <c r="D2660" s="45"/>
      <c r="E2660" s="46"/>
      <c r="F2660" s="46"/>
      <c r="I2660" s="876" t="s">
        <v>1039</v>
      </c>
      <c r="J2660" s="877"/>
      <c r="K2660" s="877"/>
      <c r="L2660" s="877"/>
      <c r="M2660" s="877"/>
      <c r="N2660" s="877"/>
      <c r="O2660" s="877"/>
      <c r="P2660" s="877"/>
      <c r="Q2660" s="877"/>
      <c r="R2660" s="877"/>
      <c r="S2660" s="877"/>
      <c r="T2660" s="877"/>
      <c r="U2660" s="877"/>
      <c r="V2660" s="877"/>
      <c r="W2660" s="877"/>
      <c r="X2660" s="877"/>
      <c r="Y2660" s="877"/>
      <c r="Z2660" s="62"/>
      <c r="AA2660" s="62"/>
      <c r="AB2660" s="62"/>
      <c r="AC2660" s="62"/>
      <c r="AD2660" s="94"/>
      <c r="AE2660" s="62"/>
      <c r="AF2660" s="62"/>
      <c r="AG2660" s="62"/>
      <c r="AH2660" s="62"/>
      <c r="AI2660" s="62"/>
      <c r="AJ2660" s="398"/>
      <c r="AK2660" s="64"/>
    </row>
    <row r="2661" spans="2:37" ht="15" customHeight="1">
      <c r="C2661" s="49"/>
      <c r="D2661" s="45"/>
      <c r="E2661" s="46"/>
      <c r="F2661" s="46"/>
      <c r="I2661" s="919" t="s">
        <v>1045</v>
      </c>
      <c r="J2661" s="871"/>
      <c r="K2661" s="321"/>
      <c r="L2661" s="870" t="s">
        <v>1046</v>
      </c>
      <c r="M2661" s="871"/>
      <c r="N2661" s="321"/>
      <c r="O2661" s="870" t="s">
        <v>350</v>
      </c>
      <c r="P2661" s="871"/>
      <c r="Q2661" s="283"/>
      <c r="R2661" s="889" t="s">
        <v>351</v>
      </c>
      <c r="S2661" s="890"/>
      <c r="T2661" s="328"/>
      <c r="U2661" s="870" t="s">
        <v>352</v>
      </c>
      <c r="V2661" s="871"/>
      <c r="W2661" s="321"/>
      <c r="X2661" s="870" t="s">
        <v>1047</v>
      </c>
      <c r="Y2661" s="871"/>
      <c r="Z2661" s="96"/>
      <c r="AA2661" s="96"/>
      <c r="AB2661" s="96"/>
      <c r="AC2661" s="62"/>
      <c r="AD2661" s="94"/>
      <c r="AE2661" s="62"/>
      <c r="AF2661" s="96"/>
      <c r="AG2661" s="96"/>
      <c r="AH2661" s="96"/>
      <c r="AI2661" s="96"/>
      <c r="AJ2661" s="399"/>
      <c r="AK2661" s="96"/>
    </row>
    <row r="2662" spans="2:37" ht="28.8">
      <c r="B2662" s="519" t="s">
        <v>1079</v>
      </c>
      <c r="C2662" s="167" t="s">
        <v>901</v>
      </c>
      <c r="D2662" s="102" t="s">
        <v>353</v>
      </c>
      <c r="E2662" s="16" t="s">
        <v>354</v>
      </c>
      <c r="F2662" s="102" t="s">
        <v>355</v>
      </c>
      <c r="I2662" s="171" t="s">
        <v>1080</v>
      </c>
      <c r="J2662" s="95" t="s">
        <v>1081</v>
      </c>
      <c r="K2662" s="95"/>
      <c r="L2662" s="171" t="s">
        <v>1080</v>
      </c>
      <c r="M2662" s="95" t="s">
        <v>1081</v>
      </c>
      <c r="N2662" s="95"/>
      <c r="O2662" s="171" t="s">
        <v>1080</v>
      </c>
      <c r="P2662" s="95" t="s">
        <v>1081</v>
      </c>
      <c r="Q2662" s="95" t="s">
        <v>1081</v>
      </c>
      <c r="R2662" s="171" t="s">
        <v>1080</v>
      </c>
      <c r="S2662" s="95" t="s">
        <v>1081</v>
      </c>
      <c r="T2662" s="95"/>
      <c r="U2662" s="171" t="s">
        <v>1080</v>
      </c>
      <c r="V2662" s="95" t="s">
        <v>1081</v>
      </c>
      <c r="W2662" s="95"/>
      <c r="X2662" s="171" t="s">
        <v>1080</v>
      </c>
      <c r="Y2662" s="95" t="s">
        <v>1081</v>
      </c>
      <c r="Z2662" s="64"/>
      <c r="AA2662" s="64"/>
      <c r="AB2662" s="64"/>
      <c r="AC2662" s="64"/>
      <c r="AD2662" s="95"/>
      <c r="AE2662" s="64"/>
      <c r="AF2662" s="64"/>
      <c r="AG2662" s="64"/>
      <c r="AH2662" s="64"/>
      <c r="AI2662" s="64"/>
      <c r="AJ2662" s="400"/>
      <c r="AK2662" s="64"/>
    </row>
    <row r="2663" spans="2:37">
      <c r="C2663" s="585" t="s">
        <v>1638</v>
      </c>
      <c r="D2663" s="102"/>
      <c r="E2663" s="177"/>
      <c r="F2663" s="102"/>
      <c r="I2663" s="171"/>
      <c r="J2663" s="95"/>
      <c r="K2663" s="95"/>
      <c r="L2663" s="171"/>
      <c r="M2663" s="95"/>
      <c r="N2663" s="95"/>
      <c r="O2663" s="171"/>
      <c r="P2663" s="95"/>
      <c r="Q2663" s="95"/>
      <c r="R2663" s="171"/>
      <c r="S2663" s="95"/>
      <c r="T2663" s="95"/>
      <c r="U2663" s="171"/>
      <c r="V2663" s="95"/>
      <c r="W2663" s="95"/>
      <c r="X2663" s="171"/>
      <c r="Y2663" s="95"/>
      <c r="Z2663" s="64"/>
      <c r="AA2663" s="64"/>
      <c r="AB2663" s="64"/>
      <c r="AC2663" s="64"/>
      <c r="AD2663" s="95"/>
      <c r="AE2663" s="64"/>
      <c r="AF2663" s="64"/>
      <c r="AG2663" s="64"/>
      <c r="AH2663" s="64"/>
      <c r="AI2663" s="64"/>
      <c r="AJ2663" s="400"/>
      <c r="AK2663" s="64"/>
    </row>
    <row r="2664" spans="2:37" ht="28.8">
      <c r="C2664" s="123" t="s">
        <v>1639</v>
      </c>
      <c r="D2664" s="104">
        <v>0</v>
      </c>
      <c r="E2664" s="104">
        <v>0</v>
      </c>
      <c r="F2664" s="104">
        <v>0</v>
      </c>
      <c r="I2664" s="97"/>
      <c r="J2664" s="98"/>
      <c r="K2664" s="98"/>
      <c r="L2664" s="98"/>
      <c r="M2664" s="98"/>
      <c r="N2664" s="98"/>
      <c r="O2664" s="125"/>
      <c r="P2664" s="125"/>
      <c r="Q2664" s="87"/>
      <c r="R2664" s="87"/>
      <c r="S2664" s="87"/>
      <c r="T2664" s="87"/>
      <c r="U2664" s="87"/>
      <c r="V2664" s="87"/>
      <c r="W2664" s="87"/>
      <c r="X2664" s="87"/>
      <c r="Y2664" s="87"/>
    </row>
    <row r="2665" spans="2:37">
      <c r="C2665" s="120" t="s">
        <v>1640</v>
      </c>
      <c r="D2665" s="104">
        <v>0.2</v>
      </c>
      <c r="E2665" s="104">
        <v>0.2</v>
      </c>
      <c r="F2665" s="104">
        <v>0.05</v>
      </c>
      <c r="I2665" s="97"/>
      <c r="J2665" s="98"/>
      <c r="K2665" s="98"/>
      <c r="L2665" s="98">
        <f>E2665</f>
        <v>0.2</v>
      </c>
      <c r="M2665" s="98">
        <f>F2665</f>
        <v>0.05</v>
      </c>
      <c r="N2665" s="98"/>
      <c r="O2665" s="125"/>
      <c r="P2665" s="125"/>
      <c r="Q2665" s="87"/>
      <c r="R2665" s="87"/>
      <c r="S2665" s="87"/>
      <c r="T2665" s="87"/>
      <c r="U2665" s="87"/>
      <c r="V2665" s="87"/>
      <c r="W2665" s="87"/>
      <c r="X2665" s="87"/>
      <c r="Y2665" s="87"/>
    </row>
    <row r="2666" spans="2:37">
      <c r="C2666" s="120" t="s">
        <v>1641</v>
      </c>
      <c r="D2666" s="104">
        <v>0.05</v>
      </c>
      <c r="E2666" s="104">
        <v>0.05</v>
      </c>
      <c r="F2666" s="104">
        <v>0</v>
      </c>
      <c r="I2666" s="97"/>
      <c r="J2666" s="98"/>
      <c r="K2666" s="98"/>
      <c r="L2666" s="98">
        <f>E2666</f>
        <v>0.05</v>
      </c>
      <c r="M2666" s="98">
        <f>F2666</f>
        <v>0</v>
      </c>
      <c r="N2666" s="98"/>
      <c r="O2666" s="125"/>
      <c r="P2666" s="125"/>
      <c r="Q2666" s="87"/>
      <c r="R2666" s="87"/>
      <c r="S2666" s="87"/>
      <c r="T2666" s="87"/>
      <c r="U2666" s="87"/>
      <c r="V2666" s="87"/>
      <c r="W2666" s="87"/>
      <c r="X2666" s="87"/>
      <c r="Y2666" s="87"/>
    </row>
    <row r="2667" spans="2:37" ht="28.8">
      <c r="C2667" s="123" t="s">
        <v>1642</v>
      </c>
      <c r="D2667" s="104">
        <v>0.04</v>
      </c>
      <c r="E2667" s="104">
        <v>0.04</v>
      </c>
      <c r="F2667" s="104">
        <v>0.03</v>
      </c>
      <c r="I2667" s="139"/>
      <c r="J2667" s="139"/>
      <c r="K2667" s="139"/>
      <c r="L2667" s="139"/>
      <c r="M2667" s="139"/>
      <c r="N2667" s="139"/>
      <c r="O2667" s="139"/>
      <c r="P2667" s="139"/>
      <c r="Q2667" s="87"/>
      <c r="R2667" s="87"/>
      <c r="S2667" s="87"/>
      <c r="T2667" s="87"/>
      <c r="U2667" s="87"/>
      <c r="V2667" s="87"/>
      <c r="W2667" s="87"/>
      <c r="X2667" s="87"/>
      <c r="Y2667" s="87"/>
    </row>
    <row r="2668" spans="2:37">
      <c r="C2668" s="120" t="s">
        <v>902</v>
      </c>
      <c r="D2668" s="104">
        <v>0.1</v>
      </c>
      <c r="E2668" s="104">
        <v>0.1</v>
      </c>
      <c r="F2668" s="104">
        <v>0.1</v>
      </c>
      <c r="I2668" s="87"/>
      <c r="J2668" s="87"/>
      <c r="K2668" s="87"/>
      <c r="L2668" s="125">
        <f>E2668</f>
        <v>0.1</v>
      </c>
      <c r="M2668" s="125">
        <f>F2668</f>
        <v>0.1</v>
      </c>
      <c r="N2668" s="125"/>
      <c r="O2668" s="87"/>
      <c r="P2668" s="87"/>
      <c r="Q2668" s="87"/>
      <c r="R2668" s="87"/>
      <c r="S2668" s="87"/>
      <c r="T2668" s="87"/>
      <c r="U2668" s="87"/>
      <c r="V2668" s="87"/>
      <c r="W2668" s="87"/>
      <c r="X2668" s="87"/>
      <c r="Y2668" s="87"/>
    </row>
    <row r="2669" spans="2:37">
      <c r="C2669" s="46"/>
      <c r="D2669" s="76">
        <f>SUM(D2664:D2668)</f>
        <v>0.39</v>
      </c>
      <c r="E2669" s="76">
        <f>SUM(E2664:E2668)</f>
        <v>0.39</v>
      </c>
      <c r="F2669" s="76">
        <f>SUM(F2664:F2668)</f>
        <v>0.18</v>
      </c>
      <c r="L2669" s="6">
        <f>SUM(L2665:L2668)</f>
        <v>0.35</v>
      </c>
      <c r="M2669" s="6">
        <f>SUM(M2665:M2668)</f>
        <v>0.15000000000000002</v>
      </c>
      <c r="N2669" s="6"/>
      <c r="O2669" s="6"/>
      <c r="P2669" s="6"/>
      <c r="Q2669" s="6"/>
      <c r="R2669" s="6">
        <f>SUM(R2665:R2668)</f>
        <v>0</v>
      </c>
      <c r="S2669" s="6">
        <f>SUM(S2665:S2668)</f>
        <v>0</v>
      </c>
      <c r="T2669" s="6"/>
      <c r="U2669" s="6">
        <f>SUM(U2665:U2668)</f>
        <v>0</v>
      </c>
      <c r="V2669" s="6">
        <f>SUM(V2665:V2668)</f>
        <v>0</v>
      </c>
      <c r="W2669" s="6"/>
      <c r="X2669" s="6"/>
      <c r="Y2669" s="6"/>
    </row>
    <row r="2670" spans="2:37">
      <c r="C2670" s="46"/>
      <c r="D2670" s="47"/>
      <c r="E2670" s="76">
        <f>D2669-E2669</f>
        <v>0</v>
      </c>
      <c r="F2670" s="76">
        <f>E2669-F2669</f>
        <v>0.21000000000000002</v>
      </c>
    </row>
    <row r="2671" spans="2:37">
      <c r="C2671" s="46"/>
      <c r="D2671" s="47"/>
      <c r="E2671" s="46"/>
      <c r="F2671" s="46"/>
    </row>
    <row r="2672" spans="2:37">
      <c r="C2672" s="46"/>
      <c r="D2672" s="46"/>
      <c r="E2672" s="46"/>
      <c r="F2672" s="46"/>
    </row>
    <row r="2673" spans="2:36">
      <c r="C2673" s="127" t="s">
        <v>1618</v>
      </c>
      <c r="D2673" s="120" t="s">
        <v>416</v>
      </c>
      <c r="E2673" s="120"/>
      <c r="F2673" s="120"/>
    </row>
    <row r="2674" spans="2:36">
      <c r="C2674" s="87" t="s">
        <v>1619</v>
      </c>
      <c r="D2674" s="88">
        <v>4</v>
      </c>
      <c r="E2674" s="88"/>
      <c r="F2674" s="88"/>
    </row>
    <row r="2675" spans="2:36">
      <c r="C2675" s="87" t="s">
        <v>1620</v>
      </c>
      <c r="D2675" s="88"/>
      <c r="E2675" s="88"/>
      <c r="F2675" s="88"/>
    </row>
    <row r="2676" spans="2:36">
      <c r="C2676" s="87" t="s">
        <v>362</v>
      </c>
      <c r="D2676" s="88"/>
      <c r="E2676" s="88"/>
      <c r="F2676" s="88"/>
    </row>
    <row r="2677" spans="2:36">
      <c r="C2677" s="87" t="s">
        <v>363</v>
      </c>
      <c r="D2677" s="88"/>
      <c r="E2677" s="88"/>
      <c r="F2677" s="88"/>
    </row>
    <row r="2678" spans="2:36">
      <c r="D2678" s="84"/>
      <c r="E2678" s="84"/>
      <c r="F2678" s="84"/>
    </row>
    <row r="2679" spans="2:36" s="100" customFormat="1">
      <c r="C2679" s="99"/>
      <c r="D2679" s="99"/>
      <c r="E2679" s="99"/>
      <c r="F2679" s="99"/>
      <c r="AD2679" s="332"/>
      <c r="AJ2679" s="392"/>
    </row>
    <row r="2680" spans="2:36">
      <c r="C2680" s="46"/>
      <c r="D2680" s="46"/>
      <c r="E2680" s="46"/>
      <c r="F2680" s="46"/>
    </row>
    <row r="2681" spans="2:36">
      <c r="C2681" s="46"/>
      <c r="D2681" s="46"/>
      <c r="E2681" s="46"/>
      <c r="F2681" s="46"/>
    </row>
    <row r="2682" spans="2:36">
      <c r="C2682" s="46"/>
      <c r="D2682" s="46"/>
      <c r="E2682" s="46"/>
      <c r="F2682" s="46"/>
      <c r="I2682" s="857" t="s">
        <v>1643</v>
      </c>
      <c r="J2682" s="858"/>
      <c r="K2682" s="858"/>
      <c r="L2682" s="858"/>
      <c r="M2682" s="858"/>
      <c r="N2682" s="858"/>
      <c r="O2682" s="858"/>
      <c r="P2682" s="858"/>
      <c r="Q2682" s="859"/>
    </row>
    <row r="2683" spans="2:36">
      <c r="D2683" s="84"/>
      <c r="E2683" s="84"/>
      <c r="F2683" s="84"/>
      <c r="I2683" s="851" t="s">
        <v>1644</v>
      </c>
      <c r="J2683" s="852"/>
      <c r="K2683" s="852"/>
      <c r="L2683" s="852"/>
      <c r="M2683" s="852"/>
      <c r="N2683" s="852"/>
      <c r="O2683" s="852"/>
      <c r="P2683" s="852"/>
      <c r="Q2683" s="853"/>
    </row>
    <row r="2684" spans="2:36">
      <c r="D2684" s="84"/>
      <c r="E2684" s="84"/>
      <c r="F2684" s="84"/>
      <c r="I2684" s="847" t="s">
        <v>1645</v>
      </c>
      <c r="J2684" s="847"/>
      <c r="K2684" s="317"/>
      <c r="L2684" s="847" t="s">
        <v>1646</v>
      </c>
      <c r="M2684" s="847"/>
      <c r="N2684" s="317"/>
      <c r="O2684" s="910" t="s">
        <v>1647</v>
      </c>
      <c r="P2684" s="910"/>
      <c r="Q2684" s="284"/>
    </row>
    <row r="2685" spans="2:36" ht="28.8">
      <c r="B2685" s="519" t="s">
        <v>1079</v>
      </c>
      <c r="C2685" s="150" t="s">
        <v>28</v>
      </c>
      <c r="D2685" s="102" t="s">
        <v>353</v>
      </c>
      <c r="E2685" s="136" t="s">
        <v>354</v>
      </c>
      <c r="F2685" s="102" t="s">
        <v>355</v>
      </c>
      <c r="I2685" s="146" t="s">
        <v>1080</v>
      </c>
      <c r="J2685" s="147" t="s">
        <v>1081</v>
      </c>
      <c r="K2685" s="147"/>
      <c r="L2685" s="146" t="s">
        <v>1080</v>
      </c>
      <c r="M2685" s="147" t="s">
        <v>1081</v>
      </c>
      <c r="N2685" s="147"/>
      <c r="O2685" s="146" t="s">
        <v>1080</v>
      </c>
      <c r="P2685" s="151" t="s">
        <v>1081</v>
      </c>
      <c r="Q2685" s="107" t="s">
        <v>1081</v>
      </c>
    </row>
    <row r="2686" spans="2:36" ht="28.8">
      <c r="C2686" s="191" t="s">
        <v>1648</v>
      </c>
      <c r="D2686" s="102"/>
      <c r="E2686" s="136"/>
      <c r="F2686" s="102"/>
      <c r="I2686" s="146"/>
      <c r="J2686" s="147"/>
      <c r="K2686" s="147"/>
      <c r="L2686" s="146"/>
      <c r="M2686" s="147"/>
      <c r="N2686" s="147"/>
      <c r="O2686" s="146"/>
      <c r="P2686" s="151"/>
      <c r="Q2686" s="743"/>
    </row>
    <row r="2687" spans="2:36" ht="28.8">
      <c r="C2687" s="187" t="s">
        <v>1649</v>
      </c>
      <c r="D2687" s="102"/>
      <c r="E2687" s="136"/>
      <c r="F2687" s="102"/>
      <c r="I2687" s="146"/>
      <c r="J2687" s="147"/>
      <c r="K2687" s="147"/>
      <c r="L2687" s="146"/>
      <c r="M2687" s="147"/>
      <c r="N2687" s="147"/>
      <c r="O2687" s="146"/>
      <c r="P2687" s="151"/>
      <c r="Q2687" s="743"/>
    </row>
    <row r="2688" spans="2:36">
      <c r="C2688" s="187" t="s">
        <v>1650</v>
      </c>
      <c r="D2688" s="102"/>
      <c r="E2688" s="136"/>
      <c r="F2688" s="102"/>
      <c r="I2688" s="146"/>
      <c r="J2688" s="147"/>
      <c r="K2688" s="147"/>
      <c r="L2688" s="146"/>
      <c r="M2688" s="147"/>
      <c r="N2688" s="147"/>
      <c r="O2688" s="146"/>
      <c r="P2688" s="151"/>
      <c r="Q2688" s="743"/>
    </row>
    <row r="2689" spans="3:17">
      <c r="C2689" s="123" t="s">
        <v>903</v>
      </c>
      <c r="D2689" s="104">
        <v>0.04</v>
      </c>
      <c r="E2689" s="104">
        <v>0.04</v>
      </c>
      <c r="F2689" s="104">
        <v>0.04</v>
      </c>
      <c r="I2689" s="97">
        <f t="shared" ref="I2689:J2692" si="195">E2689</f>
        <v>0.04</v>
      </c>
      <c r="J2689" s="98">
        <f t="shared" si="195"/>
        <v>0.04</v>
      </c>
      <c r="K2689" s="98"/>
      <c r="L2689" s="98"/>
      <c r="M2689" s="98"/>
      <c r="N2689" s="98"/>
      <c r="O2689" s="125"/>
      <c r="P2689" s="132"/>
      <c r="Q2689" s="97"/>
    </row>
    <row r="2690" spans="3:17">
      <c r="C2690" s="120" t="s">
        <v>1651</v>
      </c>
      <c r="D2690" s="104">
        <v>0.05</v>
      </c>
      <c r="E2690" s="104">
        <v>0.05</v>
      </c>
      <c r="F2690" s="104">
        <v>0.05</v>
      </c>
      <c r="I2690" s="97">
        <f t="shared" si="195"/>
        <v>0.05</v>
      </c>
      <c r="J2690" s="98">
        <f t="shared" si="195"/>
        <v>0.05</v>
      </c>
      <c r="K2690" s="98"/>
      <c r="L2690" s="98"/>
      <c r="M2690" s="98"/>
      <c r="N2690" s="98"/>
      <c r="O2690" s="125"/>
      <c r="P2690" s="132"/>
      <c r="Q2690" s="97"/>
    </row>
    <row r="2691" spans="3:17">
      <c r="C2691" s="120" t="s">
        <v>904</v>
      </c>
      <c r="D2691" s="104">
        <v>0.05</v>
      </c>
      <c r="E2691" s="104">
        <v>0.05</v>
      </c>
      <c r="F2691" s="104">
        <v>0.05</v>
      </c>
      <c r="I2691" s="97">
        <f t="shared" si="195"/>
        <v>0.05</v>
      </c>
      <c r="J2691" s="98">
        <f t="shared" si="195"/>
        <v>0.05</v>
      </c>
      <c r="K2691" s="98"/>
      <c r="L2691" s="98"/>
      <c r="M2691" s="98"/>
      <c r="N2691" s="98"/>
      <c r="O2691" s="125"/>
      <c r="P2691" s="132"/>
      <c r="Q2691" s="97"/>
    </row>
    <row r="2692" spans="3:17">
      <c r="C2692" s="120" t="s">
        <v>905</v>
      </c>
      <c r="D2692" s="104">
        <v>0.1</v>
      </c>
      <c r="E2692" s="104">
        <v>0.1</v>
      </c>
      <c r="F2692" s="104">
        <v>0.1</v>
      </c>
      <c r="I2692" s="112">
        <f t="shared" si="195"/>
        <v>0.1</v>
      </c>
      <c r="J2692" s="112">
        <f t="shared" si="195"/>
        <v>0.1</v>
      </c>
      <c r="K2692" s="112"/>
      <c r="L2692" s="112"/>
      <c r="M2692" s="112"/>
      <c r="N2692" s="112"/>
      <c r="O2692" s="131"/>
      <c r="P2692" s="148"/>
      <c r="Q2692" s="98"/>
    </row>
    <row r="2693" spans="3:17">
      <c r="C2693" s="120" t="s">
        <v>906</v>
      </c>
      <c r="D2693" s="104">
        <v>0.1</v>
      </c>
      <c r="E2693" s="104">
        <v>0.1</v>
      </c>
      <c r="F2693" s="104">
        <v>0.1</v>
      </c>
      <c r="I2693" s="125"/>
      <c r="J2693" s="125"/>
      <c r="K2693" s="125"/>
      <c r="L2693" s="125"/>
      <c r="M2693" s="125"/>
      <c r="N2693" s="125"/>
      <c r="O2693" s="124">
        <f>E2693</f>
        <v>0.1</v>
      </c>
      <c r="P2693" s="160">
        <f>F2693</f>
        <v>0.1</v>
      </c>
      <c r="Q2693" s="124">
        <f>F2693</f>
        <v>0.1</v>
      </c>
    </row>
    <row r="2694" spans="3:17">
      <c r="C2694" s="120" t="s">
        <v>907</v>
      </c>
      <c r="D2694" s="104">
        <v>0.02</v>
      </c>
      <c r="E2694" s="104">
        <v>0.02</v>
      </c>
      <c r="F2694" s="104">
        <v>0.02</v>
      </c>
      <c r="I2694" s="131">
        <f>E2694</f>
        <v>0.02</v>
      </c>
      <c r="J2694" s="131">
        <f>F2694</f>
        <v>0.02</v>
      </c>
      <c r="K2694" s="131"/>
      <c r="L2694" s="131"/>
      <c r="M2694" s="131"/>
      <c r="N2694" s="131"/>
      <c r="O2694" s="131"/>
      <c r="P2694" s="148"/>
      <c r="Q2694" s="125"/>
    </row>
    <row r="2695" spans="3:17">
      <c r="C2695" s="120" t="s">
        <v>908</v>
      </c>
      <c r="D2695" s="104">
        <v>0.02</v>
      </c>
      <c r="E2695" s="104">
        <v>0.02</v>
      </c>
      <c r="F2695" s="104">
        <v>0.02</v>
      </c>
      <c r="I2695" s="125"/>
      <c r="J2695" s="125"/>
      <c r="K2695" s="125"/>
      <c r="L2695" s="125"/>
      <c r="M2695" s="125"/>
      <c r="N2695" s="125"/>
      <c r="O2695" s="124">
        <f>E2695</f>
        <v>0.02</v>
      </c>
      <c r="P2695" s="160">
        <f>F2695</f>
        <v>0.02</v>
      </c>
      <c r="Q2695" s="124">
        <f>F2695</f>
        <v>0.02</v>
      </c>
    </row>
    <row r="2696" spans="3:17">
      <c r="C2696" s="123" t="s">
        <v>909</v>
      </c>
      <c r="D2696" s="104">
        <v>0.02</v>
      </c>
      <c r="E2696" s="104">
        <v>0.02</v>
      </c>
      <c r="F2696" s="104">
        <v>0.02</v>
      </c>
      <c r="I2696" s="125">
        <f>E2696</f>
        <v>0.02</v>
      </c>
      <c r="J2696" s="125">
        <f>F2696</f>
        <v>0.02</v>
      </c>
      <c r="K2696" s="125"/>
      <c r="L2696" s="125"/>
      <c r="M2696" s="125"/>
      <c r="N2696" s="125"/>
      <c r="O2696" s="125"/>
      <c r="P2696" s="132"/>
      <c r="Q2696" s="125"/>
    </row>
    <row r="2697" spans="3:17">
      <c r="C2697" s="120" t="s">
        <v>1652</v>
      </c>
      <c r="D2697" s="104">
        <v>0.02</v>
      </c>
      <c r="E2697" s="104">
        <v>0.02</v>
      </c>
      <c r="F2697" s="104">
        <v>0.02</v>
      </c>
      <c r="I2697" s="125"/>
      <c r="J2697" s="125"/>
      <c r="K2697" s="125"/>
      <c r="L2697" s="125"/>
      <c r="M2697" s="125"/>
      <c r="N2697" s="125"/>
      <c r="O2697" s="124">
        <f>E2697</f>
        <v>0.02</v>
      </c>
      <c r="P2697" s="160">
        <f>F2697</f>
        <v>0.02</v>
      </c>
      <c r="Q2697" s="124">
        <f>F2697</f>
        <v>0.02</v>
      </c>
    </row>
    <row r="2698" spans="3:17">
      <c r="C2698" s="120" t="s">
        <v>910</v>
      </c>
      <c r="D2698" s="104">
        <v>0.02</v>
      </c>
      <c r="E2698" s="104">
        <v>0.02</v>
      </c>
      <c r="F2698" s="104">
        <v>0.02</v>
      </c>
      <c r="I2698" s="125">
        <f>E2698</f>
        <v>0.02</v>
      </c>
      <c r="J2698" s="125">
        <f>F2698</f>
        <v>0.02</v>
      </c>
      <c r="K2698" s="125"/>
      <c r="L2698" s="125"/>
      <c r="M2698" s="125"/>
      <c r="N2698" s="125"/>
      <c r="O2698" s="125"/>
      <c r="P2698" s="132"/>
      <c r="Q2698" s="125"/>
    </row>
    <row r="2699" spans="3:17">
      <c r="C2699" s="120" t="s">
        <v>911</v>
      </c>
      <c r="D2699" s="104">
        <v>0.01</v>
      </c>
      <c r="E2699" s="104">
        <v>0.01</v>
      </c>
      <c r="F2699" s="104">
        <v>0.01</v>
      </c>
      <c r="I2699" s="125">
        <f>E2699</f>
        <v>0.01</v>
      </c>
      <c r="J2699" s="125">
        <f>F2699</f>
        <v>0.01</v>
      </c>
      <c r="K2699" s="125"/>
      <c r="L2699" s="125"/>
      <c r="M2699" s="125"/>
      <c r="N2699" s="125"/>
      <c r="O2699" s="125"/>
      <c r="P2699" s="132"/>
      <c r="Q2699" s="125"/>
    </row>
    <row r="2700" spans="3:17">
      <c r="C2700" s="120" t="s">
        <v>912</v>
      </c>
      <c r="D2700" s="104">
        <v>0.01</v>
      </c>
      <c r="E2700" s="104">
        <v>0.01</v>
      </c>
      <c r="F2700" s="104">
        <v>0.01</v>
      </c>
      <c r="I2700" s="125"/>
      <c r="J2700" s="125"/>
      <c r="K2700" s="125"/>
      <c r="L2700" s="125"/>
      <c r="M2700" s="125"/>
      <c r="N2700" s="125"/>
      <c r="O2700" s="125">
        <f>E2700</f>
        <v>0.01</v>
      </c>
      <c r="P2700" s="132">
        <f>F2700</f>
        <v>0.01</v>
      </c>
      <c r="Q2700" s="125"/>
    </row>
    <row r="2701" spans="3:17">
      <c r="C2701" s="123" t="s">
        <v>913</v>
      </c>
      <c r="D2701" s="104">
        <v>0.1</v>
      </c>
      <c r="E2701" s="104">
        <v>0.1</v>
      </c>
      <c r="F2701" s="104">
        <v>0.1</v>
      </c>
      <c r="I2701" s="125">
        <f>E2701</f>
        <v>0.1</v>
      </c>
      <c r="J2701" s="125">
        <f>F2701</f>
        <v>0.1</v>
      </c>
      <c r="K2701" s="125"/>
      <c r="L2701" s="125">
        <f>E2701</f>
        <v>0.1</v>
      </c>
      <c r="M2701" s="125">
        <f>F2701</f>
        <v>0.1</v>
      </c>
      <c r="N2701" s="125"/>
      <c r="O2701" s="125"/>
      <c r="P2701" s="132"/>
      <c r="Q2701" s="125"/>
    </row>
    <row r="2702" spans="3:17" ht="28.8">
      <c r="C2702" s="123" t="s">
        <v>914</v>
      </c>
      <c r="D2702" s="104">
        <v>0.1</v>
      </c>
      <c r="E2702" s="104">
        <v>0.1</v>
      </c>
      <c r="F2702" s="104">
        <v>0.1</v>
      </c>
      <c r="I2702" s="125"/>
      <c r="J2702" s="125"/>
      <c r="K2702" s="125"/>
      <c r="L2702" s="125"/>
      <c r="M2702" s="125"/>
      <c r="N2702" s="125"/>
      <c r="O2702" s="124">
        <f>E2702</f>
        <v>0.1</v>
      </c>
      <c r="P2702" s="160">
        <f>F2702</f>
        <v>0.1</v>
      </c>
      <c r="Q2702" s="124">
        <f>F2702</f>
        <v>0.1</v>
      </c>
    </row>
    <row r="2703" spans="3:17" ht="28.8">
      <c r="C2703" s="123" t="s">
        <v>915</v>
      </c>
      <c r="D2703" s="104">
        <v>0.02</v>
      </c>
      <c r="E2703" s="104">
        <v>0.02</v>
      </c>
      <c r="F2703" s="104">
        <v>0.02</v>
      </c>
      <c r="I2703" s="125">
        <f>E2703</f>
        <v>0.02</v>
      </c>
      <c r="J2703" s="125">
        <f>F2703</f>
        <v>0.02</v>
      </c>
      <c r="K2703" s="125"/>
      <c r="L2703" s="125"/>
      <c r="M2703" s="125"/>
      <c r="N2703" s="125"/>
      <c r="O2703" s="125"/>
      <c r="P2703" s="132"/>
      <c r="Q2703" s="125"/>
    </row>
    <row r="2704" spans="3:17">
      <c r="C2704" s="120" t="s">
        <v>916</v>
      </c>
      <c r="D2704" s="104">
        <v>0.02</v>
      </c>
      <c r="E2704" s="104">
        <v>0.02</v>
      </c>
      <c r="F2704" s="104">
        <v>0.02</v>
      </c>
      <c r="I2704" s="125">
        <f>E2704</f>
        <v>0.02</v>
      </c>
      <c r="J2704" s="125">
        <f>F2704</f>
        <v>0.02</v>
      </c>
      <c r="K2704" s="125"/>
      <c r="L2704" s="125"/>
      <c r="M2704" s="125"/>
      <c r="N2704" s="125"/>
      <c r="O2704" s="125"/>
      <c r="P2704" s="132"/>
      <c r="Q2704" s="125"/>
    </row>
    <row r="2705" spans="3:17">
      <c r="C2705" s="120" t="s">
        <v>917</v>
      </c>
      <c r="D2705" s="104">
        <v>0.02</v>
      </c>
      <c r="E2705" s="104">
        <v>0.02</v>
      </c>
      <c r="F2705" s="104">
        <v>0.02</v>
      </c>
      <c r="I2705" s="125"/>
      <c r="J2705" s="125"/>
      <c r="K2705" s="125"/>
      <c r="L2705" s="125"/>
      <c r="M2705" s="125"/>
      <c r="N2705" s="125"/>
      <c r="O2705" s="124">
        <f>E2705</f>
        <v>0.02</v>
      </c>
      <c r="P2705" s="160">
        <f>F2705</f>
        <v>0.02</v>
      </c>
      <c r="Q2705" s="124">
        <f>F2705</f>
        <v>0.02</v>
      </c>
    </row>
    <row r="2706" spans="3:17">
      <c r="C2706" s="120" t="s">
        <v>918</v>
      </c>
      <c r="D2706" s="104">
        <v>0.02</v>
      </c>
      <c r="E2706" s="104">
        <v>0.02</v>
      </c>
      <c r="F2706" s="104">
        <v>0.02</v>
      </c>
      <c r="I2706" s="131">
        <f>E2706</f>
        <v>0.02</v>
      </c>
      <c r="J2706" s="131">
        <f>F2706</f>
        <v>0.02</v>
      </c>
      <c r="K2706" s="131"/>
      <c r="L2706" s="131"/>
      <c r="M2706" s="131"/>
      <c r="N2706" s="131"/>
      <c r="O2706" s="131"/>
      <c r="P2706" s="148"/>
      <c r="Q2706" s="131"/>
    </row>
    <row r="2707" spans="3:17">
      <c r="C2707" s="120" t="s">
        <v>919</v>
      </c>
      <c r="D2707" s="104">
        <v>0.02</v>
      </c>
      <c r="E2707" s="104">
        <v>0.02</v>
      </c>
      <c r="F2707" s="104">
        <v>0.02</v>
      </c>
      <c r="I2707" s="125"/>
      <c r="J2707" s="125"/>
      <c r="K2707" s="125"/>
      <c r="L2707" s="124">
        <f>E2707</f>
        <v>0.02</v>
      </c>
      <c r="M2707" s="124">
        <f>F2707</f>
        <v>0.02</v>
      </c>
      <c r="N2707" s="124"/>
      <c r="O2707" s="124">
        <f>E2707</f>
        <v>0.02</v>
      </c>
      <c r="P2707" s="124">
        <f>F2707</f>
        <v>0.02</v>
      </c>
      <c r="Q2707" s="125"/>
    </row>
    <row r="2708" spans="3:17">
      <c r="C2708" s="123" t="s">
        <v>920</v>
      </c>
      <c r="D2708" s="104">
        <v>0.03</v>
      </c>
      <c r="E2708" s="104">
        <v>0.03</v>
      </c>
      <c r="F2708" s="104">
        <v>0.03</v>
      </c>
      <c r="I2708" s="125">
        <f>E2708</f>
        <v>0.03</v>
      </c>
      <c r="J2708" s="125">
        <f>F2708</f>
        <v>0.03</v>
      </c>
      <c r="K2708" s="125"/>
      <c r="L2708" s="139"/>
      <c r="M2708" s="139"/>
      <c r="N2708" s="139"/>
      <c r="O2708" s="139"/>
      <c r="P2708" s="139"/>
      <c r="Q2708" s="139"/>
    </row>
    <row r="2709" spans="3:17">
      <c r="C2709" s="120" t="s">
        <v>906</v>
      </c>
      <c r="D2709" s="104">
        <v>0.03</v>
      </c>
      <c r="E2709" s="104">
        <v>0.03</v>
      </c>
      <c r="F2709" s="104">
        <v>0.03</v>
      </c>
      <c r="I2709" s="125"/>
      <c r="J2709" s="125"/>
      <c r="K2709" s="125"/>
      <c r="L2709" s="125"/>
      <c r="M2709" s="125"/>
      <c r="N2709" s="125"/>
      <c r="O2709" s="125">
        <f>E2709</f>
        <v>0.03</v>
      </c>
      <c r="P2709" s="125">
        <f>F2709</f>
        <v>0.03</v>
      </c>
      <c r="Q2709" s="125"/>
    </row>
    <row r="2710" spans="3:17">
      <c r="C2710" s="120" t="s">
        <v>907</v>
      </c>
      <c r="D2710" s="104">
        <v>0.02</v>
      </c>
      <c r="E2710" s="104">
        <v>0.02</v>
      </c>
      <c r="F2710" s="104">
        <v>0.02</v>
      </c>
      <c r="I2710" s="125">
        <f>E2710</f>
        <v>0.02</v>
      </c>
      <c r="J2710" s="125">
        <f>F2710</f>
        <v>0.02</v>
      </c>
      <c r="K2710" s="125"/>
      <c r="L2710" s="125"/>
      <c r="M2710" s="125"/>
      <c r="N2710" s="125"/>
      <c r="O2710" s="125"/>
      <c r="P2710" s="125"/>
      <c r="Q2710" s="125"/>
    </row>
    <row r="2711" spans="3:17">
      <c r="C2711" s="120" t="s">
        <v>908</v>
      </c>
      <c r="D2711" s="104">
        <v>0.02</v>
      </c>
      <c r="E2711" s="104">
        <v>0.02</v>
      </c>
      <c r="F2711" s="104">
        <v>0.02</v>
      </c>
      <c r="I2711" s="125"/>
      <c r="J2711" s="125"/>
      <c r="K2711" s="125"/>
      <c r="L2711" s="125"/>
      <c r="M2711" s="125"/>
      <c r="N2711" s="125"/>
      <c r="O2711" s="124">
        <f>E2711</f>
        <v>0.02</v>
      </c>
      <c r="P2711" s="124">
        <f>F2711</f>
        <v>0.02</v>
      </c>
      <c r="Q2711" s="124">
        <f>F2711</f>
        <v>0.02</v>
      </c>
    </row>
    <row r="2712" spans="3:17" ht="28.8">
      <c r="C2712" s="123" t="s">
        <v>921</v>
      </c>
      <c r="D2712" s="104">
        <v>0.02</v>
      </c>
      <c r="E2712" s="104">
        <v>0.02</v>
      </c>
      <c r="F2712" s="104">
        <v>0.02</v>
      </c>
      <c r="I2712" s="131">
        <f>E2712</f>
        <v>0.02</v>
      </c>
      <c r="J2712" s="131">
        <f>F2712</f>
        <v>0.02</v>
      </c>
      <c r="K2712" s="131"/>
      <c r="L2712" s="131"/>
      <c r="M2712" s="131"/>
      <c r="N2712" s="131"/>
      <c r="O2712" s="131"/>
      <c r="P2712" s="131"/>
      <c r="Q2712" s="131"/>
    </row>
    <row r="2713" spans="3:17">
      <c r="C2713" s="120" t="s">
        <v>922</v>
      </c>
      <c r="D2713" s="104">
        <v>0.01</v>
      </c>
      <c r="E2713" s="104">
        <v>0.01</v>
      </c>
      <c r="F2713" s="104">
        <v>0.01</v>
      </c>
      <c r="I2713" s="125">
        <f>E2713</f>
        <v>0.01</v>
      </c>
      <c r="J2713" s="125">
        <f>F2713</f>
        <v>0.01</v>
      </c>
      <c r="K2713" s="125"/>
      <c r="L2713" s="125"/>
      <c r="M2713" s="139"/>
      <c r="N2713" s="139"/>
      <c r="O2713" s="139"/>
      <c r="P2713" s="139"/>
      <c r="Q2713" s="139"/>
    </row>
    <row r="2714" spans="3:17">
      <c r="C2714" s="123" t="s">
        <v>923</v>
      </c>
      <c r="D2714" s="104">
        <v>0.01</v>
      </c>
      <c r="E2714" s="104">
        <v>0.01</v>
      </c>
      <c r="F2714" s="104">
        <v>0.01</v>
      </c>
      <c r="I2714" s="125"/>
      <c r="J2714" s="125"/>
      <c r="K2714" s="125"/>
      <c r="L2714" s="125"/>
      <c r="M2714" s="125"/>
      <c r="N2714" s="125"/>
      <c r="O2714" s="125">
        <f>E2714</f>
        <v>0.01</v>
      </c>
      <c r="P2714" s="125">
        <f>F2714</f>
        <v>0.01</v>
      </c>
      <c r="Q2714" s="125"/>
    </row>
    <row r="2715" spans="3:17">
      <c r="C2715" s="120" t="s">
        <v>924</v>
      </c>
      <c r="D2715" s="104">
        <v>0.01</v>
      </c>
      <c r="E2715" s="104">
        <v>0.01</v>
      </c>
      <c r="F2715" s="104">
        <v>0.01</v>
      </c>
      <c r="I2715" s="125">
        <f>E2715</f>
        <v>0.01</v>
      </c>
      <c r="J2715" s="125">
        <f>F2715</f>
        <v>0.01</v>
      </c>
      <c r="K2715" s="125"/>
      <c r="L2715" s="125"/>
      <c r="M2715" s="125"/>
      <c r="N2715" s="125"/>
      <c r="O2715" s="125"/>
      <c r="P2715" s="125"/>
      <c r="Q2715" s="125"/>
    </row>
    <row r="2716" spans="3:17" ht="28.8">
      <c r="C2716" s="123" t="s">
        <v>925</v>
      </c>
      <c r="D2716" s="104">
        <v>0.08</v>
      </c>
      <c r="E2716" s="104">
        <v>0.08</v>
      </c>
      <c r="F2716" s="104">
        <v>0.08</v>
      </c>
      <c r="I2716" s="124">
        <f>E2716</f>
        <v>0.08</v>
      </c>
      <c r="J2716" s="124">
        <f>F2716</f>
        <v>0.08</v>
      </c>
      <c r="K2716" s="124"/>
      <c r="L2716" s="124">
        <f>E2716</f>
        <v>0.08</v>
      </c>
      <c r="M2716" s="124">
        <f>F2716</f>
        <v>0.08</v>
      </c>
      <c r="N2716" s="124"/>
      <c r="O2716" s="125"/>
      <c r="P2716" s="125"/>
      <c r="Q2716" s="125"/>
    </row>
    <row r="2717" spans="3:17">
      <c r="C2717" s="46"/>
      <c r="D2717" s="76">
        <v>1</v>
      </c>
      <c r="E2717" s="76">
        <v>1</v>
      </c>
      <c r="F2717" s="76">
        <v>1</v>
      </c>
      <c r="I2717" s="33">
        <f>SUM(I2689:I2716)</f>
        <v>0.64000000000000012</v>
      </c>
      <c r="J2717" s="33">
        <f>SUM(J2689:J2716)</f>
        <v>0.64000000000000012</v>
      </c>
      <c r="K2717" s="33"/>
      <c r="L2717" s="33">
        <f>SUM(L2689:L2716)</f>
        <v>0.2</v>
      </c>
      <c r="M2717" s="33">
        <f>SUM(M2689:M2716)</f>
        <v>0.2</v>
      </c>
      <c r="N2717" s="33"/>
      <c r="O2717" s="33">
        <f>SUM(O2689:O2716)</f>
        <v>0.35000000000000009</v>
      </c>
      <c r="P2717" s="33">
        <f>SUM(P2689:P2716)</f>
        <v>0.35000000000000009</v>
      </c>
      <c r="Q2717" s="33">
        <f>SUM(Q2689:Q2716)</f>
        <v>0.28000000000000003</v>
      </c>
    </row>
    <row r="2718" spans="3:17">
      <c r="C2718" s="46"/>
      <c r="D2718" s="76"/>
      <c r="E2718" s="76">
        <v>0</v>
      </c>
      <c r="F2718" s="76">
        <f>E2717-F2717</f>
        <v>0</v>
      </c>
    </row>
    <row r="2719" spans="3:17">
      <c r="C2719" s="46"/>
      <c r="D2719" s="76"/>
      <c r="E2719" s="76"/>
      <c r="F2719" s="76"/>
    </row>
    <row r="2720" spans="3:17">
      <c r="C2720" s="45" t="s">
        <v>284</v>
      </c>
      <c r="D2720" s="46"/>
    </row>
    <row r="2721" spans="2:36">
      <c r="C2721" s="127" t="s">
        <v>1653</v>
      </c>
      <c r="D2721" s="120" t="s">
        <v>418</v>
      </c>
      <c r="E2721" s="120"/>
      <c r="F2721" s="120"/>
    </row>
    <row r="2722" spans="2:36">
      <c r="C2722" s="127" t="s">
        <v>1654</v>
      </c>
      <c r="D2722" s="120" t="s">
        <v>416</v>
      </c>
      <c r="E2722" s="120"/>
      <c r="F2722" s="120"/>
    </row>
    <row r="2723" spans="2:36">
      <c r="C2723" s="127" t="s">
        <v>1655</v>
      </c>
      <c r="D2723" s="120" t="s">
        <v>926</v>
      </c>
      <c r="E2723" s="120"/>
      <c r="F2723" s="120"/>
    </row>
    <row r="2724" spans="2:36">
      <c r="C2724" s="87" t="s">
        <v>1619</v>
      </c>
      <c r="D2724" s="88">
        <v>4</v>
      </c>
      <c r="E2724" s="88"/>
      <c r="F2724" s="88"/>
    </row>
    <row r="2725" spans="2:36">
      <c r="C2725" s="87" t="s">
        <v>1620</v>
      </c>
      <c r="D2725" s="88"/>
      <c r="E2725" s="88"/>
      <c r="F2725" s="88"/>
    </row>
    <row r="2726" spans="2:36">
      <c r="C2726" s="87" t="s">
        <v>362</v>
      </c>
      <c r="D2726" s="88"/>
      <c r="E2726" s="88"/>
      <c r="F2726" s="88"/>
    </row>
    <row r="2727" spans="2:36">
      <c r="C2727" s="87" t="s">
        <v>363</v>
      </c>
      <c r="D2727" s="88"/>
      <c r="E2727" s="88"/>
      <c r="F2727" s="88"/>
    </row>
    <row r="2728" spans="2:36">
      <c r="D2728" s="84"/>
      <c r="E2728" s="84"/>
      <c r="F2728" s="84"/>
    </row>
    <row r="2729" spans="2:36" s="100" customFormat="1">
      <c r="C2729" s="115"/>
      <c r="D2729" s="99"/>
      <c r="E2729" s="99"/>
      <c r="F2729" s="99"/>
      <c r="AD2729" s="332"/>
      <c r="AJ2729" s="392"/>
    </row>
    <row r="2730" spans="2:36">
      <c r="C2730" s="49"/>
      <c r="D2730" s="46"/>
      <c r="E2730" s="46"/>
      <c r="F2730" s="46"/>
    </row>
    <row r="2731" spans="2:36">
      <c r="C2731" s="49"/>
      <c r="D2731" s="46"/>
      <c r="E2731" s="46"/>
      <c r="F2731" s="46"/>
    </row>
    <row r="2732" spans="2:36">
      <c r="C2732" s="49"/>
      <c r="D2732" s="46"/>
      <c r="E2732" s="46"/>
      <c r="F2732" s="46"/>
    </row>
    <row r="2733" spans="2:36">
      <c r="C2733" s="49"/>
      <c r="D2733" s="46"/>
      <c r="E2733" s="46"/>
      <c r="F2733" s="46"/>
      <c r="I2733" s="857" t="s">
        <v>1643</v>
      </c>
      <c r="J2733" s="858"/>
      <c r="K2733" s="858"/>
      <c r="L2733" s="858"/>
      <c r="M2733" s="858"/>
      <c r="N2733" s="858"/>
      <c r="O2733" s="858"/>
      <c r="P2733" s="858"/>
      <c r="Q2733" s="859"/>
    </row>
    <row r="2734" spans="2:36">
      <c r="C2734" s="46"/>
      <c r="D2734" s="46"/>
      <c r="E2734" s="46"/>
      <c r="F2734" s="46"/>
      <c r="I2734" s="851" t="s">
        <v>1644</v>
      </c>
      <c r="J2734" s="852"/>
      <c r="K2734" s="852"/>
      <c r="L2734" s="852"/>
      <c r="M2734" s="852"/>
      <c r="N2734" s="852"/>
      <c r="O2734" s="852"/>
      <c r="P2734" s="852"/>
      <c r="Q2734" s="853"/>
    </row>
    <row r="2735" spans="2:36">
      <c r="D2735" s="84"/>
      <c r="E2735" s="84"/>
      <c r="F2735" s="84"/>
      <c r="I2735" s="847" t="s">
        <v>1645</v>
      </c>
      <c r="J2735" s="847"/>
      <c r="K2735" s="317"/>
      <c r="L2735" s="847" t="s">
        <v>1646</v>
      </c>
      <c r="M2735" s="847"/>
      <c r="N2735" s="317"/>
      <c r="O2735" s="910" t="s">
        <v>1647</v>
      </c>
      <c r="P2735" s="910"/>
      <c r="Q2735" s="284"/>
    </row>
    <row r="2736" spans="2:36" ht="28.8">
      <c r="B2736" s="578" t="s">
        <v>1202</v>
      </c>
      <c r="C2736" s="150" t="s">
        <v>30</v>
      </c>
      <c r="D2736" s="102" t="s">
        <v>353</v>
      </c>
      <c r="E2736" s="136" t="s">
        <v>354</v>
      </c>
      <c r="F2736" s="102" t="s">
        <v>355</v>
      </c>
      <c r="I2736" s="146" t="s">
        <v>1080</v>
      </c>
      <c r="J2736" s="147" t="s">
        <v>1081</v>
      </c>
      <c r="K2736" s="147"/>
      <c r="L2736" s="146" t="s">
        <v>1080</v>
      </c>
      <c r="M2736" s="147" t="s">
        <v>1081</v>
      </c>
      <c r="N2736" s="147"/>
      <c r="O2736" s="146" t="s">
        <v>1080</v>
      </c>
      <c r="P2736" s="151" t="s">
        <v>1081</v>
      </c>
      <c r="Q2736" s="107" t="s">
        <v>1081</v>
      </c>
    </row>
    <row r="2737" spans="3:17">
      <c r="C2737" s="157" t="s">
        <v>1656</v>
      </c>
      <c r="D2737" s="158">
        <v>0.01</v>
      </c>
      <c r="E2737" s="158">
        <v>0.01</v>
      </c>
      <c r="F2737" s="158">
        <v>0.01</v>
      </c>
      <c r="I2737" s="152">
        <f>E2737</f>
        <v>0.01</v>
      </c>
      <c r="J2737" s="153">
        <f>F2737</f>
        <v>0.01</v>
      </c>
      <c r="K2737" s="153"/>
      <c r="L2737" s="153"/>
      <c r="M2737" s="153"/>
      <c r="N2737" s="153"/>
      <c r="O2737" s="154"/>
      <c r="P2737" s="155"/>
      <c r="Q2737" s="152"/>
    </row>
    <row r="2738" spans="3:17">
      <c r="C2738" s="159" t="s">
        <v>927</v>
      </c>
      <c r="D2738" s="158">
        <v>0.01</v>
      </c>
      <c r="E2738" s="158">
        <v>0.01</v>
      </c>
      <c r="F2738" s="158">
        <v>0.01</v>
      </c>
      <c r="I2738" s="97"/>
      <c r="J2738" s="98"/>
      <c r="K2738" s="98"/>
      <c r="L2738" s="98"/>
      <c r="M2738" s="98"/>
      <c r="N2738" s="98"/>
      <c r="O2738" s="124">
        <f>E2738</f>
        <v>0.01</v>
      </c>
      <c r="P2738" s="160">
        <f>F2737</f>
        <v>0.01</v>
      </c>
      <c r="Q2738" s="161">
        <f>F2738</f>
        <v>0.01</v>
      </c>
    </row>
    <row r="2739" spans="3:17">
      <c r="C2739" s="157" t="s">
        <v>928</v>
      </c>
      <c r="D2739" s="158">
        <v>0.01</v>
      </c>
      <c r="E2739" s="158">
        <v>0.01</v>
      </c>
      <c r="F2739" s="158">
        <v>0.01</v>
      </c>
      <c r="I2739" s="97">
        <f>E2739</f>
        <v>0.01</v>
      </c>
      <c r="J2739" s="98">
        <f>F2739</f>
        <v>0.01</v>
      </c>
      <c r="K2739" s="98"/>
      <c r="L2739" s="98"/>
      <c r="M2739" s="98"/>
      <c r="N2739" s="98"/>
      <c r="O2739" s="125"/>
      <c r="P2739" s="132"/>
      <c r="Q2739" s="97"/>
    </row>
    <row r="2740" spans="3:17">
      <c r="C2740" s="123" t="s">
        <v>929</v>
      </c>
      <c r="D2740" s="158">
        <v>0.02</v>
      </c>
      <c r="E2740" s="158">
        <v>0.02</v>
      </c>
      <c r="F2740" s="158">
        <v>0.02</v>
      </c>
      <c r="I2740" s="97">
        <f>E2740</f>
        <v>0.02</v>
      </c>
      <c r="J2740" s="98">
        <f>F2740</f>
        <v>0.02</v>
      </c>
      <c r="K2740" s="98"/>
      <c r="L2740" s="98">
        <f>E2740</f>
        <v>0.02</v>
      </c>
      <c r="M2740" s="98">
        <f>F2740</f>
        <v>0.02</v>
      </c>
      <c r="N2740" s="98"/>
      <c r="O2740" s="125"/>
      <c r="P2740" s="132"/>
      <c r="Q2740" s="97"/>
    </row>
    <row r="2741" spans="3:17" ht="28.8">
      <c r="C2741" s="123" t="s">
        <v>930</v>
      </c>
      <c r="D2741" s="158">
        <v>0.02</v>
      </c>
      <c r="E2741" s="158">
        <v>0.02</v>
      </c>
      <c r="F2741" s="158">
        <v>0.02</v>
      </c>
      <c r="I2741" s="112"/>
      <c r="J2741" s="112"/>
      <c r="K2741" s="112"/>
      <c r="L2741" s="163">
        <f>E2741</f>
        <v>0.02</v>
      </c>
      <c r="M2741" s="163">
        <f>F2741</f>
        <v>0.02</v>
      </c>
      <c r="N2741" s="163"/>
      <c r="O2741" s="156">
        <f>E2741</f>
        <v>0.02</v>
      </c>
      <c r="P2741" s="162">
        <f>F2741</f>
        <v>0.02</v>
      </c>
      <c r="Q2741" s="129">
        <f>F2741</f>
        <v>0.02</v>
      </c>
    </row>
    <row r="2742" spans="3:17">
      <c r="C2742" s="120" t="s">
        <v>931</v>
      </c>
      <c r="D2742" s="158">
        <v>0.03</v>
      </c>
      <c r="E2742" s="158">
        <v>0.03</v>
      </c>
      <c r="F2742" s="158">
        <v>0.03</v>
      </c>
      <c r="I2742" s="125">
        <f>E2742</f>
        <v>0.03</v>
      </c>
      <c r="J2742" s="125">
        <f>F2742</f>
        <v>0.03</v>
      </c>
      <c r="K2742" s="125"/>
      <c r="L2742" s="125"/>
      <c r="M2742" s="125"/>
      <c r="N2742" s="125"/>
      <c r="O2742" s="125"/>
      <c r="P2742" s="132"/>
      <c r="Q2742" s="125"/>
    </row>
    <row r="2743" spans="3:17">
      <c r="C2743" s="120" t="s">
        <v>932</v>
      </c>
      <c r="D2743" s="158">
        <v>0.03</v>
      </c>
      <c r="E2743" s="158">
        <v>0.03</v>
      </c>
      <c r="F2743" s="158">
        <v>0.03</v>
      </c>
      <c r="I2743" s="149"/>
      <c r="J2743" s="149"/>
      <c r="K2743" s="149"/>
      <c r="L2743" s="156">
        <f>E2743</f>
        <v>0.03</v>
      </c>
      <c r="M2743" s="156">
        <f>F2743</f>
        <v>0.03</v>
      </c>
      <c r="N2743" s="156"/>
      <c r="O2743" s="156">
        <f>E2743</f>
        <v>0.03</v>
      </c>
      <c r="P2743" s="162">
        <f>F2743</f>
        <v>0.03</v>
      </c>
      <c r="Q2743" s="125"/>
    </row>
    <row r="2744" spans="3:17">
      <c r="C2744" s="120" t="s">
        <v>933</v>
      </c>
      <c r="D2744" s="158">
        <v>0.05</v>
      </c>
      <c r="E2744" s="158">
        <v>0.05</v>
      </c>
      <c r="F2744" s="158">
        <v>0.05</v>
      </c>
      <c r="I2744" s="125">
        <f>E2744</f>
        <v>0.05</v>
      </c>
      <c r="J2744" s="125">
        <f>F2744</f>
        <v>0.05</v>
      </c>
      <c r="K2744" s="125"/>
      <c r="L2744" s="125"/>
      <c r="M2744" s="125"/>
      <c r="N2744" s="125"/>
      <c r="O2744" s="125"/>
      <c r="P2744" s="132"/>
      <c r="Q2744" s="125"/>
    </row>
    <row r="2745" spans="3:17">
      <c r="C2745" s="120" t="s">
        <v>934</v>
      </c>
      <c r="D2745" s="158">
        <v>0.05</v>
      </c>
      <c r="E2745" s="158">
        <v>0.05</v>
      </c>
      <c r="F2745" s="158">
        <v>0.05</v>
      </c>
      <c r="I2745" s="125"/>
      <c r="J2745" s="125"/>
      <c r="K2745" s="125"/>
      <c r="L2745" s="124">
        <f>E2745</f>
        <v>0.05</v>
      </c>
      <c r="M2745" s="124">
        <f>F2745</f>
        <v>0.05</v>
      </c>
      <c r="N2745" s="124"/>
      <c r="O2745" s="124">
        <f>E2745</f>
        <v>0.05</v>
      </c>
      <c r="P2745" s="160">
        <f>F2745</f>
        <v>0.05</v>
      </c>
      <c r="Q2745" s="125"/>
    </row>
    <row r="2746" spans="3:17">
      <c r="C2746" s="123" t="s">
        <v>935</v>
      </c>
      <c r="D2746" s="158">
        <v>0.1</v>
      </c>
      <c r="E2746" s="158">
        <v>0.1</v>
      </c>
      <c r="F2746" s="158">
        <v>0.1</v>
      </c>
      <c r="I2746" s="125">
        <f>E2746</f>
        <v>0.1</v>
      </c>
      <c r="J2746" s="125">
        <f>F2746</f>
        <v>0.1</v>
      </c>
      <c r="K2746" s="125"/>
      <c r="L2746" s="125"/>
      <c r="M2746" s="125"/>
      <c r="N2746" s="125"/>
      <c r="O2746" s="125"/>
      <c r="P2746" s="132"/>
      <c r="Q2746" s="125"/>
    </row>
    <row r="2747" spans="3:17">
      <c r="C2747" s="120" t="s">
        <v>906</v>
      </c>
      <c r="D2747" s="158">
        <v>0.12</v>
      </c>
      <c r="E2747" s="158">
        <v>0.12</v>
      </c>
      <c r="F2747" s="158">
        <v>0.12</v>
      </c>
      <c r="I2747" s="125"/>
      <c r="J2747" s="125"/>
      <c r="K2747" s="125"/>
      <c r="L2747" s="125"/>
      <c r="M2747" s="125"/>
      <c r="N2747" s="125"/>
      <c r="O2747" s="124">
        <f>E2747</f>
        <v>0.12</v>
      </c>
      <c r="P2747" s="160">
        <f>F2747</f>
        <v>0.12</v>
      </c>
      <c r="Q2747" s="124">
        <f>F2747</f>
        <v>0.12</v>
      </c>
    </row>
    <row r="2748" spans="3:17">
      <c r="C2748" s="120" t="s">
        <v>907</v>
      </c>
      <c r="D2748" s="158">
        <v>0.03</v>
      </c>
      <c r="E2748" s="158">
        <v>0.03</v>
      </c>
      <c r="F2748" s="158">
        <v>0.03</v>
      </c>
      <c r="I2748" s="125">
        <f>E2748</f>
        <v>0.03</v>
      </c>
      <c r="J2748" s="125">
        <f>F2748</f>
        <v>0.03</v>
      </c>
      <c r="K2748" s="125"/>
      <c r="L2748" s="125"/>
      <c r="M2748" s="125"/>
      <c r="N2748" s="125"/>
      <c r="O2748" s="125"/>
      <c r="P2748" s="132"/>
      <c r="Q2748" s="125"/>
    </row>
    <row r="2749" spans="3:17">
      <c r="C2749" s="120" t="s">
        <v>908</v>
      </c>
      <c r="D2749" s="158">
        <v>0.03</v>
      </c>
      <c r="E2749" s="158">
        <v>0.03</v>
      </c>
      <c r="F2749" s="158">
        <v>0.03</v>
      </c>
      <c r="I2749" s="125"/>
      <c r="J2749" s="125"/>
      <c r="K2749" s="125"/>
      <c r="L2749" s="125"/>
      <c r="M2749" s="125"/>
      <c r="N2749" s="125"/>
      <c r="O2749" s="124">
        <f>E2749</f>
        <v>0.03</v>
      </c>
      <c r="P2749" s="160">
        <f>F2749</f>
        <v>0.03</v>
      </c>
      <c r="Q2749" s="124">
        <f>F2749</f>
        <v>0.03</v>
      </c>
    </row>
    <row r="2750" spans="3:17">
      <c r="C2750" s="120" t="s">
        <v>936</v>
      </c>
      <c r="D2750" s="158">
        <v>0.03</v>
      </c>
      <c r="E2750" s="158">
        <v>0.03</v>
      </c>
      <c r="F2750" s="158">
        <v>0.03</v>
      </c>
      <c r="I2750" s="125">
        <f>E2750</f>
        <v>0.03</v>
      </c>
      <c r="J2750" s="125">
        <f>F2750</f>
        <v>0.03</v>
      </c>
      <c r="K2750" s="125"/>
      <c r="L2750" s="125"/>
      <c r="M2750" s="125"/>
      <c r="N2750" s="125"/>
      <c r="O2750" s="125"/>
      <c r="P2750" s="132"/>
      <c r="Q2750" s="125"/>
    </row>
    <row r="2751" spans="3:17">
      <c r="C2751" s="120" t="s">
        <v>934</v>
      </c>
      <c r="D2751" s="158">
        <v>0.03</v>
      </c>
      <c r="E2751" s="158">
        <v>0.03</v>
      </c>
      <c r="F2751" s="158">
        <v>0.03</v>
      </c>
      <c r="I2751" s="125"/>
      <c r="J2751" s="125"/>
      <c r="K2751" s="125"/>
      <c r="L2751" s="124">
        <f>E2751</f>
        <v>0.03</v>
      </c>
      <c r="M2751" s="124">
        <f>F2751</f>
        <v>0.03</v>
      </c>
      <c r="N2751" s="124"/>
      <c r="O2751" s="124">
        <f>E2751</f>
        <v>0.03</v>
      </c>
      <c r="P2751" s="160">
        <f>F2751</f>
        <v>0.03</v>
      </c>
      <c r="Q2751" s="125"/>
    </row>
    <row r="2752" spans="3:17">
      <c r="C2752" s="120" t="s">
        <v>937</v>
      </c>
      <c r="D2752" s="158">
        <v>0.1</v>
      </c>
      <c r="E2752" s="158">
        <v>0.1</v>
      </c>
      <c r="F2752" s="158">
        <v>0.1</v>
      </c>
      <c r="I2752" s="125">
        <f>E2752</f>
        <v>0.1</v>
      </c>
      <c r="J2752" s="125">
        <f>F2752</f>
        <v>0.1</v>
      </c>
      <c r="K2752" s="125"/>
      <c r="L2752" s="125"/>
      <c r="M2752" s="125"/>
      <c r="N2752" s="125"/>
      <c r="O2752" s="125"/>
      <c r="P2752" s="132"/>
      <c r="Q2752" s="125"/>
    </row>
    <row r="2753" spans="3:17">
      <c r="C2753" s="120" t="s">
        <v>938</v>
      </c>
      <c r="D2753" s="158">
        <v>0.02</v>
      </c>
      <c r="E2753" s="158">
        <v>0.02</v>
      </c>
      <c r="F2753" s="158">
        <v>0.02</v>
      </c>
      <c r="I2753" s="125">
        <f>E2753</f>
        <v>0.02</v>
      </c>
      <c r="J2753" s="125">
        <f>F2753</f>
        <v>0.02</v>
      </c>
      <c r="K2753" s="125"/>
      <c r="L2753" s="125"/>
      <c r="M2753" s="125"/>
      <c r="N2753" s="125"/>
      <c r="O2753" s="125"/>
      <c r="P2753" s="132"/>
      <c r="Q2753" s="125"/>
    </row>
    <row r="2754" spans="3:17">
      <c r="C2754" s="120" t="s">
        <v>906</v>
      </c>
      <c r="D2754" s="158">
        <v>0.1</v>
      </c>
      <c r="E2754" s="158">
        <v>0.1</v>
      </c>
      <c r="F2754" s="158">
        <v>0.1</v>
      </c>
      <c r="I2754" s="125"/>
      <c r="J2754" s="125"/>
      <c r="K2754" s="125"/>
      <c r="L2754" s="125"/>
      <c r="M2754" s="125"/>
      <c r="N2754" s="125"/>
      <c r="O2754" s="124">
        <f>E2754</f>
        <v>0.1</v>
      </c>
      <c r="P2754" s="160">
        <f>F2754</f>
        <v>0.1</v>
      </c>
      <c r="Q2754" s="124">
        <f>F2754</f>
        <v>0.1</v>
      </c>
    </row>
    <row r="2755" spans="3:17">
      <c r="C2755" s="120" t="s">
        <v>907</v>
      </c>
      <c r="D2755" s="158">
        <v>0.03</v>
      </c>
      <c r="E2755" s="158">
        <v>0.03</v>
      </c>
      <c r="F2755" s="158">
        <v>0.03</v>
      </c>
      <c r="I2755" s="131">
        <f>E2755</f>
        <v>0.03</v>
      </c>
      <c r="J2755" s="131">
        <f>F2755</f>
        <v>0.03</v>
      </c>
      <c r="K2755" s="131"/>
      <c r="L2755" s="131"/>
      <c r="M2755" s="131"/>
      <c r="N2755" s="131"/>
      <c r="O2755" s="131"/>
      <c r="P2755" s="148"/>
      <c r="Q2755" s="131"/>
    </row>
    <row r="2756" spans="3:17">
      <c r="C2756" s="120" t="s">
        <v>908</v>
      </c>
      <c r="D2756" s="158">
        <v>0.03</v>
      </c>
      <c r="E2756" s="158">
        <v>0.03</v>
      </c>
      <c r="F2756" s="158">
        <v>0.03</v>
      </c>
      <c r="I2756" s="125"/>
      <c r="J2756" s="125"/>
      <c r="K2756" s="125"/>
      <c r="L2756" s="125"/>
      <c r="M2756" s="125"/>
      <c r="N2756" s="125"/>
      <c r="O2756" s="125">
        <f>E2756</f>
        <v>0.03</v>
      </c>
      <c r="P2756" s="125">
        <f>F2756</f>
        <v>0.03</v>
      </c>
      <c r="Q2756" s="125"/>
    </row>
    <row r="2757" spans="3:17" ht="28.8">
      <c r="C2757" s="123" t="s">
        <v>939</v>
      </c>
      <c r="D2757" s="158">
        <v>0.03</v>
      </c>
      <c r="E2757" s="158">
        <v>0.03</v>
      </c>
      <c r="F2757" s="158">
        <v>0.03</v>
      </c>
      <c r="I2757" s="125">
        <f>E2757</f>
        <v>0.03</v>
      </c>
      <c r="J2757" s="125">
        <f>F2757</f>
        <v>0.03</v>
      </c>
      <c r="K2757" s="125"/>
      <c r="L2757" s="139"/>
      <c r="M2757" s="139"/>
      <c r="N2757" s="139"/>
      <c r="O2757" s="139"/>
      <c r="P2757" s="139"/>
      <c r="Q2757" s="139"/>
    </row>
    <row r="2758" spans="3:17">
      <c r="C2758" s="120" t="s">
        <v>911</v>
      </c>
      <c r="D2758" s="158">
        <v>0.03</v>
      </c>
      <c r="E2758" s="158">
        <v>0.03</v>
      </c>
      <c r="F2758" s="158">
        <v>0.03</v>
      </c>
      <c r="I2758" s="125">
        <f>E2758</f>
        <v>0.03</v>
      </c>
      <c r="J2758" s="125">
        <f>F2758</f>
        <v>0.03</v>
      </c>
      <c r="K2758" s="125"/>
      <c r="L2758" s="125"/>
      <c r="M2758" s="125"/>
      <c r="N2758" s="125"/>
      <c r="O2758" s="125"/>
      <c r="P2758" s="125"/>
      <c r="Q2758" s="125"/>
    </row>
    <row r="2759" spans="3:17">
      <c r="C2759" s="120" t="s">
        <v>912</v>
      </c>
      <c r="D2759" s="158">
        <v>0.02</v>
      </c>
      <c r="E2759" s="158">
        <v>0.02</v>
      </c>
      <c r="F2759" s="158">
        <v>0.02</v>
      </c>
      <c r="I2759" s="125"/>
      <c r="J2759" s="125"/>
      <c r="K2759" s="125"/>
      <c r="L2759" s="125"/>
      <c r="M2759" s="125"/>
      <c r="N2759" s="125"/>
      <c r="O2759" s="125">
        <f>E2759</f>
        <v>0.02</v>
      </c>
      <c r="P2759" s="125">
        <f>F2759</f>
        <v>0.02</v>
      </c>
      <c r="Q2759" s="125"/>
    </row>
    <row r="2760" spans="3:17">
      <c r="C2760" s="120" t="s">
        <v>940</v>
      </c>
      <c r="D2760" s="158">
        <v>0.02</v>
      </c>
      <c r="E2760" s="158">
        <v>0.02</v>
      </c>
      <c r="F2760" s="158">
        <v>0.02</v>
      </c>
      <c r="I2760" s="125">
        <f>E2760</f>
        <v>0.02</v>
      </c>
      <c r="J2760" s="125">
        <f>F2760</f>
        <v>0.02</v>
      </c>
      <c r="K2760" s="125"/>
      <c r="L2760" s="125"/>
      <c r="M2760" s="125"/>
      <c r="N2760" s="125"/>
      <c r="O2760" s="125"/>
      <c r="P2760" s="125"/>
      <c r="Q2760" s="125"/>
    </row>
    <row r="2761" spans="3:17" ht="28.8">
      <c r="C2761" s="123" t="s">
        <v>925</v>
      </c>
      <c r="D2761" s="158">
        <v>0.05</v>
      </c>
      <c r="E2761" s="158">
        <v>0.05</v>
      </c>
      <c r="F2761" s="158">
        <v>0.05</v>
      </c>
      <c r="I2761" s="124">
        <f>E2761</f>
        <v>0.05</v>
      </c>
      <c r="J2761" s="124">
        <f>F2761</f>
        <v>0.05</v>
      </c>
      <c r="K2761" s="124"/>
      <c r="L2761" s="124">
        <f>E2761</f>
        <v>0.05</v>
      </c>
      <c r="M2761" s="124">
        <f>F2761</f>
        <v>0.05</v>
      </c>
      <c r="N2761" s="124"/>
      <c r="O2761" s="125"/>
      <c r="P2761" s="125"/>
      <c r="Q2761" s="125"/>
    </row>
    <row r="2762" spans="3:17">
      <c r="C2762" s="46"/>
      <c r="D2762" s="76">
        <v>1</v>
      </c>
      <c r="E2762" s="76">
        <v>1</v>
      </c>
      <c r="F2762" s="76">
        <v>1</v>
      </c>
      <c r="I2762" s="33">
        <f>SUM(I2737:I2761)</f>
        <v>0.56000000000000016</v>
      </c>
      <c r="J2762" s="33">
        <f t="shared" ref="J2762:Q2762" si="196">SUM(J2737:J2761)</f>
        <v>0.56000000000000016</v>
      </c>
      <c r="K2762" s="33"/>
      <c r="L2762" s="33">
        <f t="shared" si="196"/>
        <v>0.2</v>
      </c>
      <c r="M2762" s="33">
        <f t="shared" si="196"/>
        <v>0.2</v>
      </c>
      <c r="N2762" s="33"/>
      <c r="O2762" s="33">
        <f t="shared" si="196"/>
        <v>0.44000000000000006</v>
      </c>
      <c r="P2762" s="33">
        <f t="shared" si="196"/>
        <v>0.44000000000000006</v>
      </c>
      <c r="Q2762" s="33">
        <f t="shared" si="196"/>
        <v>0.28000000000000003</v>
      </c>
    </row>
    <row r="2763" spans="3:17">
      <c r="C2763" s="46"/>
      <c r="D2763" s="46"/>
      <c r="E2763" s="76">
        <v>0</v>
      </c>
      <c r="F2763" s="76">
        <f>E2762-F2762</f>
        <v>0</v>
      </c>
    </row>
    <row r="2764" spans="3:17">
      <c r="C2764" s="49"/>
      <c r="D2764" s="46"/>
      <c r="E2764" s="46"/>
      <c r="F2764" s="46"/>
    </row>
    <row r="2765" spans="3:17">
      <c r="C2765" s="127" t="s">
        <v>1653</v>
      </c>
      <c r="D2765" s="120" t="s">
        <v>418</v>
      </c>
      <c r="E2765" s="120"/>
      <c r="F2765" s="120"/>
    </row>
    <row r="2766" spans="3:17">
      <c r="C2766" s="127" t="s">
        <v>1657</v>
      </c>
      <c r="D2766" s="120" t="s">
        <v>459</v>
      </c>
      <c r="E2766" s="120"/>
      <c r="F2766" s="120"/>
    </row>
    <row r="2767" spans="3:17">
      <c r="C2767" s="127" t="s">
        <v>1658</v>
      </c>
      <c r="D2767" s="120" t="s">
        <v>459</v>
      </c>
      <c r="E2767" s="120"/>
      <c r="F2767" s="120"/>
    </row>
    <row r="2768" spans="3:17">
      <c r="C2768" s="87" t="s">
        <v>1619</v>
      </c>
      <c r="D2768" s="88">
        <v>4</v>
      </c>
      <c r="E2768" s="88"/>
      <c r="F2768" s="88"/>
    </row>
    <row r="2769" spans="2:36">
      <c r="C2769" s="87" t="s">
        <v>1620</v>
      </c>
      <c r="D2769" s="88"/>
      <c r="E2769" s="88"/>
      <c r="F2769" s="88"/>
    </row>
    <row r="2770" spans="2:36">
      <c r="C2770" s="87" t="s">
        <v>362</v>
      </c>
      <c r="D2770" s="88"/>
      <c r="E2770" s="88"/>
      <c r="F2770" s="88"/>
    </row>
    <row r="2771" spans="2:36">
      <c r="C2771" s="87" t="s">
        <v>363</v>
      </c>
      <c r="D2771" s="88"/>
      <c r="E2771" s="88"/>
      <c r="F2771" s="88"/>
    </row>
    <row r="2772" spans="2:36">
      <c r="D2772" s="84"/>
      <c r="E2772" s="84"/>
      <c r="F2772" s="84"/>
    </row>
    <row r="2773" spans="2:36" s="100" customFormat="1">
      <c r="C2773" s="115"/>
      <c r="D2773" s="99"/>
      <c r="E2773" s="99"/>
      <c r="F2773" s="99"/>
      <c r="AD2773" s="332"/>
      <c r="AJ2773" s="392"/>
    </row>
    <row r="2774" spans="2:36">
      <c r="C2774" s="49"/>
      <c r="D2774" s="46"/>
      <c r="E2774" s="46"/>
      <c r="F2774" s="46"/>
    </row>
    <row r="2775" spans="2:36">
      <c r="C2775" s="49"/>
      <c r="D2775" s="46"/>
      <c r="E2775" s="46"/>
      <c r="F2775" s="46"/>
    </row>
    <row r="2776" spans="2:36">
      <c r="C2776" s="49"/>
      <c r="D2776" s="46"/>
      <c r="E2776" s="46"/>
      <c r="F2776" s="46"/>
    </row>
    <row r="2777" spans="2:36">
      <c r="C2777" s="49"/>
      <c r="D2777" s="46"/>
      <c r="E2777" s="46"/>
      <c r="F2777" s="46"/>
      <c r="I2777" s="857" t="s">
        <v>1643</v>
      </c>
      <c r="J2777" s="858"/>
      <c r="K2777" s="858"/>
      <c r="L2777" s="858"/>
      <c r="M2777" s="858"/>
      <c r="N2777" s="858"/>
      <c r="O2777" s="858"/>
      <c r="P2777" s="858"/>
      <c r="Q2777" s="859"/>
      <c r="R2777" s="62"/>
      <c r="S2777" s="62"/>
      <c r="T2777" s="62"/>
      <c r="U2777" s="62"/>
      <c r="V2777" s="62"/>
      <c r="W2777" s="62"/>
      <c r="X2777" s="62"/>
    </row>
    <row r="2778" spans="2:36">
      <c r="C2778" s="49"/>
      <c r="D2778" s="46"/>
      <c r="E2778" s="46"/>
      <c r="F2778" s="46"/>
      <c r="I2778" s="851" t="s">
        <v>1644</v>
      </c>
      <c r="J2778" s="852"/>
      <c r="K2778" s="852"/>
      <c r="L2778" s="852"/>
      <c r="M2778" s="852"/>
      <c r="N2778" s="852"/>
      <c r="O2778" s="852"/>
      <c r="P2778" s="852"/>
      <c r="Q2778" s="853"/>
      <c r="R2778" s="62"/>
      <c r="S2778" s="62"/>
      <c r="T2778" s="62"/>
      <c r="U2778" s="62"/>
      <c r="V2778" s="62"/>
      <c r="W2778" s="62"/>
      <c r="X2778" s="62"/>
    </row>
    <row r="2779" spans="2:36">
      <c r="C2779" s="46"/>
      <c r="D2779" s="46"/>
      <c r="E2779" s="46"/>
      <c r="F2779" s="46"/>
      <c r="I2779" s="847" t="s">
        <v>1645</v>
      </c>
      <c r="J2779" s="847"/>
      <c r="K2779" s="317"/>
      <c r="L2779" s="847" t="s">
        <v>1646</v>
      </c>
      <c r="M2779" s="847"/>
      <c r="N2779" s="317"/>
      <c r="O2779" s="910" t="s">
        <v>1647</v>
      </c>
      <c r="P2779" s="910"/>
      <c r="Q2779" s="284"/>
      <c r="R2779" s="96"/>
      <c r="S2779" s="96"/>
      <c r="T2779" s="96"/>
      <c r="U2779" s="96"/>
      <c r="V2779" s="145"/>
      <c r="W2779" s="145"/>
      <c r="X2779" s="145"/>
    </row>
    <row r="2780" spans="2:36" ht="28.8">
      <c r="B2780" s="519" t="s">
        <v>1079</v>
      </c>
      <c r="C2780" s="150" t="s">
        <v>29</v>
      </c>
      <c r="D2780" s="102" t="s">
        <v>353</v>
      </c>
      <c r="E2780" s="102" t="s">
        <v>354</v>
      </c>
      <c r="F2780" s="102" t="s">
        <v>355</v>
      </c>
      <c r="I2780" s="146" t="s">
        <v>1080</v>
      </c>
      <c r="J2780" s="147" t="s">
        <v>1081</v>
      </c>
      <c r="K2780" s="147"/>
      <c r="L2780" s="146" t="s">
        <v>1080</v>
      </c>
      <c r="M2780" s="147" t="s">
        <v>1081</v>
      </c>
      <c r="N2780" s="147"/>
      <c r="O2780" s="146" t="s">
        <v>1080</v>
      </c>
      <c r="P2780" s="151" t="s">
        <v>1081</v>
      </c>
      <c r="Q2780" s="107" t="s">
        <v>1081</v>
      </c>
      <c r="R2780" s="62"/>
      <c r="S2780" s="96"/>
      <c r="T2780" s="96"/>
      <c r="U2780" s="96"/>
      <c r="V2780" s="96"/>
      <c r="W2780" s="96"/>
      <c r="X2780" s="62"/>
    </row>
    <row r="2781" spans="2:36" ht="43.2">
      <c r="C2781" s="191" t="s">
        <v>1659</v>
      </c>
      <c r="D2781" s="102"/>
      <c r="E2781" s="102"/>
      <c r="F2781" s="102"/>
      <c r="I2781" s="146"/>
      <c r="J2781" s="147"/>
      <c r="K2781" s="147"/>
      <c r="L2781" s="146"/>
      <c r="M2781" s="147"/>
      <c r="N2781" s="147"/>
      <c r="O2781" s="146"/>
      <c r="P2781" s="151"/>
      <c r="Q2781" s="743"/>
      <c r="R2781" s="62"/>
      <c r="S2781" s="96"/>
      <c r="T2781" s="96"/>
      <c r="U2781" s="96"/>
      <c r="V2781" s="96"/>
      <c r="W2781" s="96"/>
      <c r="X2781" s="62"/>
    </row>
    <row r="2782" spans="2:36" ht="28.8">
      <c r="C2782" s="187" t="s">
        <v>1649</v>
      </c>
      <c r="D2782" s="102"/>
      <c r="E2782" s="102"/>
      <c r="F2782" s="102"/>
      <c r="I2782" s="146"/>
      <c r="J2782" s="147"/>
      <c r="K2782" s="147"/>
      <c r="L2782" s="146"/>
      <c r="M2782" s="147"/>
      <c r="N2782" s="147"/>
      <c r="O2782" s="146"/>
      <c r="P2782" s="151"/>
      <c r="Q2782" s="743"/>
      <c r="R2782" s="62"/>
      <c r="S2782" s="96"/>
      <c r="T2782" s="96"/>
      <c r="U2782" s="96"/>
      <c r="V2782" s="96"/>
      <c r="W2782" s="96"/>
      <c r="X2782" s="62"/>
    </row>
    <row r="2783" spans="2:36">
      <c r="C2783" s="123" t="s">
        <v>1660</v>
      </c>
      <c r="D2783" s="104">
        <v>0.01</v>
      </c>
      <c r="E2783" s="104">
        <v>0.01</v>
      </c>
      <c r="F2783" s="104">
        <v>0.01</v>
      </c>
      <c r="I2783" s="152"/>
      <c r="J2783" s="153"/>
      <c r="K2783" s="153"/>
      <c r="L2783" s="153">
        <f>E2783</f>
        <v>0.01</v>
      </c>
      <c r="M2783" s="153">
        <f>F2783</f>
        <v>0.01</v>
      </c>
      <c r="N2783" s="153"/>
      <c r="O2783" s="154"/>
      <c r="P2783" s="155"/>
      <c r="Q2783" s="152"/>
      <c r="R2783" s="65"/>
      <c r="S2783" s="65"/>
      <c r="T2783" s="65"/>
      <c r="U2783" s="64"/>
    </row>
    <row r="2784" spans="2:36">
      <c r="C2784" s="120" t="s">
        <v>941</v>
      </c>
      <c r="D2784" s="104">
        <v>0.04</v>
      </c>
      <c r="E2784" s="104">
        <v>0.04</v>
      </c>
      <c r="F2784" s="104">
        <v>0.04</v>
      </c>
      <c r="I2784" s="97">
        <f>E2784</f>
        <v>0.04</v>
      </c>
      <c r="J2784" s="98">
        <f>F2784</f>
        <v>0.04</v>
      </c>
      <c r="K2784" s="98"/>
      <c r="L2784" s="98"/>
      <c r="M2784" s="98"/>
      <c r="N2784" s="98"/>
      <c r="O2784" s="125"/>
      <c r="P2784" s="132"/>
      <c r="Q2784" s="97"/>
      <c r="R2784" s="65"/>
      <c r="S2784" s="65"/>
      <c r="T2784" s="65"/>
      <c r="U2784" s="64"/>
    </row>
    <row r="2785" spans="3:24">
      <c r="C2785" s="120" t="s">
        <v>942</v>
      </c>
      <c r="D2785" s="104">
        <v>0.05</v>
      </c>
      <c r="E2785" s="104">
        <v>0.05</v>
      </c>
      <c r="F2785" s="104">
        <v>0.05</v>
      </c>
      <c r="I2785" s="97"/>
      <c r="J2785" s="98"/>
      <c r="K2785" s="98"/>
      <c r="L2785" s="98"/>
      <c r="M2785" s="98"/>
      <c r="N2785" s="98"/>
      <c r="O2785" s="125">
        <f>E2785</f>
        <v>0.05</v>
      </c>
      <c r="P2785" s="132">
        <f>F2785</f>
        <v>0.05</v>
      </c>
      <c r="Q2785" s="97"/>
      <c r="R2785" s="65"/>
      <c r="S2785" s="65"/>
      <c r="T2785" s="65"/>
      <c r="U2785" s="64"/>
    </row>
    <row r="2786" spans="3:24">
      <c r="C2786" s="120" t="s">
        <v>943</v>
      </c>
      <c r="D2786" s="104">
        <v>0.1</v>
      </c>
      <c r="E2786" s="104">
        <v>0.1</v>
      </c>
      <c r="F2786" s="104">
        <v>0.1</v>
      </c>
      <c r="I2786" s="97">
        <f>E2786</f>
        <v>0.1</v>
      </c>
      <c r="J2786" s="98">
        <f>F2786</f>
        <v>0.1</v>
      </c>
      <c r="K2786" s="98"/>
      <c r="L2786" s="98"/>
      <c r="M2786" s="98"/>
      <c r="N2786" s="98"/>
      <c r="O2786" s="125"/>
      <c r="P2786" s="132"/>
      <c r="Q2786" s="97"/>
      <c r="R2786" s="65"/>
      <c r="S2786" s="65"/>
      <c r="T2786" s="65"/>
      <c r="U2786" s="65"/>
    </row>
    <row r="2787" spans="3:24">
      <c r="C2787" s="120" t="s">
        <v>906</v>
      </c>
      <c r="D2787" s="104">
        <v>0.1</v>
      </c>
      <c r="E2787" s="104">
        <v>0.1</v>
      </c>
      <c r="F2787" s="104">
        <v>0.1</v>
      </c>
      <c r="I2787" s="112"/>
      <c r="J2787" s="112"/>
      <c r="K2787" s="112"/>
      <c r="L2787" s="140"/>
      <c r="M2787" s="140"/>
      <c r="N2787" s="140"/>
      <c r="O2787" s="131">
        <f>E2787</f>
        <v>0.1</v>
      </c>
      <c r="P2787" s="148">
        <f>F2787</f>
        <v>0.1</v>
      </c>
      <c r="Q2787" s="98">
        <f>F2787</f>
        <v>0.1</v>
      </c>
      <c r="R2787" s="69"/>
      <c r="S2787" s="69"/>
      <c r="T2787" s="69"/>
      <c r="U2787" s="69"/>
    </row>
    <row r="2788" spans="3:24">
      <c r="C2788" s="120" t="s">
        <v>907</v>
      </c>
      <c r="D2788" s="104">
        <v>0.02</v>
      </c>
      <c r="E2788" s="104">
        <v>0.02</v>
      </c>
      <c r="F2788" s="104">
        <v>0.02</v>
      </c>
      <c r="I2788" s="125">
        <f>E2788</f>
        <v>0.02</v>
      </c>
      <c r="J2788" s="125">
        <f>F2788</f>
        <v>0.02</v>
      </c>
      <c r="K2788" s="125"/>
      <c r="L2788" s="125"/>
      <c r="M2788" s="125"/>
      <c r="N2788" s="125"/>
      <c r="O2788" s="125"/>
      <c r="P2788" s="132"/>
      <c r="Q2788" s="125"/>
      <c r="S2788" s="144"/>
      <c r="T2788" s="144"/>
      <c r="U2788" s="144"/>
      <c r="V2788" s="144"/>
      <c r="W2788" s="144"/>
      <c r="X2788" s="144"/>
    </row>
    <row r="2789" spans="3:24">
      <c r="C2789" s="120" t="s">
        <v>908</v>
      </c>
      <c r="D2789" s="104">
        <v>0.02</v>
      </c>
      <c r="E2789" s="104">
        <v>0.02</v>
      </c>
      <c r="F2789" s="104">
        <v>0.02</v>
      </c>
      <c r="I2789" s="149"/>
      <c r="J2789" s="149"/>
      <c r="K2789" s="149"/>
      <c r="L2789" s="149"/>
      <c r="M2789" s="149"/>
      <c r="N2789" s="149"/>
      <c r="O2789" s="131">
        <f>E2789</f>
        <v>0.02</v>
      </c>
      <c r="P2789" s="148">
        <f>E2789</f>
        <v>0.02</v>
      </c>
      <c r="Q2789" s="125">
        <f>F2789</f>
        <v>0.02</v>
      </c>
      <c r="R2789" s="33"/>
      <c r="S2789" s="6"/>
      <c r="T2789" s="6"/>
      <c r="U2789" s="6"/>
      <c r="V2789" s="6"/>
      <c r="W2789" s="6"/>
      <c r="X2789" s="6"/>
    </row>
    <row r="2790" spans="3:24">
      <c r="C2790" s="120" t="s">
        <v>944</v>
      </c>
      <c r="D2790" s="104">
        <v>0.15</v>
      </c>
      <c r="E2790" s="104">
        <v>0.15</v>
      </c>
      <c r="F2790" s="104">
        <v>0.15</v>
      </c>
      <c r="I2790" s="125">
        <f>E2790</f>
        <v>0.15</v>
      </c>
      <c r="J2790" s="125">
        <f>F2790</f>
        <v>0.15</v>
      </c>
      <c r="K2790" s="125"/>
      <c r="L2790" s="125"/>
      <c r="M2790" s="125"/>
      <c r="N2790" s="125"/>
      <c r="O2790" s="125"/>
      <c r="P2790" s="132"/>
      <c r="Q2790" s="125"/>
    </row>
    <row r="2791" spans="3:24">
      <c r="C2791" s="120" t="s">
        <v>906</v>
      </c>
      <c r="D2791" s="104">
        <v>0.15</v>
      </c>
      <c r="E2791" s="104">
        <v>0.15</v>
      </c>
      <c r="F2791" s="104">
        <v>0.15</v>
      </c>
      <c r="I2791" s="125"/>
      <c r="J2791" s="125"/>
      <c r="K2791" s="125"/>
      <c r="L2791" s="125"/>
      <c r="M2791" s="125"/>
      <c r="N2791" s="125"/>
      <c r="O2791" s="125">
        <f>E2791</f>
        <v>0.15</v>
      </c>
      <c r="P2791" s="132">
        <f>F2791</f>
        <v>0.15</v>
      </c>
      <c r="Q2791" s="125">
        <f>F2791</f>
        <v>0.15</v>
      </c>
    </row>
    <row r="2792" spans="3:24">
      <c r="C2792" s="120" t="s">
        <v>907</v>
      </c>
      <c r="D2792" s="104">
        <v>0.02</v>
      </c>
      <c r="E2792" s="104">
        <v>0.02</v>
      </c>
      <c r="F2792" s="104">
        <v>0.02</v>
      </c>
      <c r="I2792" s="125">
        <f>E2792</f>
        <v>0.02</v>
      </c>
      <c r="J2792" s="125">
        <f>F2792</f>
        <v>0.02</v>
      </c>
      <c r="K2792" s="125"/>
      <c r="L2792" s="125"/>
      <c r="M2792" s="125"/>
      <c r="N2792" s="125"/>
      <c r="O2792" s="125"/>
      <c r="P2792" s="132"/>
      <c r="Q2792" s="125"/>
    </row>
    <row r="2793" spans="3:24">
      <c r="C2793" s="120" t="s">
        <v>908</v>
      </c>
      <c r="D2793" s="104">
        <v>0.02</v>
      </c>
      <c r="E2793" s="104">
        <v>0.02</v>
      </c>
      <c r="F2793" s="104">
        <v>0.02</v>
      </c>
      <c r="I2793" s="125"/>
      <c r="J2793" s="125"/>
      <c r="K2793" s="125"/>
      <c r="L2793" s="125"/>
      <c r="M2793" s="125"/>
      <c r="N2793" s="125"/>
      <c r="O2793" s="125">
        <f>E2793</f>
        <v>0.02</v>
      </c>
      <c r="P2793" s="132">
        <f>F2793</f>
        <v>0.02</v>
      </c>
      <c r="Q2793" s="125">
        <f>F2793</f>
        <v>0.02</v>
      </c>
    </row>
    <row r="2794" spans="3:24" ht="28.8">
      <c r="C2794" s="123" t="s">
        <v>921</v>
      </c>
      <c r="D2794" s="104">
        <v>0.02</v>
      </c>
      <c r="E2794" s="104">
        <v>0.02</v>
      </c>
      <c r="F2794" s="104">
        <v>0.02</v>
      </c>
      <c r="I2794" s="125">
        <f>E2794</f>
        <v>0.02</v>
      </c>
      <c r="J2794" s="125">
        <f>F2794</f>
        <v>0.02</v>
      </c>
      <c r="K2794" s="125"/>
      <c r="L2794" s="125"/>
      <c r="M2794" s="125"/>
      <c r="N2794" s="125"/>
      <c r="O2794" s="125"/>
      <c r="P2794" s="132"/>
      <c r="Q2794" s="125"/>
    </row>
    <row r="2795" spans="3:24">
      <c r="C2795" s="120" t="s">
        <v>922</v>
      </c>
      <c r="D2795" s="104">
        <v>0.01</v>
      </c>
      <c r="E2795" s="104">
        <v>0.01</v>
      </c>
      <c r="F2795" s="104">
        <v>0.01</v>
      </c>
      <c r="I2795" s="125">
        <f>E2795</f>
        <v>0.01</v>
      </c>
      <c r="J2795" s="125">
        <f>F2795</f>
        <v>0.01</v>
      </c>
      <c r="K2795" s="125"/>
      <c r="L2795" s="125"/>
      <c r="M2795" s="125"/>
      <c r="N2795" s="125"/>
      <c r="O2795" s="125"/>
      <c r="P2795" s="132"/>
      <c r="Q2795" s="125"/>
    </row>
    <row r="2796" spans="3:24">
      <c r="C2796" s="123" t="s">
        <v>923</v>
      </c>
      <c r="D2796" s="104">
        <v>0.01</v>
      </c>
      <c r="E2796" s="104">
        <v>0.01</v>
      </c>
      <c r="F2796" s="104">
        <v>0.01</v>
      </c>
      <c r="I2796" s="125"/>
      <c r="J2796" s="125"/>
      <c r="K2796" s="125"/>
      <c r="L2796" s="125"/>
      <c r="M2796" s="125"/>
      <c r="N2796" s="125"/>
      <c r="O2796" s="125">
        <f>E2796</f>
        <v>0.01</v>
      </c>
      <c r="P2796" s="132">
        <f>F2796</f>
        <v>0.01</v>
      </c>
      <c r="Q2796" s="125"/>
    </row>
    <row r="2797" spans="3:24">
      <c r="C2797" s="123" t="s">
        <v>945</v>
      </c>
      <c r="D2797" s="104">
        <v>0.01</v>
      </c>
      <c r="E2797" s="104">
        <v>0.01</v>
      </c>
      <c r="F2797" s="104">
        <v>0.01</v>
      </c>
      <c r="I2797" s="125">
        <f>E2797</f>
        <v>0.01</v>
      </c>
      <c r="J2797" s="125">
        <f>F2797</f>
        <v>0.01</v>
      </c>
      <c r="K2797" s="125"/>
      <c r="L2797" s="125"/>
      <c r="M2797" s="125"/>
      <c r="N2797" s="125"/>
      <c r="O2797" s="125"/>
      <c r="P2797" s="132"/>
      <c r="Q2797" s="125"/>
    </row>
    <row r="2798" spans="3:24" ht="28.8">
      <c r="C2798" s="123" t="s">
        <v>946</v>
      </c>
      <c r="D2798" s="104">
        <v>0.05</v>
      </c>
      <c r="E2798" s="104">
        <v>0.05</v>
      </c>
      <c r="F2798" s="104">
        <v>0.05</v>
      </c>
      <c r="I2798" s="125"/>
      <c r="J2798" s="125"/>
      <c r="K2798" s="125"/>
      <c r="L2798" s="125">
        <f>E2798</f>
        <v>0.05</v>
      </c>
      <c r="M2798" s="125">
        <f>F2798</f>
        <v>0.05</v>
      </c>
      <c r="N2798" s="125"/>
      <c r="O2798" s="125"/>
      <c r="P2798" s="132"/>
      <c r="Q2798" s="125"/>
    </row>
    <row r="2799" spans="3:24">
      <c r="C2799" s="120" t="s">
        <v>947</v>
      </c>
      <c r="D2799" s="104">
        <v>0.05</v>
      </c>
      <c r="E2799" s="104">
        <v>0.05</v>
      </c>
      <c r="F2799" s="104">
        <v>0.05</v>
      </c>
      <c r="I2799" s="125"/>
      <c r="J2799" s="125"/>
      <c r="K2799" s="125"/>
      <c r="L2799" s="125"/>
      <c r="M2799" s="125"/>
      <c r="N2799" s="125"/>
      <c r="O2799" s="125">
        <f t="shared" ref="O2799:P2801" si="197">E2799</f>
        <v>0.05</v>
      </c>
      <c r="P2799" s="132">
        <f t="shared" si="197"/>
        <v>0.05</v>
      </c>
      <c r="Q2799" s="125">
        <f>P2799</f>
        <v>0.05</v>
      </c>
    </row>
    <row r="2800" spans="3:24" ht="28.8">
      <c r="C2800" s="123" t="s">
        <v>948</v>
      </c>
      <c r="D2800" s="104">
        <v>0.05</v>
      </c>
      <c r="E2800" s="104">
        <v>0.05</v>
      </c>
      <c r="F2800" s="104">
        <v>0.05</v>
      </c>
      <c r="I2800" s="125"/>
      <c r="J2800" s="125"/>
      <c r="K2800" s="125"/>
      <c r="L2800" s="125"/>
      <c r="M2800" s="125"/>
      <c r="N2800" s="125"/>
      <c r="O2800" s="125">
        <f t="shared" si="197"/>
        <v>0.05</v>
      </c>
      <c r="P2800" s="132">
        <f t="shared" si="197"/>
        <v>0.05</v>
      </c>
      <c r="Q2800" s="125">
        <f>F2800</f>
        <v>0.05</v>
      </c>
    </row>
    <row r="2801" spans="3:36">
      <c r="C2801" s="120" t="s">
        <v>949</v>
      </c>
      <c r="D2801" s="104">
        <v>0.05</v>
      </c>
      <c r="E2801" s="104">
        <v>0.05</v>
      </c>
      <c r="F2801" s="104">
        <v>0.05</v>
      </c>
      <c r="I2801" s="125"/>
      <c r="J2801" s="125"/>
      <c r="K2801" s="125"/>
      <c r="L2801" s="125"/>
      <c r="M2801" s="125"/>
      <c r="N2801" s="125"/>
      <c r="O2801" s="125">
        <f t="shared" si="197"/>
        <v>0.05</v>
      </c>
      <c r="P2801" s="132">
        <f t="shared" si="197"/>
        <v>0.05</v>
      </c>
      <c r="Q2801" s="125">
        <f>F2801</f>
        <v>0.05</v>
      </c>
    </row>
    <row r="2802" spans="3:36" ht="28.8">
      <c r="C2802" s="123" t="s">
        <v>925</v>
      </c>
      <c r="D2802" s="104">
        <v>7.0000000000000007E-2</v>
      </c>
      <c r="E2802" s="104">
        <v>7.0000000000000007E-2</v>
      </c>
      <c r="F2802" s="104">
        <v>7.0000000000000007E-2</v>
      </c>
      <c r="I2802" s="125">
        <f>E2802</f>
        <v>7.0000000000000007E-2</v>
      </c>
      <c r="J2802" s="125">
        <f>F2802</f>
        <v>7.0000000000000007E-2</v>
      </c>
      <c r="K2802" s="125"/>
      <c r="L2802" s="125">
        <f>E2802</f>
        <v>7.0000000000000007E-2</v>
      </c>
      <c r="M2802" s="125">
        <f>F2802</f>
        <v>7.0000000000000007E-2</v>
      </c>
      <c r="N2802" s="125"/>
      <c r="O2802" s="125"/>
      <c r="P2802" s="132"/>
      <c r="Q2802" s="125"/>
    </row>
    <row r="2803" spans="3:36">
      <c r="C2803" s="46"/>
      <c r="D2803" s="76">
        <v>1</v>
      </c>
      <c r="E2803" s="76">
        <v>1</v>
      </c>
      <c r="F2803" s="76">
        <v>1</v>
      </c>
      <c r="I2803" s="33">
        <f>SUM(I2783:I2802)</f>
        <v>0.44000000000000006</v>
      </c>
      <c r="J2803" s="33">
        <f>SUM(J2783:J2802)</f>
        <v>0.44000000000000006</v>
      </c>
      <c r="K2803" s="33"/>
      <c r="L2803" s="33">
        <f>SUM(L2783:L2802)</f>
        <v>0.13</v>
      </c>
      <c r="M2803" s="33">
        <f>SUM(M2783:M2802)</f>
        <v>0.13</v>
      </c>
      <c r="N2803" s="33"/>
      <c r="O2803" s="33">
        <f>SUM(O2783:O2802)</f>
        <v>0.5</v>
      </c>
      <c r="P2803" s="33">
        <f>SUM(P2783:P2802)</f>
        <v>0.5</v>
      </c>
      <c r="Q2803" s="33">
        <f>SUM(Q2783:Q2802)</f>
        <v>0.44</v>
      </c>
    </row>
    <row r="2804" spans="3:36">
      <c r="C2804" s="46"/>
      <c r="D2804" s="46"/>
      <c r="E2804" s="76">
        <v>0</v>
      </c>
      <c r="F2804" s="76">
        <f>E2803-F2803</f>
        <v>0</v>
      </c>
    </row>
    <row r="2805" spans="3:36">
      <c r="C2805" s="46"/>
      <c r="D2805" s="46"/>
      <c r="E2805" s="47"/>
      <c r="F2805" s="47"/>
    </row>
    <row r="2806" spans="3:36">
      <c r="C2806" s="127" t="s">
        <v>1661</v>
      </c>
      <c r="D2806" s="120" t="s">
        <v>416</v>
      </c>
      <c r="E2806" s="120"/>
      <c r="F2806" s="120"/>
    </row>
    <row r="2807" spans="3:36">
      <c r="C2807" s="127" t="s">
        <v>1657</v>
      </c>
      <c r="D2807" s="120" t="s">
        <v>950</v>
      </c>
      <c r="E2807" s="120"/>
      <c r="F2807" s="120"/>
    </row>
    <row r="2808" spans="3:36">
      <c r="C2808" s="127" t="s">
        <v>1658</v>
      </c>
      <c r="D2808" s="120" t="s">
        <v>950</v>
      </c>
      <c r="E2808" s="120"/>
      <c r="F2808" s="120"/>
    </row>
    <row r="2809" spans="3:36">
      <c r="C2809" s="142" t="s">
        <v>1619</v>
      </c>
      <c r="D2809" s="143">
        <v>2</v>
      </c>
      <c r="E2809" s="143"/>
      <c r="F2809" s="143"/>
    </row>
    <row r="2810" spans="3:36">
      <c r="C2810" s="87" t="s">
        <v>1620</v>
      </c>
      <c r="D2810" s="88"/>
      <c r="E2810" s="88"/>
      <c r="F2810" s="88"/>
    </row>
    <row r="2811" spans="3:36">
      <c r="C2811" s="87" t="s">
        <v>362</v>
      </c>
      <c r="D2811" s="88"/>
      <c r="E2811" s="88"/>
      <c r="F2811" s="88"/>
    </row>
    <row r="2812" spans="3:36">
      <c r="C2812" s="87" t="s">
        <v>363</v>
      </c>
      <c r="D2812" s="88"/>
      <c r="E2812" s="88"/>
      <c r="F2812" s="88"/>
    </row>
    <row r="2813" spans="3:36">
      <c r="C2813" s="49"/>
      <c r="D2813" s="46"/>
      <c r="E2813" s="46"/>
      <c r="F2813" s="46"/>
    </row>
    <row r="2814" spans="3:36" s="100" customFormat="1">
      <c r="C2814" s="115"/>
      <c r="D2814" s="99"/>
      <c r="E2814" s="99"/>
      <c r="F2814" s="99"/>
      <c r="AD2814" s="332"/>
      <c r="AJ2814" s="392"/>
    </row>
    <row r="2815" spans="3:36">
      <c r="C2815" s="49"/>
      <c r="D2815" s="46"/>
      <c r="E2815" s="46"/>
      <c r="F2815" s="46"/>
    </row>
    <row r="2816" spans="3:36">
      <c r="C2816" s="49"/>
      <c r="D2816" s="46"/>
      <c r="E2816" s="46"/>
      <c r="F2816" s="46"/>
      <c r="I2816" s="872" t="s">
        <v>1643</v>
      </c>
      <c r="J2816" s="873"/>
      <c r="K2816" s="873"/>
      <c r="L2816" s="873"/>
      <c r="M2816" s="873"/>
      <c r="N2816" s="873"/>
      <c r="O2816" s="873"/>
      <c r="P2816" s="874"/>
      <c r="Q2816" s="872" t="s">
        <v>1612</v>
      </c>
      <c r="R2816" s="873"/>
      <c r="S2816" s="873"/>
      <c r="T2816" s="873"/>
      <c r="U2816" s="873"/>
      <c r="V2816" s="873"/>
      <c r="W2816" s="873"/>
      <c r="X2816" s="874"/>
    </row>
    <row r="2817" spans="2:24">
      <c r="C2817" s="49"/>
      <c r="D2817" s="46"/>
      <c r="E2817" s="46"/>
      <c r="F2817" s="46"/>
      <c r="I2817" s="854" t="s">
        <v>1662</v>
      </c>
      <c r="J2817" s="855"/>
      <c r="K2817" s="855"/>
      <c r="L2817" s="855"/>
      <c r="M2817" s="855"/>
      <c r="N2817" s="855"/>
      <c r="O2817" s="855"/>
      <c r="P2817" s="856"/>
      <c r="Q2817" s="854" t="s">
        <v>1613</v>
      </c>
      <c r="R2817" s="855"/>
      <c r="S2817" s="855"/>
      <c r="T2817" s="855"/>
      <c r="U2817" s="855"/>
      <c r="V2817" s="855"/>
      <c r="W2817" s="855"/>
      <c r="X2817" s="856"/>
    </row>
    <row r="2818" spans="2:24" ht="15" customHeight="1">
      <c r="C2818" s="46"/>
      <c r="D2818" s="46"/>
      <c r="E2818" s="46"/>
      <c r="F2818" s="46"/>
      <c r="I2818" s="849" t="s">
        <v>1663</v>
      </c>
      <c r="J2818" s="849"/>
      <c r="K2818" s="319"/>
      <c r="L2818" s="849" t="s">
        <v>1664</v>
      </c>
      <c r="M2818" s="849"/>
      <c r="N2818" s="319"/>
      <c r="O2818" s="909" t="s">
        <v>1665</v>
      </c>
      <c r="P2818" s="909"/>
      <c r="Q2818" s="849" t="s">
        <v>1614</v>
      </c>
      <c r="R2818" s="849"/>
      <c r="S2818" s="849" t="s">
        <v>1615</v>
      </c>
      <c r="T2818" s="849"/>
      <c r="U2818" s="849"/>
      <c r="V2818" s="850" t="s">
        <v>1616</v>
      </c>
      <c r="W2818" s="850"/>
      <c r="X2818" s="850"/>
    </row>
    <row r="2819" spans="2:24" ht="28.8">
      <c r="B2819" s="584" t="s">
        <v>1202</v>
      </c>
      <c r="C2819" s="61" t="s">
        <v>71</v>
      </c>
      <c r="D2819" s="62" t="s">
        <v>353</v>
      </c>
      <c r="E2819" s="62" t="s">
        <v>354</v>
      </c>
      <c r="F2819" s="62" t="s">
        <v>355</v>
      </c>
      <c r="I2819" s="93" t="s">
        <v>1080</v>
      </c>
      <c r="J2819" s="94" t="s">
        <v>1081</v>
      </c>
      <c r="K2819" s="94"/>
      <c r="L2819" s="93" t="s">
        <v>1080</v>
      </c>
      <c r="M2819" s="94" t="s">
        <v>1081</v>
      </c>
      <c r="N2819" s="94"/>
      <c r="O2819" s="94" t="s">
        <v>1080</v>
      </c>
      <c r="P2819" s="94" t="s">
        <v>1081</v>
      </c>
      <c r="Q2819" s="93" t="s">
        <v>1080</v>
      </c>
      <c r="R2819" s="94" t="s">
        <v>1081</v>
      </c>
      <c r="S2819" s="93" t="s">
        <v>1080</v>
      </c>
      <c r="T2819" s="93"/>
      <c r="U2819" s="93" t="s">
        <v>1081</v>
      </c>
      <c r="V2819" s="93" t="s">
        <v>1080</v>
      </c>
      <c r="W2819" s="93"/>
      <c r="X2819" s="94" t="s">
        <v>1081</v>
      </c>
    </row>
    <row r="2820" spans="2:24">
      <c r="C2820" s="138" t="s">
        <v>951</v>
      </c>
      <c r="D2820" s="65">
        <v>0.05</v>
      </c>
      <c r="E2820" s="65">
        <v>0.05</v>
      </c>
      <c r="F2820" s="65">
        <v>0.05</v>
      </c>
      <c r="I2820" s="97">
        <f>E2820</f>
        <v>0.05</v>
      </c>
      <c r="J2820" s="98">
        <f>F2820</f>
        <v>0.05</v>
      </c>
      <c r="K2820" s="98"/>
      <c r="L2820" s="98">
        <f>E2820</f>
        <v>0.05</v>
      </c>
      <c r="M2820" s="98">
        <f>F2820</f>
        <v>0.05</v>
      </c>
      <c r="N2820" s="98"/>
      <c r="O2820" s="125">
        <f>E2820</f>
        <v>0.05</v>
      </c>
      <c r="P2820" s="125">
        <f>F2820</f>
        <v>0.05</v>
      </c>
      <c r="Q2820" s="97"/>
      <c r="R2820" s="98"/>
      <c r="S2820" s="98"/>
      <c r="T2820" s="98"/>
      <c r="U2820" s="95"/>
      <c r="V2820" s="87"/>
      <c r="W2820" s="87"/>
      <c r="X2820" s="87"/>
    </row>
    <row r="2821" spans="2:24">
      <c r="C2821" s="66" t="s">
        <v>952</v>
      </c>
      <c r="D2821" s="65">
        <v>0.15</v>
      </c>
      <c r="E2821" s="65">
        <v>0.15</v>
      </c>
      <c r="F2821" s="65">
        <v>0.1</v>
      </c>
      <c r="I2821" s="97"/>
      <c r="J2821" s="98"/>
      <c r="K2821" s="98"/>
      <c r="L2821" s="98"/>
      <c r="M2821" s="98"/>
      <c r="N2821" s="98"/>
      <c r="O2821" s="125"/>
      <c r="P2821" s="125"/>
      <c r="Q2821" s="97"/>
      <c r="R2821" s="98"/>
      <c r="S2821" s="98"/>
      <c r="T2821" s="98"/>
      <c r="U2821" s="95"/>
      <c r="V2821" s="87"/>
      <c r="W2821" s="87"/>
      <c r="X2821" s="87"/>
    </row>
    <row r="2822" spans="2:24">
      <c r="C2822" s="66" t="s">
        <v>953</v>
      </c>
      <c r="D2822" s="65">
        <v>0.1</v>
      </c>
      <c r="E2822" s="65">
        <v>0.1</v>
      </c>
      <c r="F2822" s="65">
        <v>0.1</v>
      </c>
      <c r="I2822" s="97"/>
      <c r="J2822" s="98"/>
      <c r="K2822" s="98"/>
      <c r="L2822" s="98">
        <f>E2822</f>
        <v>0.1</v>
      </c>
      <c r="M2822" s="98">
        <f>F2822</f>
        <v>0.1</v>
      </c>
      <c r="N2822" s="98"/>
      <c r="O2822" s="125">
        <f>E2822</f>
        <v>0.1</v>
      </c>
      <c r="P2822" s="125">
        <f>F2822</f>
        <v>0.1</v>
      </c>
      <c r="Q2822" s="97"/>
      <c r="R2822" s="98"/>
      <c r="S2822" s="98"/>
      <c r="T2822" s="98"/>
      <c r="U2822" s="95"/>
      <c r="V2822" s="87"/>
      <c r="W2822" s="87"/>
      <c r="X2822" s="87"/>
    </row>
    <row r="2823" spans="2:24">
      <c r="C2823" s="66" t="s">
        <v>954</v>
      </c>
      <c r="D2823" s="65">
        <v>0.15</v>
      </c>
      <c r="E2823" s="65">
        <v>0.15</v>
      </c>
      <c r="F2823" s="65">
        <v>0.15</v>
      </c>
      <c r="I2823" s="97"/>
      <c r="J2823" s="98"/>
      <c r="K2823" s="98"/>
      <c r="L2823" s="98">
        <f>E2823</f>
        <v>0.15</v>
      </c>
      <c r="M2823" s="98">
        <f>F2823</f>
        <v>0.15</v>
      </c>
      <c r="N2823" s="98"/>
      <c r="O2823" s="125">
        <f>E2823</f>
        <v>0.15</v>
      </c>
      <c r="P2823" s="125">
        <f>F2823</f>
        <v>0.15</v>
      </c>
      <c r="Q2823" s="97"/>
      <c r="R2823" s="98"/>
      <c r="S2823" s="98"/>
      <c r="T2823" s="98"/>
      <c r="U2823" s="98"/>
      <c r="V2823" s="87"/>
      <c r="W2823" s="87"/>
      <c r="X2823" s="87"/>
    </row>
    <row r="2824" spans="2:24" ht="27">
      <c r="C2824" s="119" t="s">
        <v>955</v>
      </c>
      <c r="D2824" s="65">
        <v>0.25</v>
      </c>
      <c r="E2824" s="65">
        <v>0.25</v>
      </c>
      <c r="F2824" s="65">
        <v>0.25</v>
      </c>
      <c r="I2824" s="112"/>
      <c r="J2824" s="112"/>
      <c r="K2824" s="112"/>
      <c r="L2824" s="140">
        <f>E2824</f>
        <v>0.25</v>
      </c>
      <c r="M2824" s="140">
        <f>E2824</f>
        <v>0.25</v>
      </c>
      <c r="N2824" s="140"/>
      <c r="O2824" s="131">
        <f>E2824</f>
        <v>0.25</v>
      </c>
      <c r="P2824" s="131">
        <f>E2824</f>
        <v>0.25</v>
      </c>
      <c r="Q2824" s="112"/>
      <c r="R2824" s="140"/>
      <c r="S2824" s="140"/>
      <c r="T2824" s="140"/>
      <c r="U2824" s="140"/>
      <c r="V2824" s="130"/>
      <c r="W2824" s="130"/>
      <c r="X2824" s="130"/>
    </row>
    <row r="2825" spans="2:24">
      <c r="C2825" s="66" t="s">
        <v>956</v>
      </c>
      <c r="D2825" s="65">
        <v>0.2</v>
      </c>
      <c r="E2825" s="65">
        <v>0.1</v>
      </c>
      <c r="F2825" s="65">
        <v>0.05</v>
      </c>
      <c r="I2825" s="125">
        <f>D2825</f>
        <v>0.2</v>
      </c>
      <c r="J2825" s="125">
        <f>D2825</f>
        <v>0.2</v>
      </c>
      <c r="K2825" s="125"/>
      <c r="L2825" s="87"/>
      <c r="M2825" s="87"/>
      <c r="N2825" s="87"/>
      <c r="O2825" s="87"/>
      <c r="P2825" s="87"/>
      <c r="Q2825" s="87"/>
      <c r="R2825" s="87"/>
      <c r="S2825" s="141"/>
      <c r="T2825" s="141"/>
      <c r="U2825" s="141"/>
      <c r="V2825" s="141"/>
      <c r="W2825" s="141"/>
      <c r="X2825" s="141"/>
    </row>
    <row r="2826" spans="2:24">
      <c r="C2826" s="66" t="s">
        <v>957</v>
      </c>
      <c r="D2826" s="65">
        <v>0.1</v>
      </c>
      <c r="E2826" s="65">
        <v>0.05</v>
      </c>
      <c r="F2826" s="65">
        <v>0.05</v>
      </c>
      <c r="I2826" s="139"/>
      <c r="J2826" s="139"/>
      <c r="K2826" s="139"/>
      <c r="L2826" s="139"/>
      <c r="M2826" s="139"/>
      <c r="N2826" s="139"/>
      <c r="O2826" s="139"/>
      <c r="P2826" s="139"/>
      <c r="Q2826" s="139"/>
      <c r="R2826" s="139"/>
      <c r="S2826" s="125">
        <f>E2826</f>
        <v>0.05</v>
      </c>
      <c r="T2826" s="125"/>
      <c r="U2826" s="125">
        <f>F2826</f>
        <v>0.05</v>
      </c>
      <c r="V2826" s="125">
        <f>E2826</f>
        <v>0.05</v>
      </c>
      <c r="W2826" s="125"/>
      <c r="X2826" s="125">
        <f>F2826</f>
        <v>0.05</v>
      </c>
    </row>
    <row r="2827" spans="2:24">
      <c r="C2827" s="63"/>
      <c r="D2827" s="69">
        <f>SUM(D2820:D2826)</f>
        <v>1.0000000000000002</v>
      </c>
      <c r="E2827" s="69">
        <f>SUM(E2820:E2826)</f>
        <v>0.85000000000000009</v>
      </c>
      <c r="F2827" s="69">
        <f>SUM(F2820:F2826)</f>
        <v>0.75000000000000011</v>
      </c>
      <c r="I2827" s="33">
        <f>SUM(I2820:I2826)</f>
        <v>0.25</v>
      </c>
      <c r="J2827" s="33">
        <f>SUM(J2820:J2826)</f>
        <v>0.25</v>
      </c>
      <c r="K2827" s="33"/>
      <c r="L2827" s="33">
        <f>SUM(L2820:L2826)</f>
        <v>0.55000000000000004</v>
      </c>
      <c r="M2827" s="33">
        <f>SUM(M2820:M2826)</f>
        <v>0.55000000000000004</v>
      </c>
      <c r="N2827" s="33"/>
      <c r="O2827" s="33">
        <f>SUM(O2820:O2826)</f>
        <v>0.55000000000000004</v>
      </c>
      <c r="P2827" s="33">
        <f>SUM(P2820:P2826)</f>
        <v>0.55000000000000004</v>
      </c>
      <c r="S2827" s="33">
        <f>SUM(S2820:S2826)</f>
        <v>0.05</v>
      </c>
      <c r="T2827" s="33"/>
      <c r="U2827" s="33">
        <f>SUM(U2820:U2826)</f>
        <v>0.05</v>
      </c>
      <c r="V2827" s="33">
        <f>SUM(V2820:V2826)</f>
        <v>0.05</v>
      </c>
      <c r="W2827" s="33"/>
      <c r="X2827" s="33">
        <f>SUM(X2820:X2826)</f>
        <v>0.05</v>
      </c>
    </row>
    <row r="2828" spans="2:24">
      <c r="C2828" s="63"/>
      <c r="D2828" s="64"/>
      <c r="E2828" s="65">
        <f>D2827-E2827</f>
        <v>0.15000000000000013</v>
      </c>
      <c r="F2828" s="65">
        <f>E2827-F2827</f>
        <v>9.9999999999999978E-2</v>
      </c>
    </row>
    <row r="2829" spans="2:24">
      <c r="C2829" s="67"/>
      <c r="D2829" s="45"/>
      <c r="E2829" s="65"/>
      <c r="F2829" s="65"/>
    </row>
    <row r="2830" spans="2:24">
      <c r="C2830" s="87" t="s">
        <v>1666</v>
      </c>
      <c r="D2830" s="88">
        <v>2</v>
      </c>
      <c r="E2830" s="88"/>
      <c r="F2830" s="88"/>
    </row>
    <row r="2831" spans="2:24">
      <c r="C2831" s="87" t="s">
        <v>1619</v>
      </c>
      <c r="D2831" s="88">
        <v>2</v>
      </c>
      <c r="E2831" s="88"/>
      <c r="F2831" s="88"/>
    </row>
    <row r="2832" spans="2:24">
      <c r="C2832" s="87" t="s">
        <v>1620</v>
      </c>
      <c r="D2832" s="88"/>
      <c r="E2832" s="88"/>
      <c r="F2832" s="88"/>
    </row>
    <row r="2833" spans="3:36">
      <c r="C2833" s="87" t="s">
        <v>362</v>
      </c>
      <c r="D2833" s="88"/>
      <c r="E2833" s="88"/>
      <c r="F2833" s="88"/>
    </row>
    <row r="2834" spans="3:36">
      <c r="C2834" s="87" t="s">
        <v>363</v>
      </c>
      <c r="D2834" s="88"/>
      <c r="E2834" s="88"/>
      <c r="F2834" s="88"/>
    </row>
    <row r="2835" spans="3:36">
      <c r="C2835" s="63"/>
      <c r="D2835" s="64"/>
      <c r="E2835" s="65"/>
      <c r="F2835" s="65"/>
    </row>
    <row r="2836" spans="3:36" s="100" customFormat="1">
      <c r="C2836" s="114"/>
      <c r="D2836" s="117"/>
      <c r="E2836" s="118"/>
      <c r="F2836" s="118"/>
      <c r="AD2836" s="332"/>
      <c r="AJ2836" s="392"/>
    </row>
    <row r="2837" spans="3:36">
      <c r="C2837" s="67"/>
      <c r="D2837" s="45"/>
      <c r="E2837" s="64"/>
      <c r="F2837" s="64"/>
    </row>
    <row r="2838" spans="3:36">
      <c r="C2838" s="67"/>
      <c r="D2838" s="45"/>
      <c r="E2838" s="64"/>
      <c r="F2838" s="64"/>
      <c r="I2838" s="872" t="s">
        <v>1643</v>
      </c>
      <c r="J2838" s="873"/>
      <c r="K2838" s="873"/>
      <c r="L2838" s="873"/>
      <c r="M2838" s="873"/>
      <c r="N2838" s="873"/>
      <c r="O2838" s="873"/>
      <c r="P2838" s="874"/>
      <c r="Q2838" s="872" t="s">
        <v>1612</v>
      </c>
      <c r="R2838" s="873"/>
      <c r="S2838" s="873"/>
      <c r="T2838" s="873"/>
      <c r="U2838" s="873"/>
      <c r="V2838" s="873"/>
      <c r="W2838" s="873"/>
      <c r="X2838" s="874"/>
    </row>
    <row r="2839" spans="3:36">
      <c r="C2839" s="67"/>
      <c r="D2839" s="45"/>
      <c r="E2839" s="64"/>
      <c r="F2839" s="64"/>
      <c r="I2839" s="854" t="s">
        <v>1662</v>
      </c>
      <c r="J2839" s="855"/>
      <c r="K2839" s="855"/>
      <c r="L2839" s="855"/>
      <c r="M2839" s="855"/>
      <c r="N2839" s="855"/>
      <c r="O2839" s="855"/>
      <c r="P2839" s="856"/>
      <c r="Q2839" s="854" t="s">
        <v>1613</v>
      </c>
      <c r="R2839" s="855"/>
      <c r="S2839" s="855"/>
      <c r="T2839" s="855"/>
      <c r="U2839" s="855"/>
      <c r="V2839" s="855"/>
      <c r="W2839" s="855"/>
      <c r="X2839" s="856"/>
    </row>
    <row r="2840" spans="3:36">
      <c r="C2840" s="67"/>
      <c r="D2840" s="45"/>
      <c r="E2840" s="64"/>
      <c r="F2840" s="64"/>
      <c r="I2840" s="849" t="s">
        <v>1663</v>
      </c>
      <c r="J2840" s="849"/>
      <c r="K2840" s="319"/>
      <c r="L2840" s="849" t="s">
        <v>1664</v>
      </c>
      <c r="M2840" s="849"/>
      <c r="N2840" s="319"/>
      <c r="O2840" s="909" t="s">
        <v>1665</v>
      </c>
      <c r="P2840" s="909"/>
      <c r="Q2840" s="849" t="s">
        <v>1614</v>
      </c>
      <c r="R2840" s="849"/>
      <c r="S2840" s="849" t="s">
        <v>1615</v>
      </c>
      <c r="T2840" s="849"/>
      <c r="U2840" s="849"/>
      <c r="V2840" s="850" t="s">
        <v>1616</v>
      </c>
      <c r="W2840" s="850"/>
      <c r="X2840" s="850"/>
    </row>
    <row r="2841" spans="3:36" ht="28.8">
      <c r="C2841" s="61" t="s">
        <v>69</v>
      </c>
      <c r="D2841" s="62" t="s">
        <v>353</v>
      </c>
      <c r="E2841" s="62" t="s">
        <v>354</v>
      </c>
      <c r="F2841" s="62" t="s">
        <v>355</v>
      </c>
      <c r="I2841" s="93" t="s">
        <v>1080</v>
      </c>
      <c r="J2841" s="94" t="s">
        <v>1081</v>
      </c>
      <c r="K2841" s="94"/>
      <c r="L2841" s="93" t="s">
        <v>1080</v>
      </c>
      <c r="M2841" s="94" t="s">
        <v>1081</v>
      </c>
      <c r="N2841" s="94"/>
      <c r="O2841" s="94" t="s">
        <v>1080</v>
      </c>
      <c r="P2841" s="94" t="s">
        <v>1081</v>
      </c>
      <c r="Q2841" s="93" t="s">
        <v>1080</v>
      </c>
      <c r="R2841" s="94" t="s">
        <v>1081</v>
      </c>
      <c r="S2841" s="93" t="s">
        <v>1080</v>
      </c>
      <c r="T2841" s="93"/>
      <c r="U2841" s="93" t="s">
        <v>1081</v>
      </c>
      <c r="V2841" s="93" t="s">
        <v>1080</v>
      </c>
      <c r="W2841" s="93"/>
      <c r="X2841" s="94" t="s">
        <v>1081</v>
      </c>
    </row>
    <row r="2842" spans="3:36" ht="27">
      <c r="C2842" s="119" t="s">
        <v>958</v>
      </c>
      <c r="D2842" s="68">
        <v>0.15</v>
      </c>
      <c r="E2842" s="68">
        <v>0.15</v>
      </c>
      <c r="F2842" s="65">
        <v>0.15</v>
      </c>
      <c r="I2842" s="97"/>
      <c r="J2842" s="98"/>
      <c r="K2842" s="98"/>
      <c r="L2842" s="98">
        <f t="shared" ref="L2842:M2845" si="198">E2842</f>
        <v>0.15</v>
      </c>
      <c r="M2842" s="98">
        <f t="shared" si="198"/>
        <v>0.15</v>
      </c>
      <c r="N2842" s="98"/>
      <c r="O2842" s="125">
        <f t="shared" ref="O2842:P2845" si="199">E2842</f>
        <v>0.15</v>
      </c>
      <c r="P2842" s="125">
        <f t="shared" si="199"/>
        <v>0.15</v>
      </c>
      <c r="Q2842" s="97"/>
      <c r="R2842" s="98"/>
      <c r="S2842" s="98"/>
      <c r="T2842" s="98"/>
      <c r="U2842" s="95"/>
      <c r="V2842" s="87"/>
      <c r="W2842" s="87"/>
      <c r="X2842" s="87"/>
    </row>
    <row r="2843" spans="3:36">
      <c r="C2843" s="119" t="s">
        <v>959</v>
      </c>
      <c r="D2843" s="68">
        <v>0.1</v>
      </c>
      <c r="E2843" s="68">
        <v>0.1</v>
      </c>
      <c r="F2843" s="65">
        <v>0.1</v>
      </c>
      <c r="I2843" s="97"/>
      <c r="J2843" s="98"/>
      <c r="K2843" s="98"/>
      <c r="L2843" s="98">
        <f t="shared" si="198"/>
        <v>0.1</v>
      </c>
      <c r="M2843" s="98">
        <f t="shared" si="198"/>
        <v>0.1</v>
      </c>
      <c r="N2843" s="98"/>
      <c r="O2843" s="125">
        <f t="shared" si="199"/>
        <v>0.1</v>
      </c>
      <c r="P2843" s="125">
        <f t="shared" si="199"/>
        <v>0.1</v>
      </c>
      <c r="Q2843" s="97"/>
      <c r="R2843" s="98"/>
      <c r="S2843" s="98"/>
      <c r="T2843" s="98"/>
      <c r="U2843" s="95"/>
      <c r="V2843" s="87"/>
      <c r="W2843" s="87"/>
      <c r="X2843" s="87"/>
    </row>
    <row r="2844" spans="3:36">
      <c r="C2844" s="66" t="s">
        <v>960</v>
      </c>
      <c r="D2844" s="68">
        <v>0.15</v>
      </c>
      <c r="E2844" s="68">
        <v>0.15</v>
      </c>
      <c r="F2844" s="65">
        <v>0.15</v>
      </c>
      <c r="I2844" s="97"/>
      <c r="J2844" s="98"/>
      <c r="K2844" s="98"/>
      <c r="L2844" s="98">
        <f t="shared" si="198"/>
        <v>0.15</v>
      </c>
      <c r="M2844" s="98">
        <f t="shared" si="198"/>
        <v>0.15</v>
      </c>
      <c r="N2844" s="98"/>
      <c r="O2844" s="125">
        <f t="shared" si="199"/>
        <v>0.15</v>
      </c>
      <c r="P2844" s="125">
        <f t="shared" si="199"/>
        <v>0.15</v>
      </c>
      <c r="Q2844" s="97"/>
      <c r="R2844" s="98"/>
      <c r="S2844" s="98"/>
      <c r="T2844" s="98"/>
      <c r="U2844" s="95"/>
      <c r="V2844" s="87"/>
      <c r="W2844" s="87"/>
      <c r="X2844" s="87"/>
    </row>
    <row r="2845" spans="3:36">
      <c r="C2845" s="66" t="s">
        <v>961</v>
      </c>
      <c r="D2845" s="68">
        <v>0.2</v>
      </c>
      <c r="E2845" s="68">
        <v>0.2</v>
      </c>
      <c r="F2845" s="65">
        <v>0.2</v>
      </c>
      <c r="I2845" s="97"/>
      <c r="J2845" s="98"/>
      <c r="K2845" s="98"/>
      <c r="L2845" s="98">
        <f t="shared" si="198"/>
        <v>0.2</v>
      </c>
      <c r="M2845" s="98">
        <f t="shared" si="198"/>
        <v>0.2</v>
      </c>
      <c r="N2845" s="98"/>
      <c r="O2845" s="125">
        <f t="shared" si="199"/>
        <v>0.2</v>
      </c>
      <c r="P2845" s="125">
        <f t="shared" si="199"/>
        <v>0.2</v>
      </c>
      <c r="Q2845" s="97"/>
      <c r="R2845" s="98"/>
      <c r="S2845" s="98"/>
      <c r="T2845" s="98"/>
      <c r="U2845" s="98"/>
      <c r="V2845" s="87"/>
      <c r="W2845" s="87"/>
      <c r="X2845" s="87"/>
    </row>
    <row r="2846" spans="3:36">
      <c r="C2846" s="66" t="s">
        <v>962</v>
      </c>
      <c r="D2846" s="68">
        <v>0.2</v>
      </c>
      <c r="E2846" s="68">
        <v>0.1</v>
      </c>
      <c r="F2846" s="65">
        <v>0.05</v>
      </c>
      <c r="I2846" s="98">
        <f>E2846</f>
        <v>0.1</v>
      </c>
      <c r="J2846" s="98">
        <f>F2846</f>
        <v>0.05</v>
      </c>
      <c r="K2846" s="98"/>
      <c r="L2846" s="107"/>
      <c r="M2846" s="107"/>
      <c r="N2846" s="107"/>
      <c r="O2846" s="87"/>
      <c r="P2846" s="87"/>
      <c r="Q2846" s="98"/>
      <c r="R2846" s="107"/>
      <c r="S2846" s="107"/>
      <c r="T2846" s="107"/>
      <c r="U2846" s="107"/>
      <c r="V2846" s="87"/>
      <c r="W2846" s="87"/>
      <c r="X2846" s="87"/>
    </row>
    <row r="2847" spans="3:36">
      <c r="C2847" s="66" t="s">
        <v>963</v>
      </c>
      <c r="D2847" s="68">
        <v>0.2</v>
      </c>
      <c r="E2847" s="68">
        <v>0.1</v>
      </c>
      <c r="F2847" s="65">
        <v>0.05</v>
      </c>
      <c r="I2847" s="125"/>
      <c r="J2847" s="87"/>
      <c r="K2847" s="87"/>
      <c r="L2847" s="87"/>
      <c r="M2847" s="87"/>
      <c r="N2847" s="87"/>
      <c r="O2847" s="87"/>
      <c r="P2847" s="87"/>
      <c r="Q2847" s="87"/>
      <c r="R2847" s="87"/>
      <c r="S2847" s="135">
        <f>E2847</f>
        <v>0.1</v>
      </c>
      <c r="T2847" s="135"/>
      <c r="U2847" s="135">
        <f>F2847</f>
        <v>0.05</v>
      </c>
      <c r="V2847" s="135">
        <f>E2847</f>
        <v>0.1</v>
      </c>
      <c r="W2847" s="135"/>
      <c r="X2847" s="135">
        <f>F2847</f>
        <v>0.05</v>
      </c>
    </row>
    <row r="2848" spans="3:36">
      <c r="C2848" s="66"/>
      <c r="D2848" s="137">
        <f>SUM(D2842:D2847)</f>
        <v>1</v>
      </c>
      <c r="E2848" s="137">
        <f>SUM(E2842:E2847)</f>
        <v>0.8</v>
      </c>
      <c r="F2848" s="137">
        <f>SUM(F2842:F2847)</f>
        <v>0.70000000000000018</v>
      </c>
      <c r="I2848" s="33">
        <f>SUM(I2842:I2847)</f>
        <v>0.1</v>
      </c>
      <c r="J2848" s="33">
        <f>SUM(J2842:J2847)</f>
        <v>0.05</v>
      </c>
      <c r="K2848" s="33"/>
      <c r="L2848" s="33">
        <f>SUM(L2842:L2847)</f>
        <v>0.60000000000000009</v>
      </c>
      <c r="M2848" s="33">
        <f>SUM(M2842:M2847)</f>
        <v>0.60000000000000009</v>
      </c>
      <c r="N2848" s="33"/>
      <c r="O2848" s="33">
        <f>SUM(O2842:O2847)</f>
        <v>0.60000000000000009</v>
      </c>
      <c r="P2848" s="33">
        <f>SUM(P2842:P2847)</f>
        <v>0.60000000000000009</v>
      </c>
      <c r="Q2848" s="33"/>
      <c r="R2848" s="33"/>
      <c r="S2848" s="33">
        <f>SUM(S2842:S2847)</f>
        <v>0.1</v>
      </c>
      <c r="T2848" s="33"/>
      <c r="U2848" s="33">
        <f>SUM(U2842:U2847)</f>
        <v>0.05</v>
      </c>
      <c r="V2848" s="33">
        <f>SUM(V2842:V2847)</f>
        <v>0.1</v>
      </c>
      <c r="W2848" s="33"/>
      <c r="X2848" s="33">
        <f>SUM(X2842:X2847)</f>
        <v>0.05</v>
      </c>
    </row>
    <row r="2849" spans="3:36">
      <c r="C2849" s="66"/>
      <c r="D2849" s="45"/>
      <c r="E2849" s="69">
        <f>D2848-E2848</f>
        <v>0.19999999999999996</v>
      </c>
      <c r="F2849" s="69">
        <f>E2848-F2848</f>
        <v>9.9999999999999867E-2</v>
      </c>
    </row>
    <row r="2850" spans="3:36">
      <c r="C2850" s="67"/>
      <c r="D2850" s="45"/>
      <c r="E2850" s="64"/>
      <c r="F2850" s="64"/>
    </row>
    <row r="2851" spans="3:36">
      <c r="C2851" s="67"/>
      <c r="D2851" s="45"/>
      <c r="E2851" s="64"/>
      <c r="F2851" s="64"/>
    </row>
    <row r="2852" spans="3:36">
      <c r="C2852" s="87" t="s">
        <v>1666</v>
      </c>
      <c r="D2852" s="88">
        <v>3</v>
      </c>
      <c r="E2852" s="88"/>
      <c r="F2852" s="88"/>
    </row>
    <row r="2853" spans="3:36">
      <c r="C2853" s="87" t="s">
        <v>1619</v>
      </c>
      <c r="D2853" s="88">
        <v>2</v>
      </c>
      <c r="E2853" s="88"/>
      <c r="F2853" s="88"/>
    </row>
    <row r="2854" spans="3:36">
      <c r="C2854" s="87" t="s">
        <v>1620</v>
      </c>
      <c r="D2854" s="88"/>
      <c r="E2854" s="88"/>
      <c r="F2854" s="88"/>
    </row>
    <row r="2855" spans="3:36">
      <c r="C2855" s="87" t="s">
        <v>362</v>
      </c>
      <c r="D2855" s="88"/>
      <c r="E2855" s="88"/>
      <c r="F2855" s="88"/>
    </row>
    <row r="2856" spans="3:36">
      <c r="C2856" s="87" t="s">
        <v>363</v>
      </c>
      <c r="D2856" s="88"/>
      <c r="E2856" s="88"/>
      <c r="F2856" s="88"/>
    </row>
    <row r="2857" spans="3:36">
      <c r="C2857" s="67"/>
      <c r="D2857" s="45"/>
      <c r="E2857" s="64"/>
      <c r="F2857" s="64"/>
    </row>
    <row r="2858" spans="3:36" s="100" customFormat="1">
      <c r="C2858" s="114"/>
      <c r="D2858" s="117"/>
      <c r="E2858" s="118"/>
      <c r="F2858" s="118"/>
      <c r="AD2858" s="332"/>
      <c r="AJ2858" s="392"/>
    </row>
    <row r="2859" spans="3:36">
      <c r="C2859" s="67"/>
      <c r="D2859" s="45"/>
      <c r="E2859" s="64"/>
      <c r="F2859" s="64"/>
    </row>
    <row r="2860" spans="3:36">
      <c r="C2860" s="67"/>
      <c r="D2860" s="45"/>
      <c r="E2860" s="64"/>
      <c r="F2860" s="64"/>
      <c r="I2860" s="872" t="s">
        <v>1643</v>
      </c>
      <c r="J2860" s="873"/>
      <c r="K2860" s="873"/>
      <c r="L2860" s="873"/>
      <c r="M2860" s="873"/>
      <c r="N2860" s="873"/>
      <c r="O2860" s="873"/>
      <c r="P2860" s="874"/>
      <c r="Q2860" s="872" t="s">
        <v>1612</v>
      </c>
      <c r="R2860" s="873"/>
      <c r="S2860" s="873"/>
      <c r="T2860" s="873"/>
      <c r="U2860" s="873"/>
      <c r="V2860" s="873"/>
      <c r="W2860" s="873"/>
      <c r="X2860" s="874"/>
    </row>
    <row r="2861" spans="3:36">
      <c r="C2861" s="67"/>
      <c r="D2861" s="45"/>
      <c r="E2861" s="64"/>
      <c r="F2861" s="64"/>
      <c r="I2861" s="854" t="s">
        <v>1662</v>
      </c>
      <c r="J2861" s="855"/>
      <c r="K2861" s="855"/>
      <c r="L2861" s="855"/>
      <c r="M2861" s="855"/>
      <c r="N2861" s="855"/>
      <c r="O2861" s="855"/>
      <c r="P2861" s="856"/>
      <c r="Q2861" s="854" t="s">
        <v>1613</v>
      </c>
      <c r="R2861" s="855"/>
      <c r="S2861" s="855"/>
      <c r="T2861" s="855"/>
      <c r="U2861" s="855"/>
      <c r="V2861" s="855"/>
      <c r="W2861" s="855"/>
      <c r="X2861" s="856"/>
    </row>
    <row r="2862" spans="3:36" ht="15" customHeight="1">
      <c r="C2862" s="66"/>
      <c r="D2862" s="45"/>
      <c r="E2862" s="64"/>
      <c r="F2862" s="64"/>
      <c r="I2862" s="849" t="s">
        <v>1663</v>
      </c>
      <c r="J2862" s="849"/>
      <c r="K2862" s="319"/>
      <c r="L2862" s="849" t="s">
        <v>1664</v>
      </c>
      <c r="M2862" s="849"/>
      <c r="N2862" s="319"/>
      <c r="O2862" s="909" t="s">
        <v>1665</v>
      </c>
      <c r="P2862" s="909"/>
      <c r="Q2862" s="849" t="s">
        <v>1614</v>
      </c>
      <c r="R2862" s="849"/>
      <c r="S2862" s="849" t="s">
        <v>1615</v>
      </c>
      <c r="T2862" s="849"/>
      <c r="U2862" s="849"/>
      <c r="V2862" s="909" t="s">
        <v>1616</v>
      </c>
      <c r="W2862" s="909"/>
      <c r="X2862" s="909"/>
    </row>
    <row r="2863" spans="3:36" ht="28.8">
      <c r="C2863" s="61" t="s">
        <v>70</v>
      </c>
      <c r="D2863" s="62" t="s">
        <v>353</v>
      </c>
      <c r="E2863" s="62" t="s">
        <v>354</v>
      </c>
      <c r="F2863" s="62" t="s">
        <v>355</v>
      </c>
      <c r="I2863" s="93" t="s">
        <v>1080</v>
      </c>
      <c r="J2863" s="94" t="s">
        <v>1081</v>
      </c>
      <c r="K2863" s="94"/>
      <c r="L2863" s="94" t="s">
        <v>1080</v>
      </c>
      <c r="M2863" s="94" t="s">
        <v>1081</v>
      </c>
      <c r="N2863" s="94"/>
      <c r="O2863" s="94" t="s">
        <v>1080</v>
      </c>
      <c r="P2863" s="94" t="s">
        <v>1081</v>
      </c>
      <c r="Q2863" s="93" t="s">
        <v>1080</v>
      </c>
      <c r="R2863" s="94" t="s">
        <v>1081</v>
      </c>
      <c r="S2863" s="94" t="s">
        <v>1080</v>
      </c>
      <c r="T2863" s="94"/>
      <c r="U2863" s="94" t="s">
        <v>1081</v>
      </c>
      <c r="V2863" s="94" t="s">
        <v>1080</v>
      </c>
      <c r="W2863" s="94"/>
      <c r="X2863" s="94" t="s">
        <v>1081</v>
      </c>
    </row>
    <row r="2864" spans="3:36" ht="27">
      <c r="C2864" s="119" t="s">
        <v>964</v>
      </c>
      <c r="D2864" s="68">
        <v>0.25</v>
      </c>
      <c r="E2864" s="68">
        <v>0.25</v>
      </c>
      <c r="F2864" s="68">
        <v>0.25</v>
      </c>
      <c r="I2864" s="97"/>
      <c r="J2864" s="98"/>
      <c r="K2864" s="98"/>
      <c r="L2864" s="129">
        <f t="shared" ref="L2864:M2867" si="200">E2864</f>
        <v>0.25</v>
      </c>
      <c r="M2864" s="129">
        <f t="shared" si="200"/>
        <v>0.25</v>
      </c>
      <c r="N2864" s="129"/>
      <c r="O2864" s="124">
        <f t="shared" ref="O2864:P2867" si="201">E2864</f>
        <v>0.25</v>
      </c>
      <c r="P2864" s="124">
        <f t="shared" si="201"/>
        <v>0.25</v>
      </c>
      <c r="Q2864" s="97"/>
      <c r="R2864" s="98"/>
      <c r="S2864" s="98"/>
      <c r="T2864" s="98"/>
      <c r="U2864" s="95"/>
      <c r="V2864" s="87"/>
      <c r="W2864" s="87"/>
      <c r="X2864" s="87"/>
    </row>
    <row r="2865" spans="3:36">
      <c r="C2865" s="119" t="s">
        <v>959</v>
      </c>
      <c r="D2865" s="68">
        <v>0.15</v>
      </c>
      <c r="E2865" s="68">
        <v>0.15</v>
      </c>
      <c r="F2865" s="68">
        <v>0.15</v>
      </c>
      <c r="I2865" s="97"/>
      <c r="J2865" s="98"/>
      <c r="K2865" s="98"/>
      <c r="L2865" s="129">
        <f t="shared" si="200"/>
        <v>0.15</v>
      </c>
      <c r="M2865" s="129">
        <f t="shared" si="200"/>
        <v>0.15</v>
      </c>
      <c r="N2865" s="129"/>
      <c r="O2865" s="124">
        <f t="shared" si="201"/>
        <v>0.15</v>
      </c>
      <c r="P2865" s="124">
        <f t="shared" si="201"/>
        <v>0.15</v>
      </c>
      <c r="Q2865" s="97"/>
      <c r="R2865" s="98"/>
      <c r="S2865" s="98"/>
      <c r="T2865" s="98"/>
      <c r="U2865" s="95"/>
      <c r="V2865" s="87"/>
      <c r="W2865" s="87"/>
      <c r="X2865" s="87"/>
    </row>
    <row r="2866" spans="3:36">
      <c r="C2866" s="119" t="s">
        <v>965</v>
      </c>
      <c r="D2866" s="68">
        <v>0.1</v>
      </c>
      <c r="E2866" s="68">
        <v>0.1</v>
      </c>
      <c r="F2866" s="68">
        <v>0.1</v>
      </c>
      <c r="I2866" s="97"/>
      <c r="J2866" s="98"/>
      <c r="K2866" s="98"/>
      <c r="L2866" s="129">
        <f t="shared" si="200"/>
        <v>0.1</v>
      </c>
      <c r="M2866" s="129">
        <f t="shared" si="200"/>
        <v>0.1</v>
      </c>
      <c r="N2866" s="129"/>
      <c r="O2866" s="124">
        <f t="shared" si="201"/>
        <v>0.1</v>
      </c>
      <c r="P2866" s="124">
        <f t="shared" si="201"/>
        <v>0.1</v>
      </c>
      <c r="Q2866" s="97"/>
      <c r="R2866" s="98"/>
      <c r="S2866" s="98"/>
      <c r="T2866" s="98"/>
      <c r="U2866" s="95"/>
      <c r="V2866" s="87"/>
      <c r="W2866" s="87"/>
      <c r="X2866" s="87"/>
    </row>
    <row r="2867" spans="3:36">
      <c r="C2867" s="66" t="s">
        <v>966</v>
      </c>
      <c r="D2867" s="68">
        <v>0.15</v>
      </c>
      <c r="E2867" s="68">
        <v>0.15</v>
      </c>
      <c r="F2867" s="68">
        <v>0.15</v>
      </c>
      <c r="I2867" s="97"/>
      <c r="J2867" s="98"/>
      <c r="K2867" s="98"/>
      <c r="L2867" s="129">
        <f t="shared" si="200"/>
        <v>0.15</v>
      </c>
      <c r="M2867" s="129">
        <f t="shared" si="200"/>
        <v>0.15</v>
      </c>
      <c r="N2867" s="129"/>
      <c r="O2867" s="124">
        <f t="shared" si="201"/>
        <v>0.15</v>
      </c>
      <c r="P2867" s="124">
        <f t="shared" si="201"/>
        <v>0.15</v>
      </c>
      <c r="Q2867" s="97"/>
      <c r="R2867" s="98"/>
      <c r="S2867" s="98"/>
      <c r="T2867" s="98"/>
      <c r="U2867" s="98"/>
      <c r="V2867" s="87"/>
      <c r="W2867" s="87"/>
      <c r="X2867" s="87"/>
    </row>
    <row r="2868" spans="3:36">
      <c r="C2868" s="66" t="s">
        <v>967</v>
      </c>
      <c r="D2868" s="68">
        <v>0.15</v>
      </c>
      <c r="E2868" s="68">
        <v>0.15</v>
      </c>
      <c r="F2868" s="68">
        <v>0.08</v>
      </c>
      <c r="I2868" s="98">
        <f>E2868</f>
        <v>0.15</v>
      </c>
      <c r="J2868" s="98">
        <f>F2868</f>
        <v>0.08</v>
      </c>
      <c r="K2868" s="98"/>
      <c r="L2868" s="107"/>
      <c r="M2868" s="107"/>
      <c r="N2868" s="107"/>
      <c r="O2868" s="87"/>
      <c r="P2868" s="87"/>
      <c r="Q2868" s="98"/>
      <c r="R2868" s="107"/>
      <c r="S2868" s="107"/>
      <c r="T2868" s="107"/>
      <c r="U2868" s="107"/>
      <c r="V2868" s="87"/>
      <c r="W2868" s="87"/>
      <c r="X2868" s="87"/>
    </row>
    <row r="2869" spans="3:36">
      <c r="C2869" s="66" t="s">
        <v>963</v>
      </c>
      <c r="D2869" s="68">
        <v>0.2</v>
      </c>
      <c r="E2869" s="68">
        <v>0.2</v>
      </c>
      <c r="F2869" s="68">
        <v>0.1</v>
      </c>
      <c r="I2869" s="125"/>
      <c r="J2869" s="87"/>
      <c r="K2869" s="87"/>
      <c r="L2869" s="87"/>
      <c r="M2869" s="87"/>
      <c r="N2869" s="87"/>
      <c r="O2869" s="87"/>
      <c r="P2869" s="87"/>
      <c r="Q2869" s="87"/>
      <c r="R2869" s="87"/>
      <c r="S2869" s="125">
        <f>E2869</f>
        <v>0.2</v>
      </c>
      <c r="T2869" s="125"/>
      <c r="U2869" s="125">
        <f>E2869</f>
        <v>0.2</v>
      </c>
      <c r="V2869" s="125">
        <f>F2869</f>
        <v>0.1</v>
      </c>
      <c r="W2869" s="125"/>
      <c r="X2869" s="125">
        <f>F2869</f>
        <v>0.1</v>
      </c>
    </row>
    <row r="2870" spans="3:36">
      <c r="C2870" s="66"/>
      <c r="D2870" s="137">
        <v>1</v>
      </c>
      <c r="E2870" s="137">
        <v>1</v>
      </c>
      <c r="F2870" s="137">
        <v>0.83</v>
      </c>
      <c r="I2870" s="33">
        <f>SUM(I2864:I2869)</f>
        <v>0.15</v>
      </c>
      <c r="J2870" s="33">
        <f>SUM(J2864:J2869)</f>
        <v>0.08</v>
      </c>
      <c r="K2870" s="33"/>
      <c r="L2870" s="33">
        <f>SUM(L2864:L2869)</f>
        <v>0.65</v>
      </c>
      <c r="M2870" s="33">
        <f>SUM(M2864:M2869)</f>
        <v>0.65</v>
      </c>
      <c r="N2870" s="33"/>
      <c r="O2870" s="33">
        <f>SUM(O2864:O2869)</f>
        <v>0.65</v>
      </c>
      <c r="P2870" s="33">
        <f>SUM(P2864:P2869)</f>
        <v>0.65</v>
      </c>
      <c r="Q2870" s="33"/>
      <c r="R2870" s="33"/>
      <c r="S2870" s="33">
        <f>SUM(S2864:S2869)</f>
        <v>0.2</v>
      </c>
      <c r="T2870" s="33"/>
      <c r="U2870" s="33">
        <f>SUM(U2864:U2869)</f>
        <v>0.2</v>
      </c>
      <c r="V2870" s="33">
        <f>SUM(V2864:V2869)</f>
        <v>0.1</v>
      </c>
      <c r="W2870" s="33"/>
      <c r="X2870" s="33">
        <f>SUM(X2864:X2869)</f>
        <v>0.1</v>
      </c>
    </row>
    <row r="2871" spans="3:36">
      <c r="C2871" s="66"/>
      <c r="D2871" s="62"/>
      <c r="E2871" s="69">
        <v>0</v>
      </c>
      <c r="F2871" s="69">
        <f>E2870-F2870</f>
        <v>0.17000000000000004</v>
      </c>
    </row>
    <row r="2872" spans="3:36">
      <c r="C2872" s="67"/>
      <c r="D2872" s="49"/>
      <c r="E2872" s="62"/>
      <c r="F2872" s="62"/>
    </row>
    <row r="2873" spans="3:36">
      <c r="C2873" s="87" t="s">
        <v>1666</v>
      </c>
      <c r="D2873" s="88">
        <v>3</v>
      </c>
      <c r="E2873" s="88"/>
      <c r="F2873" s="88"/>
    </row>
    <row r="2874" spans="3:36">
      <c r="C2874" s="87" t="s">
        <v>1619</v>
      </c>
      <c r="D2874" s="88">
        <v>2</v>
      </c>
      <c r="E2874" s="88"/>
      <c r="F2874" s="88"/>
    </row>
    <row r="2875" spans="3:36">
      <c r="C2875" s="87" t="s">
        <v>1620</v>
      </c>
      <c r="D2875" s="88"/>
      <c r="E2875" s="88"/>
      <c r="F2875" s="88"/>
    </row>
    <row r="2876" spans="3:36">
      <c r="C2876" s="87" t="s">
        <v>362</v>
      </c>
      <c r="D2876" s="88"/>
      <c r="E2876" s="88"/>
      <c r="F2876" s="88"/>
    </row>
    <row r="2877" spans="3:36">
      <c r="C2877" s="87" t="s">
        <v>363</v>
      </c>
      <c r="D2877" s="88"/>
      <c r="E2877" s="88"/>
      <c r="F2877" s="88"/>
    </row>
    <row r="2878" spans="3:36">
      <c r="C2878" s="67"/>
      <c r="D2878" s="49"/>
      <c r="E2878" s="62"/>
      <c r="F2878" s="62"/>
    </row>
    <row r="2879" spans="3:36">
      <c r="C2879" s="67"/>
      <c r="D2879" s="49"/>
      <c r="E2879" s="62"/>
      <c r="F2879" s="62"/>
    </row>
    <row r="2880" spans="3:36" s="100" customFormat="1">
      <c r="C2880" s="114"/>
      <c r="D2880" s="115"/>
      <c r="E2880" s="116"/>
      <c r="F2880" s="116"/>
      <c r="AD2880" s="332"/>
      <c r="AJ2880" s="392"/>
    </row>
    <row r="2881" spans="3:14">
      <c r="C2881" s="67"/>
      <c r="D2881" s="49"/>
      <c r="E2881" s="62"/>
      <c r="F2881" s="62"/>
    </row>
    <row r="2882" spans="3:14">
      <c r="C2882" s="67"/>
      <c r="D2882" s="49"/>
      <c r="E2882" s="62"/>
      <c r="F2882" s="62"/>
      <c r="I2882" s="857" t="s">
        <v>1643</v>
      </c>
      <c r="J2882" s="858"/>
      <c r="K2882" s="858"/>
      <c r="L2882" s="858"/>
      <c r="M2882" s="859"/>
      <c r="N2882" s="331"/>
    </row>
    <row r="2883" spans="3:14">
      <c r="C2883" s="67"/>
      <c r="D2883" s="49"/>
      <c r="E2883" s="62"/>
      <c r="F2883" s="62"/>
      <c r="I2883" s="865" t="s">
        <v>1667</v>
      </c>
      <c r="J2883" s="855"/>
      <c r="K2883" s="866"/>
      <c r="L2883" s="866"/>
      <c r="M2883" s="866"/>
      <c r="N2883" s="329"/>
    </row>
    <row r="2884" spans="3:14" ht="15" customHeight="1">
      <c r="C2884" s="66"/>
      <c r="D2884" s="62"/>
      <c r="E2884" s="62"/>
      <c r="F2884" s="62"/>
      <c r="I2884" s="861" t="s">
        <v>1668</v>
      </c>
      <c r="J2884" s="862"/>
      <c r="K2884" s="174"/>
      <c r="L2884" s="861" t="s">
        <v>1669</v>
      </c>
      <c r="M2884" s="863"/>
      <c r="N2884" s="279"/>
    </row>
    <row r="2885" spans="3:14" ht="28.8">
      <c r="C2885" s="101" t="s">
        <v>79</v>
      </c>
      <c r="D2885" s="102" t="s">
        <v>353</v>
      </c>
      <c r="E2885" s="102" t="s">
        <v>354</v>
      </c>
      <c r="F2885" s="102" t="s">
        <v>355</v>
      </c>
      <c r="I2885" s="93" t="s">
        <v>1080</v>
      </c>
      <c r="J2885" s="94" t="s">
        <v>1081</v>
      </c>
      <c r="K2885" s="94"/>
      <c r="L2885" s="94" t="s">
        <v>1080</v>
      </c>
      <c r="M2885" s="94" t="s">
        <v>1081</v>
      </c>
      <c r="N2885" s="62"/>
    </row>
    <row r="2886" spans="3:14">
      <c r="C2886" s="121" t="s">
        <v>968</v>
      </c>
      <c r="D2886" s="122">
        <v>0.1</v>
      </c>
      <c r="E2886" s="122">
        <v>0.1</v>
      </c>
      <c r="F2886" s="122">
        <v>0.1</v>
      </c>
      <c r="I2886" s="97">
        <f t="shared" ref="I2886:J2888" si="202">E2886</f>
        <v>0.1</v>
      </c>
      <c r="J2886" s="98">
        <f t="shared" si="202"/>
        <v>0.1</v>
      </c>
      <c r="K2886" s="98"/>
      <c r="L2886" s="95"/>
      <c r="M2886" s="95"/>
      <c r="N2886" s="64"/>
    </row>
    <row r="2887" spans="3:14">
      <c r="C2887" s="120" t="s">
        <v>969</v>
      </c>
      <c r="D2887" s="104">
        <v>0.2</v>
      </c>
      <c r="E2887" s="104">
        <v>0.2</v>
      </c>
      <c r="F2887" s="104">
        <v>0.2</v>
      </c>
      <c r="I2887" s="97">
        <f t="shared" si="202"/>
        <v>0.2</v>
      </c>
      <c r="J2887" s="98">
        <f t="shared" si="202"/>
        <v>0.2</v>
      </c>
      <c r="K2887" s="98"/>
      <c r="L2887" s="95"/>
      <c r="M2887" s="95"/>
      <c r="N2887" s="64"/>
    </row>
    <row r="2888" spans="3:14">
      <c r="C2888" s="120" t="s">
        <v>970</v>
      </c>
      <c r="D2888" s="104">
        <v>0.6</v>
      </c>
      <c r="E2888" s="104">
        <v>0.6</v>
      </c>
      <c r="F2888" s="104">
        <v>0.6</v>
      </c>
      <c r="I2888" s="111">
        <f t="shared" si="202"/>
        <v>0.6</v>
      </c>
      <c r="J2888" s="112">
        <f t="shared" si="202"/>
        <v>0.6</v>
      </c>
      <c r="K2888" s="112"/>
      <c r="L2888" s="113"/>
      <c r="M2888" s="113"/>
      <c r="N2888" s="64"/>
    </row>
    <row r="2889" spans="3:14">
      <c r="C2889" s="120" t="s">
        <v>971</v>
      </c>
      <c r="D2889" s="104">
        <v>0.1</v>
      </c>
      <c r="E2889" s="104">
        <v>0.1</v>
      </c>
      <c r="F2889" s="104">
        <v>0.1</v>
      </c>
      <c r="I2889" s="97"/>
      <c r="J2889" s="98"/>
      <c r="K2889" s="98"/>
      <c r="L2889" s="98">
        <f>D2889</f>
        <v>0.1</v>
      </c>
      <c r="M2889" s="98">
        <f>E2889</f>
        <v>0.1</v>
      </c>
      <c r="N2889" s="65"/>
    </row>
    <row r="2890" spans="3:14">
      <c r="C2890" s="46"/>
      <c r="D2890" s="76">
        <v>1</v>
      </c>
      <c r="E2890" s="76">
        <v>1</v>
      </c>
      <c r="F2890" s="76">
        <v>1</v>
      </c>
      <c r="I2890" s="69">
        <f>SUM(I2886:I2889)</f>
        <v>0.9</v>
      </c>
      <c r="J2890" s="69">
        <f>SUM(J2886:J2889)</f>
        <v>0.9</v>
      </c>
      <c r="K2890" s="69"/>
      <c r="L2890" s="69">
        <f>SUM(L2886:L2889)</f>
        <v>0.1</v>
      </c>
      <c r="M2890" s="69">
        <f>SUM(M2886:M2889)</f>
        <v>0.1</v>
      </c>
      <c r="N2890" s="69"/>
    </row>
    <row r="2891" spans="3:14">
      <c r="C2891" s="46"/>
      <c r="D2891" s="46"/>
      <c r="E2891" s="76">
        <v>0</v>
      </c>
      <c r="F2891" s="76">
        <f>F2890-E2890</f>
        <v>0</v>
      </c>
    </row>
    <row r="2892" spans="3:14">
      <c r="C2892" s="44"/>
      <c r="D2892" s="46"/>
      <c r="E2892" s="46"/>
      <c r="F2892" s="46"/>
    </row>
    <row r="2893" spans="3:14">
      <c r="C2893" s="87" t="s">
        <v>1670</v>
      </c>
      <c r="D2893" s="88">
        <v>9</v>
      </c>
      <c r="E2893" s="88"/>
      <c r="F2893" s="88"/>
    </row>
    <row r="2894" spans="3:14">
      <c r="C2894" s="87" t="s">
        <v>1619</v>
      </c>
      <c r="D2894" s="88">
        <v>2</v>
      </c>
      <c r="E2894" s="88"/>
      <c r="F2894" s="88"/>
    </row>
    <row r="2895" spans="3:14">
      <c r="C2895" s="87" t="s">
        <v>1620</v>
      </c>
      <c r="D2895" s="88"/>
      <c r="E2895" s="88"/>
      <c r="F2895" s="88"/>
    </row>
    <row r="2896" spans="3:14">
      <c r="C2896" s="87" t="s">
        <v>362</v>
      </c>
      <c r="D2896" s="88"/>
      <c r="E2896" s="88"/>
      <c r="F2896" s="88"/>
    </row>
    <row r="2897" spans="3:36">
      <c r="C2897" s="87" t="s">
        <v>363</v>
      </c>
      <c r="D2897" s="88"/>
      <c r="E2897" s="88"/>
      <c r="F2897" s="88"/>
    </row>
    <row r="2898" spans="3:36">
      <c r="C2898" s="44"/>
      <c r="D2898" s="46"/>
      <c r="E2898" s="46"/>
      <c r="F2898" s="46"/>
    </row>
    <row r="2899" spans="3:36" s="100" customFormat="1">
      <c r="C2899" s="105"/>
      <c r="D2899" s="99"/>
      <c r="E2899" s="99"/>
      <c r="F2899" s="99"/>
      <c r="AD2899" s="332"/>
      <c r="AJ2899" s="392"/>
    </row>
    <row r="2900" spans="3:36">
      <c r="C2900" s="44"/>
      <c r="D2900" s="46"/>
      <c r="E2900" s="46"/>
      <c r="F2900" s="46"/>
    </row>
    <row r="2901" spans="3:36">
      <c r="C2901" s="44"/>
      <c r="D2901" s="46"/>
      <c r="E2901" s="46"/>
      <c r="F2901" s="46"/>
    </row>
    <row r="2902" spans="3:36" ht="15" customHeight="1">
      <c r="C2902" s="44"/>
      <c r="D2902" s="46"/>
      <c r="E2902" s="46"/>
      <c r="F2902" s="46"/>
      <c r="I2902" s="857" t="s">
        <v>1643</v>
      </c>
      <c r="J2902" s="858"/>
      <c r="K2902" s="858"/>
      <c r="L2902" s="858"/>
      <c r="M2902" s="859"/>
      <c r="N2902" s="331"/>
    </row>
    <row r="2903" spans="3:36" ht="15" customHeight="1">
      <c r="C2903" s="44"/>
      <c r="D2903" s="46"/>
      <c r="E2903" s="46"/>
      <c r="F2903" s="46"/>
      <c r="I2903" s="865" t="s">
        <v>1667</v>
      </c>
      <c r="J2903" s="855"/>
      <c r="K2903" s="866"/>
      <c r="L2903" s="866"/>
      <c r="M2903" s="866"/>
      <c r="N2903" s="329"/>
    </row>
    <row r="2904" spans="3:36" ht="15" customHeight="1">
      <c r="C2904" s="46"/>
      <c r="D2904" s="46"/>
      <c r="E2904" s="46"/>
      <c r="F2904" s="46"/>
      <c r="I2904" s="861" t="s">
        <v>1668</v>
      </c>
      <c r="J2904" s="862"/>
      <c r="K2904" s="174"/>
      <c r="L2904" s="861" t="s">
        <v>1669</v>
      </c>
      <c r="M2904" s="863"/>
      <c r="N2904" s="279"/>
    </row>
    <row r="2905" spans="3:36" ht="28.8">
      <c r="C2905" s="101" t="s">
        <v>75</v>
      </c>
      <c r="D2905" s="102" t="s">
        <v>353</v>
      </c>
      <c r="E2905" s="102" t="s">
        <v>354</v>
      </c>
      <c r="F2905" s="102" t="s">
        <v>355</v>
      </c>
      <c r="I2905" s="93" t="s">
        <v>1080</v>
      </c>
      <c r="J2905" s="94" t="s">
        <v>1081</v>
      </c>
      <c r="K2905" s="94"/>
      <c r="L2905" s="94" t="s">
        <v>1080</v>
      </c>
      <c r="M2905" s="94" t="s">
        <v>1081</v>
      </c>
      <c r="N2905" s="62"/>
    </row>
    <row r="2906" spans="3:36">
      <c r="C2906" s="120" t="s">
        <v>972</v>
      </c>
      <c r="D2906" s="104">
        <v>0.1</v>
      </c>
      <c r="E2906" s="104">
        <v>0.1</v>
      </c>
      <c r="F2906" s="104">
        <v>0.1</v>
      </c>
      <c r="I2906" s="97">
        <f t="shared" ref="I2906:J2908" si="203">E2906</f>
        <v>0.1</v>
      </c>
      <c r="J2906" s="98">
        <f t="shared" si="203"/>
        <v>0.1</v>
      </c>
      <c r="K2906" s="98"/>
      <c r="L2906" s="95"/>
      <c r="M2906" s="95"/>
      <c r="N2906" s="64"/>
    </row>
    <row r="2907" spans="3:36">
      <c r="C2907" s="120" t="s">
        <v>973</v>
      </c>
      <c r="D2907" s="104">
        <v>0.3</v>
      </c>
      <c r="E2907" s="104">
        <v>0.3</v>
      </c>
      <c r="F2907" s="104">
        <v>0.3</v>
      </c>
      <c r="I2907" s="97">
        <f t="shared" si="203"/>
        <v>0.3</v>
      </c>
      <c r="J2907" s="98">
        <f t="shared" si="203"/>
        <v>0.3</v>
      </c>
      <c r="K2907" s="98"/>
      <c r="L2907" s="95"/>
      <c r="M2907" s="95"/>
      <c r="N2907" s="64"/>
    </row>
    <row r="2908" spans="3:36">
      <c r="C2908" s="120" t="s">
        <v>974</v>
      </c>
      <c r="D2908" s="104">
        <v>0.4</v>
      </c>
      <c r="E2908" s="104">
        <v>0.4</v>
      </c>
      <c r="F2908" s="104">
        <v>0.4</v>
      </c>
      <c r="I2908" s="111">
        <f t="shared" si="203"/>
        <v>0.4</v>
      </c>
      <c r="J2908" s="112">
        <f t="shared" si="203"/>
        <v>0.4</v>
      </c>
      <c r="K2908" s="112"/>
      <c r="L2908" s="113"/>
      <c r="M2908" s="113"/>
      <c r="N2908" s="64"/>
    </row>
    <row r="2909" spans="3:36">
      <c r="C2909" s="120" t="s">
        <v>975</v>
      </c>
      <c r="D2909" s="104">
        <v>0.2</v>
      </c>
      <c r="E2909" s="104">
        <v>0.2</v>
      </c>
      <c r="F2909" s="104">
        <v>0.2</v>
      </c>
      <c r="I2909" s="97"/>
      <c r="J2909" s="98"/>
      <c r="K2909" s="98"/>
      <c r="L2909" s="98">
        <f>D2909</f>
        <v>0.2</v>
      </c>
      <c r="M2909" s="98">
        <f>E2909</f>
        <v>0.2</v>
      </c>
      <c r="N2909" s="65"/>
    </row>
    <row r="2910" spans="3:36">
      <c r="C2910" s="46"/>
      <c r="D2910" s="76">
        <v>1</v>
      </c>
      <c r="E2910" s="76">
        <v>1</v>
      </c>
      <c r="F2910" s="76">
        <v>1</v>
      </c>
      <c r="I2910" s="69">
        <f>SUM(I2906:I2909)</f>
        <v>0.8</v>
      </c>
      <c r="J2910" s="69">
        <f>SUM(J2906:J2909)</f>
        <v>0.8</v>
      </c>
      <c r="K2910" s="69"/>
      <c r="L2910" s="69">
        <f>SUM(L2906:L2909)</f>
        <v>0.2</v>
      </c>
      <c r="M2910" s="69">
        <f>SUM(M2906:M2909)</f>
        <v>0.2</v>
      </c>
      <c r="N2910" s="69"/>
    </row>
    <row r="2911" spans="3:36">
      <c r="C2911" s="46"/>
      <c r="D2911" s="46"/>
      <c r="E2911" s="76">
        <v>0</v>
      </c>
      <c r="F2911" s="76">
        <f>E2910-F2910</f>
        <v>0</v>
      </c>
      <c r="I2911" s="33"/>
      <c r="J2911" s="33"/>
      <c r="K2911" s="33"/>
    </row>
    <row r="2912" spans="3:36">
      <c r="C2912" s="44"/>
      <c r="D2912" s="46"/>
      <c r="E2912" s="46"/>
      <c r="F2912" s="46"/>
    </row>
    <row r="2913" spans="3:36">
      <c r="C2913" s="87" t="s">
        <v>1670</v>
      </c>
      <c r="D2913" s="88">
        <v>2</v>
      </c>
      <c r="E2913" s="88"/>
      <c r="F2913" s="88"/>
    </row>
    <row r="2914" spans="3:36">
      <c r="C2914" s="87" t="s">
        <v>1619</v>
      </c>
      <c r="D2914" s="88">
        <v>2</v>
      </c>
      <c r="E2914" s="88"/>
      <c r="F2914" s="88"/>
    </row>
    <row r="2915" spans="3:36">
      <c r="C2915" s="87" t="s">
        <v>1620</v>
      </c>
      <c r="D2915" s="88"/>
      <c r="E2915" s="88"/>
      <c r="F2915" s="88"/>
    </row>
    <row r="2916" spans="3:36">
      <c r="C2916" s="87" t="s">
        <v>362</v>
      </c>
      <c r="D2916" s="88"/>
      <c r="E2916" s="88"/>
      <c r="F2916" s="88"/>
    </row>
    <row r="2917" spans="3:36">
      <c r="C2917" s="87" t="s">
        <v>363</v>
      </c>
      <c r="D2917" s="88"/>
      <c r="E2917" s="88"/>
      <c r="F2917" s="88"/>
    </row>
    <row r="2918" spans="3:36">
      <c r="C2918" s="44"/>
      <c r="D2918" s="46"/>
      <c r="E2918" s="46"/>
      <c r="F2918" s="46"/>
    </row>
    <row r="2919" spans="3:36" s="100" customFormat="1">
      <c r="C2919" s="105"/>
      <c r="D2919" s="99"/>
      <c r="E2919" s="99"/>
      <c r="F2919" s="99"/>
      <c r="AD2919" s="332"/>
      <c r="AJ2919" s="392"/>
    </row>
    <row r="2920" spans="3:36">
      <c r="C2920" s="44"/>
      <c r="D2920" s="46"/>
      <c r="E2920" s="46"/>
      <c r="F2920" s="46"/>
    </row>
    <row r="2921" spans="3:36" ht="15" customHeight="1">
      <c r="C2921" s="44"/>
      <c r="D2921" s="46"/>
      <c r="E2921" s="46"/>
      <c r="F2921" s="46"/>
      <c r="I2921" s="857" t="s">
        <v>1643</v>
      </c>
      <c r="J2921" s="858"/>
      <c r="K2921" s="858"/>
      <c r="L2921" s="858"/>
      <c r="M2921" s="859"/>
      <c r="N2921" s="331"/>
    </row>
    <row r="2922" spans="3:36" ht="15" customHeight="1">
      <c r="C2922" s="44"/>
      <c r="D2922" s="46"/>
      <c r="E2922" s="46"/>
      <c r="F2922" s="46"/>
      <c r="I2922" s="865" t="s">
        <v>1667</v>
      </c>
      <c r="J2922" s="855"/>
      <c r="K2922" s="866"/>
      <c r="L2922" s="866"/>
      <c r="M2922" s="866"/>
      <c r="N2922" s="329"/>
    </row>
    <row r="2923" spans="3:36" ht="15" customHeight="1">
      <c r="C2923" s="46"/>
      <c r="D2923" s="46"/>
      <c r="E2923" s="46"/>
      <c r="F2923" s="46"/>
      <c r="I2923" s="861" t="s">
        <v>1668</v>
      </c>
      <c r="J2923" s="862"/>
      <c r="K2923" s="174"/>
      <c r="L2923" s="861" t="s">
        <v>1669</v>
      </c>
      <c r="M2923" s="863"/>
      <c r="N2923" s="279"/>
    </row>
    <row r="2924" spans="3:36" ht="28.8">
      <c r="C2924" s="101" t="s">
        <v>74</v>
      </c>
      <c r="D2924" s="102" t="s">
        <v>353</v>
      </c>
      <c r="E2924" s="102" t="s">
        <v>354</v>
      </c>
      <c r="F2924" s="102" t="s">
        <v>355</v>
      </c>
      <c r="I2924" s="93" t="s">
        <v>1080</v>
      </c>
      <c r="J2924" s="94" t="s">
        <v>1081</v>
      </c>
      <c r="K2924" s="94"/>
      <c r="L2924" s="94" t="s">
        <v>1080</v>
      </c>
      <c r="M2924" s="94" t="s">
        <v>1081</v>
      </c>
      <c r="N2924" s="62"/>
    </row>
    <row r="2925" spans="3:36" ht="28.8">
      <c r="C2925" s="123" t="s">
        <v>976</v>
      </c>
      <c r="D2925" s="104">
        <v>0.4</v>
      </c>
      <c r="E2925" s="104">
        <v>0.4</v>
      </c>
      <c r="F2925" s="104">
        <v>0.4</v>
      </c>
      <c r="I2925" s="97">
        <f t="shared" ref="I2925:J2928" si="204">E2925</f>
        <v>0.4</v>
      </c>
      <c r="J2925" s="98">
        <f t="shared" si="204"/>
        <v>0.4</v>
      </c>
      <c r="K2925" s="98"/>
      <c r="L2925" s="95"/>
      <c r="M2925" s="95"/>
      <c r="N2925" s="64"/>
    </row>
    <row r="2926" spans="3:36" ht="28.8">
      <c r="C2926" s="123" t="s">
        <v>977</v>
      </c>
      <c r="D2926" s="104">
        <v>0.1</v>
      </c>
      <c r="E2926" s="104">
        <v>0.1</v>
      </c>
      <c r="F2926" s="104">
        <v>0.1</v>
      </c>
      <c r="I2926" s="97">
        <f t="shared" si="204"/>
        <v>0.1</v>
      </c>
      <c r="J2926" s="98">
        <f t="shared" si="204"/>
        <v>0.1</v>
      </c>
      <c r="K2926" s="98"/>
      <c r="L2926" s="95"/>
      <c r="M2926" s="95"/>
      <c r="N2926" s="64"/>
    </row>
    <row r="2927" spans="3:36" ht="28.8">
      <c r="C2927" s="123" t="s">
        <v>978</v>
      </c>
      <c r="D2927" s="104">
        <v>0.1</v>
      </c>
      <c r="E2927" s="104">
        <v>0.1</v>
      </c>
      <c r="F2927" s="104">
        <v>0.1</v>
      </c>
      <c r="I2927" s="97">
        <f t="shared" si="204"/>
        <v>0.1</v>
      </c>
      <c r="J2927" s="98">
        <f t="shared" si="204"/>
        <v>0.1</v>
      </c>
      <c r="K2927" s="98"/>
      <c r="L2927" s="95"/>
      <c r="M2927" s="95"/>
      <c r="N2927" s="64"/>
    </row>
    <row r="2928" spans="3:36" ht="28.8">
      <c r="C2928" s="123" t="s">
        <v>979</v>
      </c>
      <c r="D2928" s="104">
        <v>0.3</v>
      </c>
      <c r="E2928" s="104">
        <v>0.3</v>
      </c>
      <c r="F2928" s="104">
        <v>0.3</v>
      </c>
      <c r="I2928" s="97">
        <f t="shared" si="204"/>
        <v>0.3</v>
      </c>
      <c r="J2928" s="98">
        <f t="shared" si="204"/>
        <v>0.3</v>
      </c>
      <c r="K2928" s="98"/>
      <c r="L2928" s="95"/>
      <c r="M2928" s="95"/>
      <c r="N2928" s="64"/>
    </row>
    <row r="2929" spans="3:36">
      <c r="C2929" s="123" t="s">
        <v>980</v>
      </c>
      <c r="D2929" s="104">
        <v>0.1</v>
      </c>
      <c r="E2929" s="104">
        <v>0.1</v>
      </c>
      <c r="F2929" s="104">
        <v>0.1</v>
      </c>
      <c r="I2929" s="97"/>
      <c r="J2929" s="98"/>
      <c r="K2929" s="98"/>
      <c r="L2929" s="98">
        <f>E2929</f>
        <v>0.1</v>
      </c>
      <c r="M2929" s="98">
        <f>F2929</f>
        <v>0.1</v>
      </c>
      <c r="N2929" s="65"/>
    </row>
    <row r="2930" spans="3:36">
      <c r="C2930" s="46"/>
      <c r="D2930" s="76">
        <v>1</v>
      </c>
      <c r="E2930" s="76">
        <v>1</v>
      </c>
      <c r="F2930" s="76">
        <v>1</v>
      </c>
      <c r="I2930" s="33">
        <f>SUM(I2925:I2929)</f>
        <v>0.89999999999999991</v>
      </c>
      <c r="J2930" s="33">
        <f>SUM(J2925:J2929)</f>
        <v>0.89999999999999991</v>
      </c>
      <c r="K2930" s="33"/>
      <c r="L2930" s="33">
        <f>SUM(L2925:L2929)</f>
        <v>0.1</v>
      </c>
      <c r="M2930" s="33">
        <f>SUM(M2925:M2929)</f>
        <v>0.1</v>
      </c>
      <c r="N2930" s="33"/>
    </row>
    <row r="2931" spans="3:36">
      <c r="C2931" s="46"/>
      <c r="D2931" s="46"/>
      <c r="E2931" s="76">
        <v>0</v>
      </c>
      <c r="F2931" s="76">
        <f>E2930-F2930</f>
        <v>0</v>
      </c>
    </row>
    <row r="2932" spans="3:36">
      <c r="C2932" s="44"/>
      <c r="D2932" s="46"/>
      <c r="E2932" s="46"/>
      <c r="F2932" s="46"/>
    </row>
    <row r="2933" spans="3:36">
      <c r="C2933" s="87" t="s">
        <v>1671</v>
      </c>
      <c r="D2933" s="88">
        <v>7</v>
      </c>
      <c r="E2933" s="88"/>
      <c r="F2933" s="88"/>
    </row>
    <row r="2934" spans="3:36">
      <c r="C2934" s="87" t="s">
        <v>1619</v>
      </c>
      <c r="D2934" s="88">
        <v>2</v>
      </c>
      <c r="E2934" s="88"/>
      <c r="F2934" s="88"/>
    </row>
    <row r="2935" spans="3:36">
      <c r="C2935" s="87" t="s">
        <v>1620</v>
      </c>
      <c r="D2935" s="88"/>
      <c r="E2935" s="88"/>
      <c r="F2935" s="88"/>
    </row>
    <row r="2936" spans="3:36">
      <c r="C2936" s="87" t="s">
        <v>362</v>
      </c>
      <c r="D2936" s="88"/>
      <c r="E2936" s="88"/>
      <c r="F2936" s="88"/>
    </row>
    <row r="2937" spans="3:36">
      <c r="C2937" s="87" t="s">
        <v>363</v>
      </c>
      <c r="D2937" s="88"/>
      <c r="E2937" s="88"/>
      <c r="F2937" s="88"/>
    </row>
    <row r="2938" spans="3:36">
      <c r="C2938" s="44"/>
      <c r="D2938" s="46"/>
      <c r="E2938" s="46"/>
      <c r="F2938" s="46"/>
    </row>
    <row r="2939" spans="3:36" s="100" customFormat="1">
      <c r="C2939" s="105"/>
      <c r="D2939" s="99"/>
      <c r="E2939" s="99"/>
      <c r="F2939" s="99"/>
      <c r="AD2939" s="332"/>
      <c r="AJ2939" s="392"/>
    </row>
    <row r="2940" spans="3:36">
      <c r="C2940" s="44"/>
      <c r="D2940" s="46"/>
      <c r="E2940" s="46"/>
      <c r="F2940" s="46"/>
    </row>
    <row r="2941" spans="3:36" ht="15" customHeight="1">
      <c r="C2941" s="44"/>
      <c r="D2941" s="46"/>
      <c r="E2941" s="46"/>
      <c r="F2941" s="46"/>
      <c r="I2941" s="857" t="s">
        <v>1643</v>
      </c>
      <c r="J2941" s="858"/>
      <c r="K2941" s="858"/>
      <c r="L2941" s="858"/>
      <c r="M2941" s="859"/>
      <c r="N2941" s="331"/>
    </row>
    <row r="2942" spans="3:36" ht="15" customHeight="1">
      <c r="C2942" s="44"/>
      <c r="D2942" s="46"/>
      <c r="E2942" s="46"/>
      <c r="F2942" s="46"/>
      <c r="I2942" s="865" t="s">
        <v>1667</v>
      </c>
      <c r="J2942" s="855"/>
      <c r="K2942" s="866"/>
      <c r="L2942" s="866"/>
      <c r="M2942" s="866"/>
      <c r="N2942" s="329"/>
    </row>
    <row r="2943" spans="3:36" ht="15" customHeight="1">
      <c r="C2943" s="46"/>
      <c r="D2943" s="46"/>
      <c r="E2943" s="46"/>
      <c r="F2943" s="46"/>
      <c r="I2943" s="861" t="s">
        <v>1668</v>
      </c>
      <c r="J2943" s="862"/>
      <c r="K2943" s="174"/>
      <c r="L2943" s="861" t="s">
        <v>1669</v>
      </c>
      <c r="M2943" s="863"/>
      <c r="N2943" s="279"/>
    </row>
    <row r="2944" spans="3:36" ht="28.8">
      <c r="C2944" s="101" t="s">
        <v>73</v>
      </c>
      <c r="D2944" s="102" t="s">
        <v>353</v>
      </c>
      <c r="E2944" s="102" t="s">
        <v>354</v>
      </c>
      <c r="F2944" s="102" t="s">
        <v>355</v>
      </c>
      <c r="I2944" s="93" t="s">
        <v>1080</v>
      </c>
      <c r="J2944" s="94" t="s">
        <v>1081</v>
      </c>
      <c r="K2944" s="94"/>
      <c r="L2944" s="94" t="s">
        <v>1080</v>
      </c>
      <c r="M2944" s="94" t="s">
        <v>1081</v>
      </c>
      <c r="N2944" s="62"/>
    </row>
    <row r="2945" spans="3:36" ht="28.8">
      <c r="C2945" s="123" t="s">
        <v>981</v>
      </c>
      <c r="D2945" s="104">
        <v>0.33</v>
      </c>
      <c r="E2945" s="104">
        <v>0.33</v>
      </c>
      <c r="F2945" s="104">
        <v>0.33</v>
      </c>
      <c r="I2945" s="97">
        <f t="shared" ref="I2945:J2949" si="205">E2945</f>
        <v>0.33</v>
      </c>
      <c r="J2945" s="98">
        <f t="shared" si="205"/>
        <v>0.33</v>
      </c>
      <c r="K2945" s="98"/>
      <c r="L2945" s="95"/>
      <c r="M2945" s="95"/>
      <c r="N2945" s="64"/>
    </row>
    <row r="2946" spans="3:36" ht="28.8">
      <c r="C2946" s="123" t="s">
        <v>982</v>
      </c>
      <c r="D2946" s="104">
        <v>0.33</v>
      </c>
      <c r="E2946" s="104">
        <v>0.33</v>
      </c>
      <c r="F2946" s="104">
        <v>0.33</v>
      </c>
      <c r="I2946" s="97">
        <f t="shared" si="205"/>
        <v>0.33</v>
      </c>
      <c r="J2946" s="98">
        <f t="shared" si="205"/>
        <v>0.33</v>
      </c>
      <c r="K2946" s="98"/>
      <c r="L2946" s="95"/>
      <c r="M2946" s="95"/>
      <c r="N2946" s="64"/>
    </row>
    <row r="2947" spans="3:36">
      <c r="C2947" s="123" t="s">
        <v>983</v>
      </c>
      <c r="D2947" s="104">
        <v>0.34</v>
      </c>
      <c r="E2947" s="104">
        <v>0.34</v>
      </c>
      <c r="F2947" s="104">
        <v>0.34</v>
      </c>
      <c r="I2947" s="97">
        <f t="shared" si="205"/>
        <v>0.34</v>
      </c>
      <c r="J2947" s="98">
        <f t="shared" si="205"/>
        <v>0.34</v>
      </c>
      <c r="K2947" s="98"/>
      <c r="L2947" s="95"/>
      <c r="M2947" s="95"/>
      <c r="N2947" s="64"/>
    </row>
    <row r="2948" spans="3:36">
      <c r="C2948" s="46"/>
      <c r="D2948" s="76">
        <v>1</v>
      </c>
      <c r="E2948" s="76">
        <v>1</v>
      </c>
      <c r="F2948" s="76">
        <v>1</v>
      </c>
      <c r="I2948" s="97">
        <f t="shared" si="205"/>
        <v>1</v>
      </c>
      <c r="J2948" s="98">
        <f t="shared" si="205"/>
        <v>1</v>
      </c>
      <c r="K2948" s="98"/>
      <c r="L2948" s="95"/>
      <c r="M2948" s="95"/>
      <c r="N2948" s="64"/>
    </row>
    <row r="2949" spans="3:36">
      <c r="C2949" s="46"/>
      <c r="D2949" s="46"/>
      <c r="E2949" s="76">
        <v>0</v>
      </c>
      <c r="F2949" s="76">
        <f>E2948-F2948</f>
        <v>0</v>
      </c>
      <c r="I2949" s="106">
        <f t="shared" si="205"/>
        <v>0</v>
      </c>
      <c r="J2949" s="107">
        <f t="shared" si="205"/>
        <v>0</v>
      </c>
      <c r="K2949" s="107"/>
      <c r="L2949" s="95"/>
      <c r="M2949" s="95"/>
      <c r="N2949" s="64"/>
    </row>
    <row r="2950" spans="3:36">
      <c r="C2950" s="44"/>
      <c r="D2950" s="46"/>
      <c r="E2950" s="46"/>
      <c r="F2950" s="46"/>
    </row>
    <row r="2951" spans="3:36">
      <c r="C2951" s="87" t="s">
        <v>1666</v>
      </c>
      <c r="D2951" s="88">
        <v>3</v>
      </c>
      <c r="E2951" s="88"/>
      <c r="F2951" s="88"/>
    </row>
    <row r="2952" spans="3:36">
      <c r="C2952" s="87" t="s">
        <v>1619</v>
      </c>
      <c r="D2952" s="88">
        <v>2</v>
      </c>
      <c r="E2952" s="88"/>
      <c r="F2952" s="88"/>
    </row>
    <row r="2953" spans="3:36">
      <c r="C2953" s="87" t="s">
        <v>1620</v>
      </c>
      <c r="D2953" s="88"/>
      <c r="E2953" s="88"/>
      <c r="F2953" s="88"/>
    </row>
    <row r="2954" spans="3:36">
      <c r="C2954" s="87" t="s">
        <v>362</v>
      </c>
      <c r="D2954" s="88"/>
      <c r="E2954" s="88"/>
      <c r="F2954" s="88"/>
    </row>
    <row r="2955" spans="3:36">
      <c r="C2955" s="87" t="s">
        <v>363</v>
      </c>
      <c r="D2955" s="88"/>
      <c r="E2955" s="88"/>
      <c r="F2955" s="88"/>
    </row>
    <row r="2956" spans="3:36">
      <c r="C2956" s="46"/>
      <c r="D2956" s="46"/>
      <c r="E2956" s="46"/>
      <c r="F2956" s="46"/>
    </row>
    <row r="2957" spans="3:36" s="100" customFormat="1">
      <c r="C2957" s="99"/>
      <c r="D2957" s="99"/>
      <c r="E2957" s="99"/>
      <c r="F2957" s="99"/>
      <c r="AD2957" s="332"/>
      <c r="AJ2957" s="392"/>
    </row>
    <row r="2958" spans="3:36">
      <c r="C2958" s="46"/>
      <c r="D2958" s="46"/>
      <c r="E2958" s="46"/>
      <c r="F2958" s="46"/>
    </row>
    <row r="2959" spans="3:36" ht="15" customHeight="1">
      <c r="C2959" s="46"/>
      <c r="D2959" s="46"/>
      <c r="E2959" s="46"/>
      <c r="F2959" s="46"/>
      <c r="I2959" s="857" t="s">
        <v>1643</v>
      </c>
      <c r="J2959" s="858"/>
      <c r="K2959" s="858"/>
      <c r="L2959" s="858"/>
      <c r="M2959" s="859"/>
      <c r="N2959" s="331"/>
    </row>
    <row r="2960" spans="3:36" ht="15" customHeight="1">
      <c r="C2960" s="46"/>
      <c r="D2960" s="46"/>
      <c r="E2960" s="46"/>
      <c r="F2960" s="46"/>
      <c r="I2960" s="865" t="s">
        <v>1667</v>
      </c>
      <c r="J2960" s="855"/>
      <c r="K2960" s="866"/>
      <c r="L2960" s="866"/>
      <c r="M2960" s="866"/>
      <c r="N2960" s="329"/>
    </row>
    <row r="2961" spans="3:36" ht="15" customHeight="1">
      <c r="C2961" s="46"/>
      <c r="D2961" s="46"/>
      <c r="E2961" s="46"/>
      <c r="F2961" s="46"/>
      <c r="I2961" s="861" t="s">
        <v>1668</v>
      </c>
      <c r="J2961" s="862"/>
      <c r="K2961" s="174"/>
      <c r="L2961" s="861" t="s">
        <v>1669</v>
      </c>
      <c r="M2961" s="863"/>
      <c r="N2961" s="279"/>
    </row>
    <row r="2962" spans="3:36" ht="28.8">
      <c r="C2962" s="101" t="s">
        <v>72</v>
      </c>
      <c r="D2962" s="102" t="s">
        <v>353</v>
      </c>
      <c r="E2962" s="102" t="s">
        <v>354</v>
      </c>
      <c r="F2962" s="102" t="s">
        <v>355</v>
      </c>
      <c r="I2962" s="93" t="s">
        <v>1080</v>
      </c>
      <c r="J2962" s="94" t="s">
        <v>1081</v>
      </c>
      <c r="K2962" s="94"/>
      <c r="L2962" s="94" t="s">
        <v>1080</v>
      </c>
      <c r="M2962" s="94" t="s">
        <v>1081</v>
      </c>
      <c r="N2962" s="62"/>
    </row>
    <row r="2963" spans="3:36">
      <c r="C2963" s="123" t="s">
        <v>984</v>
      </c>
      <c r="D2963" s="104">
        <v>0.25</v>
      </c>
      <c r="E2963" s="104">
        <v>0.25</v>
      </c>
      <c r="F2963" s="104">
        <v>0.1</v>
      </c>
      <c r="I2963" s="97">
        <f t="shared" ref="I2963:J2967" si="206">E2963</f>
        <v>0.25</v>
      </c>
      <c r="J2963" s="98">
        <f t="shared" si="206"/>
        <v>0.1</v>
      </c>
      <c r="K2963" s="98"/>
      <c r="L2963" s="95"/>
      <c r="M2963" s="95"/>
      <c r="N2963" s="64"/>
    </row>
    <row r="2964" spans="3:36" ht="28.8">
      <c r="C2964" s="123" t="s">
        <v>985</v>
      </c>
      <c r="D2964" s="104">
        <v>0.25</v>
      </c>
      <c r="E2964" s="104">
        <v>0.25</v>
      </c>
      <c r="F2964" s="104">
        <v>0.25</v>
      </c>
      <c r="I2964" s="97">
        <f t="shared" si="206"/>
        <v>0.25</v>
      </c>
      <c r="J2964" s="98">
        <f t="shared" si="206"/>
        <v>0.25</v>
      </c>
      <c r="K2964" s="98"/>
      <c r="L2964" s="95"/>
      <c r="M2964" s="95"/>
      <c r="N2964" s="64"/>
    </row>
    <row r="2965" spans="3:36">
      <c r="C2965" s="103" t="s">
        <v>986</v>
      </c>
      <c r="D2965" s="104">
        <v>0.25</v>
      </c>
      <c r="E2965" s="104">
        <v>0.25</v>
      </c>
      <c r="F2965" s="104">
        <v>0.2</v>
      </c>
      <c r="I2965" s="97">
        <f t="shared" si="206"/>
        <v>0.25</v>
      </c>
      <c r="J2965" s="98">
        <f t="shared" si="206"/>
        <v>0.2</v>
      </c>
      <c r="K2965" s="98"/>
      <c r="L2965" s="95"/>
      <c r="M2965" s="95"/>
      <c r="N2965" s="64"/>
    </row>
    <row r="2966" spans="3:36" ht="28.8">
      <c r="C2966" s="103" t="s">
        <v>987</v>
      </c>
      <c r="D2966" s="104">
        <v>0.25</v>
      </c>
      <c r="E2966" s="104">
        <v>0.25</v>
      </c>
      <c r="F2966" s="104">
        <v>0.05</v>
      </c>
      <c r="I2966" s="97">
        <f t="shared" si="206"/>
        <v>0.25</v>
      </c>
      <c r="J2966" s="98">
        <f t="shared" si="206"/>
        <v>0.05</v>
      </c>
      <c r="K2966" s="98"/>
      <c r="L2966" s="95"/>
      <c r="M2966" s="95"/>
      <c r="N2966" s="64"/>
    </row>
    <row r="2967" spans="3:36">
      <c r="C2967" s="46"/>
      <c r="D2967" s="76">
        <v>1</v>
      </c>
      <c r="E2967" s="76">
        <v>1</v>
      </c>
      <c r="F2967" s="76">
        <v>0.6</v>
      </c>
      <c r="I2967" s="106">
        <f t="shared" si="206"/>
        <v>1</v>
      </c>
      <c r="J2967" s="107">
        <f t="shared" si="206"/>
        <v>0.6</v>
      </c>
      <c r="K2967" s="107"/>
      <c r="L2967" s="95"/>
      <c r="M2967" s="95"/>
      <c r="N2967" s="64"/>
    </row>
    <row r="2968" spans="3:36">
      <c r="C2968" s="46"/>
      <c r="D2968" s="46"/>
      <c r="E2968" s="76">
        <v>0</v>
      </c>
      <c r="F2968" s="76">
        <f>E2967-F2967</f>
        <v>0.4</v>
      </c>
    </row>
    <row r="2969" spans="3:36">
      <c r="C2969" s="46"/>
      <c r="D2969" s="46"/>
      <c r="E2969" s="47"/>
      <c r="F2969" s="47"/>
    </row>
    <row r="2970" spans="3:36">
      <c r="C2970" s="87" t="s">
        <v>1666</v>
      </c>
      <c r="D2970" s="88">
        <v>4</v>
      </c>
      <c r="E2970" s="88"/>
      <c r="F2970" s="88"/>
    </row>
    <row r="2971" spans="3:36">
      <c r="C2971" s="87" t="s">
        <v>1619</v>
      </c>
      <c r="D2971" s="88">
        <v>2</v>
      </c>
      <c r="E2971" s="88"/>
      <c r="F2971" s="88"/>
    </row>
    <row r="2972" spans="3:36">
      <c r="C2972" s="87" t="s">
        <v>1620</v>
      </c>
      <c r="D2972" s="88"/>
      <c r="E2972" s="88"/>
      <c r="F2972" s="88"/>
    </row>
    <row r="2973" spans="3:36">
      <c r="C2973" s="87" t="s">
        <v>362</v>
      </c>
      <c r="D2973" s="88"/>
      <c r="E2973" s="88"/>
      <c r="F2973" s="88"/>
    </row>
    <row r="2974" spans="3:36">
      <c r="C2974" s="87" t="s">
        <v>363</v>
      </c>
      <c r="D2974" s="88"/>
      <c r="E2974" s="88"/>
      <c r="F2974" s="88"/>
    </row>
    <row r="2975" spans="3:36">
      <c r="D2975" s="84"/>
      <c r="E2975" s="84"/>
      <c r="F2975" s="84"/>
    </row>
    <row r="2976" spans="3:36" s="100" customFormat="1">
      <c r="C2976" s="105"/>
      <c r="D2976" s="99"/>
      <c r="E2976" s="99"/>
      <c r="F2976" s="99"/>
      <c r="AD2976" s="332"/>
      <c r="AJ2976" s="392"/>
    </row>
    <row r="2977" spans="3:14">
      <c r="C2977" s="44"/>
      <c r="D2977" s="46"/>
      <c r="E2977" s="46"/>
      <c r="F2977" s="46"/>
    </row>
    <row r="2978" spans="3:14">
      <c r="C2978" s="44"/>
      <c r="D2978" s="46"/>
      <c r="E2978" s="46"/>
      <c r="F2978" s="46"/>
    </row>
    <row r="2979" spans="3:14" ht="15" customHeight="1">
      <c r="C2979" s="44"/>
      <c r="D2979" s="46"/>
      <c r="E2979" s="46"/>
      <c r="F2979" s="46"/>
      <c r="I2979" s="857" t="s">
        <v>1643</v>
      </c>
      <c r="J2979" s="858"/>
      <c r="K2979" s="858"/>
      <c r="L2979" s="858"/>
      <c r="M2979" s="859"/>
      <c r="N2979" s="331"/>
    </row>
    <row r="2980" spans="3:14" ht="15" customHeight="1">
      <c r="C2980" s="44"/>
      <c r="D2980" s="46"/>
      <c r="E2980" s="46"/>
      <c r="F2980" s="46"/>
      <c r="I2980" s="865" t="s">
        <v>1667</v>
      </c>
      <c r="J2980" s="855"/>
      <c r="K2980" s="866"/>
      <c r="L2980" s="866"/>
      <c r="M2980" s="866"/>
      <c r="N2980" s="329"/>
    </row>
    <row r="2981" spans="3:14" ht="15" customHeight="1">
      <c r="C2981" s="46"/>
      <c r="D2981" s="46"/>
      <c r="E2981" s="46"/>
      <c r="F2981" s="46"/>
      <c r="I2981" s="861" t="s">
        <v>1668</v>
      </c>
      <c r="J2981" s="862"/>
      <c r="K2981" s="174"/>
      <c r="L2981" s="861" t="s">
        <v>1669</v>
      </c>
      <c r="M2981" s="863"/>
      <c r="N2981" s="279"/>
    </row>
    <row r="2982" spans="3:14" ht="28.8">
      <c r="C2982" s="101" t="s">
        <v>988</v>
      </c>
      <c r="D2982" s="102" t="s">
        <v>353</v>
      </c>
      <c r="E2982" s="102" t="s">
        <v>354</v>
      </c>
      <c r="F2982" s="102" t="s">
        <v>355</v>
      </c>
      <c r="I2982" s="93" t="s">
        <v>1080</v>
      </c>
      <c r="J2982" s="94" t="s">
        <v>1081</v>
      </c>
      <c r="K2982" s="94"/>
      <c r="L2982" s="94" t="s">
        <v>1080</v>
      </c>
      <c r="M2982" s="94" t="s">
        <v>1081</v>
      </c>
      <c r="N2982" s="62"/>
    </row>
    <row r="2983" spans="3:14">
      <c r="C2983" s="103" t="s">
        <v>989</v>
      </c>
      <c r="D2983" s="104">
        <v>0.25</v>
      </c>
      <c r="E2983" s="104">
        <v>0.25</v>
      </c>
      <c r="F2983" s="104">
        <v>0.25</v>
      </c>
      <c r="I2983" s="97">
        <f t="shared" ref="I2983:J2987" si="207">E2983</f>
        <v>0.25</v>
      </c>
      <c r="J2983" s="98">
        <f t="shared" si="207"/>
        <v>0.25</v>
      </c>
      <c r="K2983" s="98"/>
      <c r="L2983" s="95"/>
      <c r="M2983" s="95"/>
      <c r="N2983" s="64"/>
    </row>
    <row r="2984" spans="3:14" ht="28.8">
      <c r="C2984" s="103" t="s">
        <v>990</v>
      </c>
      <c r="D2984" s="104">
        <v>0.25</v>
      </c>
      <c r="E2984" s="104">
        <v>0.25</v>
      </c>
      <c r="F2984" s="104">
        <v>0.05</v>
      </c>
      <c r="I2984" s="97">
        <f t="shared" si="207"/>
        <v>0.25</v>
      </c>
      <c r="J2984" s="98">
        <f t="shared" si="207"/>
        <v>0.05</v>
      </c>
      <c r="K2984" s="98"/>
      <c r="L2984" s="95"/>
      <c r="M2984" s="95"/>
      <c r="N2984" s="64"/>
    </row>
    <row r="2985" spans="3:14">
      <c r="C2985" s="103" t="s">
        <v>991</v>
      </c>
      <c r="D2985" s="104">
        <v>0.25</v>
      </c>
      <c r="E2985" s="104">
        <v>0.25</v>
      </c>
      <c r="F2985" s="104">
        <v>0.13</v>
      </c>
      <c r="I2985" s="97">
        <f t="shared" si="207"/>
        <v>0.25</v>
      </c>
      <c r="J2985" s="98">
        <f t="shared" si="207"/>
        <v>0.13</v>
      </c>
      <c r="K2985" s="98"/>
      <c r="L2985" s="95"/>
      <c r="M2985" s="95"/>
      <c r="N2985" s="64"/>
    </row>
    <row r="2986" spans="3:14">
      <c r="C2986" s="103" t="s">
        <v>992</v>
      </c>
      <c r="D2986" s="104">
        <v>0.25</v>
      </c>
      <c r="E2986" s="104">
        <v>0.25</v>
      </c>
      <c r="F2986" s="104">
        <v>0.25</v>
      </c>
      <c r="I2986" s="97">
        <f t="shared" si="207"/>
        <v>0.25</v>
      </c>
      <c r="J2986" s="98">
        <f t="shared" si="207"/>
        <v>0.25</v>
      </c>
      <c r="K2986" s="98"/>
      <c r="L2986" s="95"/>
      <c r="M2986" s="95"/>
      <c r="N2986" s="64"/>
    </row>
    <row r="2987" spans="3:14">
      <c r="C2987" s="46"/>
      <c r="D2987" s="76">
        <v>1</v>
      </c>
      <c r="E2987" s="76">
        <v>1</v>
      </c>
      <c r="F2987" s="76">
        <v>0.68</v>
      </c>
      <c r="I2987" s="106">
        <f t="shared" si="207"/>
        <v>1</v>
      </c>
      <c r="J2987" s="107">
        <f t="shared" si="207"/>
        <v>0.68</v>
      </c>
      <c r="K2987" s="107"/>
      <c r="L2987" s="95"/>
      <c r="M2987" s="95"/>
      <c r="N2987" s="64"/>
    </row>
    <row r="2988" spans="3:14">
      <c r="C2988" s="46"/>
      <c r="D2988" s="46"/>
      <c r="E2988" s="76">
        <v>0</v>
      </c>
      <c r="F2988" s="76">
        <f>E2987-F2987</f>
        <v>0.31999999999999995</v>
      </c>
    </row>
    <row r="2989" spans="3:14">
      <c r="C2989" s="46"/>
      <c r="D2989" s="46"/>
      <c r="E2989" s="76"/>
      <c r="F2989" s="76"/>
    </row>
    <row r="2990" spans="3:14">
      <c r="C2990" s="87" t="s">
        <v>1671</v>
      </c>
      <c r="D2990" s="88">
        <v>30</v>
      </c>
      <c r="E2990" s="88"/>
      <c r="F2990" s="88"/>
    </row>
    <row r="2991" spans="3:14">
      <c r="C2991" s="87" t="s">
        <v>1619</v>
      </c>
      <c r="D2991" s="88">
        <v>2</v>
      </c>
      <c r="E2991" s="88"/>
      <c r="F2991" s="88"/>
    </row>
    <row r="2992" spans="3:14">
      <c r="C2992" s="87" t="s">
        <v>1620</v>
      </c>
      <c r="D2992" s="88"/>
      <c r="E2992" s="88"/>
      <c r="F2992" s="88"/>
    </row>
    <row r="2993" spans="3:36">
      <c r="C2993" s="87" t="s">
        <v>362</v>
      </c>
      <c r="D2993" s="88"/>
      <c r="E2993" s="88"/>
      <c r="F2993" s="88"/>
    </row>
    <row r="2994" spans="3:36">
      <c r="C2994" s="87" t="s">
        <v>363</v>
      </c>
      <c r="D2994" s="88"/>
      <c r="E2994" s="88"/>
      <c r="F2994" s="88"/>
    </row>
    <row r="2995" spans="3:36">
      <c r="C2995" s="44"/>
      <c r="D2995" s="46"/>
      <c r="E2995" s="46"/>
      <c r="F2995" s="46"/>
    </row>
    <row r="2996" spans="3:36">
      <c r="C2996" s="44"/>
      <c r="D2996" s="46"/>
      <c r="E2996" s="46"/>
      <c r="F2996" s="46"/>
    </row>
    <row r="2997" spans="3:36" s="100" customFormat="1">
      <c r="C2997" s="105"/>
      <c r="D2997" s="99"/>
      <c r="E2997" s="99"/>
      <c r="F2997" s="99"/>
      <c r="AD2997" s="332"/>
      <c r="AJ2997" s="392"/>
    </row>
    <row r="2998" spans="3:36">
      <c r="C2998" s="44"/>
      <c r="D2998" s="46"/>
      <c r="E2998" s="46"/>
      <c r="F2998" s="46"/>
    </row>
    <row r="2999" spans="3:36">
      <c r="C2999" s="44"/>
      <c r="D2999" s="46"/>
      <c r="E2999" s="46"/>
      <c r="F2999" s="46"/>
      <c r="I2999" s="857" t="s">
        <v>1643</v>
      </c>
      <c r="J2999" s="858"/>
      <c r="K2999" s="858"/>
      <c r="L2999" s="858"/>
      <c r="M2999" s="859"/>
      <c r="N2999" s="331"/>
    </row>
    <row r="3000" spans="3:36">
      <c r="C3000" s="46"/>
      <c r="D3000" s="46"/>
      <c r="E3000" s="46"/>
      <c r="F3000" s="46"/>
      <c r="I3000" s="865" t="s">
        <v>1667</v>
      </c>
      <c r="J3000" s="855"/>
      <c r="K3000" s="866"/>
      <c r="L3000" s="866"/>
      <c r="M3000" s="866"/>
      <c r="N3000" s="329"/>
    </row>
    <row r="3001" spans="3:36">
      <c r="C3001" s="46"/>
      <c r="D3001" s="46"/>
      <c r="E3001" s="46"/>
      <c r="F3001" s="46"/>
      <c r="I3001" s="861" t="s">
        <v>1668</v>
      </c>
      <c r="J3001" s="862"/>
      <c r="K3001" s="174"/>
      <c r="L3001" s="861" t="s">
        <v>1669</v>
      </c>
      <c r="M3001" s="863"/>
      <c r="N3001" s="279"/>
    </row>
    <row r="3002" spans="3:36" ht="28.8">
      <c r="C3002" s="101" t="s">
        <v>78</v>
      </c>
      <c r="D3002" s="102" t="s">
        <v>353</v>
      </c>
      <c r="E3002" s="102" t="s">
        <v>354</v>
      </c>
      <c r="F3002" s="102" t="s">
        <v>355</v>
      </c>
      <c r="I3002" s="93" t="s">
        <v>1080</v>
      </c>
      <c r="J3002" s="94" t="s">
        <v>1081</v>
      </c>
      <c r="K3002" s="94"/>
      <c r="L3002" s="94" t="s">
        <v>1080</v>
      </c>
      <c r="M3002" s="94" t="s">
        <v>1081</v>
      </c>
      <c r="N3002" s="62"/>
    </row>
    <row r="3003" spans="3:36" ht="28.8">
      <c r="C3003" s="103" t="s">
        <v>1672</v>
      </c>
      <c r="D3003" s="104">
        <v>0.34</v>
      </c>
      <c r="E3003" s="104">
        <v>0.34</v>
      </c>
      <c r="F3003" s="104">
        <v>0.34</v>
      </c>
      <c r="I3003" s="97">
        <f t="shared" ref="I3003:J3005" si="208">E3003</f>
        <v>0.34</v>
      </c>
      <c r="J3003" s="98">
        <f t="shared" si="208"/>
        <v>0.34</v>
      </c>
      <c r="K3003" s="98"/>
      <c r="L3003" s="95"/>
      <c r="M3003" s="95"/>
      <c r="N3003" s="64"/>
    </row>
    <row r="3004" spans="3:36" ht="28.8">
      <c r="C3004" s="103" t="s">
        <v>993</v>
      </c>
      <c r="D3004" s="104">
        <v>0.33</v>
      </c>
      <c r="E3004" s="104">
        <v>0.33</v>
      </c>
      <c r="F3004" s="104">
        <v>0.33</v>
      </c>
      <c r="I3004" s="97">
        <f t="shared" si="208"/>
        <v>0.33</v>
      </c>
      <c r="J3004" s="98">
        <f t="shared" si="208"/>
        <v>0.33</v>
      </c>
      <c r="K3004" s="98"/>
      <c r="L3004" s="95"/>
      <c r="M3004" s="95"/>
      <c r="N3004" s="64"/>
    </row>
    <row r="3005" spans="3:36" ht="28.8">
      <c r="C3005" s="103" t="s">
        <v>994</v>
      </c>
      <c r="D3005" s="104">
        <v>0.33</v>
      </c>
      <c r="E3005" s="104">
        <v>0.33</v>
      </c>
      <c r="F3005" s="104">
        <v>0.33</v>
      </c>
      <c r="I3005" s="97">
        <f t="shared" si="208"/>
        <v>0.33</v>
      </c>
      <c r="J3005" s="98">
        <f t="shared" si="208"/>
        <v>0.33</v>
      </c>
      <c r="K3005" s="98"/>
      <c r="L3005" s="95"/>
      <c r="M3005" s="95"/>
      <c r="N3005" s="64"/>
    </row>
    <row r="3006" spans="3:36">
      <c r="C3006" s="46"/>
      <c r="D3006" s="76">
        <v>1</v>
      </c>
      <c r="E3006" s="76">
        <v>1</v>
      </c>
      <c r="F3006" s="76">
        <v>1</v>
      </c>
      <c r="I3006" s="33">
        <f>SUM(I3003:I3005)</f>
        <v>1</v>
      </c>
      <c r="J3006" s="33">
        <f>SUM(J3003:J3005)</f>
        <v>1</v>
      </c>
      <c r="K3006" s="33"/>
    </row>
    <row r="3007" spans="3:36">
      <c r="C3007" s="46"/>
      <c r="D3007" s="46"/>
      <c r="E3007" s="76">
        <v>0</v>
      </c>
      <c r="F3007" s="76">
        <f>E3006-F3006</f>
        <v>0</v>
      </c>
    </row>
    <row r="3008" spans="3:36">
      <c r="C3008" s="46"/>
      <c r="D3008" s="46"/>
      <c r="E3008" s="47"/>
      <c r="F3008" s="47"/>
    </row>
    <row r="3009" spans="3:36">
      <c r="C3009" s="87" t="s">
        <v>1671</v>
      </c>
      <c r="D3009" s="88">
        <v>30</v>
      </c>
      <c r="E3009" s="88"/>
      <c r="F3009" s="88"/>
    </row>
    <row r="3010" spans="3:36">
      <c r="C3010" s="87" t="s">
        <v>1619</v>
      </c>
      <c r="D3010" s="88">
        <v>2</v>
      </c>
      <c r="E3010" s="88"/>
      <c r="F3010" s="88"/>
    </row>
    <row r="3011" spans="3:36">
      <c r="C3011" s="87" t="s">
        <v>1620</v>
      </c>
      <c r="D3011" s="88"/>
      <c r="E3011" s="88"/>
      <c r="F3011" s="88"/>
    </row>
    <row r="3012" spans="3:36">
      <c r="C3012" s="87" t="s">
        <v>362</v>
      </c>
      <c r="D3012" s="88"/>
      <c r="E3012" s="88"/>
      <c r="F3012" s="88"/>
    </row>
    <row r="3013" spans="3:36">
      <c r="C3013" s="87" t="s">
        <v>363</v>
      </c>
      <c r="D3013" s="88"/>
      <c r="E3013" s="88"/>
      <c r="F3013" s="88"/>
    </row>
    <row r="3014" spans="3:36">
      <c r="D3014" s="84"/>
      <c r="E3014" s="84"/>
      <c r="F3014" s="84"/>
    </row>
    <row r="3015" spans="3:36" s="100" customFormat="1">
      <c r="C3015" s="105"/>
      <c r="D3015" s="99"/>
      <c r="E3015" s="99"/>
      <c r="F3015" s="99"/>
      <c r="AD3015" s="332"/>
      <c r="AJ3015" s="392"/>
    </row>
    <row r="3016" spans="3:36">
      <c r="C3016" s="44"/>
      <c r="D3016" s="46"/>
      <c r="E3016" s="46"/>
      <c r="F3016" s="46"/>
    </row>
    <row r="3017" spans="3:36">
      <c r="C3017" s="44"/>
      <c r="D3017" s="46"/>
      <c r="E3017" s="46"/>
      <c r="F3017" s="46"/>
      <c r="I3017" s="857" t="s">
        <v>1643</v>
      </c>
      <c r="J3017" s="858"/>
      <c r="K3017" s="858"/>
      <c r="L3017" s="858"/>
      <c r="M3017" s="859"/>
      <c r="N3017" s="331"/>
    </row>
    <row r="3018" spans="3:36">
      <c r="C3018" s="44"/>
      <c r="D3018" s="46"/>
      <c r="E3018" s="46"/>
      <c r="F3018" s="46"/>
      <c r="I3018" s="865" t="s">
        <v>1667</v>
      </c>
      <c r="J3018" s="855"/>
      <c r="K3018" s="866"/>
      <c r="L3018" s="866"/>
      <c r="M3018" s="866"/>
      <c r="N3018" s="329"/>
    </row>
    <row r="3019" spans="3:36">
      <c r="C3019" s="46"/>
      <c r="D3019" s="46"/>
      <c r="E3019" s="46"/>
      <c r="F3019" s="46"/>
      <c r="I3019" s="861" t="s">
        <v>1668</v>
      </c>
      <c r="J3019" s="862"/>
      <c r="K3019" s="174"/>
      <c r="L3019" s="861" t="s">
        <v>1669</v>
      </c>
      <c r="M3019" s="863"/>
      <c r="N3019" s="279"/>
    </row>
    <row r="3020" spans="3:36" ht="28.8">
      <c r="C3020" s="101" t="s">
        <v>77</v>
      </c>
      <c r="D3020" s="102" t="s">
        <v>353</v>
      </c>
      <c r="E3020" s="102" t="s">
        <v>354</v>
      </c>
      <c r="F3020" s="102" t="s">
        <v>355</v>
      </c>
      <c r="I3020" s="93" t="s">
        <v>1080</v>
      </c>
      <c r="J3020" s="94" t="s">
        <v>1081</v>
      </c>
      <c r="K3020" s="94"/>
      <c r="L3020" s="94" t="s">
        <v>1080</v>
      </c>
      <c r="M3020" s="94" t="s">
        <v>1081</v>
      </c>
      <c r="N3020" s="62"/>
    </row>
    <row r="3021" spans="3:36">
      <c r="C3021" s="127" t="s">
        <v>995</v>
      </c>
      <c r="D3021" s="104">
        <v>0.5</v>
      </c>
      <c r="E3021" s="104">
        <v>0.5</v>
      </c>
      <c r="F3021" s="104">
        <v>0.5</v>
      </c>
      <c r="I3021" s="97">
        <f t="shared" ref="I3021:J3023" si="209">E3021</f>
        <v>0.5</v>
      </c>
      <c r="J3021" s="98">
        <f t="shared" si="209"/>
        <v>0.5</v>
      </c>
      <c r="K3021" s="98"/>
      <c r="L3021" s="95"/>
      <c r="M3021" s="95"/>
      <c r="N3021" s="64"/>
    </row>
    <row r="3022" spans="3:36">
      <c r="C3022" s="127" t="s">
        <v>996</v>
      </c>
      <c r="D3022" s="104">
        <v>0.1</v>
      </c>
      <c r="E3022" s="104">
        <v>0.1</v>
      </c>
      <c r="F3022" s="104">
        <v>0.1</v>
      </c>
      <c r="I3022" s="97">
        <f t="shared" si="209"/>
        <v>0.1</v>
      </c>
      <c r="J3022" s="98">
        <f t="shared" si="209"/>
        <v>0.1</v>
      </c>
      <c r="K3022" s="98"/>
      <c r="L3022" s="95"/>
      <c r="M3022" s="95"/>
      <c r="N3022" s="64"/>
    </row>
    <row r="3023" spans="3:36">
      <c r="C3023" s="127" t="s">
        <v>997</v>
      </c>
      <c r="D3023" s="104">
        <v>0.4</v>
      </c>
      <c r="E3023" s="104">
        <v>0.4</v>
      </c>
      <c r="F3023" s="104">
        <v>0.4</v>
      </c>
      <c r="I3023" s="97">
        <f t="shared" si="209"/>
        <v>0.4</v>
      </c>
      <c r="J3023" s="98">
        <f t="shared" si="209"/>
        <v>0.4</v>
      </c>
      <c r="K3023" s="98"/>
      <c r="L3023" s="95"/>
      <c r="M3023" s="95"/>
      <c r="N3023" s="64"/>
    </row>
    <row r="3024" spans="3:36" ht="15" customHeight="1">
      <c r="C3024" s="46"/>
      <c r="D3024" s="76">
        <v>1</v>
      </c>
      <c r="E3024" s="76">
        <v>1</v>
      </c>
      <c r="F3024" s="76">
        <v>1</v>
      </c>
      <c r="I3024" s="33">
        <f>SUM(I3021:I3023)</f>
        <v>1</v>
      </c>
      <c r="J3024" s="33">
        <f>SUM(J3021:J3023)</f>
        <v>1</v>
      </c>
      <c r="K3024" s="33"/>
    </row>
    <row r="3025" spans="3:36" ht="15" customHeight="1">
      <c r="C3025" s="46"/>
      <c r="D3025" s="46"/>
      <c r="E3025" s="76">
        <v>0</v>
      </c>
      <c r="F3025" s="76">
        <f>E3024-F3024</f>
        <v>0</v>
      </c>
    </row>
    <row r="3026" spans="3:36" ht="15" customHeight="1">
      <c r="C3026" s="44"/>
      <c r="D3026" s="46"/>
      <c r="E3026" s="46"/>
      <c r="F3026" s="46"/>
    </row>
    <row r="3027" spans="3:36" ht="15" customHeight="1">
      <c r="C3027" s="87" t="s">
        <v>1670</v>
      </c>
      <c r="D3027" s="88">
        <v>6</v>
      </c>
      <c r="E3027" s="88"/>
      <c r="F3027" s="88"/>
    </row>
    <row r="3028" spans="3:36" ht="15" customHeight="1">
      <c r="C3028" s="87" t="s">
        <v>1619</v>
      </c>
      <c r="D3028" s="88">
        <v>2</v>
      </c>
      <c r="E3028" s="88"/>
      <c r="F3028" s="88"/>
    </row>
    <row r="3029" spans="3:36" ht="15" customHeight="1">
      <c r="C3029" s="87" t="s">
        <v>1620</v>
      </c>
      <c r="D3029" s="88"/>
      <c r="E3029" s="88"/>
      <c r="F3029" s="88"/>
    </row>
    <row r="3030" spans="3:36" ht="15" customHeight="1">
      <c r="C3030" s="87" t="s">
        <v>362</v>
      </c>
      <c r="D3030" s="88"/>
      <c r="E3030" s="88"/>
      <c r="F3030" s="88"/>
    </row>
    <row r="3031" spans="3:36" ht="15" customHeight="1">
      <c r="C3031" s="87" t="s">
        <v>363</v>
      </c>
      <c r="D3031" s="88"/>
      <c r="E3031" s="88"/>
      <c r="F3031" s="88"/>
    </row>
    <row r="3032" spans="3:36">
      <c r="D3032" s="84"/>
      <c r="E3032" s="84"/>
      <c r="F3032" s="84"/>
    </row>
    <row r="3033" spans="3:36" s="100" customFormat="1">
      <c r="C3033" s="99"/>
      <c r="D3033" s="99"/>
      <c r="E3033" s="99"/>
      <c r="F3033" s="99"/>
      <c r="AD3033" s="332"/>
      <c r="AJ3033" s="392"/>
    </row>
    <row r="3034" spans="3:36">
      <c r="C3034" s="46"/>
      <c r="D3034" s="46"/>
      <c r="E3034" s="46"/>
      <c r="F3034" s="46"/>
    </row>
    <row r="3035" spans="3:36">
      <c r="C3035" s="46"/>
      <c r="D3035" s="46"/>
      <c r="E3035" s="46"/>
      <c r="F3035" s="46"/>
      <c r="I3035" s="857" t="s">
        <v>1643</v>
      </c>
      <c r="J3035" s="858"/>
      <c r="K3035" s="858"/>
      <c r="L3035" s="858"/>
      <c r="M3035" s="859"/>
      <c r="N3035" s="331"/>
      <c r="O3035" s="62"/>
      <c r="P3035" s="62"/>
      <c r="Q3035" s="62"/>
      <c r="R3035" s="62"/>
      <c r="S3035" s="62"/>
      <c r="T3035" s="62"/>
      <c r="U3035" s="62"/>
      <c r="V3035" s="62"/>
      <c r="W3035" s="62"/>
      <c r="X3035" s="62"/>
      <c r="Y3035" s="62"/>
    </row>
    <row r="3036" spans="3:36">
      <c r="C3036" s="46"/>
      <c r="D3036" s="46"/>
      <c r="E3036" s="46"/>
      <c r="F3036" s="46"/>
      <c r="I3036" s="865" t="s">
        <v>1667</v>
      </c>
      <c r="J3036" s="855"/>
      <c r="K3036" s="866"/>
      <c r="L3036" s="866"/>
      <c r="M3036" s="866"/>
      <c r="N3036" s="329"/>
      <c r="O3036" s="62"/>
      <c r="P3036" s="62"/>
      <c r="Q3036" s="62"/>
      <c r="R3036" s="62"/>
      <c r="S3036" s="62"/>
      <c r="T3036" s="62"/>
      <c r="U3036" s="62"/>
      <c r="V3036" s="62"/>
      <c r="W3036" s="62"/>
      <c r="X3036" s="62"/>
      <c r="Y3036" s="64"/>
    </row>
    <row r="3037" spans="3:36" ht="45.75" customHeight="1">
      <c r="C3037" s="46"/>
      <c r="D3037" s="46"/>
      <c r="E3037" s="46"/>
      <c r="F3037" s="46"/>
      <c r="I3037" s="861" t="s">
        <v>1668</v>
      </c>
      <c r="J3037" s="862"/>
      <c r="K3037" s="174"/>
      <c r="L3037" s="861" t="s">
        <v>1669</v>
      </c>
      <c r="M3037" s="863"/>
      <c r="N3037" s="279"/>
      <c r="O3037" s="864"/>
      <c r="P3037" s="864"/>
      <c r="Q3037" s="279"/>
      <c r="R3037" s="62"/>
      <c r="S3037" s="62"/>
      <c r="T3037" s="62"/>
      <c r="U3037" s="96"/>
      <c r="V3037" s="96"/>
      <c r="W3037" s="96"/>
      <c r="X3037" s="96"/>
      <c r="Y3037" s="96"/>
    </row>
    <row r="3038" spans="3:36" ht="28.8">
      <c r="C3038" s="101" t="s">
        <v>76</v>
      </c>
      <c r="D3038" s="102" t="s">
        <v>353</v>
      </c>
      <c r="E3038" s="102" t="s">
        <v>354</v>
      </c>
      <c r="F3038" s="102" t="s">
        <v>355</v>
      </c>
      <c r="I3038" s="93" t="s">
        <v>1080</v>
      </c>
      <c r="J3038" s="94" t="s">
        <v>1081</v>
      </c>
      <c r="K3038" s="94"/>
      <c r="L3038" s="94" t="s">
        <v>1080</v>
      </c>
      <c r="M3038" s="94" t="s">
        <v>1081</v>
      </c>
      <c r="N3038" s="62"/>
      <c r="O3038" s="64"/>
      <c r="P3038" s="64"/>
      <c r="Q3038" s="64"/>
      <c r="R3038" s="64"/>
      <c r="S3038" s="64"/>
      <c r="T3038" s="64"/>
      <c r="U3038" s="64"/>
      <c r="V3038" s="64"/>
      <c r="W3038" s="64"/>
      <c r="X3038" s="64"/>
      <c r="Y3038" s="64"/>
    </row>
    <row r="3039" spans="3:36">
      <c r="C3039" s="103" t="s">
        <v>998</v>
      </c>
      <c r="D3039" s="104">
        <v>0.34</v>
      </c>
      <c r="E3039" s="104">
        <v>0.34</v>
      </c>
      <c r="F3039" s="104">
        <v>0.34</v>
      </c>
      <c r="I3039" s="97">
        <f t="shared" ref="I3039:J3041" si="210">E3039</f>
        <v>0.34</v>
      </c>
      <c r="J3039" s="98">
        <f t="shared" si="210"/>
        <v>0.34</v>
      </c>
      <c r="K3039" s="98"/>
      <c r="L3039" s="95"/>
      <c r="M3039" s="95"/>
      <c r="N3039" s="64"/>
      <c r="O3039" s="64"/>
      <c r="P3039" s="64"/>
      <c r="Q3039" s="64"/>
      <c r="R3039" s="64"/>
      <c r="S3039" s="64"/>
      <c r="T3039" s="64"/>
      <c r="U3039" s="64"/>
      <c r="V3039" s="64"/>
      <c r="W3039" s="64"/>
      <c r="X3039" s="64"/>
      <c r="Y3039" s="64"/>
    </row>
    <row r="3040" spans="3:36" ht="28.8">
      <c r="C3040" s="103" t="s">
        <v>999</v>
      </c>
      <c r="D3040" s="104">
        <v>0.33</v>
      </c>
      <c r="E3040" s="104">
        <v>0.33</v>
      </c>
      <c r="F3040" s="104">
        <v>0.33</v>
      </c>
      <c r="I3040" s="97">
        <f t="shared" si="210"/>
        <v>0.33</v>
      </c>
      <c r="J3040" s="98">
        <f t="shared" si="210"/>
        <v>0.33</v>
      </c>
      <c r="K3040" s="98"/>
      <c r="L3040" s="95"/>
      <c r="M3040" s="95"/>
      <c r="N3040" s="64"/>
      <c r="O3040" s="64"/>
      <c r="P3040" s="64"/>
      <c r="Q3040" s="64"/>
      <c r="R3040" s="64"/>
      <c r="S3040" s="64"/>
      <c r="T3040" s="64"/>
      <c r="U3040" s="64"/>
      <c r="V3040" s="64"/>
      <c r="W3040" s="64"/>
      <c r="X3040" s="64"/>
      <c r="Y3040" s="64"/>
    </row>
    <row r="3041" spans="3:36" ht="28.8">
      <c r="C3041" s="103" t="s">
        <v>1000</v>
      </c>
      <c r="D3041" s="104">
        <v>0.33</v>
      </c>
      <c r="E3041" s="104">
        <v>0.33</v>
      </c>
      <c r="F3041" s="104">
        <v>0.33</v>
      </c>
      <c r="I3041" s="97">
        <f t="shared" si="210"/>
        <v>0.33</v>
      </c>
      <c r="J3041" s="98">
        <f t="shared" si="210"/>
        <v>0.33</v>
      </c>
      <c r="K3041" s="98"/>
      <c r="L3041" s="95"/>
      <c r="M3041" s="95"/>
      <c r="N3041" s="64"/>
      <c r="O3041" s="64"/>
      <c r="P3041" s="64"/>
      <c r="Q3041" s="64"/>
      <c r="R3041" s="64"/>
      <c r="S3041" s="64"/>
      <c r="T3041" s="64"/>
      <c r="U3041" s="64"/>
      <c r="V3041" s="64"/>
      <c r="W3041" s="64"/>
      <c r="X3041" s="64"/>
      <c r="Y3041" s="64"/>
    </row>
    <row r="3042" spans="3:36">
      <c r="C3042" s="46"/>
      <c r="D3042" s="76">
        <v>1</v>
      </c>
      <c r="E3042" s="76">
        <v>1</v>
      </c>
      <c r="F3042" s="76">
        <v>1</v>
      </c>
      <c r="I3042" s="33">
        <f>SUM(I3039:I3041)</f>
        <v>1</v>
      </c>
      <c r="J3042" s="33">
        <f>SUM(J3039:J3041)</f>
        <v>1</v>
      </c>
      <c r="K3042" s="33"/>
    </row>
    <row r="3043" spans="3:36">
      <c r="C3043" s="46"/>
      <c r="D3043" s="46"/>
      <c r="E3043" s="76">
        <v>0</v>
      </c>
      <c r="F3043" s="76">
        <f>E3042-F3042</f>
        <v>0</v>
      </c>
    </row>
    <row r="3044" spans="3:36">
      <c r="C3044" s="11"/>
      <c r="D3044" s="15"/>
      <c r="E3044" s="15"/>
      <c r="F3044" s="15"/>
    </row>
    <row r="3045" spans="3:36">
      <c r="C3045" s="11" t="s">
        <v>1670</v>
      </c>
      <c r="D3045" s="15">
        <v>6</v>
      </c>
      <c r="E3045" s="15"/>
      <c r="F3045" s="15"/>
    </row>
    <row r="3046" spans="3:36">
      <c r="C3046" s="11" t="s">
        <v>1619</v>
      </c>
      <c r="D3046" s="15">
        <v>2</v>
      </c>
      <c r="E3046" s="15"/>
      <c r="F3046" s="15"/>
    </row>
    <row r="3047" spans="3:36">
      <c r="C3047" s="11" t="s">
        <v>1620</v>
      </c>
      <c r="D3047" s="15"/>
      <c r="E3047" s="15"/>
      <c r="F3047" s="15"/>
    </row>
    <row r="3048" spans="3:36">
      <c r="C3048" s="11" t="s">
        <v>362</v>
      </c>
      <c r="D3048" s="15"/>
      <c r="E3048" s="15"/>
      <c r="F3048" s="15"/>
    </row>
    <row r="3049" spans="3:36">
      <c r="C3049" s="11" t="s">
        <v>363</v>
      </c>
      <c r="D3049" s="15"/>
      <c r="E3049" s="15"/>
      <c r="F3049" s="15"/>
    </row>
    <row r="3051" spans="3:36" s="100" customFormat="1">
      <c r="AD3051" s="332"/>
      <c r="AJ3051" s="392"/>
    </row>
    <row r="3053" spans="3:36">
      <c r="I3053" s="857" t="s">
        <v>1643</v>
      </c>
      <c r="J3053" s="858"/>
      <c r="K3053" s="858"/>
      <c r="L3053" s="858"/>
      <c r="M3053" s="859"/>
      <c r="N3053" s="331"/>
    </row>
    <row r="3054" spans="3:36">
      <c r="I3054" s="865" t="s">
        <v>1667</v>
      </c>
      <c r="J3054" s="855"/>
      <c r="K3054" s="866"/>
      <c r="L3054" s="866"/>
      <c r="M3054" s="866"/>
      <c r="N3054" s="329"/>
    </row>
    <row r="3055" spans="3:36" ht="15" customHeight="1">
      <c r="I3055" s="861" t="s">
        <v>1668</v>
      </c>
      <c r="J3055" s="862"/>
      <c r="K3055" s="174"/>
      <c r="L3055" s="861" t="s">
        <v>1669</v>
      </c>
      <c r="M3055" s="863"/>
      <c r="N3055" s="279"/>
    </row>
    <row r="3056" spans="3:36" ht="28.8">
      <c r="C3056" s="101" t="s">
        <v>76</v>
      </c>
      <c r="D3056" s="94" t="s">
        <v>353</v>
      </c>
      <c r="E3056" s="94" t="s">
        <v>354</v>
      </c>
      <c r="F3056" s="94" t="s">
        <v>355</v>
      </c>
      <c r="I3056" s="93" t="s">
        <v>1080</v>
      </c>
      <c r="J3056" s="94" t="s">
        <v>1081</v>
      </c>
      <c r="K3056" s="94"/>
      <c r="L3056" s="94" t="s">
        <v>1080</v>
      </c>
      <c r="M3056" s="94" t="s">
        <v>1081</v>
      </c>
      <c r="N3056" s="62"/>
    </row>
    <row r="3057" spans="3:14">
      <c r="C3057" s="103" t="s">
        <v>998</v>
      </c>
      <c r="D3057" s="98">
        <v>0.34</v>
      </c>
      <c r="E3057" s="98">
        <v>0.34</v>
      </c>
      <c r="F3057" s="98">
        <v>0.34</v>
      </c>
      <c r="I3057" s="97">
        <f t="shared" ref="I3057:J3059" si="211">E3057</f>
        <v>0.34</v>
      </c>
      <c r="J3057" s="98">
        <f t="shared" si="211"/>
        <v>0.34</v>
      </c>
      <c r="K3057" s="98"/>
      <c r="L3057" s="98">
        <f t="shared" ref="L3057:M3059" si="212">E3057</f>
        <v>0.34</v>
      </c>
      <c r="M3057" s="98">
        <f t="shared" si="212"/>
        <v>0.34</v>
      </c>
      <c r="N3057" s="65"/>
    </row>
    <row r="3058" spans="3:14" ht="15" customHeight="1">
      <c r="C3058" s="103" t="s">
        <v>999</v>
      </c>
      <c r="D3058" s="98">
        <v>0.33</v>
      </c>
      <c r="E3058" s="98">
        <v>0.33</v>
      </c>
      <c r="F3058" s="98">
        <v>0.33</v>
      </c>
      <c r="I3058" s="97">
        <f t="shared" si="211"/>
        <v>0.33</v>
      </c>
      <c r="J3058" s="98">
        <f t="shared" si="211"/>
        <v>0.33</v>
      </c>
      <c r="K3058" s="98"/>
      <c r="L3058" s="98">
        <f t="shared" si="212"/>
        <v>0.33</v>
      </c>
      <c r="M3058" s="98">
        <f t="shared" si="212"/>
        <v>0.33</v>
      </c>
      <c r="N3058" s="65"/>
    </row>
    <row r="3059" spans="3:14" ht="28.8">
      <c r="C3059" s="103" t="s">
        <v>1000</v>
      </c>
      <c r="D3059" s="98">
        <v>0.33</v>
      </c>
      <c r="E3059" s="98">
        <v>0.33</v>
      </c>
      <c r="F3059" s="98">
        <v>0.33</v>
      </c>
      <c r="I3059" s="97">
        <f t="shared" si="211"/>
        <v>0.33</v>
      </c>
      <c r="J3059" s="98">
        <f t="shared" si="211"/>
        <v>0.33</v>
      </c>
      <c r="K3059" s="98"/>
      <c r="L3059" s="98">
        <f t="shared" si="212"/>
        <v>0.33</v>
      </c>
      <c r="M3059" s="98">
        <f t="shared" si="212"/>
        <v>0.33</v>
      </c>
      <c r="N3059" s="65"/>
    </row>
    <row r="3060" spans="3:14">
      <c r="C3060" s="64"/>
      <c r="D3060" s="69">
        <v>1</v>
      </c>
      <c r="E3060" s="69">
        <v>1</v>
      </c>
      <c r="F3060" s="69">
        <v>1</v>
      </c>
      <c r="I3060" s="33">
        <f>SUM(I3057:I3059)</f>
        <v>1</v>
      </c>
      <c r="J3060" s="33">
        <f>SUM(J3057:J3059)</f>
        <v>1</v>
      </c>
      <c r="K3060" s="33"/>
      <c r="L3060" s="33">
        <f>SUM(L3057:L3059)</f>
        <v>1</v>
      </c>
      <c r="M3060" s="33">
        <f>SUM(M3057:M3059)</f>
        <v>1</v>
      </c>
      <c r="N3060" s="33"/>
    </row>
    <row r="3061" spans="3:14">
      <c r="C3061" s="64"/>
      <c r="D3061" s="64"/>
      <c r="E3061" s="69">
        <v>0</v>
      </c>
      <c r="F3061" s="69">
        <f>E3060-F3060</f>
        <v>0</v>
      </c>
      <c r="J3061" s="33">
        <v>0</v>
      </c>
      <c r="K3061" s="33"/>
      <c r="L3061" s="33">
        <v>0</v>
      </c>
      <c r="M3061" s="33">
        <v>0</v>
      </c>
      <c r="N3061" s="33"/>
    </row>
    <row r="3062" spans="3:14">
      <c r="C3062" s="46"/>
      <c r="D3062" s="46"/>
      <c r="E3062" s="76"/>
      <c r="F3062" s="76"/>
    </row>
    <row r="3063" spans="3:14">
      <c r="C3063" s="46"/>
      <c r="D3063" s="46"/>
      <c r="E3063" s="76"/>
      <c r="F3063" s="76"/>
    </row>
    <row r="3064" spans="3:14">
      <c r="C3064" s="46"/>
      <c r="D3064" s="46"/>
      <c r="E3064" s="76"/>
      <c r="F3064" s="76"/>
    </row>
    <row r="3065" spans="3:14">
      <c r="C3065" s="46"/>
      <c r="D3065" s="46"/>
      <c r="E3065" s="76"/>
      <c r="F3065" s="76"/>
    </row>
    <row r="3066" spans="3:14">
      <c r="C3066" s="46"/>
      <c r="D3066" s="46"/>
      <c r="E3066" s="76"/>
      <c r="F3066" s="76"/>
    </row>
    <row r="3067" spans="3:14">
      <c r="C3067" s="46"/>
      <c r="D3067" s="46"/>
      <c r="E3067" s="76"/>
      <c r="F3067" s="76"/>
    </row>
    <row r="3068" spans="3:14">
      <c r="C3068" s="46"/>
      <c r="D3068" s="46"/>
      <c r="E3068" s="76"/>
      <c r="F3068" s="76"/>
    </row>
    <row r="3069" spans="3:14">
      <c r="C3069" s="46"/>
      <c r="D3069" s="46"/>
      <c r="E3069" s="76"/>
      <c r="F3069" s="76"/>
    </row>
    <row r="3070" spans="3:14">
      <c r="C3070" s="46"/>
      <c r="D3070" s="46"/>
      <c r="E3070" s="76"/>
      <c r="F3070" s="76"/>
    </row>
    <row r="3071" spans="3:14">
      <c r="C3071" s="11"/>
      <c r="D3071" s="15"/>
      <c r="E3071" s="15"/>
      <c r="F3071" s="15"/>
    </row>
    <row r="3072" spans="3:14">
      <c r="C3072" s="11" t="s">
        <v>1670</v>
      </c>
      <c r="D3072" s="15">
        <v>6</v>
      </c>
      <c r="E3072" s="15"/>
      <c r="F3072" s="15"/>
    </row>
    <row r="3073" spans="2:36">
      <c r="C3073" s="11" t="s">
        <v>1619</v>
      </c>
      <c r="D3073" s="15">
        <v>2</v>
      </c>
      <c r="E3073" s="15"/>
      <c r="F3073" s="15"/>
    </row>
    <row r="3074" spans="2:36">
      <c r="C3074" s="11" t="s">
        <v>1620</v>
      </c>
      <c r="D3074" s="15"/>
      <c r="E3074" s="15"/>
      <c r="F3074" s="15"/>
    </row>
    <row r="3075" spans="2:36">
      <c r="C3075" s="11" t="s">
        <v>362</v>
      </c>
      <c r="D3075" s="15"/>
      <c r="E3075" s="15"/>
      <c r="F3075" s="15"/>
    </row>
    <row r="3076" spans="2:36">
      <c r="C3076" s="11" t="s">
        <v>363</v>
      </c>
      <c r="D3076" s="15"/>
      <c r="E3076" s="15"/>
      <c r="F3076" s="15"/>
    </row>
    <row r="3077" spans="2:36" s="100" customFormat="1">
      <c r="AD3077" s="332"/>
      <c r="AJ3077" s="392"/>
    </row>
    <row r="3078" spans="2:36">
      <c r="C3078" s="31"/>
      <c r="D3078" s="31"/>
      <c r="E3078" s="31"/>
      <c r="F3078" s="31"/>
    </row>
    <row r="3079" spans="2:36">
      <c r="B3079" s="519" t="s">
        <v>1079</v>
      </c>
      <c r="C3079" s="222" t="s">
        <v>1673</v>
      </c>
      <c r="D3079" s="490" t="s">
        <v>353</v>
      </c>
      <c r="E3079" s="490" t="s">
        <v>354</v>
      </c>
      <c r="F3079" s="490" t="s">
        <v>355</v>
      </c>
    </row>
    <row r="3080" spans="2:36" ht="28.8">
      <c r="C3080" s="31" t="s">
        <v>1674</v>
      </c>
      <c r="D3080" s="224">
        <v>0.1</v>
      </c>
      <c r="E3080" s="224">
        <v>0.1</v>
      </c>
      <c r="F3080" s="224">
        <v>0</v>
      </c>
    </row>
    <row r="3081" spans="2:36">
      <c r="C3081" s="31"/>
      <c r="D3081" s="224"/>
      <c r="E3081" s="224"/>
      <c r="F3081" s="224"/>
    </row>
    <row r="3082" spans="2:36">
      <c r="C3082" s="31"/>
      <c r="D3082" s="224"/>
      <c r="E3082" s="224"/>
      <c r="F3082" s="224"/>
    </row>
    <row r="3083" spans="2:36">
      <c r="C3083" s="31"/>
      <c r="D3083" s="224"/>
      <c r="E3083" s="224"/>
      <c r="F3083" s="224"/>
    </row>
    <row r="3084" spans="2:36">
      <c r="C3084" s="31"/>
      <c r="D3084" s="225">
        <f>SUM(D3080:D3083)</f>
        <v>0.1</v>
      </c>
      <c r="E3084" s="225">
        <f>SUM(E3080:E3083)</f>
        <v>0.1</v>
      </c>
      <c r="F3084" s="225">
        <f>SUM(F3080:F3083)</f>
        <v>0</v>
      </c>
    </row>
    <row r="3085" spans="2:36">
      <c r="C3085" s="31"/>
      <c r="D3085" s="31"/>
      <c r="E3085" s="225">
        <f>D3084-E3084</f>
        <v>0</v>
      </c>
      <c r="F3085" s="225">
        <f>E3084-F3084</f>
        <v>0.1</v>
      </c>
    </row>
    <row r="3086" spans="2:36">
      <c r="C3086" s="31"/>
      <c r="D3086" s="31"/>
      <c r="E3086" s="31"/>
      <c r="F3086" s="31"/>
    </row>
    <row r="3087" spans="2:36">
      <c r="C3087" s="538" t="s">
        <v>1675</v>
      </c>
      <c r="D3087" s="31">
        <v>30</v>
      </c>
      <c r="E3087" s="31"/>
      <c r="F3087" s="31"/>
    </row>
    <row r="3088" spans="2:36">
      <c r="C3088" s="31"/>
      <c r="D3088" s="31"/>
      <c r="E3088" s="31"/>
      <c r="F3088" s="31"/>
    </row>
    <row r="3089" spans="2:6" ht="28.8">
      <c r="B3089" s="519" t="s">
        <v>1079</v>
      </c>
      <c r="C3089" s="222" t="s">
        <v>1676</v>
      </c>
      <c r="D3089" s="490" t="s">
        <v>353</v>
      </c>
      <c r="E3089" s="490" t="s">
        <v>354</v>
      </c>
      <c r="F3089" s="490" t="s">
        <v>355</v>
      </c>
    </row>
    <row r="3090" spans="2:6">
      <c r="C3090" t="s">
        <v>1677</v>
      </c>
      <c r="D3090" s="224"/>
      <c r="E3090" s="224"/>
      <c r="F3090" s="224"/>
    </row>
    <row r="3091" spans="2:6" ht="28.8">
      <c r="C3091" s="31" t="s">
        <v>1678</v>
      </c>
      <c r="D3091" s="224"/>
      <c r="E3091" s="224"/>
      <c r="F3091" s="224"/>
    </row>
    <row r="3092" spans="2:6" ht="28.8">
      <c r="C3092" s="539" t="s">
        <v>1679</v>
      </c>
      <c r="D3092" s="225">
        <f>SUM(D3090:D3091)</f>
        <v>0</v>
      </c>
      <c r="E3092" s="225">
        <f>SUM(E3090:E3091)</f>
        <v>0</v>
      </c>
      <c r="F3092" s="225">
        <f>SUM(F3090:F3091)</f>
        <v>0</v>
      </c>
    </row>
    <row r="3093" spans="2:6">
      <c r="C3093" s="31"/>
      <c r="D3093" s="31"/>
      <c r="E3093" s="225">
        <f>D3092-E3092</f>
        <v>0</v>
      </c>
      <c r="F3093" s="225">
        <f>E3092-F3092</f>
        <v>0</v>
      </c>
    </row>
    <row r="3094" spans="2:6">
      <c r="C3094" s="538" t="s">
        <v>1680</v>
      </c>
      <c r="D3094" s="538" t="s">
        <v>1681</v>
      </c>
      <c r="E3094" s="31"/>
      <c r="F3094" s="31"/>
    </row>
    <row r="3095" spans="2:6">
      <c r="C3095" s="31"/>
      <c r="D3095" s="31"/>
      <c r="E3095" s="31"/>
      <c r="F3095" s="31"/>
    </row>
    <row r="3096" spans="2:6" ht="28.8">
      <c r="B3096" s="519" t="s">
        <v>1079</v>
      </c>
      <c r="C3096" s="222" t="s">
        <v>1682</v>
      </c>
      <c r="D3096" s="490" t="s">
        <v>353</v>
      </c>
      <c r="E3096" s="490" t="s">
        <v>354</v>
      </c>
      <c r="F3096" s="490" t="s">
        <v>355</v>
      </c>
    </row>
    <row r="3097" spans="2:6">
      <c r="C3097" s="31" t="s">
        <v>1683</v>
      </c>
      <c r="D3097" s="224"/>
      <c r="E3097" s="224"/>
      <c r="F3097" s="224"/>
    </row>
    <row r="3098" spans="2:6">
      <c r="C3098" s="31" t="s">
        <v>1684</v>
      </c>
      <c r="D3098" s="224"/>
      <c r="E3098" s="224"/>
      <c r="F3098" s="224"/>
    </row>
    <row r="3099" spans="2:6">
      <c r="C3099" s="31"/>
      <c r="D3099" s="224"/>
      <c r="E3099" s="224"/>
      <c r="F3099" s="224"/>
    </row>
    <row r="3100" spans="2:6">
      <c r="C3100" s="31"/>
      <c r="D3100" s="225">
        <f>SUM(D3097:D3099)</f>
        <v>0</v>
      </c>
      <c r="E3100" s="225">
        <f>SUM(E3097:E3099)</f>
        <v>0</v>
      </c>
      <c r="F3100" s="225">
        <f>SUM(F3097:F3099)</f>
        <v>0</v>
      </c>
    </row>
    <row r="3101" spans="2:6">
      <c r="C3101" s="31"/>
      <c r="D3101" s="31"/>
      <c r="E3101" s="225">
        <f>D3100-E3100</f>
        <v>0</v>
      </c>
      <c r="F3101" s="225">
        <f>E3100-F3100</f>
        <v>0</v>
      </c>
    </row>
    <row r="3102" spans="2:6">
      <c r="C3102" s="31"/>
      <c r="D3102" s="31"/>
      <c r="E3102" s="31"/>
      <c r="F3102" s="31"/>
    </row>
    <row r="3103" spans="2:6">
      <c r="C3103" s="538" t="s">
        <v>1680</v>
      </c>
      <c r="D3103" s="538" t="s">
        <v>418</v>
      </c>
      <c r="E3103" s="31"/>
      <c r="F3103" s="31"/>
    </row>
    <row r="3104" spans="2:6">
      <c r="C3104" s="31"/>
      <c r="D3104" s="31"/>
      <c r="E3104" s="31"/>
      <c r="F3104" s="31"/>
    </row>
    <row r="3105" spans="2:6">
      <c r="B3105" s="519" t="s">
        <v>1079</v>
      </c>
      <c r="C3105" s="222" t="s">
        <v>86</v>
      </c>
      <c r="D3105" s="490" t="s">
        <v>353</v>
      </c>
      <c r="E3105" s="490" t="s">
        <v>354</v>
      </c>
      <c r="F3105" s="490" t="s">
        <v>355</v>
      </c>
    </row>
    <row r="3106" spans="2:6">
      <c r="C3106" s="538" t="s">
        <v>1685</v>
      </c>
      <c r="D3106" s="586"/>
      <c r="E3106" s="586"/>
      <c r="F3106" s="586"/>
    </row>
    <row r="3107" spans="2:6">
      <c r="C3107" s="31"/>
      <c r="D3107" s="225" t="e">
        <f>SUM(#REF!)</f>
        <v>#REF!</v>
      </c>
      <c r="E3107" s="225" t="e">
        <f>SUM(#REF!)</f>
        <v>#REF!</v>
      </c>
      <c r="F3107" s="225" t="e">
        <f>SUM(#REF!)</f>
        <v>#REF!</v>
      </c>
    </row>
    <row r="3108" spans="2:6">
      <c r="C3108" s="31"/>
      <c r="D3108" s="31"/>
      <c r="E3108" s="225" t="e">
        <f>D3107-E3107</f>
        <v>#REF!</v>
      </c>
      <c r="F3108" s="225" t="e">
        <f>E3107-F3107</f>
        <v>#REF!</v>
      </c>
    </row>
    <row r="3109" spans="2:6">
      <c r="C3109" s="31"/>
      <c r="D3109" s="31"/>
      <c r="E3109" s="31"/>
      <c r="F3109" s="31"/>
    </row>
    <row r="3110" spans="2:6">
      <c r="C3110" s="538" t="s">
        <v>1686</v>
      </c>
      <c r="D3110" s="31">
        <v>2</v>
      </c>
      <c r="E3110" s="31"/>
      <c r="F3110" s="31"/>
    </row>
    <row r="3111" spans="2:6">
      <c r="C3111" s="31"/>
      <c r="D3111" s="31"/>
      <c r="E3111" s="31"/>
      <c r="F3111" s="31"/>
    </row>
    <row r="3112" spans="2:6">
      <c r="B3112" s="519" t="s">
        <v>1079</v>
      </c>
      <c r="C3112" s="222" t="s">
        <v>1687</v>
      </c>
      <c r="D3112" s="490" t="s">
        <v>353</v>
      </c>
      <c r="E3112" s="490" t="s">
        <v>354</v>
      </c>
      <c r="F3112" s="490" t="s">
        <v>355</v>
      </c>
    </row>
    <row r="3113" spans="2:6">
      <c r="C3113" s="538" t="s">
        <v>1688</v>
      </c>
      <c r="D3113" s="224">
        <v>0.1</v>
      </c>
      <c r="E3113" s="224">
        <v>0.1</v>
      </c>
      <c r="F3113" s="224">
        <v>0</v>
      </c>
    </row>
    <row r="3114" spans="2:6">
      <c r="C3114" s="538" t="s">
        <v>1689</v>
      </c>
      <c r="D3114" s="224"/>
      <c r="E3114" s="224"/>
      <c r="F3114" s="224"/>
    </row>
    <row r="3115" spans="2:6">
      <c r="C3115" s="538" t="s">
        <v>1690</v>
      </c>
      <c r="D3115" s="224"/>
      <c r="E3115" s="224"/>
      <c r="F3115" s="224"/>
    </row>
    <row r="3116" spans="2:6">
      <c r="C3116" s="538" t="s">
        <v>1691</v>
      </c>
      <c r="D3116" s="224"/>
      <c r="E3116" s="224"/>
      <c r="F3116" s="224"/>
    </row>
    <row r="3117" spans="2:6">
      <c r="C3117" s="31"/>
      <c r="D3117" s="225">
        <f>SUM(D3113:D3116)</f>
        <v>0.1</v>
      </c>
      <c r="E3117" s="225">
        <f>SUM(E3113:E3116)</f>
        <v>0.1</v>
      </c>
      <c r="F3117" s="225">
        <f>SUM(F3113:F3116)</f>
        <v>0</v>
      </c>
    </row>
    <row r="3118" spans="2:6">
      <c r="C3118" s="31"/>
      <c r="D3118" s="31"/>
      <c r="E3118" s="225">
        <f>D3117-E3117</f>
        <v>0</v>
      </c>
      <c r="F3118" s="225">
        <f>E3117-F3117</f>
        <v>0.1</v>
      </c>
    </row>
    <row r="3119" spans="2:6">
      <c r="C3119" s="31"/>
      <c r="D3119" s="31"/>
      <c r="E3119" s="31"/>
      <c r="F3119" s="31"/>
    </row>
    <row r="3120" spans="2:6">
      <c r="C3120" s="538" t="s">
        <v>1692</v>
      </c>
      <c r="D3120" s="31">
        <v>2</v>
      </c>
      <c r="E3120" s="31"/>
      <c r="F3120" s="31"/>
    </row>
    <row r="3121" spans="2:6">
      <c r="C3121" s="31"/>
      <c r="D3121" s="31"/>
      <c r="E3121" s="31"/>
      <c r="F3121" s="31"/>
    </row>
    <row r="3122" spans="2:6">
      <c r="B3122" s="519" t="s">
        <v>1079</v>
      </c>
      <c r="C3122" s="222" t="s">
        <v>1693</v>
      </c>
      <c r="D3122" s="490" t="s">
        <v>353</v>
      </c>
      <c r="E3122" s="490" t="s">
        <v>354</v>
      </c>
      <c r="F3122" s="490" t="s">
        <v>355</v>
      </c>
    </row>
    <row r="3123" spans="2:6">
      <c r="C3123" s="538" t="s">
        <v>1694</v>
      </c>
    </row>
    <row r="3124" spans="2:6">
      <c r="C3124" s="538" t="s">
        <v>1695</v>
      </c>
      <c r="D3124" s="224"/>
      <c r="E3124" s="224"/>
      <c r="F3124" s="224"/>
    </row>
    <row r="3125" spans="2:6">
      <c r="C3125" s="538" t="s">
        <v>1690</v>
      </c>
      <c r="D3125" s="224"/>
      <c r="E3125" s="224"/>
      <c r="F3125" s="224"/>
    </row>
    <row r="3126" spans="2:6">
      <c r="C3126" s="538" t="s">
        <v>1691</v>
      </c>
      <c r="D3126" s="224"/>
      <c r="E3126" s="224"/>
      <c r="F3126" s="224"/>
    </row>
    <row r="3127" spans="2:6">
      <c r="C3127" s="31"/>
      <c r="D3127" s="225">
        <f>SUM(D3124:D3126)</f>
        <v>0</v>
      </c>
      <c r="E3127" s="225">
        <f>SUM(E3124:E3126)</f>
        <v>0</v>
      </c>
      <c r="F3127" s="225">
        <f>SUM(F3124:F3126)</f>
        <v>0</v>
      </c>
    </row>
    <row r="3128" spans="2:6">
      <c r="C3128" s="31"/>
      <c r="D3128" s="31"/>
      <c r="E3128" s="225">
        <f>D3127-E3127</f>
        <v>0</v>
      </c>
      <c r="F3128" s="225">
        <f>E3127-F3127</f>
        <v>0</v>
      </c>
    </row>
    <row r="3129" spans="2:6">
      <c r="C3129" s="31"/>
      <c r="D3129" s="31"/>
      <c r="E3129" s="31"/>
      <c r="F3129" s="31"/>
    </row>
    <row r="3130" spans="2:6">
      <c r="C3130" s="538" t="s">
        <v>1696</v>
      </c>
      <c r="D3130" s="31">
        <v>1</v>
      </c>
      <c r="E3130" s="31"/>
      <c r="F3130" s="31"/>
    </row>
    <row r="3131" spans="2:6">
      <c r="C3131" s="31"/>
      <c r="D3131" s="31"/>
      <c r="E3131" s="31"/>
      <c r="F3131" s="31"/>
    </row>
    <row r="3132" spans="2:6">
      <c r="B3132" s="519" t="s">
        <v>1079</v>
      </c>
      <c r="C3132" s="222" t="s">
        <v>1697</v>
      </c>
      <c r="D3132" s="490" t="s">
        <v>353</v>
      </c>
      <c r="E3132" s="490" t="s">
        <v>354</v>
      </c>
      <c r="F3132" s="490" t="s">
        <v>355</v>
      </c>
    </row>
    <row r="3133" spans="2:6">
      <c r="C3133" s="538" t="s">
        <v>1698</v>
      </c>
      <c r="D3133" s="586"/>
      <c r="E3133" s="586"/>
      <c r="F3133" s="586"/>
    </row>
    <row r="3134" spans="2:6" ht="28.8">
      <c r="C3134" s="476" t="s">
        <v>1699</v>
      </c>
      <c r="D3134" s="586"/>
      <c r="E3134" s="586"/>
      <c r="F3134" s="586"/>
    </row>
    <row r="3135" spans="2:6">
      <c r="C3135" s="31"/>
      <c r="D3135" s="225" t="e">
        <f>SUM(#REF!)</f>
        <v>#REF!</v>
      </c>
      <c r="E3135" s="225" t="e">
        <f>SUM(#REF!)</f>
        <v>#REF!</v>
      </c>
      <c r="F3135" s="225" t="e">
        <f>SUM(#REF!)</f>
        <v>#REF!</v>
      </c>
    </row>
    <row r="3136" spans="2:6">
      <c r="C3136" s="31"/>
      <c r="D3136" s="31"/>
      <c r="E3136" s="225" t="e">
        <f>D3135-E3135</f>
        <v>#REF!</v>
      </c>
      <c r="F3136" s="225" t="e">
        <f>E3135-F3135</f>
        <v>#REF!</v>
      </c>
    </row>
    <row r="3137" spans="2:6">
      <c r="C3137" s="31"/>
      <c r="D3137" s="31"/>
      <c r="E3137" s="31"/>
      <c r="F3137" s="31"/>
    </row>
    <row r="3138" spans="2:6">
      <c r="C3138" s="538" t="s">
        <v>1686</v>
      </c>
      <c r="D3138" s="31">
        <v>1</v>
      </c>
      <c r="E3138" s="31"/>
      <c r="F3138" s="31"/>
    </row>
    <row r="3139" spans="2:6">
      <c r="C3139" s="31"/>
      <c r="D3139" s="31"/>
      <c r="E3139" s="31"/>
      <c r="F3139" s="31"/>
    </row>
    <row r="3140" spans="2:6">
      <c r="C3140" s="222" t="s">
        <v>85</v>
      </c>
      <c r="D3140" s="490" t="s">
        <v>353</v>
      </c>
      <c r="E3140" s="490" t="s">
        <v>354</v>
      </c>
      <c r="F3140" s="490" t="s">
        <v>355</v>
      </c>
    </row>
    <row r="3141" spans="2:6">
      <c r="C3141" s="538" t="s">
        <v>1700</v>
      </c>
      <c r="D3141" s="224">
        <v>0.05</v>
      </c>
      <c r="E3141" s="224">
        <v>0.05</v>
      </c>
      <c r="F3141" s="224">
        <v>0.05</v>
      </c>
    </row>
    <row r="3142" spans="2:6">
      <c r="C3142" s="538" t="s">
        <v>1701</v>
      </c>
      <c r="D3142" s="224"/>
      <c r="E3142" s="224"/>
      <c r="F3142" s="224"/>
    </row>
    <row r="3143" spans="2:6">
      <c r="C3143" s="31"/>
      <c r="D3143" s="225">
        <f>SUM(D3141:D3142)</f>
        <v>0.05</v>
      </c>
      <c r="E3143" s="225">
        <f>SUM(E3141:E3142)</f>
        <v>0.05</v>
      </c>
      <c r="F3143" s="225">
        <f>SUM(F3141:F3142)</f>
        <v>0.05</v>
      </c>
    </row>
    <row r="3144" spans="2:6">
      <c r="C3144" s="31"/>
      <c r="D3144" s="31"/>
      <c r="E3144" s="225">
        <f>D3143-E3143</f>
        <v>0</v>
      </c>
      <c r="F3144" s="225">
        <f>E3143-F3143</f>
        <v>0</v>
      </c>
    </row>
    <row r="3145" spans="2:6">
      <c r="C3145" s="31"/>
      <c r="D3145" s="31"/>
      <c r="E3145" s="31"/>
      <c r="F3145" s="31"/>
    </row>
    <row r="3146" spans="2:6">
      <c r="C3146" s="538" t="s">
        <v>1692</v>
      </c>
      <c r="D3146" s="538" t="s">
        <v>1702</v>
      </c>
      <c r="E3146" s="31"/>
      <c r="F3146" s="31"/>
    </row>
    <row r="3147" spans="2:6">
      <c r="C3147" s="31"/>
      <c r="D3147" s="31"/>
      <c r="E3147" s="31"/>
      <c r="F3147" s="31"/>
    </row>
    <row r="3148" spans="2:6">
      <c r="B3148" s="519" t="s">
        <v>1079</v>
      </c>
      <c r="C3148" s="222" t="s">
        <v>84</v>
      </c>
      <c r="D3148" s="490" t="s">
        <v>353</v>
      </c>
      <c r="E3148" s="490" t="s">
        <v>354</v>
      </c>
      <c r="F3148" s="490" t="s">
        <v>355</v>
      </c>
    </row>
    <row r="3149" spans="2:6">
      <c r="C3149" s="538" t="s">
        <v>1703</v>
      </c>
      <c r="D3149" s="224">
        <v>0.05</v>
      </c>
      <c r="E3149" s="224">
        <v>0.05</v>
      </c>
      <c r="F3149" s="224">
        <v>0.05</v>
      </c>
    </row>
    <row r="3150" spans="2:6">
      <c r="C3150" s="31"/>
      <c r="D3150" s="225">
        <f>SUM(D3149:D3149)</f>
        <v>0.05</v>
      </c>
      <c r="E3150" s="225">
        <f>SUM(E3149:E3149)</f>
        <v>0.05</v>
      </c>
      <c r="F3150" s="225">
        <f>SUM(F3149:F3149)</f>
        <v>0.05</v>
      </c>
    </row>
    <row r="3151" spans="2:6">
      <c r="C3151" s="31"/>
      <c r="D3151" s="31"/>
      <c r="E3151" s="226">
        <f>D3150-E3150</f>
        <v>0</v>
      </c>
      <c r="F3151" s="226">
        <f>E3150-F3150</f>
        <v>0</v>
      </c>
    </row>
    <row r="3152" spans="2:6">
      <c r="C3152" s="538" t="s">
        <v>1692</v>
      </c>
      <c r="D3152" s="538" t="s">
        <v>1702</v>
      </c>
      <c r="E3152" s="31"/>
      <c r="F3152" s="31"/>
    </row>
    <row r="3153" spans="2:6">
      <c r="C3153" s="31"/>
      <c r="D3153" s="31"/>
      <c r="E3153" s="31"/>
      <c r="F3153" s="31"/>
    </row>
    <row r="3154" spans="2:6">
      <c r="C3154" s="31"/>
      <c r="D3154" s="31"/>
      <c r="E3154" s="31"/>
      <c r="F3154" s="31"/>
    </row>
    <row r="3155" spans="2:6">
      <c r="B3155" s="519" t="s">
        <v>1079</v>
      </c>
      <c r="C3155" s="222" t="s">
        <v>1704</v>
      </c>
      <c r="D3155" s="490" t="s">
        <v>353</v>
      </c>
      <c r="E3155" s="490" t="s">
        <v>354</v>
      </c>
      <c r="F3155" s="490" t="s">
        <v>355</v>
      </c>
    </row>
    <row r="3156" spans="2:6" ht="28.8">
      <c r="C3156" s="538" t="s">
        <v>1705</v>
      </c>
      <c r="D3156" s="224">
        <v>0.02</v>
      </c>
      <c r="E3156" s="224">
        <v>0.02</v>
      </c>
      <c r="F3156" s="224">
        <v>0</v>
      </c>
    </row>
    <row r="3157" spans="2:6" ht="28.8">
      <c r="C3157" s="31" t="s">
        <v>1706</v>
      </c>
      <c r="D3157" s="224">
        <v>0.05</v>
      </c>
      <c r="E3157" s="224">
        <v>0.05</v>
      </c>
      <c r="F3157" s="224">
        <v>0</v>
      </c>
    </row>
    <row r="3158" spans="2:6">
      <c r="C3158" s="31" t="s">
        <v>1707</v>
      </c>
      <c r="D3158" s="224"/>
      <c r="E3158" s="224"/>
      <c r="F3158" s="224"/>
    </row>
    <row r="3159" spans="2:6">
      <c r="C3159" s="31" t="s">
        <v>1708</v>
      </c>
      <c r="D3159" s="224">
        <v>0.73</v>
      </c>
      <c r="E3159" s="224">
        <v>0.73</v>
      </c>
      <c r="F3159" s="224">
        <v>0</v>
      </c>
    </row>
    <row r="3160" spans="2:6">
      <c r="C3160" s="31" t="s">
        <v>1709</v>
      </c>
      <c r="D3160" s="224">
        <v>0.1</v>
      </c>
      <c r="E3160" s="224">
        <v>0.1</v>
      </c>
      <c r="F3160" s="224">
        <v>0</v>
      </c>
    </row>
    <row r="3161" spans="2:6">
      <c r="C3161" s="31" t="s">
        <v>1710</v>
      </c>
      <c r="D3161" s="224"/>
      <c r="E3161" s="224"/>
      <c r="F3161" s="224"/>
    </row>
    <row r="3162" spans="2:6">
      <c r="C3162" s="31"/>
      <c r="D3162" s="224">
        <f>SUM(D3156:D3161)</f>
        <v>0.9</v>
      </c>
      <c r="E3162" s="224">
        <f>SUM(E3156:E3161)</f>
        <v>0.9</v>
      </c>
      <c r="F3162" s="224">
        <f>SUM(F3156:F3161)</f>
        <v>0</v>
      </c>
    </row>
    <row r="3163" spans="2:6">
      <c r="C3163" s="31"/>
      <c r="D3163" s="224"/>
      <c r="E3163" s="224">
        <f>E3162</f>
        <v>0.9</v>
      </c>
      <c r="F3163" s="224">
        <f>E3162-F3162</f>
        <v>0.9</v>
      </c>
    </row>
    <row r="3164" spans="2:6">
      <c r="C3164" s="31"/>
      <c r="D3164" s="31"/>
      <c r="E3164" s="31"/>
      <c r="F3164" s="31"/>
    </row>
    <row r="3165" spans="2:6">
      <c r="C3165" s="538" t="s">
        <v>1692</v>
      </c>
      <c r="D3165" s="538" t="s">
        <v>1711</v>
      </c>
      <c r="E3165" s="31"/>
      <c r="F3165" s="31"/>
    </row>
    <row r="3166" spans="2:6">
      <c r="C3166" s="31"/>
      <c r="D3166" s="31"/>
      <c r="E3166" s="31"/>
      <c r="F3166" s="31"/>
    </row>
    <row r="3167" spans="2:6">
      <c r="C3167" s="31"/>
      <c r="D3167" s="31"/>
      <c r="E3167" s="31"/>
      <c r="F3167" s="31"/>
    </row>
    <row r="3168" spans="2:6">
      <c r="B3168" s="578" t="s">
        <v>1202</v>
      </c>
      <c r="C3168" s="222" t="s">
        <v>83</v>
      </c>
      <c r="D3168" s="490" t="s">
        <v>353</v>
      </c>
      <c r="E3168" s="490" t="s">
        <v>354</v>
      </c>
      <c r="F3168" s="490" t="s">
        <v>355</v>
      </c>
    </row>
    <row r="3169" spans="2:6">
      <c r="C3169" s="31" t="s">
        <v>1712</v>
      </c>
      <c r="D3169" s="224">
        <v>0.02</v>
      </c>
      <c r="E3169" s="224">
        <v>0.02</v>
      </c>
      <c r="F3169" s="224">
        <v>0.02</v>
      </c>
    </row>
    <row r="3170" spans="2:6">
      <c r="C3170" s="31" t="s">
        <v>1713</v>
      </c>
      <c r="D3170" s="224">
        <v>0.05</v>
      </c>
      <c r="E3170" s="224">
        <v>0.05</v>
      </c>
      <c r="F3170" s="224">
        <v>0.05</v>
      </c>
    </row>
    <row r="3171" spans="2:6">
      <c r="C3171" s="31" t="s">
        <v>1714</v>
      </c>
      <c r="D3171" s="224">
        <v>0.6</v>
      </c>
      <c r="E3171" s="224">
        <v>0.6</v>
      </c>
      <c r="F3171" s="224">
        <v>0.6</v>
      </c>
    </row>
    <row r="3172" spans="2:6">
      <c r="C3172" s="31" t="s">
        <v>1715</v>
      </c>
      <c r="D3172" s="224">
        <v>0.05</v>
      </c>
      <c r="E3172" s="224">
        <v>0.05</v>
      </c>
      <c r="F3172" s="224">
        <v>0.05</v>
      </c>
    </row>
    <row r="3173" spans="2:6">
      <c r="C3173" s="31" t="s">
        <v>1716</v>
      </c>
      <c r="D3173" s="224">
        <v>0.13</v>
      </c>
      <c r="E3173" s="224">
        <v>0.13</v>
      </c>
      <c r="F3173" s="224">
        <v>0.13</v>
      </c>
    </row>
    <row r="3174" spans="2:6" ht="28.8">
      <c r="C3174" s="31" t="s">
        <v>1717</v>
      </c>
      <c r="D3174" s="224">
        <v>0.1</v>
      </c>
      <c r="E3174" s="224">
        <v>0.1</v>
      </c>
      <c r="F3174" s="224">
        <v>0.1</v>
      </c>
    </row>
    <row r="3175" spans="2:6">
      <c r="C3175" s="31" t="s">
        <v>1718</v>
      </c>
      <c r="D3175" s="224">
        <v>0.05</v>
      </c>
      <c r="E3175" s="224">
        <v>0.05</v>
      </c>
      <c r="F3175" s="224">
        <v>0.05</v>
      </c>
    </row>
    <row r="3176" spans="2:6">
      <c r="C3176" s="31"/>
      <c r="D3176" s="224">
        <f>SUM(D3169:D3175)</f>
        <v>1</v>
      </c>
      <c r="E3176" s="224">
        <f>SUM(E3169:E3175)</f>
        <v>1</v>
      </c>
      <c r="F3176" s="224">
        <f>SUM(F3169:F3175)</f>
        <v>1</v>
      </c>
    </row>
    <row r="3177" spans="2:6">
      <c r="C3177" s="31"/>
      <c r="D3177" s="31"/>
      <c r="E3177" s="226">
        <f>E3176-D3176</f>
        <v>0</v>
      </c>
      <c r="F3177" s="226">
        <f>E3176-F3176</f>
        <v>0</v>
      </c>
    </row>
    <row r="3178" spans="2:6">
      <c r="C3178" s="31"/>
      <c r="D3178" s="31"/>
      <c r="E3178" s="31"/>
      <c r="F3178" s="31"/>
    </row>
    <row r="3179" spans="2:6">
      <c r="C3179" s="31"/>
      <c r="D3179" s="31"/>
      <c r="E3179" s="31"/>
      <c r="F3179" s="31"/>
    </row>
    <row r="3180" spans="2:6">
      <c r="C3180" s="538" t="s">
        <v>1692</v>
      </c>
      <c r="D3180" s="538" t="s">
        <v>1719</v>
      </c>
      <c r="E3180" s="31"/>
      <c r="F3180" s="31"/>
    </row>
    <row r="3181" spans="2:6">
      <c r="C3181" s="31"/>
      <c r="D3181" s="31"/>
      <c r="E3181" s="31"/>
      <c r="F3181" s="31"/>
    </row>
    <row r="3182" spans="2:6">
      <c r="C3182" s="31"/>
      <c r="D3182" s="31"/>
      <c r="E3182" s="31"/>
      <c r="F3182" s="31"/>
    </row>
    <row r="3183" spans="2:6">
      <c r="C3183" s="31"/>
      <c r="D3183" s="31"/>
      <c r="E3183" s="31"/>
      <c r="F3183" s="31"/>
    </row>
    <row r="3184" spans="2:6">
      <c r="B3184" s="519" t="s">
        <v>1079</v>
      </c>
      <c r="C3184" s="222" t="s">
        <v>1720</v>
      </c>
      <c r="D3184" s="490" t="s">
        <v>353</v>
      </c>
      <c r="E3184" s="490" t="s">
        <v>354</v>
      </c>
      <c r="F3184" s="490" t="s">
        <v>355</v>
      </c>
    </row>
    <row r="3185" spans="2:6">
      <c r="C3185" s="31" t="s">
        <v>1721</v>
      </c>
      <c r="D3185" s="224">
        <v>0.1</v>
      </c>
      <c r="E3185" s="224">
        <v>0.1</v>
      </c>
      <c r="F3185" s="224">
        <v>0</v>
      </c>
    </row>
    <row r="3186" spans="2:6">
      <c r="C3186" s="31" t="s">
        <v>1722</v>
      </c>
      <c r="D3186" s="224">
        <v>0.4</v>
      </c>
      <c r="E3186" s="224">
        <v>0.4</v>
      </c>
      <c r="F3186" s="224">
        <v>0</v>
      </c>
    </row>
    <row r="3187" spans="2:6">
      <c r="C3187" s="31" t="s">
        <v>1723</v>
      </c>
      <c r="D3187" s="224">
        <v>0.2</v>
      </c>
      <c r="E3187" s="224">
        <v>0.2</v>
      </c>
      <c r="F3187" s="224">
        <v>0.2</v>
      </c>
    </row>
    <row r="3188" spans="2:6">
      <c r="C3188" s="31" t="s">
        <v>1724</v>
      </c>
      <c r="D3188" s="224">
        <v>0.3</v>
      </c>
      <c r="E3188" s="224">
        <v>0.3</v>
      </c>
      <c r="F3188" s="224">
        <v>0.3</v>
      </c>
    </row>
    <row r="3189" spans="2:6">
      <c r="C3189" s="31"/>
      <c r="D3189" s="224">
        <f>SUM(D3185:D3188)</f>
        <v>1</v>
      </c>
      <c r="E3189" s="224">
        <f>SUM(E3185:E3188)</f>
        <v>1</v>
      </c>
      <c r="F3189" s="224">
        <f>SUM(F3185:F3188)</f>
        <v>0.5</v>
      </c>
    </row>
    <row r="3190" spans="2:6">
      <c r="C3190" s="31"/>
      <c r="D3190" s="224"/>
      <c r="E3190" s="224">
        <f>D3189-E3189</f>
        <v>0</v>
      </c>
      <c r="F3190" s="224">
        <f>E3189-F3189</f>
        <v>0.5</v>
      </c>
    </row>
    <row r="3191" spans="2:6">
      <c r="C3191" s="31"/>
      <c r="D3191" s="31"/>
      <c r="E3191" s="31"/>
      <c r="F3191" s="31"/>
    </row>
    <row r="3192" spans="2:6">
      <c r="C3192" s="537" t="s">
        <v>1692</v>
      </c>
      <c r="D3192" s="538" t="s">
        <v>1725</v>
      </c>
      <c r="E3192" s="31"/>
      <c r="F3192" s="31"/>
    </row>
    <row r="3193" spans="2:6">
      <c r="C3193" s="31"/>
      <c r="D3193" s="31"/>
      <c r="E3193" s="31"/>
      <c r="F3193" s="31"/>
    </row>
    <row r="3194" spans="2:6">
      <c r="C3194" s="31"/>
      <c r="D3194" s="31"/>
      <c r="E3194" s="31"/>
      <c r="F3194" s="31"/>
    </row>
    <row r="3195" spans="2:6">
      <c r="B3195" s="519" t="s">
        <v>1079</v>
      </c>
      <c r="C3195" s="222" t="s">
        <v>1726</v>
      </c>
      <c r="D3195" s="490" t="s">
        <v>353</v>
      </c>
      <c r="E3195" s="490" t="s">
        <v>354</v>
      </c>
      <c r="F3195" s="490" t="s">
        <v>355</v>
      </c>
    </row>
    <row r="3196" spans="2:6">
      <c r="C3196" s="538" t="s">
        <v>1727</v>
      </c>
      <c r="D3196" s="586"/>
      <c r="E3196" s="586"/>
      <c r="F3196" s="586"/>
    </row>
    <row r="3197" spans="2:6" ht="28.8">
      <c r="C3197" s="476" t="s">
        <v>1728</v>
      </c>
      <c r="D3197" s="586"/>
      <c r="E3197" s="586"/>
      <c r="F3197" s="586"/>
    </row>
    <row r="3198" spans="2:6">
      <c r="C3198" s="820"/>
      <c r="D3198" s="254" t="e">
        <f>SUM(#REF!)</f>
        <v>#REF!</v>
      </c>
      <c r="E3198" s="254" t="e">
        <f>SUM(#REF!)</f>
        <v>#REF!</v>
      </c>
      <c r="F3198" s="254" t="e">
        <f>SUM(#REF!)</f>
        <v>#REF!</v>
      </c>
    </row>
    <row r="3199" spans="2:6">
      <c r="C3199" s="820"/>
      <c r="D3199" s="254"/>
      <c r="E3199" s="254" t="e">
        <f>D3198-E3198</f>
        <v>#REF!</v>
      </c>
      <c r="F3199" s="254" t="e">
        <f>E3198-F3198</f>
        <v>#REF!</v>
      </c>
    </row>
    <row r="3200" spans="2:6">
      <c r="C3200" s="820"/>
      <c r="D3200" s="226"/>
      <c r="E3200" s="226"/>
      <c r="F3200" s="226"/>
    </row>
    <row r="3201" spans="2:6">
      <c r="C3201" s="31"/>
      <c r="D3201" s="226"/>
      <c r="E3201" s="226"/>
      <c r="F3201" s="31"/>
    </row>
    <row r="3202" spans="2:6">
      <c r="C3202" s="31"/>
      <c r="D3202" s="31"/>
      <c r="E3202" s="31"/>
      <c r="F3202" s="31"/>
    </row>
    <row r="3203" spans="2:6" ht="24" customHeight="1">
      <c r="B3203" s="519" t="s">
        <v>1079</v>
      </c>
      <c r="C3203" s="223" t="s">
        <v>1729</v>
      </c>
      <c r="D3203" s="490" t="s">
        <v>353</v>
      </c>
      <c r="E3203" s="490" t="s">
        <v>354</v>
      </c>
      <c r="F3203" s="490" t="s">
        <v>355</v>
      </c>
    </row>
    <row r="3204" spans="2:6" ht="28.8">
      <c r="C3204" s="538" t="s">
        <v>1730</v>
      </c>
      <c r="D3204" s="224">
        <v>0.05</v>
      </c>
      <c r="E3204" s="224">
        <v>0.05</v>
      </c>
      <c r="F3204" s="224">
        <v>0.05</v>
      </c>
    </row>
    <row r="3205" spans="2:6" ht="28.8">
      <c r="C3205" s="538" t="s">
        <v>1731</v>
      </c>
      <c r="D3205" s="224">
        <v>0.3</v>
      </c>
      <c r="E3205" s="224">
        <v>0.3</v>
      </c>
      <c r="F3205" s="224">
        <v>0.3</v>
      </c>
    </row>
    <row r="3206" spans="2:6" ht="28.8">
      <c r="C3206" s="538" t="s">
        <v>1732</v>
      </c>
      <c r="D3206" s="224">
        <v>0.3</v>
      </c>
      <c r="E3206" s="224">
        <v>0.3</v>
      </c>
      <c r="F3206" s="224">
        <v>0.3</v>
      </c>
    </row>
    <row r="3207" spans="2:6">
      <c r="C3207" s="31" t="s">
        <v>1733</v>
      </c>
      <c r="D3207" s="224">
        <v>0.14000000000000001</v>
      </c>
      <c r="E3207" s="224">
        <v>0.14000000000000001</v>
      </c>
      <c r="F3207" s="224">
        <v>0.14000000000000001</v>
      </c>
    </row>
    <row r="3208" spans="2:6">
      <c r="C3208" s="31"/>
      <c r="D3208" s="226">
        <f>SUM(D3204:D3207)</f>
        <v>0.78999999999999992</v>
      </c>
      <c r="E3208" s="226">
        <f>SUM(E3204:E3207)</f>
        <v>0.78999999999999992</v>
      </c>
      <c r="F3208" s="226">
        <f>SUM(F3204:F3207)</f>
        <v>0.78999999999999992</v>
      </c>
    </row>
    <row r="3209" spans="2:6">
      <c r="C3209" s="31"/>
      <c r="D3209" s="31"/>
      <c r="E3209" s="225">
        <f>D3208-E3208</f>
        <v>0</v>
      </c>
      <c r="F3209" s="225">
        <f>E3208-F3208</f>
        <v>0</v>
      </c>
    </row>
    <row r="3210" spans="2:6">
      <c r="C3210" s="31"/>
      <c r="D3210" s="31"/>
      <c r="E3210" s="31"/>
      <c r="F3210" s="31"/>
    </row>
    <row r="3211" spans="2:6">
      <c r="C3211" s="255" t="s">
        <v>1734</v>
      </c>
      <c r="D3211" s="255" t="s">
        <v>1735</v>
      </c>
      <c r="E3211" s="31"/>
      <c r="F3211" s="31"/>
    </row>
    <row r="3212" spans="2:6">
      <c r="C3212" s="31"/>
      <c r="D3212" s="31"/>
      <c r="E3212" s="31"/>
      <c r="F3212" s="31"/>
    </row>
    <row r="3213" spans="2:6">
      <c r="C3213" s="31"/>
      <c r="D3213" s="31"/>
      <c r="E3213" s="31"/>
      <c r="F3213" s="31"/>
    </row>
    <row r="3214" spans="2:6">
      <c r="C3214" s="31"/>
      <c r="D3214" s="31"/>
      <c r="E3214" s="31"/>
      <c r="F3214" s="31"/>
    </row>
    <row r="3215" spans="2:6">
      <c r="C3215" s="31"/>
      <c r="D3215" s="31"/>
      <c r="E3215" s="31"/>
      <c r="F3215" s="31"/>
    </row>
    <row r="3216" spans="2:6">
      <c r="C3216" s="31"/>
      <c r="D3216" s="31"/>
      <c r="E3216" s="31"/>
      <c r="F3216" s="31"/>
    </row>
    <row r="3217" spans="2:6">
      <c r="B3217" s="578" t="s">
        <v>1202</v>
      </c>
      <c r="C3217" s="101" t="s">
        <v>1736</v>
      </c>
      <c r="D3217" s="102" t="s">
        <v>353</v>
      </c>
      <c r="E3217" s="102" t="s">
        <v>354</v>
      </c>
      <c r="F3217" s="102" t="s">
        <v>355</v>
      </c>
    </row>
    <row r="3218" spans="2:6">
      <c r="C3218" s="31" t="s">
        <v>1737</v>
      </c>
      <c r="D3218" s="226">
        <v>0.05</v>
      </c>
      <c r="E3218" s="226">
        <v>0.05</v>
      </c>
      <c r="F3218" s="226">
        <v>0.05</v>
      </c>
    </row>
    <row r="3219" spans="2:6">
      <c r="C3219" s="31" t="s">
        <v>1738</v>
      </c>
      <c r="D3219" s="226">
        <v>0.05</v>
      </c>
      <c r="E3219" s="226">
        <v>0.05</v>
      </c>
      <c r="F3219" s="226">
        <v>0.05</v>
      </c>
    </row>
    <row r="3220" spans="2:6" ht="28.8">
      <c r="C3220" s="31" t="s">
        <v>1739</v>
      </c>
      <c r="D3220" s="226">
        <v>0.05</v>
      </c>
      <c r="E3220" s="226">
        <v>0.05</v>
      </c>
      <c r="F3220" s="226">
        <v>0.05</v>
      </c>
    </row>
    <row r="3221" spans="2:6" ht="28.8">
      <c r="C3221" s="31" t="s">
        <v>1740</v>
      </c>
      <c r="D3221" s="226">
        <v>0.15</v>
      </c>
      <c r="E3221" s="226">
        <v>0.15</v>
      </c>
      <c r="F3221" s="226">
        <v>0.15</v>
      </c>
    </row>
    <row r="3222" spans="2:6" ht="28.8">
      <c r="C3222" s="31" t="s">
        <v>1741</v>
      </c>
      <c r="D3222" s="226">
        <v>0.15</v>
      </c>
      <c r="E3222" s="226">
        <v>0.15</v>
      </c>
      <c r="F3222" s="226">
        <v>0.1</v>
      </c>
    </row>
    <row r="3223" spans="2:6">
      <c r="C3223" s="31" t="s">
        <v>1742</v>
      </c>
      <c r="D3223" s="226">
        <v>0.1</v>
      </c>
      <c r="E3223" s="226">
        <v>0.1</v>
      </c>
      <c r="F3223" s="226">
        <v>0.1</v>
      </c>
    </row>
    <row r="3224" spans="2:6" ht="28.8">
      <c r="C3224" s="31" t="s">
        <v>1743</v>
      </c>
      <c r="D3224" s="226">
        <v>0.1</v>
      </c>
      <c r="E3224" s="226">
        <v>0.1</v>
      </c>
      <c r="F3224" s="226">
        <v>0.1</v>
      </c>
    </row>
    <row r="3225" spans="2:6" ht="28.8">
      <c r="C3225" s="31" t="s">
        <v>1744</v>
      </c>
      <c r="D3225" s="226">
        <v>0.05</v>
      </c>
      <c r="E3225" s="226">
        <v>0.05</v>
      </c>
      <c r="F3225" s="226">
        <v>0.05</v>
      </c>
    </row>
    <row r="3226" spans="2:6">
      <c r="C3226" s="31" t="s">
        <v>1745</v>
      </c>
      <c r="D3226" s="226">
        <v>0.1</v>
      </c>
      <c r="E3226" s="226">
        <v>0.1</v>
      </c>
      <c r="F3226" s="226">
        <v>0.1</v>
      </c>
    </row>
    <row r="3227" spans="2:6" ht="28.8">
      <c r="C3227" s="31" t="s">
        <v>1746</v>
      </c>
      <c r="D3227" s="226">
        <v>0.05</v>
      </c>
      <c r="E3227" s="226">
        <v>0.05</v>
      </c>
      <c r="F3227" s="226">
        <v>0.05</v>
      </c>
    </row>
    <row r="3228" spans="2:6">
      <c r="C3228" s="31" t="s">
        <v>1747</v>
      </c>
      <c r="D3228" s="226">
        <v>0.15</v>
      </c>
      <c r="E3228" s="226">
        <v>0.15</v>
      </c>
      <c r="F3228" s="226">
        <v>0.15</v>
      </c>
    </row>
    <row r="3229" spans="2:6">
      <c r="C3229" s="31"/>
      <c r="D3229" s="254">
        <f>SUM(D3218:D3228)</f>
        <v>1</v>
      </c>
      <c r="E3229" s="254">
        <f t="shared" ref="E3229:F3229" si="213">SUM(E3218:E3228)</f>
        <v>1</v>
      </c>
      <c r="F3229" s="254">
        <f t="shared" si="213"/>
        <v>0.95000000000000007</v>
      </c>
    </row>
    <row r="3230" spans="2:6">
      <c r="C3230" s="31"/>
      <c r="D3230" s="254"/>
      <c r="E3230" s="254">
        <f>D3229-E3229</f>
        <v>0</v>
      </c>
      <c r="F3230" s="254">
        <f>E3229-F3229</f>
        <v>4.9999999999999933E-2</v>
      </c>
    </row>
    <row r="3231" spans="2:6">
      <c r="C3231" s="31"/>
      <c r="D3231" s="31"/>
      <c r="E3231" s="31"/>
      <c r="F3231" s="31"/>
    </row>
    <row r="3232" spans="2:6">
      <c r="C3232" s="255" t="s">
        <v>1748</v>
      </c>
      <c r="D3232" s="145">
        <v>20</v>
      </c>
      <c r="E3232" s="31"/>
      <c r="F3232" s="31"/>
    </row>
    <row r="3233" spans="2:6">
      <c r="C3233" s="31"/>
      <c r="D3233" s="31"/>
      <c r="E3233" s="31"/>
      <c r="F3233" s="31"/>
    </row>
    <row r="3234" spans="2:6">
      <c r="C3234" s="31"/>
      <c r="D3234" s="31"/>
      <c r="E3234" s="31"/>
      <c r="F3234" s="31"/>
    </row>
    <row r="3235" spans="2:6">
      <c r="B3235" s="578" t="s">
        <v>1202</v>
      </c>
      <c r="C3235" s="101" t="s">
        <v>1749</v>
      </c>
      <c r="D3235" s="102" t="s">
        <v>353</v>
      </c>
      <c r="E3235" s="102" t="s">
        <v>354</v>
      </c>
      <c r="F3235" s="102" t="s">
        <v>355</v>
      </c>
    </row>
    <row r="3236" spans="2:6" ht="28.8">
      <c r="C3236" s="31" t="s">
        <v>1750</v>
      </c>
      <c r="D3236" s="226">
        <v>0.1</v>
      </c>
      <c r="E3236" s="226">
        <v>0.1</v>
      </c>
      <c r="F3236" s="226">
        <v>0.1</v>
      </c>
    </row>
    <row r="3237" spans="2:6">
      <c r="C3237" s="31" t="s">
        <v>1751</v>
      </c>
      <c r="D3237" s="226">
        <v>0.05</v>
      </c>
      <c r="E3237" s="226">
        <v>0.05</v>
      </c>
      <c r="F3237" s="226">
        <v>0.05</v>
      </c>
    </row>
    <row r="3238" spans="2:6" ht="28.8">
      <c r="C3238" s="31" t="s">
        <v>1752</v>
      </c>
      <c r="D3238" s="226">
        <v>0.2</v>
      </c>
      <c r="E3238" s="226">
        <v>0.2</v>
      </c>
      <c r="F3238" s="226">
        <v>0.2</v>
      </c>
    </row>
    <row r="3239" spans="2:6" ht="28.8">
      <c r="C3239" s="31" t="s">
        <v>1753</v>
      </c>
      <c r="D3239" s="226">
        <v>0.2</v>
      </c>
      <c r="E3239" s="226">
        <v>0.2</v>
      </c>
      <c r="F3239" s="226">
        <v>0.2</v>
      </c>
    </row>
    <row r="3240" spans="2:6" ht="28.8">
      <c r="C3240" s="31" t="s">
        <v>1754</v>
      </c>
      <c r="D3240" s="226">
        <v>0.2</v>
      </c>
      <c r="E3240" s="226">
        <v>0.2</v>
      </c>
      <c r="F3240" s="226">
        <v>0.2</v>
      </c>
    </row>
    <row r="3241" spans="2:6" ht="28.8">
      <c r="C3241" s="31" t="s">
        <v>1755</v>
      </c>
      <c r="D3241" s="226">
        <v>0.15</v>
      </c>
      <c r="E3241" s="226">
        <v>0.15</v>
      </c>
      <c r="F3241" s="226">
        <v>0.15</v>
      </c>
    </row>
    <row r="3242" spans="2:6" ht="28.8">
      <c r="C3242" s="31" t="s">
        <v>1756</v>
      </c>
      <c r="D3242" s="226">
        <v>0.05</v>
      </c>
      <c r="E3242" s="226">
        <v>0.05</v>
      </c>
      <c r="F3242" s="226">
        <v>0.05</v>
      </c>
    </row>
    <row r="3243" spans="2:6" ht="28.8">
      <c r="C3243" s="31" t="s">
        <v>1746</v>
      </c>
      <c r="D3243" s="226">
        <v>0.05</v>
      </c>
      <c r="E3243" s="226">
        <v>0.05</v>
      </c>
      <c r="F3243" s="226">
        <v>0.05</v>
      </c>
    </row>
    <row r="3244" spans="2:6">
      <c r="C3244" s="31"/>
      <c r="D3244" s="254">
        <f>SUM(D3236:D3243)</f>
        <v>1</v>
      </c>
      <c r="E3244" s="254">
        <f t="shared" ref="E3244:F3244" si="214">SUM(E3236:E3243)</f>
        <v>1</v>
      </c>
      <c r="F3244" s="254">
        <f t="shared" si="214"/>
        <v>1</v>
      </c>
    </row>
    <row r="3245" spans="2:6">
      <c r="C3245" s="31"/>
      <c r="D3245" s="226"/>
      <c r="E3245" s="254">
        <f>D3244-E3244</f>
        <v>0</v>
      </c>
      <c r="F3245" s="254">
        <f>E3244-F3244</f>
        <v>0</v>
      </c>
    </row>
    <row r="3246" spans="2:6">
      <c r="C3246" s="255" t="s">
        <v>642</v>
      </c>
      <c r="D3246" s="31" t="s">
        <v>418</v>
      </c>
      <c r="E3246" s="31"/>
      <c r="F3246" s="31"/>
    </row>
    <row r="3247" spans="2:6">
      <c r="C3247" s="31"/>
      <c r="D3247" s="31"/>
      <c r="E3247" s="31"/>
      <c r="F3247" s="31"/>
    </row>
    <row r="3248" spans="2:6">
      <c r="B3248" s="578" t="s">
        <v>1202</v>
      </c>
      <c r="C3248" s="258" t="s">
        <v>95</v>
      </c>
      <c r="D3248" s="259" t="s">
        <v>353</v>
      </c>
      <c r="E3248" s="259" t="s">
        <v>354</v>
      </c>
      <c r="F3248" s="259" t="s">
        <v>355</v>
      </c>
    </row>
    <row r="3249" spans="3:6">
      <c r="C3249" s="81" t="s">
        <v>1757</v>
      </c>
      <c r="D3249" s="68">
        <v>0.15</v>
      </c>
      <c r="E3249" s="68">
        <v>0.15</v>
      </c>
      <c r="F3249" s="68">
        <v>0</v>
      </c>
    </row>
    <row r="3250" spans="3:6" ht="28.8">
      <c r="C3250" s="260" t="s">
        <v>1758</v>
      </c>
      <c r="D3250" s="65">
        <v>0.05</v>
      </c>
      <c r="E3250" s="65">
        <v>0.05</v>
      </c>
      <c r="F3250" s="65">
        <v>0.03</v>
      </c>
    </row>
    <row r="3251" spans="3:6">
      <c r="C3251" s="260" t="s">
        <v>1759</v>
      </c>
      <c r="D3251" s="65">
        <v>0.2</v>
      </c>
      <c r="E3251" s="65">
        <v>0.2</v>
      </c>
      <c r="F3251" s="65">
        <v>0.2</v>
      </c>
    </row>
    <row r="3252" spans="3:6" ht="28.8">
      <c r="C3252" s="81" t="s">
        <v>1760</v>
      </c>
      <c r="D3252" s="65">
        <v>0.1</v>
      </c>
      <c r="E3252" s="65">
        <v>0.1</v>
      </c>
      <c r="F3252" s="65">
        <v>0.1</v>
      </c>
    </row>
    <row r="3253" spans="3:6" ht="28.8">
      <c r="C3253" s="81" t="s">
        <v>1761</v>
      </c>
      <c r="D3253" s="65">
        <v>0.02</v>
      </c>
      <c r="E3253" s="65">
        <v>0.02</v>
      </c>
      <c r="F3253" s="65">
        <v>0.01</v>
      </c>
    </row>
    <row r="3254" spans="3:6">
      <c r="C3254" s="81" t="s">
        <v>1762</v>
      </c>
      <c r="D3254" s="65">
        <v>0.2</v>
      </c>
      <c r="E3254" s="65">
        <v>0.2</v>
      </c>
      <c r="F3254" s="65">
        <v>0.2</v>
      </c>
    </row>
    <row r="3255" spans="3:6">
      <c r="C3255" s="81" t="s">
        <v>1763</v>
      </c>
      <c r="D3255" s="65">
        <v>0.15</v>
      </c>
      <c r="E3255" s="65">
        <v>0.15</v>
      </c>
      <c r="F3255" s="65">
        <v>0.1</v>
      </c>
    </row>
    <row r="3256" spans="3:6" ht="28.8">
      <c r="C3256" s="81" t="s">
        <v>1764</v>
      </c>
      <c r="D3256" s="65">
        <v>0.02</v>
      </c>
      <c r="E3256" s="65">
        <v>0.02</v>
      </c>
      <c r="F3256" s="65">
        <v>0.01</v>
      </c>
    </row>
    <row r="3257" spans="3:6">
      <c r="C3257" s="81" t="s">
        <v>1765</v>
      </c>
      <c r="D3257" s="65">
        <v>0.11</v>
      </c>
      <c r="E3257" s="65">
        <v>0.11</v>
      </c>
      <c r="F3257" s="65">
        <v>0.11</v>
      </c>
    </row>
    <row r="3258" spans="3:6">
      <c r="C3258" s="64"/>
      <c r="D3258" s="137">
        <v>1</v>
      </c>
      <c r="E3258" s="137">
        <v>1</v>
      </c>
      <c r="F3258" s="137">
        <v>0.76</v>
      </c>
    </row>
    <row r="3259" spans="3:6">
      <c r="C3259" s="64"/>
      <c r="D3259" s="64"/>
      <c r="E3259" s="137">
        <v>0</v>
      </c>
      <c r="F3259" s="137">
        <v>0.24</v>
      </c>
    </row>
    <row r="3260" spans="3:6">
      <c r="C3260" s="64"/>
      <c r="D3260" s="64"/>
      <c r="E3260" s="64"/>
      <c r="F3260" s="64"/>
    </row>
    <row r="3261" spans="3:6">
      <c r="C3261" s="64"/>
      <c r="D3261" s="64"/>
      <c r="E3261" s="64"/>
      <c r="F3261" s="64"/>
    </row>
    <row r="3262" spans="3:6">
      <c r="C3262" s="45" t="s">
        <v>1671</v>
      </c>
      <c r="D3262" s="64">
        <v>5</v>
      </c>
      <c r="E3262" s="64"/>
      <c r="F3262" s="64"/>
    </row>
    <row r="3263" spans="3:6">
      <c r="C3263" s="45" t="s">
        <v>1619</v>
      </c>
      <c r="D3263" s="64">
        <v>3</v>
      </c>
      <c r="E3263" s="64"/>
      <c r="F3263" s="64"/>
    </row>
    <row r="3264" spans="3:6">
      <c r="C3264" s="45" t="s">
        <v>1766</v>
      </c>
      <c r="D3264" s="64"/>
      <c r="E3264" s="64"/>
      <c r="F3264" s="64"/>
    </row>
    <row r="3265" spans="2:6">
      <c r="C3265" s="64" t="s">
        <v>362</v>
      </c>
      <c r="D3265" s="64"/>
      <c r="E3265" s="64"/>
      <c r="F3265" s="64"/>
    </row>
    <row r="3266" spans="2:6">
      <c r="C3266" s="64" t="s">
        <v>363</v>
      </c>
      <c r="D3266" s="64"/>
      <c r="E3266" s="64"/>
      <c r="F3266" s="64"/>
    </row>
    <row r="3267" spans="2:6">
      <c r="C3267" s="64"/>
      <c r="D3267" s="64"/>
      <c r="E3267" s="64"/>
      <c r="F3267" s="64"/>
    </row>
    <row r="3268" spans="2:6">
      <c r="B3268" s="519" t="s">
        <v>1079</v>
      </c>
      <c r="C3268" s="258" t="s">
        <v>1767</v>
      </c>
      <c r="D3268" s="259" t="s">
        <v>353</v>
      </c>
      <c r="E3268" s="259" t="s">
        <v>354</v>
      </c>
      <c r="F3268" s="259" t="s">
        <v>355</v>
      </c>
    </row>
    <row r="3269" spans="2:6">
      <c r="C3269" s="81" t="s">
        <v>1768</v>
      </c>
      <c r="D3269" s="62"/>
      <c r="E3269" s="62"/>
      <c r="F3269" s="62"/>
    </row>
    <row r="3270" spans="2:6">
      <c r="C3270" s="81" t="s">
        <v>1769</v>
      </c>
      <c r="D3270" s="62"/>
      <c r="E3270" s="62"/>
      <c r="F3270" s="62"/>
    </row>
    <row r="3271" spans="2:6" ht="28.8">
      <c r="C3271" s="81" t="s">
        <v>1770</v>
      </c>
      <c r="D3271" s="62"/>
      <c r="E3271" s="62"/>
      <c r="F3271" s="62"/>
    </row>
    <row r="3272" spans="2:6">
      <c r="C3272" s="81" t="s">
        <v>1771</v>
      </c>
      <c r="D3272" s="62"/>
      <c r="E3272" s="62"/>
      <c r="F3272" s="62"/>
    </row>
    <row r="3273" spans="2:6">
      <c r="C3273" s="81" t="s">
        <v>1772</v>
      </c>
      <c r="D3273" s="62"/>
      <c r="E3273" s="62"/>
      <c r="F3273" s="62"/>
    </row>
    <row r="3274" spans="2:6">
      <c r="C3274" s="81" t="s">
        <v>1773</v>
      </c>
      <c r="D3274" s="62"/>
      <c r="E3274" s="62"/>
      <c r="F3274" s="62"/>
    </row>
    <row r="3275" spans="2:6">
      <c r="C3275" s="81" t="s">
        <v>1774</v>
      </c>
      <c r="D3275" s="62"/>
      <c r="E3275" s="62"/>
      <c r="F3275" s="62"/>
    </row>
    <row r="3276" spans="2:6" ht="28.8">
      <c r="C3276" s="81" t="s">
        <v>1775</v>
      </c>
      <c r="D3276" s="62"/>
      <c r="E3276" s="62"/>
      <c r="F3276" s="62"/>
    </row>
    <row r="3277" spans="2:6">
      <c r="D3277" s="62"/>
      <c r="E3277" s="62"/>
      <c r="F3277" s="62"/>
    </row>
    <row r="3278" spans="2:6">
      <c r="C3278" s="81"/>
      <c r="D3278" s="62"/>
      <c r="E3278" s="62"/>
      <c r="F3278" s="62"/>
    </row>
    <row r="3279" spans="2:6" ht="28.8">
      <c r="C3279" s="81" t="s">
        <v>1776</v>
      </c>
      <c r="D3279" s="65">
        <v>0.05</v>
      </c>
      <c r="E3279" s="65">
        <v>0.05</v>
      </c>
      <c r="F3279" s="65">
        <v>0.01</v>
      </c>
    </row>
    <row r="3280" spans="2:6">
      <c r="C3280" s="81" t="s">
        <v>1777</v>
      </c>
      <c r="D3280" s="65">
        <v>0.02</v>
      </c>
      <c r="E3280" s="65">
        <v>0.02</v>
      </c>
      <c r="F3280" s="65">
        <v>0</v>
      </c>
    </row>
    <row r="3281" spans="3:6">
      <c r="C3281" s="81" t="s">
        <v>1778</v>
      </c>
      <c r="D3281" s="65">
        <v>0.05</v>
      </c>
      <c r="E3281" s="65">
        <v>0.05</v>
      </c>
      <c r="F3281" s="65">
        <v>0</v>
      </c>
    </row>
    <row r="3282" spans="3:6">
      <c r="C3282" s="81" t="s">
        <v>1779</v>
      </c>
      <c r="D3282" s="65">
        <v>0.02</v>
      </c>
      <c r="E3282" s="65">
        <v>0.02</v>
      </c>
      <c r="F3282" s="65">
        <v>0</v>
      </c>
    </row>
    <row r="3283" spans="3:6" ht="28.8">
      <c r="C3283" s="81" t="s">
        <v>1780</v>
      </c>
      <c r="D3283" s="65">
        <v>0.02</v>
      </c>
      <c r="E3283" s="65">
        <v>0.02</v>
      </c>
      <c r="F3283" s="65">
        <v>0.01</v>
      </c>
    </row>
    <row r="3284" spans="3:6" ht="28.8">
      <c r="C3284" s="81" t="s">
        <v>1781</v>
      </c>
      <c r="D3284" s="65">
        <v>0.05</v>
      </c>
      <c r="E3284" s="65">
        <v>0.05</v>
      </c>
      <c r="F3284" s="65">
        <v>0.05</v>
      </c>
    </row>
    <row r="3285" spans="3:6" ht="28.8">
      <c r="C3285" s="81" t="s">
        <v>1782</v>
      </c>
      <c r="D3285" s="65">
        <v>0.03</v>
      </c>
      <c r="E3285" s="65">
        <v>0.03</v>
      </c>
      <c r="F3285" s="65">
        <v>0.03</v>
      </c>
    </row>
    <row r="3286" spans="3:6" ht="28.8">
      <c r="C3286" s="81" t="s">
        <v>1783</v>
      </c>
      <c r="D3286" s="65">
        <v>0.15</v>
      </c>
      <c r="E3286" s="65">
        <v>0.15</v>
      </c>
      <c r="F3286" s="65">
        <v>0.05</v>
      </c>
    </row>
    <row r="3287" spans="3:6" ht="28.8">
      <c r="C3287" s="81" t="s">
        <v>1784</v>
      </c>
      <c r="D3287" s="65">
        <v>0.05</v>
      </c>
      <c r="E3287" s="65">
        <v>0.05</v>
      </c>
      <c r="F3287" s="65">
        <v>0.02</v>
      </c>
    </row>
    <row r="3288" spans="3:6" ht="28.8">
      <c r="C3288" s="81" t="s">
        <v>1785</v>
      </c>
      <c r="D3288" s="65">
        <v>0.05</v>
      </c>
      <c r="E3288" s="65">
        <v>0.05</v>
      </c>
      <c r="F3288" s="65">
        <v>0.02</v>
      </c>
    </row>
    <row r="3289" spans="3:6" ht="28.8">
      <c r="C3289" s="81" t="s">
        <v>1786</v>
      </c>
      <c r="D3289" s="68">
        <v>0.05</v>
      </c>
      <c r="E3289" s="68">
        <v>0.05</v>
      </c>
      <c r="F3289" s="65">
        <v>0.02</v>
      </c>
    </row>
    <row r="3290" spans="3:6" ht="28.8">
      <c r="C3290" s="81" t="s">
        <v>1787</v>
      </c>
      <c r="D3290" s="65">
        <v>0.03</v>
      </c>
      <c r="E3290" s="65">
        <v>0.03</v>
      </c>
      <c r="F3290" s="65">
        <v>0.03</v>
      </c>
    </row>
    <row r="3291" spans="3:6" ht="28.8">
      <c r="C3291" s="81" t="s">
        <v>1788</v>
      </c>
      <c r="D3291" s="65">
        <v>0.05</v>
      </c>
      <c r="E3291" s="65">
        <v>0.05</v>
      </c>
      <c r="F3291" s="65">
        <v>0.05</v>
      </c>
    </row>
    <row r="3292" spans="3:6" ht="28.8">
      <c r="C3292" s="81" t="s">
        <v>1789</v>
      </c>
      <c r="D3292" s="65">
        <v>0.02</v>
      </c>
      <c r="E3292" s="65">
        <v>0.02</v>
      </c>
      <c r="F3292" s="65">
        <v>0.02</v>
      </c>
    </row>
    <row r="3293" spans="3:6" ht="28.8">
      <c r="C3293" s="81" t="s">
        <v>1790</v>
      </c>
      <c r="D3293" s="65">
        <v>0.04</v>
      </c>
      <c r="E3293" s="65">
        <v>0.04</v>
      </c>
      <c r="F3293" s="65">
        <v>0.04</v>
      </c>
    </row>
    <row r="3294" spans="3:6" ht="28.8">
      <c r="C3294" s="81" t="s">
        <v>1791</v>
      </c>
      <c r="D3294" s="65">
        <v>0.03</v>
      </c>
      <c r="E3294" s="65">
        <v>0.03</v>
      </c>
      <c r="F3294" s="65">
        <v>0.03</v>
      </c>
    </row>
    <row r="3295" spans="3:6" ht="28.8">
      <c r="C3295" s="81" t="s">
        <v>1792</v>
      </c>
      <c r="D3295" s="65">
        <v>0.05</v>
      </c>
      <c r="E3295" s="65">
        <v>0.05</v>
      </c>
      <c r="F3295" s="65">
        <v>0.05</v>
      </c>
    </row>
    <row r="3296" spans="3:6" ht="28.8">
      <c r="C3296" s="81" t="s">
        <v>1793</v>
      </c>
      <c r="D3296" s="65">
        <v>0.02</v>
      </c>
      <c r="E3296" s="65">
        <v>0.02</v>
      </c>
      <c r="F3296" s="65">
        <v>0.02</v>
      </c>
    </row>
    <row r="3297" spans="3:6" ht="28.8">
      <c r="C3297" s="81" t="s">
        <v>1794</v>
      </c>
      <c r="D3297" s="65">
        <v>0.1</v>
      </c>
      <c r="E3297" s="65">
        <v>0.1</v>
      </c>
      <c r="F3297" s="65">
        <v>0.1</v>
      </c>
    </row>
    <row r="3298" spans="3:6" ht="28.8">
      <c r="C3298" s="81" t="s">
        <v>1795</v>
      </c>
      <c r="D3298" s="65">
        <v>7.0000000000000007E-2</v>
      </c>
      <c r="E3298" s="65">
        <v>7.0000000000000007E-2</v>
      </c>
      <c r="F3298" s="65">
        <v>7.0000000000000007E-2</v>
      </c>
    </row>
    <row r="3299" spans="3:6" ht="28.8">
      <c r="C3299" s="81" t="s">
        <v>1796</v>
      </c>
      <c r="D3299" s="65">
        <v>0.05</v>
      </c>
      <c r="E3299" s="65">
        <v>0.05</v>
      </c>
      <c r="F3299" s="65">
        <v>0.05</v>
      </c>
    </row>
    <row r="3300" spans="3:6">
      <c r="C3300" s="64"/>
      <c r="D3300" s="137">
        <v>1</v>
      </c>
      <c r="E3300" s="137">
        <v>1</v>
      </c>
      <c r="F3300" s="137">
        <v>0.67</v>
      </c>
    </row>
    <row r="3301" spans="3:6">
      <c r="C3301" s="64"/>
      <c r="D3301" s="49"/>
      <c r="E3301" s="137">
        <v>0</v>
      </c>
      <c r="F3301" s="137">
        <v>0.33</v>
      </c>
    </row>
    <row r="3302" spans="3:6">
      <c r="C3302" s="64"/>
      <c r="D3302" s="64"/>
      <c r="E3302" s="64"/>
      <c r="F3302" s="64"/>
    </row>
    <row r="3303" spans="3:6">
      <c r="C3303" s="45" t="s">
        <v>1670</v>
      </c>
      <c r="D3303" s="64">
        <v>2</v>
      </c>
      <c r="E3303" s="64"/>
      <c r="F3303" s="64"/>
    </row>
    <row r="3304" spans="3:6">
      <c r="C3304" s="45" t="s">
        <v>1619</v>
      </c>
      <c r="D3304" s="64">
        <v>3</v>
      </c>
      <c r="E3304" s="64"/>
      <c r="F3304" s="64"/>
    </row>
    <row r="3305" spans="3:6">
      <c r="C3305" s="45" t="s">
        <v>1766</v>
      </c>
      <c r="D3305" s="64"/>
      <c r="E3305" s="64"/>
      <c r="F3305" s="64"/>
    </row>
    <row r="3306" spans="3:6">
      <c r="C3306" s="64" t="s">
        <v>362</v>
      </c>
      <c r="D3306" s="64"/>
      <c r="E3306" s="64"/>
      <c r="F3306" s="64"/>
    </row>
    <row r="3307" spans="3:6">
      <c r="C3307" s="64" t="s">
        <v>363</v>
      </c>
      <c r="D3307" s="64"/>
      <c r="E3307" s="64"/>
      <c r="F3307" s="64"/>
    </row>
    <row r="3308" spans="3:6">
      <c r="C3308" s="64"/>
      <c r="D3308" s="64"/>
      <c r="E3308" s="64"/>
      <c r="F3308" s="64"/>
    </row>
    <row r="3309" spans="3:6">
      <c r="C3309" s="64"/>
      <c r="D3309" s="64"/>
      <c r="E3309" s="64"/>
      <c r="F3309" s="64"/>
    </row>
    <row r="3310" spans="3:6">
      <c r="C3310" s="258" t="s">
        <v>96</v>
      </c>
      <c r="D3310" s="259" t="s">
        <v>353</v>
      </c>
      <c r="E3310" s="259" t="s">
        <v>354</v>
      </c>
      <c r="F3310" s="259" t="s">
        <v>355</v>
      </c>
    </row>
    <row r="3311" spans="3:6" ht="28.8">
      <c r="C3311" s="744" t="s">
        <v>1797</v>
      </c>
      <c r="D3311" s="65"/>
      <c r="E3311" s="65"/>
      <c r="F3311" s="65"/>
    </row>
    <row r="3312" spans="3:6">
      <c r="C3312" s="81"/>
      <c r="D3312" s="65"/>
      <c r="E3312" s="65"/>
      <c r="F3312" s="65"/>
    </row>
    <row r="3313" spans="3:6">
      <c r="C3313" s="81"/>
      <c r="D3313" s="65"/>
      <c r="E3313" s="65"/>
      <c r="F3313" s="65"/>
    </row>
    <row r="3314" spans="3:6">
      <c r="C3314" s="81"/>
      <c r="D3314" s="65"/>
      <c r="E3314" s="65"/>
      <c r="F3314" s="65"/>
    </row>
    <row r="3315" spans="3:6">
      <c r="C3315" s="81"/>
      <c r="D3315" s="65"/>
      <c r="E3315" s="65"/>
      <c r="F3315" s="65"/>
    </row>
    <row r="3316" spans="3:6" ht="28.8">
      <c r="C3316" s="81" t="s">
        <v>1798</v>
      </c>
      <c r="D3316" s="65">
        <v>7.0000000000000007E-2</v>
      </c>
      <c r="E3316" s="65">
        <v>7.0000000000000007E-2</v>
      </c>
      <c r="F3316" s="65">
        <v>0.02</v>
      </c>
    </row>
    <row r="3317" spans="3:6" ht="28.8">
      <c r="C3317" s="81" t="s">
        <v>1799</v>
      </c>
      <c r="D3317" s="65">
        <v>0.05</v>
      </c>
      <c r="E3317" s="65">
        <v>0.05</v>
      </c>
      <c r="F3317" s="65">
        <v>0.02</v>
      </c>
    </row>
    <row r="3318" spans="3:6">
      <c r="C3318" s="81" t="s">
        <v>1800</v>
      </c>
      <c r="D3318" s="65">
        <v>0.12</v>
      </c>
      <c r="E3318" s="65">
        <v>0.12</v>
      </c>
      <c r="F3318" s="65">
        <v>0.06</v>
      </c>
    </row>
    <row r="3319" spans="3:6" ht="28.8">
      <c r="C3319" s="81" t="s">
        <v>1801</v>
      </c>
      <c r="D3319" s="65">
        <v>0.02</v>
      </c>
      <c r="E3319" s="65">
        <v>0.02</v>
      </c>
      <c r="F3319" s="65">
        <v>0.01</v>
      </c>
    </row>
    <row r="3320" spans="3:6">
      <c r="C3320" s="260" t="s">
        <v>1802</v>
      </c>
      <c r="D3320" s="65">
        <v>0.12</v>
      </c>
      <c r="E3320" s="65">
        <v>0.12</v>
      </c>
      <c r="F3320" s="65">
        <v>0.06</v>
      </c>
    </row>
    <row r="3321" spans="3:6" ht="28.8">
      <c r="C3321" s="260" t="s">
        <v>1803</v>
      </c>
      <c r="D3321" s="65">
        <v>0.1</v>
      </c>
      <c r="E3321" s="65">
        <v>0.1</v>
      </c>
      <c r="F3321" s="65">
        <v>0.05</v>
      </c>
    </row>
    <row r="3322" spans="3:6" ht="28.8">
      <c r="C3322" s="260" t="s">
        <v>1804</v>
      </c>
      <c r="D3322" s="65">
        <v>0.02</v>
      </c>
      <c r="E3322" s="65">
        <v>0.02</v>
      </c>
      <c r="F3322" s="65">
        <v>0.01</v>
      </c>
    </row>
    <row r="3323" spans="3:6" ht="28.8">
      <c r="C3323" s="260" t="s">
        <v>1805</v>
      </c>
      <c r="D3323" s="65">
        <v>0.05</v>
      </c>
      <c r="E3323" s="65">
        <v>0.05</v>
      </c>
      <c r="F3323" s="65">
        <v>0.05</v>
      </c>
    </row>
    <row r="3324" spans="3:6" ht="28.8">
      <c r="C3324" s="260" t="s">
        <v>1806</v>
      </c>
      <c r="D3324" s="65">
        <v>0.05</v>
      </c>
      <c r="E3324" s="65">
        <v>0.05</v>
      </c>
      <c r="F3324" s="65">
        <v>0.05</v>
      </c>
    </row>
    <row r="3325" spans="3:6">
      <c r="C3325" s="260" t="s">
        <v>1807</v>
      </c>
      <c r="D3325" s="65">
        <v>0.05</v>
      </c>
      <c r="E3325" s="65">
        <v>0.05</v>
      </c>
      <c r="F3325" s="65">
        <v>0.05</v>
      </c>
    </row>
    <row r="3326" spans="3:6" ht="28.8">
      <c r="C3326" s="260" t="s">
        <v>1808</v>
      </c>
      <c r="D3326" s="65">
        <v>0.15</v>
      </c>
      <c r="E3326" s="65">
        <v>0.15</v>
      </c>
      <c r="F3326" s="65">
        <v>0.15</v>
      </c>
    </row>
    <row r="3327" spans="3:6">
      <c r="C3327" s="260" t="s">
        <v>1809</v>
      </c>
      <c r="D3327" s="65">
        <v>0.1</v>
      </c>
      <c r="E3327" s="65">
        <v>0.1</v>
      </c>
      <c r="F3327" s="65">
        <v>0.1</v>
      </c>
    </row>
    <row r="3328" spans="3:6">
      <c r="C3328" s="260" t="s">
        <v>1810</v>
      </c>
      <c r="D3328" s="65">
        <v>0.05</v>
      </c>
      <c r="E3328" s="65">
        <v>0.05</v>
      </c>
      <c r="F3328" s="65">
        <v>0.05</v>
      </c>
    </row>
    <row r="3329" spans="3:6">
      <c r="C3329" s="260" t="s">
        <v>1811</v>
      </c>
      <c r="D3329" s="65">
        <v>0.05</v>
      </c>
      <c r="E3329" s="65">
        <v>0.05</v>
      </c>
      <c r="F3329" s="65">
        <v>0.05</v>
      </c>
    </row>
    <row r="3330" spans="3:6">
      <c r="C3330" s="64"/>
      <c r="D3330" s="137">
        <v>1</v>
      </c>
      <c r="E3330" s="137">
        <v>1</v>
      </c>
      <c r="F3330" s="137">
        <v>0.73</v>
      </c>
    </row>
    <row r="3331" spans="3:6">
      <c r="C3331" s="64"/>
      <c r="D3331" s="49"/>
      <c r="E3331" s="137">
        <v>0</v>
      </c>
      <c r="F3331" s="137">
        <v>0.27</v>
      </c>
    </row>
    <row r="3332" spans="3:6">
      <c r="C3332" s="64"/>
      <c r="D3332" s="64"/>
      <c r="E3332" s="64"/>
      <c r="F3332" s="64"/>
    </row>
    <row r="3333" spans="3:6">
      <c r="C3333" s="45" t="s">
        <v>1671</v>
      </c>
      <c r="D3333" s="64">
        <v>7</v>
      </c>
      <c r="E3333" s="64"/>
      <c r="F3333" s="64"/>
    </row>
    <row r="3334" spans="3:6">
      <c r="C3334" s="45" t="s">
        <v>1619</v>
      </c>
      <c r="D3334" s="64">
        <v>4</v>
      </c>
      <c r="E3334" s="64"/>
      <c r="F3334" s="64"/>
    </row>
    <row r="3335" spans="3:6">
      <c r="C3335" s="45" t="s">
        <v>1766</v>
      </c>
      <c r="D3335" s="64"/>
      <c r="E3335" s="64"/>
      <c r="F3335" s="64"/>
    </row>
    <row r="3336" spans="3:6">
      <c r="C3336" s="64" t="s">
        <v>362</v>
      </c>
      <c r="D3336" s="64"/>
      <c r="E3336" s="64"/>
      <c r="F3336" s="64"/>
    </row>
    <row r="3337" spans="3:6">
      <c r="C3337" s="64" t="s">
        <v>363</v>
      </c>
      <c r="D3337" s="64"/>
      <c r="E3337" s="64"/>
      <c r="F3337" s="64"/>
    </row>
    <row r="3338" spans="3:6">
      <c r="C3338" s="64"/>
      <c r="D3338" s="64"/>
      <c r="E3338" s="64"/>
      <c r="F3338" s="64"/>
    </row>
    <row r="3339" spans="3:6">
      <c r="C3339" s="258" t="s">
        <v>97</v>
      </c>
      <c r="D3339" s="259" t="s">
        <v>353</v>
      </c>
      <c r="E3339" s="259" t="s">
        <v>354</v>
      </c>
      <c r="F3339" s="259" t="s">
        <v>355</v>
      </c>
    </row>
    <row r="3340" spans="3:6">
      <c r="C3340" s="745" t="s">
        <v>1812</v>
      </c>
    </row>
    <row r="3341" spans="3:6">
      <c r="C3341" s="746" t="s">
        <v>1813</v>
      </c>
      <c r="D3341" s="65"/>
      <c r="E3341" s="65"/>
      <c r="F3341" s="65"/>
    </row>
    <row r="3342" spans="3:6">
      <c r="C3342" s="96"/>
      <c r="D3342" s="65"/>
      <c r="E3342" s="65"/>
      <c r="F3342" s="65"/>
    </row>
    <row r="3343" spans="3:6" ht="28.8">
      <c r="C3343" s="260" t="s">
        <v>1814</v>
      </c>
      <c r="D3343" s="65">
        <v>0.22</v>
      </c>
      <c r="E3343" s="65">
        <v>0.22</v>
      </c>
      <c r="F3343" s="65">
        <v>0.15</v>
      </c>
    </row>
    <row r="3344" spans="3:6">
      <c r="C3344" s="260" t="s">
        <v>1815</v>
      </c>
      <c r="D3344" s="65">
        <v>0.05</v>
      </c>
      <c r="E3344" s="65">
        <v>0.05</v>
      </c>
      <c r="F3344" s="65">
        <v>0.05</v>
      </c>
    </row>
    <row r="3345" spans="3:6">
      <c r="C3345" s="260" t="s">
        <v>1816</v>
      </c>
      <c r="D3345" s="65">
        <v>0.02</v>
      </c>
      <c r="E3345" s="65">
        <v>0.02</v>
      </c>
      <c r="F3345" s="65">
        <v>0.01</v>
      </c>
    </row>
    <row r="3346" spans="3:6" ht="28.8">
      <c r="C3346" s="260" t="s">
        <v>1817</v>
      </c>
      <c r="D3346" s="65">
        <v>0.25</v>
      </c>
      <c r="E3346" s="65">
        <v>0.25</v>
      </c>
      <c r="F3346" s="65">
        <v>0.15</v>
      </c>
    </row>
    <row r="3347" spans="3:6" ht="28.8">
      <c r="C3347" s="260" t="s">
        <v>1818</v>
      </c>
      <c r="D3347" s="65">
        <v>0.2</v>
      </c>
      <c r="E3347" s="65">
        <v>0.2</v>
      </c>
      <c r="F3347" s="65">
        <v>0.1</v>
      </c>
    </row>
    <row r="3348" spans="3:6">
      <c r="C3348" s="260" t="s">
        <v>1819</v>
      </c>
      <c r="D3348" s="65">
        <v>0.05</v>
      </c>
      <c r="E3348" s="65">
        <v>0.05</v>
      </c>
      <c r="F3348" s="65">
        <v>0.02</v>
      </c>
    </row>
    <row r="3349" spans="3:6">
      <c r="C3349" s="260" t="s">
        <v>1820</v>
      </c>
      <c r="D3349" s="65">
        <v>0.15</v>
      </c>
      <c r="E3349" s="65">
        <v>0.15</v>
      </c>
      <c r="F3349" s="65">
        <v>0.11</v>
      </c>
    </row>
    <row r="3350" spans="3:6">
      <c r="C3350" s="260" t="s">
        <v>1821</v>
      </c>
      <c r="D3350" s="65">
        <v>0.06</v>
      </c>
      <c r="E3350" s="65">
        <v>0.06</v>
      </c>
      <c r="F3350" s="65">
        <v>0.03</v>
      </c>
    </row>
    <row r="3351" spans="3:6">
      <c r="C3351" s="260"/>
      <c r="D3351" s="137">
        <v>1</v>
      </c>
      <c r="E3351" s="137">
        <v>1</v>
      </c>
      <c r="F3351" s="137">
        <v>0.62</v>
      </c>
    </row>
    <row r="3352" spans="3:6">
      <c r="C3352" s="260"/>
      <c r="D3352" s="64"/>
      <c r="E3352" s="65">
        <v>0</v>
      </c>
      <c r="F3352" s="65">
        <v>0.38</v>
      </c>
    </row>
    <row r="3353" spans="3:6">
      <c r="C3353" s="260"/>
      <c r="D3353" s="64"/>
      <c r="E3353" s="64"/>
      <c r="F3353" s="64"/>
    </row>
    <row r="3354" spans="3:6">
      <c r="C3354" s="45" t="s">
        <v>1671</v>
      </c>
      <c r="D3354" s="64">
        <v>7</v>
      </c>
      <c r="E3354" s="64"/>
      <c r="F3354" s="64"/>
    </row>
    <row r="3355" spans="3:6">
      <c r="C3355" s="45" t="s">
        <v>1619</v>
      </c>
      <c r="D3355" s="64">
        <v>3</v>
      </c>
      <c r="E3355" s="64"/>
      <c r="F3355" s="64"/>
    </row>
    <row r="3356" spans="3:6">
      <c r="C3356" s="45" t="s">
        <v>1766</v>
      </c>
      <c r="D3356" s="64"/>
      <c r="E3356" s="64"/>
      <c r="F3356" s="64"/>
    </row>
    <row r="3357" spans="3:6">
      <c r="C3357" s="64" t="s">
        <v>362</v>
      </c>
      <c r="D3357" s="64"/>
      <c r="E3357" s="64"/>
      <c r="F3357" s="64"/>
    </row>
    <row r="3358" spans="3:6">
      <c r="C3358" s="64" t="s">
        <v>363</v>
      </c>
      <c r="D3358" s="64"/>
      <c r="E3358" s="64"/>
      <c r="F3358" s="64"/>
    </row>
    <row r="3359" spans="3:6">
      <c r="C3359" s="260"/>
      <c r="D3359" s="64"/>
      <c r="E3359" s="64"/>
      <c r="F3359" s="64"/>
    </row>
    <row r="3360" spans="3:6">
      <c r="C3360" s="260"/>
      <c r="D3360" s="64"/>
      <c r="E3360" s="64"/>
      <c r="F3360" s="64"/>
    </row>
    <row r="3361" spans="3:6">
      <c r="C3361" s="258" t="s">
        <v>98</v>
      </c>
      <c r="D3361" s="259" t="s">
        <v>353</v>
      </c>
      <c r="E3361" s="259" t="s">
        <v>354</v>
      </c>
      <c r="F3361" s="259" t="s">
        <v>355</v>
      </c>
    </row>
    <row r="3362" spans="3:6">
      <c r="C3362" s="260" t="s">
        <v>1822</v>
      </c>
      <c r="D3362" s="65">
        <v>0.05</v>
      </c>
      <c r="E3362" s="65">
        <v>0.05</v>
      </c>
      <c r="F3362" s="65">
        <v>0</v>
      </c>
    </row>
    <row r="3363" spans="3:6" ht="28.8">
      <c r="C3363" s="260" t="s">
        <v>1823</v>
      </c>
      <c r="D3363" s="65">
        <v>0.2</v>
      </c>
      <c r="E3363" s="65">
        <v>0.2</v>
      </c>
      <c r="F3363" s="65">
        <v>0.1</v>
      </c>
    </row>
    <row r="3364" spans="3:6" ht="28.8">
      <c r="C3364" s="260" t="s">
        <v>1824</v>
      </c>
      <c r="D3364" s="65">
        <v>0.35</v>
      </c>
      <c r="E3364" s="65">
        <v>0.35</v>
      </c>
      <c r="F3364" s="65">
        <v>0.2</v>
      </c>
    </row>
    <row r="3365" spans="3:6">
      <c r="C3365" s="260" t="s">
        <v>1819</v>
      </c>
      <c r="D3365" s="65">
        <v>0.05</v>
      </c>
      <c r="E3365" s="65">
        <v>0.05</v>
      </c>
      <c r="F3365" s="65">
        <v>0.05</v>
      </c>
    </row>
    <row r="3366" spans="3:6" ht="28.8">
      <c r="C3366" s="260" t="s">
        <v>1825</v>
      </c>
      <c r="D3366" s="65">
        <v>0.2</v>
      </c>
      <c r="E3366" s="65">
        <v>0.2</v>
      </c>
      <c r="F3366" s="65">
        <v>0.2</v>
      </c>
    </row>
    <row r="3367" spans="3:6">
      <c r="C3367" s="260" t="s">
        <v>1826</v>
      </c>
      <c r="D3367" s="65">
        <v>0.05</v>
      </c>
      <c r="E3367" s="65">
        <v>0.05</v>
      </c>
      <c r="F3367" s="65">
        <v>0.05</v>
      </c>
    </row>
    <row r="3368" spans="3:6">
      <c r="C3368" s="260" t="s">
        <v>1827</v>
      </c>
      <c r="D3368" s="65">
        <v>0.1</v>
      </c>
      <c r="E3368" s="65">
        <v>0.1</v>
      </c>
      <c r="F3368" s="65">
        <v>0.1</v>
      </c>
    </row>
    <row r="3369" spans="3:6">
      <c r="C3369" s="64"/>
      <c r="D3369" s="137">
        <v>1</v>
      </c>
      <c r="E3369" s="137">
        <v>1</v>
      </c>
      <c r="F3369" s="137">
        <v>0.7</v>
      </c>
    </row>
    <row r="3370" spans="3:6">
      <c r="C3370" s="64"/>
      <c r="D3370" s="49"/>
      <c r="E3370" s="137">
        <v>0</v>
      </c>
      <c r="F3370" s="137">
        <v>0.3</v>
      </c>
    </row>
    <row r="3371" spans="3:6">
      <c r="C3371" s="64"/>
      <c r="D3371" s="64"/>
      <c r="E3371" s="64"/>
      <c r="F3371" s="64"/>
    </row>
    <row r="3372" spans="3:6">
      <c r="C3372" s="45" t="s">
        <v>1671</v>
      </c>
      <c r="D3372" s="64">
        <v>2</v>
      </c>
      <c r="E3372" s="64"/>
      <c r="F3372" s="64"/>
    </row>
    <row r="3373" spans="3:6">
      <c r="C3373" s="45" t="s">
        <v>321</v>
      </c>
      <c r="D3373" s="64">
        <v>3</v>
      </c>
      <c r="E3373" s="64"/>
      <c r="F3373" s="64"/>
    </row>
    <row r="3374" spans="3:6">
      <c r="C3374" s="45" t="s">
        <v>1766</v>
      </c>
      <c r="D3374" s="64"/>
      <c r="E3374" s="64"/>
      <c r="F3374" s="64"/>
    </row>
    <row r="3375" spans="3:6">
      <c r="C3375" s="64" t="s">
        <v>362</v>
      </c>
      <c r="D3375" s="64"/>
      <c r="E3375" s="64"/>
      <c r="F3375" s="64"/>
    </row>
    <row r="3376" spans="3:6">
      <c r="C3376" s="64" t="s">
        <v>363</v>
      </c>
      <c r="D3376" s="64"/>
      <c r="E3376" s="64"/>
      <c r="F3376" s="64"/>
    </row>
    <row r="3377" spans="2:6">
      <c r="C3377" s="64"/>
      <c r="D3377" s="64"/>
      <c r="E3377" s="64"/>
      <c r="F3377" s="64"/>
    </row>
    <row r="3378" spans="2:6">
      <c r="B3378" s="519" t="s">
        <v>1079</v>
      </c>
      <c r="C3378" s="48" t="s">
        <v>99</v>
      </c>
      <c r="D3378" s="233" t="s">
        <v>353</v>
      </c>
      <c r="E3378" s="259" t="s">
        <v>354</v>
      </c>
      <c r="F3378" s="259" t="s">
        <v>355</v>
      </c>
    </row>
    <row r="3379" spans="2:6" ht="28.8">
      <c r="C3379" s="81" t="s">
        <v>1828</v>
      </c>
      <c r="D3379" s="62"/>
      <c r="E3379" s="62"/>
      <c r="F3379" s="62"/>
    </row>
    <row r="3380" spans="2:6" ht="28.8">
      <c r="C3380" s="81" t="s">
        <v>1829</v>
      </c>
      <c r="D3380" s="62"/>
      <c r="E3380" s="62"/>
      <c r="F3380" s="62"/>
    </row>
    <row r="3381" spans="2:6">
      <c r="C3381" s="64" t="s">
        <v>1830</v>
      </c>
      <c r="D3381" s="62"/>
      <c r="E3381" s="62"/>
      <c r="F3381" s="62"/>
    </row>
    <row r="3382" spans="2:6" ht="28.8">
      <c r="C3382" s="81" t="s">
        <v>1831</v>
      </c>
      <c r="D3382" s="62"/>
      <c r="E3382" s="62"/>
      <c r="F3382" s="62"/>
    </row>
    <row r="3383" spans="2:6">
      <c r="C3383" s="45" t="s">
        <v>1832</v>
      </c>
      <c r="D3383" s="62"/>
      <c r="E3383" s="62"/>
      <c r="F3383" s="62"/>
    </row>
    <row r="3384" spans="2:6">
      <c r="C3384" s="64"/>
      <c r="D3384" s="137">
        <v>1</v>
      </c>
      <c r="E3384" s="137">
        <v>1</v>
      </c>
      <c r="F3384" s="137">
        <v>0.34</v>
      </c>
    </row>
    <row r="3385" spans="2:6">
      <c r="C3385" s="64"/>
      <c r="D3385" s="64"/>
      <c r="E3385" s="137">
        <v>0</v>
      </c>
      <c r="F3385" s="137">
        <v>0.66</v>
      </c>
    </row>
    <row r="3386" spans="2:6">
      <c r="C3386" s="45" t="s">
        <v>1833</v>
      </c>
      <c r="D3386" s="45" t="s">
        <v>418</v>
      </c>
      <c r="E3386" s="64"/>
      <c r="F3386" s="64"/>
    </row>
    <row r="3387" spans="2:6">
      <c r="C3387" s="45" t="s">
        <v>1619</v>
      </c>
      <c r="D3387" s="64"/>
      <c r="E3387" s="64"/>
      <c r="F3387" s="64"/>
    </row>
    <row r="3388" spans="2:6">
      <c r="C3388" s="45" t="s">
        <v>1766</v>
      </c>
      <c r="D3388" s="64"/>
      <c r="E3388" s="64"/>
      <c r="F3388" s="64"/>
    </row>
    <row r="3389" spans="2:6">
      <c r="C3389" s="64" t="s">
        <v>362</v>
      </c>
      <c r="D3389" s="64"/>
      <c r="E3389" s="64"/>
      <c r="F3389" s="64"/>
    </row>
    <row r="3390" spans="2:6">
      <c r="C3390" s="64" t="s">
        <v>363</v>
      </c>
      <c r="D3390" s="64"/>
      <c r="E3390" s="64"/>
      <c r="F3390" s="64"/>
    </row>
    <row r="3391" spans="2:6">
      <c r="C3391" s="64"/>
      <c r="D3391" s="64"/>
      <c r="E3391" s="64"/>
      <c r="F3391" s="64"/>
    </row>
    <row r="3392" spans="2:6">
      <c r="C3392" s="64"/>
      <c r="D3392" s="64"/>
      <c r="E3392" s="64"/>
      <c r="F3392" s="64"/>
    </row>
    <row r="3393" spans="2:6">
      <c r="B3393" s="519" t="s">
        <v>1079</v>
      </c>
      <c r="C3393" s="48" t="s">
        <v>100</v>
      </c>
      <c r="D3393" s="233" t="s">
        <v>353</v>
      </c>
      <c r="E3393" s="259" t="s">
        <v>354</v>
      </c>
      <c r="F3393" s="259" t="s">
        <v>355</v>
      </c>
    </row>
    <row r="3394" spans="2:6">
      <c r="C3394" s="81" t="s">
        <v>1834</v>
      </c>
      <c r="D3394" s="65">
        <v>0.02</v>
      </c>
      <c r="E3394" s="65">
        <v>0.02</v>
      </c>
      <c r="F3394" s="65">
        <v>0.01</v>
      </c>
    </row>
    <row r="3395" spans="2:6">
      <c r="C3395" s="81"/>
      <c r="D3395" s="65"/>
      <c r="E3395" s="65"/>
      <c r="F3395" s="65"/>
    </row>
    <row r="3396" spans="2:6" ht="28.8">
      <c r="C3396" s="81" t="s">
        <v>1835</v>
      </c>
      <c r="D3396" s="65"/>
      <c r="E3396" s="65"/>
      <c r="F3396" s="65"/>
    </row>
    <row r="3397" spans="2:6">
      <c r="C3397" s="81" t="s">
        <v>1836</v>
      </c>
      <c r="D3397" s="65"/>
      <c r="E3397" s="65"/>
      <c r="F3397" s="65"/>
    </row>
    <row r="3398" spans="2:6">
      <c r="C3398" s="64" t="s">
        <v>1837</v>
      </c>
      <c r="D3398" s="65"/>
      <c r="E3398" s="65"/>
      <c r="F3398" s="65"/>
    </row>
    <row r="3399" spans="2:6" ht="28.8">
      <c r="C3399" s="81" t="s">
        <v>1831</v>
      </c>
      <c r="D3399" s="65"/>
      <c r="E3399" s="65"/>
      <c r="F3399" s="65"/>
    </row>
    <row r="3400" spans="2:6" ht="28.8">
      <c r="C3400" s="81" t="s">
        <v>1838</v>
      </c>
      <c r="D3400" s="65"/>
      <c r="E3400" s="65"/>
      <c r="F3400" s="65"/>
    </row>
    <row r="3401" spans="2:6">
      <c r="C3401" s="64"/>
      <c r="D3401" s="137">
        <v>1</v>
      </c>
      <c r="E3401" s="137">
        <v>1</v>
      </c>
      <c r="F3401" s="137">
        <v>0.62</v>
      </c>
    </row>
    <row r="3402" spans="2:6">
      <c r="C3402" s="64"/>
      <c r="D3402" s="64"/>
      <c r="E3402" s="65">
        <v>0</v>
      </c>
      <c r="F3402" s="65">
        <v>0.38</v>
      </c>
    </row>
    <row r="3403" spans="2:6">
      <c r="C3403" s="45" t="s">
        <v>1833</v>
      </c>
      <c r="D3403" s="45" t="s">
        <v>385</v>
      </c>
      <c r="E3403" s="64"/>
      <c r="F3403" s="64"/>
    </row>
    <row r="3404" spans="2:6">
      <c r="C3404" s="45" t="s">
        <v>1619</v>
      </c>
      <c r="D3404" s="64"/>
      <c r="E3404" s="64"/>
      <c r="F3404" s="64"/>
    </row>
    <row r="3405" spans="2:6">
      <c r="C3405" s="45" t="s">
        <v>1766</v>
      </c>
      <c r="D3405" s="64"/>
      <c r="E3405" s="64"/>
      <c r="F3405" s="64"/>
    </row>
    <row r="3406" spans="2:6">
      <c r="C3406" s="64" t="s">
        <v>362</v>
      </c>
      <c r="D3406" s="64"/>
      <c r="E3406" s="64"/>
      <c r="F3406" s="64"/>
    </row>
    <row r="3407" spans="2:6">
      <c r="C3407" s="64" t="s">
        <v>363</v>
      </c>
      <c r="D3407" s="64"/>
      <c r="E3407" s="64"/>
      <c r="F3407" s="64"/>
    </row>
    <row r="3408" spans="2:6">
      <c r="C3408" s="64"/>
      <c r="D3408" s="64"/>
      <c r="E3408" s="64"/>
      <c r="F3408" s="64"/>
    </row>
    <row r="3409" spans="2:6">
      <c r="B3409" s="519" t="s">
        <v>1079</v>
      </c>
      <c r="C3409" s="48" t="s">
        <v>101</v>
      </c>
      <c r="D3409" s="233" t="s">
        <v>353</v>
      </c>
      <c r="E3409" s="259" t="s">
        <v>354</v>
      </c>
      <c r="F3409" s="259" t="s">
        <v>355</v>
      </c>
    </row>
    <row r="3410" spans="2:6">
      <c r="C3410" s="81" t="s">
        <v>1839</v>
      </c>
      <c r="D3410" s="62"/>
      <c r="E3410" s="62"/>
      <c r="F3410" s="62"/>
    </row>
    <row r="3411" spans="2:6">
      <c r="C3411" s="64" t="s">
        <v>1840</v>
      </c>
      <c r="D3411" s="62"/>
      <c r="E3411" s="62"/>
      <c r="F3411" s="62"/>
    </row>
    <row r="3412" spans="2:6">
      <c r="C3412" s="81" t="s">
        <v>1841</v>
      </c>
      <c r="D3412" s="62"/>
      <c r="E3412" s="62"/>
      <c r="F3412" s="62"/>
    </row>
    <row r="3413" spans="2:6">
      <c r="C3413" s="45" t="s">
        <v>1832</v>
      </c>
      <c r="D3413" s="62"/>
      <c r="E3413" s="62"/>
      <c r="F3413" s="62"/>
    </row>
    <row r="3414" spans="2:6">
      <c r="C3414" s="64"/>
      <c r="D3414" s="65">
        <v>1</v>
      </c>
      <c r="E3414" s="65">
        <v>1</v>
      </c>
      <c r="F3414" s="65">
        <v>0.24</v>
      </c>
    </row>
    <row r="3415" spans="2:6">
      <c r="C3415" s="64"/>
      <c r="D3415" s="64"/>
      <c r="E3415" s="65">
        <v>0</v>
      </c>
      <c r="F3415" s="65">
        <v>0.76</v>
      </c>
    </row>
    <row r="3416" spans="2:6">
      <c r="C3416" s="45" t="s">
        <v>1833</v>
      </c>
      <c r="D3416" s="45" t="s">
        <v>385</v>
      </c>
      <c r="E3416" s="64"/>
      <c r="F3416" s="64"/>
    </row>
    <row r="3417" spans="2:6">
      <c r="C3417" s="45" t="s">
        <v>1619</v>
      </c>
      <c r="D3417" s="64"/>
      <c r="E3417" s="64"/>
      <c r="F3417" s="64"/>
    </row>
    <row r="3418" spans="2:6">
      <c r="C3418" s="45" t="s">
        <v>1766</v>
      </c>
      <c r="D3418" s="64"/>
      <c r="E3418" s="64"/>
      <c r="F3418" s="64"/>
    </row>
    <row r="3419" spans="2:6">
      <c r="C3419" s="64" t="s">
        <v>362</v>
      </c>
      <c r="D3419" s="64"/>
      <c r="E3419" s="64"/>
      <c r="F3419" s="64"/>
    </row>
    <row r="3420" spans="2:6">
      <c r="C3420" s="64" t="s">
        <v>363</v>
      </c>
      <c r="D3420" s="64"/>
      <c r="E3420" s="64"/>
      <c r="F3420" s="64"/>
    </row>
    <row r="3421" spans="2:6">
      <c r="C3421" s="64"/>
      <c r="D3421" s="64"/>
      <c r="E3421" s="64"/>
      <c r="F3421" s="64"/>
    </row>
    <row r="3422" spans="2:6">
      <c r="B3422" s="519" t="s">
        <v>1079</v>
      </c>
      <c r="C3422" s="48" t="s">
        <v>102</v>
      </c>
      <c r="D3422" s="233" t="s">
        <v>353</v>
      </c>
      <c r="E3422" s="259" t="s">
        <v>354</v>
      </c>
      <c r="F3422" s="259" t="s">
        <v>355</v>
      </c>
    </row>
    <row r="3423" spans="2:6">
      <c r="C3423" s="45" t="s">
        <v>1842</v>
      </c>
      <c r="D3423" s="62"/>
      <c r="E3423" s="62"/>
      <c r="F3423" s="62"/>
    </row>
    <row r="3424" spans="2:6">
      <c r="C3424" s="64" t="s">
        <v>1837</v>
      </c>
      <c r="D3424" s="62"/>
      <c r="E3424" s="62"/>
      <c r="F3424" s="62"/>
    </row>
    <row r="3425" spans="2:6">
      <c r="C3425" s="81" t="s">
        <v>1843</v>
      </c>
      <c r="D3425" s="62"/>
      <c r="E3425" s="62"/>
      <c r="F3425" s="62"/>
    </row>
    <row r="3426" spans="2:6">
      <c r="C3426" s="45" t="s">
        <v>1832</v>
      </c>
      <c r="D3426" s="62"/>
      <c r="E3426" s="62"/>
      <c r="F3426" s="62"/>
    </row>
    <row r="3427" spans="2:6">
      <c r="C3427" s="49"/>
      <c r="D3427" s="62"/>
      <c r="E3427" s="62"/>
      <c r="F3427" s="62"/>
    </row>
    <row r="3428" spans="2:6">
      <c r="C3428" s="64"/>
      <c r="D3428" s="65">
        <v>1</v>
      </c>
      <c r="E3428" s="65">
        <v>1</v>
      </c>
      <c r="F3428" s="65">
        <v>0.41</v>
      </c>
    </row>
    <row r="3429" spans="2:6">
      <c r="C3429" s="64"/>
      <c r="D3429" s="64"/>
      <c r="E3429" s="65">
        <v>0</v>
      </c>
      <c r="F3429" s="65">
        <v>0.59</v>
      </c>
    </row>
    <row r="3430" spans="2:6">
      <c r="C3430" s="64"/>
      <c r="D3430" s="64"/>
      <c r="E3430" s="64"/>
      <c r="F3430" s="64"/>
    </row>
    <row r="3431" spans="2:6">
      <c r="B3431" s="519" t="s">
        <v>1079</v>
      </c>
      <c r="C3431" s="48" t="s">
        <v>103</v>
      </c>
      <c r="D3431" s="233" t="s">
        <v>353</v>
      </c>
      <c r="E3431" s="259" t="s">
        <v>354</v>
      </c>
      <c r="F3431" s="259" t="s">
        <v>355</v>
      </c>
    </row>
    <row r="3432" spans="2:6" ht="28.8">
      <c r="C3432" s="81" t="s">
        <v>1844</v>
      </c>
      <c r="D3432" s="62"/>
      <c r="E3432" s="62"/>
      <c r="F3432" s="62"/>
    </row>
    <row r="3433" spans="2:6">
      <c r="C3433" s="64" t="s">
        <v>1845</v>
      </c>
      <c r="D3433" s="62"/>
      <c r="E3433" s="62"/>
      <c r="F3433" s="62"/>
    </row>
    <row r="3434" spans="2:6">
      <c r="C3434" s="81" t="s">
        <v>1841</v>
      </c>
      <c r="D3434" s="62"/>
      <c r="E3434" s="62"/>
      <c r="F3434" s="62"/>
    </row>
    <row r="3435" spans="2:6">
      <c r="C3435" s="45" t="s">
        <v>1832</v>
      </c>
      <c r="D3435" s="62"/>
      <c r="E3435" s="62"/>
      <c r="F3435" s="62"/>
    </row>
    <row r="3436" spans="2:6">
      <c r="C3436" s="64"/>
      <c r="D3436" s="69">
        <v>1</v>
      </c>
      <c r="E3436" s="69">
        <v>1</v>
      </c>
      <c r="F3436" s="69">
        <v>0.69</v>
      </c>
    </row>
    <row r="3437" spans="2:6">
      <c r="C3437" s="64"/>
      <c r="D3437" s="62"/>
      <c r="E3437" s="69">
        <v>0</v>
      </c>
      <c r="F3437" s="69">
        <v>0.31</v>
      </c>
    </row>
    <row r="3438" spans="2:6">
      <c r="C3438" s="64"/>
      <c r="D3438" s="64"/>
      <c r="E3438" s="64"/>
      <c r="F3438" s="64"/>
    </row>
    <row r="3439" spans="2:6">
      <c r="C3439" s="64"/>
      <c r="D3439" s="64"/>
      <c r="E3439" s="64"/>
      <c r="F3439" s="64"/>
    </row>
    <row r="3440" spans="2:6">
      <c r="C3440" s="48" t="s">
        <v>1846</v>
      </c>
      <c r="D3440" s="233" t="s">
        <v>353</v>
      </c>
      <c r="E3440" s="259" t="s">
        <v>354</v>
      </c>
      <c r="F3440" s="259" t="s">
        <v>355</v>
      </c>
    </row>
    <row r="3441" spans="3:6">
      <c r="C3441" s="747" t="s">
        <v>1847</v>
      </c>
      <c r="D3441" s="748">
        <v>0.6</v>
      </c>
      <c r="E3441" s="748">
        <v>0.6</v>
      </c>
      <c r="F3441" s="748">
        <v>0.4</v>
      </c>
    </row>
    <row r="3442" spans="3:6">
      <c r="C3442" s="64" t="s">
        <v>1848</v>
      </c>
      <c r="D3442" s="65">
        <v>0.1</v>
      </c>
      <c r="E3442" s="65">
        <v>0.1</v>
      </c>
      <c r="F3442" s="65">
        <v>0.02</v>
      </c>
    </row>
    <row r="3443" spans="3:6">
      <c r="C3443" s="64" t="s">
        <v>1849</v>
      </c>
      <c r="D3443" s="65">
        <v>0.05</v>
      </c>
      <c r="E3443" s="65">
        <v>0.05</v>
      </c>
      <c r="F3443" s="65">
        <v>0.05</v>
      </c>
    </row>
    <row r="3444" spans="3:6">
      <c r="C3444" s="64" t="s">
        <v>1850</v>
      </c>
      <c r="D3444" s="65">
        <v>0.01</v>
      </c>
      <c r="E3444" s="65">
        <v>0.01</v>
      </c>
      <c r="F3444" s="65">
        <v>0.01</v>
      </c>
    </row>
    <row r="3445" spans="3:6">
      <c r="C3445" s="64" t="s">
        <v>1851</v>
      </c>
      <c r="D3445" s="65">
        <v>0.01</v>
      </c>
      <c r="E3445" s="65">
        <v>0.01</v>
      </c>
      <c r="F3445" s="65">
        <v>0.01</v>
      </c>
    </row>
    <row r="3446" spans="3:6">
      <c r="C3446" s="64" t="s">
        <v>1852</v>
      </c>
      <c r="D3446" s="65">
        <v>0.1</v>
      </c>
      <c r="E3446" s="65">
        <v>0.1</v>
      </c>
      <c r="F3446" s="65">
        <v>0.1</v>
      </c>
    </row>
    <row r="3447" spans="3:6">
      <c r="C3447" s="64" t="s">
        <v>1853</v>
      </c>
      <c r="D3447" s="65">
        <v>0.01</v>
      </c>
      <c r="E3447" s="65">
        <v>0.01</v>
      </c>
      <c r="F3447" s="65">
        <v>0.01</v>
      </c>
    </row>
    <row r="3448" spans="3:6">
      <c r="C3448" s="64" t="s">
        <v>1854</v>
      </c>
      <c r="D3448" s="65">
        <v>0.01</v>
      </c>
      <c r="E3448" s="65">
        <v>0.01</v>
      </c>
      <c r="F3448" s="65">
        <v>0.01</v>
      </c>
    </row>
    <row r="3449" spans="3:6">
      <c r="C3449" s="64" t="s">
        <v>1855</v>
      </c>
      <c r="D3449" s="65">
        <v>0.1</v>
      </c>
      <c r="E3449" s="65">
        <v>0.1</v>
      </c>
      <c r="F3449" s="65">
        <v>0.1</v>
      </c>
    </row>
    <row r="3450" spans="3:6">
      <c r="C3450" s="64" t="s">
        <v>1856</v>
      </c>
      <c r="D3450" s="65">
        <v>0.01</v>
      </c>
      <c r="E3450" s="65">
        <v>0.01</v>
      </c>
      <c r="F3450" s="65">
        <v>0.01</v>
      </c>
    </row>
    <row r="3451" spans="3:6">
      <c r="C3451" s="64"/>
      <c r="D3451" s="69">
        <f>SUM(D3441:D3450)</f>
        <v>1</v>
      </c>
      <c r="E3451" s="69">
        <f>SUM(E3441:E3450)</f>
        <v>1</v>
      </c>
      <c r="F3451" s="69">
        <f>SUM(F3441:F3450)</f>
        <v>0.72000000000000008</v>
      </c>
    </row>
    <row r="3452" spans="3:6">
      <c r="C3452" s="64"/>
      <c r="D3452" s="69"/>
      <c r="E3452" s="69">
        <f>D3451-E3451</f>
        <v>0</v>
      </c>
      <c r="F3452" s="69">
        <f>E3451-F3451</f>
        <v>0.27999999999999992</v>
      </c>
    </row>
    <row r="3453" spans="3:6">
      <c r="C3453" s="64"/>
      <c r="D3453" s="65"/>
      <c r="E3453" s="65"/>
      <c r="F3453" s="65"/>
    </row>
    <row r="3454" spans="3:6">
      <c r="C3454" s="64"/>
      <c r="D3454" s="65"/>
      <c r="E3454" s="65"/>
      <c r="F3454" s="65"/>
    </row>
    <row r="3455" spans="3:6">
      <c r="C3455" s="64" t="s">
        <v>1857</v>
      </c>
      <c r="D3455" s="64" t="s">
        <v>674</v>
      </c>
      <c r="E3455" s="64"/>
      <c r="F3455" s="64"/>
    </row>
    <row r="3456" spans="3:6">
      <c r="C3456" s="64"/>
      <c r="D3456" s="64"/>
      <c r="E3456" s="64"/>
      <c r="F3456" s="64"/>
    </row>
    <row r="3457" spans="3:6">
      <c r="C3457" s="48" t="s">
        <v>93</v>
      </c>
      <c r="D3457" s="233" t="s">
        <v>353</v>
      </c>
      <c r="E3457" s="259" t="s">
        <v>354</v>
      </c>
      <c r="F3457" s="259" t="s">
        <v>355</v>
      </c>
    </row>
    <row r="3458" spans="3:6">
      <c r="C3458" s="64" t="s">
        <v>1858</v>
      </c>
      <c r="D3458" s="65">
        <v>0.01</v>
      </c>
      <c r="E3458" s="65">
        <v>0.01</v>
      </c>
      <c r="F3458" s="65">
        <v>0.01</v>
      </c>
    </row>
    <row r="3459" spans="3:6">
      <c r="C3459" s="64" t="s">
        <v>1859</v>
      </c>
      <c r="D3459" s="65">
        <v>0.01</v>
      </c>
      <c r="E3459" s="65">
        <v>0.01</v>
      </c>
      <c r="F3459" s="65">
        <v>0.01</v>
      </c>
    </row>
    <row r="3460" spans="3:6">
      <c r="C3460" s="64" t="s">
        <v>1860</v>
      </c>
      <c r="D3460" s="65">
        <v>0.02</v>
      </c>
      <c r="E3460" s="65">
        <v>0.02</v>
      </c>
      <c r="F3460" s="65">
        <v>0.02</v>
      </c>
    </row>
    <row r="3461" spans="3:6">
      <c r="C3461" s="64" t="s">
        <v>1861</v>
      </c>
      <c r="D3461" s="65">
        <v>0.04</v>
      </c>
      <c r="E3461" s="65">
        <v>0.04</v>
      </c>
      <c r="F3461" s="65">
        <v>0.04</v>
      </c>
    </row>
    <row r="3462" spans="3:6">
      <c r="C3462" s="64" t="s">
        <v>1862</v>
      </c>
      <c r="D3462" s="65">
        <v>0.04</v>
      </c>
      <c r="E3462" s="65">
        <v>0.04</v>
      </c>
      <c r="F3462" s="65">
        <v>0.04</v>
      </c>
    </row>
    <row r="3463" spans="3:6">
      <c r="C3463" s="64" t="s">
        <v>1863</v>
      </c>
      <c r="D3463" s="65">
        <v>0.04</v>
      </c>
      <c r="E3463" s="65">
        <v>0.04</v>
      </c>
      <c r="F3463" s="65">
        <v>0.04</v>
      </c>
    </row>
    <row r="3464" spans="3:6">
      <c r="C3464" s="64" t="s">
        <v>1864</v>
      </c>
      <c r="D3464" s="65">
        <v>0.1</v>
      </c>
      <c r="E3464" s="65">
        <v>0.1</v>
      </c>
      <c r="F3464" s="65">
        <v>0.1</v>
      </c>
    </row>
    <row r="3465" spans="3:6">
      <c r="C3465" s="64" t="s">
        <v>1865</v>
      </c>
      <c r="D3465" s="65">
        <v>0.04</v>
      </c>
      <c r="E3465" s="65">
        <v>0.04</v>
      </c>
      <c r="F3465" s="65">
        <v>0.04</v>
      </c>
    </row>
    <row r="3466" spans="3:6">
      <c r="C3466" s="64" t="s">
        <v>1866</v>
      </c>
      <c r="D3466" s="65">
        <v>7.0000000000000007E-2</v>
      </c>
      <c r="E3466" s="65">
        <v>7.0000000000000007E-2</v>
      </c>
      <c r="F3466" s="65">
        <v>7.0000000000000007E-2</v>
      </c>
    </row>
    <row r="3467" spans="3:6">
      <c r="C3467" s="64" t="s">
        <v>1867</v>
      </c>
      <c r="D3467" s="65">
        <v>0.05</v>
      </c>
      <c r="E3467" s="65">
        <v>0.05</v>
      </c>
      <c r="F3467" s="65">
        <v>0.05</v>
      </c>
    </row>
    <row r="3468" spans="3:6">
      <c r="C3468" s="747" t="s">
        <v>1868</v>
      </c>
      <c r="D3468" s="748">
        <v>0.2</v>
      </c>
      <c r="E3468" s="748">
        <v>0.2</v>
      </c>
      <c r="F3468" s="748">
        <v>0</v>
      </c>
    </row>
    <row r="3469" spans="3:6">
      <c r="C3469" s="64" t="s">
        <v>1869</v>
      </c>
      <c r="D3469" s="65">
        <v>0.15</v>
      </c>
      <c r="E3469" s="65">
        <v>0.15</v>
      </c>
      <c r="F3469" s="65">
        <v>0.15</v>
      </c>
    </row>
    <row r="3470" spans="3:6">
      <c r="C3470" s="64" t="s">
        <v>1870</v>
      </c>
      <c r="D3470" s="65">
        <v>0.05</v>
      </c>
      <c r="E3470" s="65">
        <v>0.05</v>
      </c>
      <c r="F3470" s="65">
        <v>0.05</v>
      </c>
    </row>
    <row r="3471" spans="3:6">
      <c r="C3471" s="64" t="s">
        <v>1871</v>
      </c>
      <c r="D3471" s="65">
        <v>0.03</v>
      </c>
      <c r="E3471" s="65">
        <v>0.03</v>
      </c>
      <c r="F3471" s="65">
        <v>0.03</v>
      </c>
    </row>
    <row r="3472" spans="3:6">
      <c r="C3472" s="64" t="s">
        <v>1872</v>
      </c>
      <c r="D3472" s="65">
        <v>0.02</v>
      </c>
      <c r="E3472" s="65">
        <v>0.02</v>
      </c>
      <c r="F3472" s="65">
        <v>0.02</v>
      </c>
    </row>
    <row r="3473" spans="3:6">
      <c r="C3473" s="64" t="s">
        <v>1873</v>
      </c>
      <c r="D3473" s="65">
        <v>0.02</v>
      </c>
      <c r="E3473" s="65">
        <v>0.02</v>
      </c>
      <c r="F3473" s="65">
        <v>0.02</v>
      </c>
    </row>
    <row r="3474" spans="3:6">
      <c r="C3474" s="64" t="s">
        <v>1874</v>
      </c>
      <c r="D3474" s="65">
        <v>0.02</v>
      </c>
      <c r="E3474" s="65">
        <v>0.02</v>
      </c>
      <c r="F3474" s="65">
        <v>0.02</v>
      </c>
    </row>
    <row r="3475" spans="3:6">
      <c r="C3475" s="64" t="s">
        <v>1875</v>
      </c>
      <c r="D3475" s="65">
        <v>0.02</v>
      </c>
      <c r="E3475" s="65">
        <v>0.02</v>
      </c>
      <c r="F3475" s="65">
        <v>0.02</v>
      </c>
    </row>
    <row r="3476" spans="3:6">
      <c r="C3476" s="64" t="s">
        <v>1876</v>
      </c>
      <c r="D3476" s="65">
        <v>0.02</v>
      </c>
      <c r="E3476" s="65">
        <v>0.02</v>
      </c>
      <c r="F3476" s="65">
        <v>0.02</v>
      </c>
    </row>
    <row r="3477" spans="3:6">
      <c r="C3477" s="64" t="s">
        <v>1877</v>
      </c>
      <c r="D3477" s="65">
        <v>0.01</v>
      </c>
      <c r="E3477" s="65">
        <v>0.01</v>
      </c>
      <c r="F3477" s="65">
        <v>0.01</v>
      </c>
    </row>
    <row r="3478" spans="3:6">
      <c r="C3478" s="64" t="s">
        <v>1878</v>
      </c>
      <c r="D3478" s="65">
        <v>0.01</v>
      </c>
      <c r="E3478" s="65">
        <v>0.01</v>
      </c>
      <c r="F3478" s="65">
        <v>0.01</v>
      </c>
    </row>
    <row r="3479" spans="3:6">
      <c r="C3479" s="64" t="s">
        <v>1879</v>
      </c>
      <c r="D3479" s="65">
        <v>0.01</v>
      </c>
      <c r="E3479" s="65">
        <v>0.01</v>
      </c>
      <c r="F3479" s="65">
        <v>0.01</v>
      </c>
    </row>
    <row r="3480" spans="3:6">
      <c r="C3480" s="64" t="s">
        <v>1880</v>
      </c>
      <c r="D3480" s="65">
        <v>0.01</v>
      </c>
      <c r="E3480" s="65">
        <v>0.01</v>
      </c>
      <c r="F3480" s="65">
        <v>0.01</v>
      </c>
    </row>
    <row r="3481" spans="3:6">
      <c r="C3481" s="64" t="s">
        <v>1881</v>
      </c>
      <c r="D3481" s="65">
        <v>0.01</v>
      </c>
      <c r="E3481" s="65">
        <v>0.01</v>
      </c>
      <c r="F3481" s="65">
        <v>0.01</v>
      </c>
    </row>
    <row r="3482" spans="3:6">
      <c r="C3482" s="64"/>
      <c r="D3482" s="65">
        <f>SUM(D3458:D3481)</f>
        <v>1.0000000000000002</v>
      </c>
      <c r="E3482" s="65">
        <f>SUM(E3458:E3481)</f>
        <v>1.0000000000000002</v>
      </c>
      <c r="F3482" s="65">
        <f>SUM(F3458:F3481)</f>
        <v>0.80000000000000016</v>
      </c>
    </row>
    <row r="3483" spans="3:6">
      <c r="C3483" s="64"/>
      <c r="D3483" s="65"/>
      <c r="E3483" s="65">
        <f>D3482-E3482</f>
        <v>0</v>
      </c>
      <c r="F3483" s="65">
        <f>E3482-F3482</f>
        <v>0.20000000000000007</v>
      </c>
    </row>
    <row r="3484" spans="3:6">
      <c r="C3484" s="64"/>
      <c r="D3484" s="65"/>
      <c r="E3484" s="65"/>
      <c r="F3484" s="65"/>
    </row>
    <row r="3485" spans="3:6">
      <c r="C3485" s="64"/>
      <c r="D3485" s="65"/>
      <c r="E3485" s="65"/>
      <c r="F3485" s="65"/>
    </row>
    <row r="3486" spans="3:6">
      <c r="C3486" s="64" t="s">
        <v>1882</v>
      </c>
      <c r="D3486" s="64" t="s">
        <v>1883</v>
      </c>
      <c r="E3486" s="64"/>
      <c r="F3486" s="64"/>
    </row>
    <row r="3487" spans="3:6">
      <c r="C3487" s="64"/>
      <c r="D3487" s="64"/>
      <c r="E3487" s="64"/>
      <c r="F3487" s="64"/>
    </row>
    <row r="3488" spans="3:6">
      <c r="C3488" s="64"/>
      <c r="D3488" s="64"/>
      <c r="E3488" s="64"/>
      <c r="F3488" s="64"/>
    </row>
    <row r="3489" spans="3:6">
      <c r="C3489" s="48" t="s">
        <v>104</v>
      </c>
      <c r="D3489" s="233" t="s">
        <v>353</v>
      </c>
      <c r="E3489" s="259" t="s">
        <v>354</v>
      </c>
      <c r="F3489" s="259" t="s">
        <v>355</v>
      </c>
    </row>
    <row r="3490" spans="3:6">
      <c r="C3490" s="64" t="s">
        <v>1884</v>
      </c>
      <c r="D3490" s="65">
        <v>0.02</v>
      </c>
      <c r="E3490" s="65">
        <v>0.02</v>
      </c>
      <c r="F3490" s="65">
        <v>0.02</v>
      </c>
    </row>
    <row r="3491" spans="3:6">
      <c r="C3491" s="747" t="s">
        <v>1885</v>
      </c>
      <c r="D3491" s="748">
        <v>0.1</v>
      </c>
      <c r="E3491" s="748">
        <v>0.1</v>
      </c>
      <c r="F3491" s="748">
        <v>0.05</v>
      </c>
    </row>
    <row r="3492" spans="3:6">
      <c r="C3492" s="747" t="s">
        <v>1886</v>
      </c>
      <c r="D3492" s="748">
        <v>0.15</v>
      </c>
      <c r="E3492" s="748">
        <v>0.15</v>
      </c>
      <c r="F3492" s="748">
        <v>0.05</v>
      </c>
    </row>
    <row r="3493" spans="3:6">
      <c r="C3493" s="64" t="s">
        <v>1887</v>
      </c>
      <c r="D3493" s="65">
        <v>0.1</v>
      </c>
      <c r="E3493" s="65">
        <v>0.1</v>
      </c>
      <c r="F3493" s="65">
        <v>0.1</v>
      </c>
    </row>
    <row r="3494" spans="3:6">
      <c r="C3494" s="64" t="s">
        <v>1888</v>
      </c>
      <c r="D3494" s="65">
        <v>0.05</v>
      </c>
      <c r="E3494" s="65">
        <v>0.05</v>
      </c>
      <c r="F3494" s="65">
        <v>0.05</v>
      </c>
    </row>
    <row r="3495" spans="3:6">
      <c r="C3495" s="64" t="s">
        <v>1889</v>
      </c>
      <c r="D3495" s="65">
        <v>0.05</v>
      </c>
      <c r="E3495" s="65">
        <v>0.05</v>
      </c>
      <c r="F3495" s="65">
        <v>0.05</v>
      </c>
    </row>
    <row r="3496" spans="3:6">
      <c r="C3496" s="64" t="s">
        <v>1890</v>
      </c>
      <c r="D3496" s="65">
        <v>0.1</v>
      </c>
      <c r="E3496" s="65">
        <v>0.1</v>
      </c>
      <c r="F3496" s="65">
        <v>0.1</v>
      </c>
    </row>
    <row r="3497" spans="3:6">
      <c r="C3497" s="64" t="s">
        <v>1891</v>
      </c>
      <c r="D3497" s="65">
        <v>0.05</v>
      </c>
      <c r="E3497" s="65">
        <v>0.05</v>
      </c>
      <c r="F3497" s="65">
        <v>0.05</v>
      </c>
    </row>
    <row r="3498" spans="3:6">
      <c r="C3498" s="64" t="s">
        <v>1892</v>
      </c>
      <c r="D3498" s="65">
        <v>0.2</v>
      </c>
      <c r="E3498" s="65">
        <v>0.2</v>
      </c>
      <c r="F3498" s="65">
        <v>0.1</v>
      </c>
    </row>
    <row r="3499" spans="3:6">
      <c r="C3499" s="64" t="s">
        <v>1893</v>
      </c>
      <c r="D3499" s="65">
        <v>0.05</v>
      </c>
      <c r="E3499" s="65">
        <v>0.05</v>
      </c>
      <c r="F3499" s="65">
        <v>0.05</v>
      </c>
    </row>
    <row r="3500" spans="3:6">
      <c r="C3500" s="64" t="s">
        <v>1894</v>
      </c>
      <c r="D3500" s="65">
        <v>0.02</v>
      </c>
      <c r="E3500" s="65">
        <v>0.02</v>
      </c>
      <c r="F3500" s="65">
        <v>0.02</v>
      </c>
    </row>
    <row r="3501" spans="3:6">
      <c r="C3501" s="64" t="s">
        <v>1895</v>
      </c>
      <c r="D3501" s="65">
        <v>0.11</v>
      </c>
      <c r="E3501" s="65">
        <v>0.11</v>
      </c>
      <c r="F3501" s="65">
        <v>0.11</v>
      </c>
    </row>
    <row r="3502" spans="3:6">
      <c r="C3502" s="64"/>
      <c r="D3502" s="65">
        <v>1</v>
      </c>
      <c r="E3502" s="65">
        <v>1</v>
      </c>
      <c r="F3502" s="65">
        <v>0.75</v>
      </c>
    </row>
    <row r="3503" spans="3:6">
      <c r="C3503" s="64"/>
      <c r="D3503" s="64"/>
      <c r="E3503" s="65">
        <v>0</v>
      </c>
      <c r="F3503" s="65">
        <v>0.25</v>
      </c>
    </row>
    <row r="3504" spans="3:6">
      <c r="C3504" s="64"/>
      <c r="D3504" s="64"/>
      <c r="E3504" s="64"/>
      <c r="F3504" s="64"/>
    </row>
    <row r="3505" spans="2:6">
      <c r="B3505" s="519" t="s">
        <v>1079</v>
      </c>
      <c r="C3505" s="214" t="s">
        <v>1002</v>
      </c>
      <c r="D3505" s="16" t="s">
        <v>353</v>
      </c>
      <c r="E3505" s="29" t="s">
        <v>354</v>
      </c>
      <c r="F3505" s="16" t="s">
        <v>355</v>
      </c>
    </row>
    <row r="3506" spans="2:6">
      <c r="C3506" s="217" t="s">
        <v>1896</v>
      </c>
      <c r="D3506" s="15"/>
      <c r="E3506" s="227"/>
      <c r="F3506" s="15"/>
    </row>
    <row r="3507" spans="2:6">
      <c r="C3507" s="217" t="s">
        <v>1897</v>
      </c>
      <c r="D3507" s="15"/>
      <c r="E3507" s="227"/>
      <c r="F3507" s="15"/>
    </row>
    <row r="3508" spans="2:6">
      <c r="C3508" s="217" t="s">
        <v>1898</v>
      </c>
      <c r="D3508" s="15"/>
      <c r="E3508" s="227"/>
      <c r="F3508" s="15"/>
    </row>
    <row r="3509" spans="2:6">
      <c r="C3509" s="217"/>
      <c r="D3509" s="15"/>
      <c r="E3509" s="227"/>
      <c r="F3509" s="15"/>
    </row>
    <row r="3510" spans="2:6">
      <c r="C3510" s="10"/>
      <c r="D3510" s="22" t="e">
        <f>SUM(#REF!)</f>
        <v>#REF!</v>
      </c>
      <c r="E3510" s="29" t="e">
        <f>SUM(#REF!)</f>
        <v>#REF!</v>
      </c>
      <c r="F3510" s="22" t="e">
        <f>SUM(#REF!)</f>
        <v>#REF!</v>
      </c>
    </row>
    <row r="3511" spans="2:6">
      <c r="C3511" s="10"/>
      <c r="D3511" s="15"/>
      <c r="E3511" s="29" t="e">
        <f>D3510-E3510</f>
        <v>#REF!</v>
      </c>
      <c r="F3511" s="22" t="e">
        <f>D3510-F3510</f>
        <v>#REF!</v>
      </c>
    </row>
    <row r="3512" spans="2:6">
      <c r="C3512" s="10"/>
      <c r="D3512" s="15"/>
      <c r="E3512" s="29"/>
      <c r="F3512" s="22"/>
    </row>
    <row r="3513" spans="2:6">
      <c r="C3513" s="10" t="s">
        <v>424</v>
      </c>
      <c r="D3513" s="15" t="s">
        <v>1003</v>
      </c>
      <c r="E3513" s="29"/>
      <c r="F3513" s="15"/>
    </row>
    <row r="3514" spans="2:6">
      <c r="C3514" s="10"/>
      <c r="D3514" s="15"/>
      <c r="E3514" s="29"/>
      <c r="F3514" s="15"/>
    </row>
    <row r="3515" spans="2:6">
      <c r="B3515" s="519" t="s">
        <v>1079</v>
      </c>
      <c r="C3515" s="12" t="s">
        <v>1899</v>
      </c>
      <c r="D3515" s="16" t="s">
        <v>353</v>
      </c>
      <c r="E3515" s="29" t="s">
        <v>354</v>
      </c>
      <c r="F3515" s="16" t="s">
        <v>355</v>
      </c>
    </row>
    <row r="3516" spans="2:6">
      <c r="C3516" s="217" t="s">
        <v>1896</v>
      </c>
    </row>
    <row r="3517" spans="2:6">
      <c r="C3517" s="217" t="s">
        <v>1897</v>
      </c>
    </row>
    <row r="3518" spans="2:6">
      <c r="C3518" s="217" t="s">
        <v>1898</v>
      </c>
    </row>
    <row r="3520" spans="2:6">
      <c r="C3520" s="10"/>
      <c r="D3520" s="22" t="e">
        <f>SUM(#REF!)</f>
        <v>#REF!</v>
      </c>
      <c r="E3520" s="29" t="e">
        <f>SUM(#REF!)</f>
        <v>#REF!</v>
      </c>
      <c r="F3520" s="22" t="e">
        <f>SUM(#REF!)</f>
        <v>#REF!</v>
      </c>
    </row>
    <row r="3521" spans="2:6">
      <c r="C3521" s="11"/>
      <c r="D3521" s="16"/>
      <c r="E3521" s="29" t="e">
        <f>D3520-E3520</f>
        <v>#REF!</v>
      </c>
      <c r="F3521" s="22" t="e">
        <f>D3520-F3520</f>
        <v>#REF!</v>
      </c>
    </row>
    <row r="3522" spans="2:6">
      <c r="C3522" s="11"/>
      <c r="D3522" s="15"/>
      <c r="E3522" s="227"/>
      <c r="F3522" s="15"/>
    </row>
    <row r="3523" spans="2:6">
      <c r="C3523" s="10" t="s">
        <v>424</v>
      </c>
      <c r="D3523" s="15" t="s">
        <v>1003</v>
      </c>
      <c r="E3523" s="227"/>
      <c r="F3523" s="15"/>
    </row>
    <row r="3524" spans="2:6">
      <c r="C3524" s="11"/>
      <c r="D3524" s="15"/>
      <c r="E3524" s="227"/>
      <c r="F3524" s="15"/>
    </row>
    <row r="3525" spans="2:6">
      <c r="C3525" s="11"/>
      <c r="D3525" s="15"/>
      <c r="E3525" s="227"/>
      <c r="F3525" s="15"/>
    </row>
    <row r="3526" spans="2:6">
      <c r="C3526" s="11"/>
      <c r="D3526" s="15"/>
      <c r="E3526" s="227"/>
      <c r="F3526" s="15"/>
    </row>
    <row r="3527" spans="2:6">
      <c r="C3527" s="11"/>
      <c r="D3527" s="15"/>
      <c r="E3527" s="227"/>
      <c r="F3527" s="15"/>
    </row>
    <row r="3528" spans="2:6">
      <c r="C3528" s="11"/>
      <c r="D3528" s="15"/>
      <c r="E3528" s="227"/>
      <c r="F3528" s="15"/>
    </row>
    <row r="3529" spans="2:6">
      <c r="B3529" s="519" t="s">
        <v>1079</v>
      </c>
      <c r="C3529" s="12" t="s">
        <v>1900</v>
      </c>
      <c r="D3529" s="16" t="s">
        <v>353</v>
      </c>
      <c r="E3529" s="29" t="s">
        <v>354</v>
      </c>
      <c r="F3529" s="16" t="s">
        <v>355</v>
      </c>
    </row>
    <row r="3530" spans="2:6">
      <c r="C3530" s="217" t="s">
        <v>1896</v>
      </c>
    </row>
    <row r="3531" spans="2:6">
      <c r="C3531" s="217" t="s">
        <v>1897</v>
      </c>
    </row>
    <row r="3532" spans="2:6">
      <c r="C3532" s="217" t="s">
        <v>1898</v>
      </c>
    </row>
    <row r="3533" spans="2:6">
      <c r="C3533" s="217"/>
    </row>
    <row r="3534" spans="2:6">
      <c r="C3534" s="10"/>
      <c r="D3534" s="18" t="e">
        <f>SUM(#REF!)</f>
        <v>#REF!</v>
      </c>
      <c r="E3534" s="227" t="e">
        <f>SUM(#REF!)</f>
        <v>#REF!</v>
      </c>
      <c r="F3534" s="18" t="e">
        <f>SUM(#REF!)</f>
        <v>#REF!</v>
      </c>
    </row>
    <row r="3535" spans="2:6">
      <c r="C3535" s="11"/>
      <c r="D3535" s="18"/>
      <c r="E3535" s="227" t="e">
        <f>D3534-E3534</f>
        <v>#REF!</v>
      </c>
      <c r="F3535" s="18" t="e">
        <f>D3534-F3534</f>
        <v>#REF!</v>
      </c>
    </row>
    <row r="3536" spans="2:6">
      <c r="C3536" s="11"/>
      <c r="D3536" s="15"/>
      <c r="E3536" s="227"/>
      <c r="F3536" s="15"/>
    </row>
    <row r="3537" spans="2:6">
      <c r="C3537" s="10" t="s">
        <v>424</v>
      </c>
      <c r="D3537" s="15" t="s">
        <v>1004</v>
      </c>
      <c r="E3537" s="227"/>
      <c r="F3537" s="15"/>
    </row>
    <row r="3538" spans="2:6">
      <c r="C3538" s="11"/>
      <c r="D3538" s="15"/>
      <c r="E3538" s="227"/>
      <c r="F3538" s="15"/>
    </row>
    <row r="3539" spans="2:6">
      <c r="C3539" s="11"/>
      <c r="D3539" s="15"/>
      <c r="E3539" s="227"/>
      <c r="F3539" s="15"/>
    </row>
    <row r="3540" spans="2:6">
      <c r="B3540" s="519" t="s">
        <v>1079</v>
      </c>
      <c r="C3540" s="214" t="s">
        <v>1901</v>
      </c>
      <c r="D3540" s="16" t="s">
        <v>353</v>
      </c>
      <c r="E3540" s="29" t="s">
        <v>354</v>
      </c>
      <c r="F3540" s="16" t="s">
        <v>355</v>
      </c>
    </row>
    <row r="3541" spans="2:6">
      <c r="C3541" s="217" t="s">
        <v>1896</v>
      </c>
    </row>
    <row r="3542" spans="2:6">
      <c r="C3542" s="217" t="s">
        <v>1897</v>
      </c>
    </row>
    <row r="3543" spans="2:6">
      <c r="C3543" s="217" t="s">
        <v>1898</v>
      </c>
    </row>
    <row r="3544" spans="2:6">
      <c r="C3544" s="217"/>
    </row>
    <row r="3545" spans="2:6">
      <c r="C3545" s="10"/>
      <c r="D3545" s="22" t="e">
        <f>SUM(#REF!)</f>
        <v>#REF!</v>
      </c>
      <c r="E3545" s="29" t="e">
        <f>SUM(#REF!)</f>
        <v>#REF!</v>
      </c>
      <c r="F3545" s="22" t="e">
        <f>SUM(#REF!)</f>
        <v>#REF!</v>
      </c>
    </row>
    <row r="3546" spans="2:6">
      <c r="C3546" s="10"/>
      <c r="D3546" s="15"/>
      <c r="E3546" s="29" t="e">
        <f>D3545-E3545</f>
        <v>#REF!</v>
      </c>
      <c r="F3546" s="22" t="e">
        <f>D3545-F3545</f>
        <v>#REF!</v>
      </c>
    </row>
    <row r="3547" spans="2:6">
      <c r="C3547" s="10"/>
      <c r="D3547" s="15"/>
      <c r="E3547" s="29"/>
      <c r="F3547" s="22"/>
    </row>
    <row r="3548" spans="2:6">
      <c r="C3548" s="10" t="s">
        <v>424</v>
      </c>
      <c r="D3548" s="15" t="s">
        <v>1005</v>
      </c>
      <c r="E3548" s="29"/>
      <c r="F3548" s="15"/>
    </row>
    <row r="3549" spans="2:6">
      <c r="C3549" s="11"/>
      <c r="D3549" s="15"/>
      <c r="E3549" s="227"/>
      <c r="F3549" s="15"/>
    </row>
    <row r="3550" spans="2:6">
      <c r="B3550" s="519" t="s">
        <v>1079</v>
      </c>
      <c r="C3550" s="12" t="s">
        <v>1902</v>
      </c>
      <c r="D3550" s="16" t="s">
        <v>353</v>
      </c>
      <c r="E3550" s="29" t="s">
        <v>354</v>
      </c>
      <c r="F3550" s="16" t="s">
        <v>355</v>
      </c>
    </row>
    <row r="3551" spans="2:6">
      <c r="C3551" s="217" t="s">
        <v>1896</v>
      </c>
    </row>
    <row r="3552" spans="2:6">
      <c r="C3552" s="217" t="s">
        <v>1897</v>
      </c>
    </row>
    <row r="3553" spans="2:6">
      <c r="C3553" s="217" t="s">
        <v>1898</v>
      </c>
    </row>
    <row r="3554" spans="2:6">
      <c r="C3554" s="217"/>
    </row>
    <row r="3555" spans="2:6">
      <c r="C3555" s="10"/>
      <c r="D3555" s="18" t="e">
        <f>SUM(#REF!)</f>
        <v>#REF!</v>
      </c>
      <c r="E3555" s="227" t="e">
        <f>SUM(#REF!)</f>
        <v>#REF!</v>
      </c>
      <c r="F3555" s="18" t="e">
        <f>SUM(#REF!)</f>
        <v>#REF!</v>
      </c>
    </row>
    <row r="3556" spans="2:6">
      <c r="C3556" s="11"/>
      <c r="D3556" s="18"/>
      <c r="E3556" s="227" t="e">
        <f>D3555-E3555</f>
        <v>#REF!</v>
      </c>
      <c r="F3556" s="18" t="e">
        <f>D3555-F3555</f>
        <v>#REF!</v>
      </c>
    </row>
    <row r="3557" spans="2:6">
      <c r="C3557" s="11"/>
      <c r="D3557" s="15"/>
      <c r="E3557" s="227"/>
      <c r="F3557" s="15"/>
    </row>
    <row r="3558" spans="2:6">
      <c r="C3558" s="10" t="s">
        <v>424</v>
      </c>
      <c r="D3558" s="15" t="s">
        <v>1006</v>
      </c>
      <c r="E3558" s="29"/>
      <c r="F3558" s="15"/>
    </row>
    <row r="3559" spans="2:6">
      <c r="C3559" s="11"/>
      <c r="D3559" s="15"/>
      <c r="E3559" s="227"/>
      <c r="F3559" s="15"/>
    </row>
    <row r="3560" spans="2:6">
      <c r="B3560" s="519" t="s">
        <v>1079</v>
      </c>
      <c r="C3560" s="12" t="s">
        <v>1903</v>
      </c>
      <c r="D3560" s="16" t="s">
        <v>353</v>
      </c>
      <c r="E3560" s="29" t="s">
        <v>354</v>
      </c>
      <c r="F3560" s="16" t="s">
        <v>355</v>
      </c>
    </row>
    <row r="3561" spans="2:6">
      <c r="C3561" s="217" t="s">
        <v>1896</v>
      </c>
    </row>
    <row r="3562" spans="2:6">
      <c r="C3562" s="217" t="s">
        <v>1897</v>
      </c>
    </row>
    <row r="3563" spans="2:6">
      <c r="C3563" s="217" t="s">
        <v>1898</v>
      </c>
    </row>
    <row r="3564" spans="2:6">
      <c r="C3564" s="217"/>
    </row>
    <row r="3565" spans="2:6">
      <c r="C3565" s="11"/>
      <c r="D3565" s="22" t="e">
        <f>SUM(#REF!)</f>
        <v>#REF!</v>
      </c>
      <c r="E3565" s="22" t="e">
        <f>SUM(#REF!)</f>
        <v>#REF!</v>
      </c>
      <c r="F3565" s="22" t="e">
        <f>SUM(#REF!)</f>
        <v>#REF!</v>
      </c>
    </row>
    <row r="3566" spans="2:6">
      <c r="C3566" s="11"/>
      <c r="D3566" s="15"/>
      <c r="E3566" s="29" t="e">
        <f>D3565-E3565</f>
        <v>#REF!</v>
      </c>
      <c r="F3566" s="22" t="e">
        <f>E3565-F3565</f>
        <v>#REF!</v>
      </c>
    </row>
    <row r="3567" spans="2:6">
      <c r="C3567" s="11"/>
      <c r="D3567" s="15"/>
      <c r="E3567" s="227"/>
      <c r="F3567" s="15"/>
    </row>
    <row r="3568" spans="2:6">
      <c r="C3568" s="11"/>
      <c r="D3568" s="15"/>
      <c r="E3568" s="227"/>
      <c r="F3568" s="15"/>
    </row>
    <row r="3569" spans="2:6">
      <c r="C3569" s="10" t="s">
        <v>424</v>
      </c>
      <c r="D3569" s="15" t="s">
        <v>1006</v>
      </c>
      <c r="E3569" s="29"/>
      <c r="F3569" s="15"/>
    </row>
    <row r="3570" spans="2:6">
      <c r="C3570" s="11"/>
      <c r="D3570" s="15"/>
      <c r="E3570" s="227"/>
      <c r="F3570" s="15"/>
    </row>
    <row r="3571" spans="2:6">
      <c r="C3571" s="11"/>
      <c r="D3571" s="15"/>
      <c r="E3571" s="227"/>
      <c r="F3571" s="15"/>
    </row>
    <row r="3572" spans="2:6">
      <c r="B3572" s="519" t="s">
        <v>1079</v>
      </c>
      <c r="C3572" s="12" t="s">
        <v>1007</v>
      </c>
      <c r="D3572" s="16" t="s">
        <v>353</v>
      </c>
      <c r="E3572" s="29" t="s">
        <v>354</v>
      </c>
      <c r="F3572" s="16" t="s">
        <v>355</v>
      </c>
    </row>
    <row r="3573" spans="2:6">
      <c r="C3573" s="217" t="s">
        <v>1896</v>
      </c>
    </row>
    <row r="3574" spans="2:6">
      <c r="C3574" s="217" t="s">
        <v>1897</v>
      </c>
    </row>
    <row r="3575" spans="2:6">
      <c r="C3575" s="217" t="s">
        <v>1898</v>
      </c>
    </row>
    <row r="3576" spans="2:6">
      <c r="C3576" s="217"/>
    </row>
    <row r="3577" spans="2:6">
      <c r="C3577" s="11"/>
      <c r="D3577" s="22" t="e">
        <f>SUM(#REF!)</f>
        <v>#REF!</v>
      </c>
      <c r="E3577" s="29" t="e">
        <f>SUM(#REF!)</f>
        <v>#REF!</v>
      </c>
      <c r="F3577" s="22" t="e">
        <f>SUM(#REF!)</f>
        <v>#REF!</v>
      </c>
    </row>
    <row r="3578" spans="2:6">
      <c r="C3578" s="11"/>
      <c r="D3578" s="16"/>
      <c r="E3578" s="29" t="e">
        <f>D3577-E3577</f>
        <v>#REF!</v>
      </c>
      <c r="F3578" s="22" t="e">
        <f>D3577-F3577</f>
        <v>#REF!</v>
      </c>
    </row>
    <row r="3579" spans="2:6">
      <c r="C3579" s="11"/>
      <c r="D3579" s="15"/>
      <c r="E3579" s="227"/>
      <c r="F3579" s="15"/>
    </row>
    <row r="3580" spans="2:6">
      <c r="C3580" s="12" t="s">
        <v>424</v>
      </c>
      <c r="D3580" s="15" t="s">
        <v>1006</v>
      </c>
      <c r="E3580" s="29"/>
      <c r="F3580" s="15"/>
    </row>
    <row r="3581" spans="2:6">
      <c r="C3581" s="11"/>
      <c r="D3581" s="15"/>
      <c r="E3581" s="227"/>
      <c r="F3581" s="15"/>
    </row>
    <row r="3582" spans="2:6">
      <c r="C3582" s="11"/>
      <c r="D3582" s="15"/>
      <c r="E3582" s="227"/>
      <c r="F3582" s="15"/>
    </row>
    <row r="3583" spans="2:6">
      <c r="B3583" s="519" t="s">
        <v>1079</v>
      </c>
      <c r="C3583" s="12" t="s">
        <v>1904</v>
      </c>
      <c r="D3583" s="16" t="s">
        <v>353</v>
      </c>
      <c r="E3583" s="29" t="s">
        <v>354</v>
      </c>
      <c r="F3583" s="16" t="s">
        <v>355</v>
      </c>
    </row>
    <row r="3584" spans="2:6">
      <c r="C3584" s="217" t="s">
        <v>1896</v>
      </c>
    </row>
    <row r="3585" spans="2:6">
      <c r="C3585" s="217" t="s">
        <v>1897</v>
      </c>
    </row>
    <row r="3586" spans="2:6">
      <c r="C3586" s="217" t="s">
        <v>1898</v>
      </c>
    </row>
    <row r="3587" spans="2:6">
      <c r="C3587" s="217"/>
    </row>
    <row r="3588" spans="2:6">
      <c r="C3588" s="11"/>
      <c r="D3588" s="18" t="e">
        <f>SUM(#REF!)</f>
        <v>#REF!</v>
      </c>
      <c r="E3588" s="227" t="e">
        <f>SUM(#REF!)</f>
        <v>#REF!</v>
      </c>
      <c r="F3588" s="18" t="e">
        <f>SUM(#REF!)</f>
        <v>#REF!</v>
      </c>
    </row>
    <row r="3589" spans="2:6">
      <c r="C3589" s="11"/>
      <c r="D3589" s="15"/>
      <c r="E3589" s="227" t="e">
        <f>D3588-E3588</f>
        <v>#REF!</v>
      </c>
      <c r="F3589" s="18" t="e">
        <f>D3588-F3588</f>
        <v>#REF!</v>
      </c>
    </row>
    <row r="3590" spans="2:6">
      <c r="C3590" s="11"/>
      <c r="D3590" s="15"/>
      <c r="E3590" s="227"/>
      <c r="F3590" s="15"/>
    </row>
    <row r="3591" spans="2:6">
      <c r="C3591" s="12" t="s">
        <v>424</v>
      </c>
      <c r="D3591" s="15" t="s">
        <v>1008</v>
      </c>
      <c r="E3591" s="29"/>
      <c r="F3591" s="15"/>
    </row>
    <row r="3592" spans="2:6">
      <c r="C3592" s="11"/>
      <c r="D3592" s="15"/>
      <c r="E3592" s="227"/>
      <c r="F3592" s="15"/>
    </row>
    <row r="3593" spans="2:6">
      <c r="C3593" s="11"/>
      <c r="D3593" s="15"/>
      <c r="E3593" s="227"/>
      <c r="F3593" s="15"/>
    </row>
    <row r="3594" spans="2:6">
      <c r="B3594" s="519" t="s">
        <v>1079</v>
      </c>
      <c r="C3594" s="12" t="s">
        <v>1905</v>
      </c>
      <c r="D3594" s="16" t="s">
        <v>353</v>
      </c>
      <c r="E3594" s="29" t="s">
        <v>354</v>
      </c>
      <c r="F3594" s="16" t="s">
        <v>355</v>
      </c>
    </row>
    <row r="3595" spans="2:6">
      <c r="C3595" s="217" t="s">
        <v>1896</v>
      </c>
    </row>
    <row r="3596" spans="2:6">
      <c r="C3596" s="217" t="s">
        <v>1897</v>
      </c>
    </row>
    <row r="3597" spans="2:6">
      <c r="C3597" s="217" t="s">
        <v>1898</v>
      </c>
    </row>
    <row r="3598" spans="2:6">
      <c r="C3598" s="217"/>
    </row>
    <row r="3599" spans="2:6">
      <c r="C3599" s="11"/>
      <c r="D3599" s="18" t="e">
        <f>SUM(#REF!)</f>
        <v>#REF!</v>
      </c>
      <c r="E3599" s="227" t="e">
        <f>SUM(#REF!)</f>
        <v>#REF!</v>
      </c>
      <c r="F3599" s="18" t="e">
        <f>SUM(#REF!)</f>
        <v>#REF!</v>
      </c>
    </row>
    <row r="3600" spans="2:6">
      <c r="C3600" s="11"/>
      <c r="D3600" s="15"/>
      <c r="E3600" s="227" t="e">
        <f>D3599-E3599</f>
        <v>#REF!</v>
      </c>
      <c r="F3600" s="18" t="e">
        <f>D3599-F3599</f>
        <v>#REF!</v>
      </c>
    </row>
    <row r="3601" spans="2:6">
      <c r="C3601" s="11"/>
      <c r="D3601" s="15"/>
      <c r="E3601" s="227"/>
      <c r="F3601" s="15"/>
    </row>
    <row r="3602" spans="2:6">
      <c r="C3602" s="12" t="s">
        <v>424</v>
      </c>
      <c r="D3602" s="15" t="s">
        <v>1008</v>
      </c>
      <c r="E3602" s="29"/>
      <c r="F3602" s="15"/>
    </row>
    <row r="3603" spans="2:6" ht="14.25" customHeight="1">
      <c r="C3603" s="11"/>
      <c r="D3603" s="15"/>
      <c r="E3603" s="227"/>
      <c r="F3603" s="15"/>
    </row>
    <row r="3604" spans="2:6" ht="15" customHeight="1">
      <c r="C3604" s="187" t="s">
        <v>1009</v>
      </c>
      <c r="D3604" s="15"/>
      <c r="E3604" s="227"/>
      <c r="F3604" s="15"/>
    </row>
    <row r="3605" spans="2:6">
      <c r="B3605" s="519" t="s">
        <v>1079</v>
      </c>
      <c r="C3605" s="12" t="s">
        <v>1906</v>
      </c>
      <c r="D3605" s="16" t="s">
        <v>353</v>
      </c>
      <c r="E3605" s="29" t="s">
        <v>354</v>
      </c>
      <c r="F3605" s="16" t="s">
        <v>355</v>
      </c>
    </row>
    <row r="3606" spans="2:6">
      <c r="C3606" s="217" t="s">
        <v>1896</v>
      </c>
    </row>
    <row r="3607" spans="2:6">
      <c r="C3607" s="217" t="s">
        <v>1897</v>
      </c>
    </row>
    <row r="3608" spans="2:6">
      <c r="C3608" s="217" t="s">
        <v>1898</v>
      </c>
    </row>
    <row r="3609" spans="2:6">
      <c r="C3609" s="217"/>
    </row>
    <row r="3610" spans="2:6">
      <c r="C3610" s="11"/>
      <c r="D3610" s="18" t="e">
        <f>SUM(#REF!)</f>
        <v>#REF!</v>
      </c>
      <c r="E3610" s="227" t="e">
        <f>SUM(#REF!)</f>
        <v>#REF!</v>
      </c>
      <c r="F3610" s="18" t="e">
        <f>SUM(#REF!)</f>
        <v>#REF!</v>
      </c>
    </row>
    <row r="3611" spans="2:6">
      <c r="C3611" s="11"/>
      <c r="D3611" s="15"/>
      <c r="E3611" s="227" t="e">
        <f>D3610-E3610</f>
        <v>#REF!</v>
      </c>
      <c r="F3611" s="18" t="e">
        <f>D3610-F3610</f>
        <v>#REF!</v>
      </c>
    </row>
    <row r="3612" spans="2:6">
      <c r="C3612" s="11"/>
      <c r="D3612" s="15"/>
      <c r="E3612" s="227"/>
      <c r="F3612" s="15"/>
    </row>
    <row r="3613" spans="2:6">
      <c r="C3613" s="12" t="s">
        <v>424</v>
      </c>
      <c r="D3613" s="15" t="s">
        <v>1008</v>
      </c>
      <c r="E3613" s="29"/>
      <c r="F3613" s="15"/>
    </row>
    <row r="3614" spans="2:6">
      <c r="C3614" s="11"/>
      <c r="D3614" s="15"/>
      <c r="E3614" s="227"/>
      <c r="F3614" s="15"/>
    </row>
    <row r="3615" spans="2:6">
      <c r="E3615" s="229"/>
    </row>
    <row r="3616" spans="2:6">
      <c r="B3616" s="519" t="s">
        <v>1079</v>
      </c>
      <c r="C3616" s="12" t="s">
        <v>1907</v>
      </c>
      <c r="D3616" s="16" t="s">
        <v>353</v>
      </c>
      <c r="E3616" s="29" t="s">
        <v>354</v>
      </c>
      <c r="F3616" s="16" t="s">
        <v>355</v>
      </c>
    </row>
    <row r="3617" spans="2:6">
      <c r="C3617" s="217" t="s">
        <v>1896</v>
      </c>
    </row>
    <row r="3618" spans="2:6">
      <c r="C3618" s="217" t="s">
        <v>1897</v>
      </c>
    </row>
    <row r="3619" spans="2:6">
      <c r="C3619" s="217" t="s">
        <v>1898</v>
      </c>
    </row>
    <row r="3620" spans="2:6">
      <c r="C3620" s="217"/>
    </row>
    <row r="3621" spans="2:6">
      <c r="C3621" s="11"/>
      <c r="D3621" s="22" t="e">
        <f>SUM(#REF!)</f>
        <v>#REF!</v>
      </c>
      <c r="E3621" s="29" t="e">
        <f>SUM(#REF!)</f>
        <v>#REF!</v>
      </c>
      <c r="F3621" s="22" t="e">
        <f>SUM(#REF!)</f>
        <v>#REF!</v>
      </c>
    </row>
    <row r="3622" spans="2:6">
      <c r="C3622" s="11"/>
      <c r="D3622" s="22"/>
      <c r="E3622" s="29" t="e">
        <f>D3621-E3621</f>
        <v>#REF!</v>
      </c>
      <c r="F3622" s="22" t="e">
        <f>D3621-F3621</f>
        <v>#REF!</v>
      </c>
    </row>
    <row r="3623" spans="2:6">
      <c r="C3623" s="11"/>
      <c r="D3623" s="15"/>
      <c r="E3623" s="227"/>
      <c r="F3623" s="15"/>
    </row>
    <row r="3624" spans="2:6">
      <c r="C3624" s="11"/>
      <c r="D3624" s="15"/>
      <c r="E3624" s="227"/>
      <c r="F3624" s="15"/>
    </row>
    <row r="3625" spans="2:6">
      <c r="C3625" s="12" t="s">
        <v>1010</v>
      </c>
      <c r="D3625" s="15" t="s">
        <v>1011</v>
      </c>
      <c r="E3625" s="29"/>
      <c r="F3625" s="15"/>
    </row>
    <row r="3626" spans="2:6">
      <c r="C3626" s="11"/>
      <c r="D3626" s="15"/>
      <c r="E3626" s="227"/>
      <c r="F3626" s="15"/>
    </row>
    <row r="3627" spans="2:6">
      <c r="C3627" s="11"/>
      <c r="D3627" s="15"/>
      <c r="E3627" s="227"/>
      <c r="F3627" s="15"/>
    </row>
    <row r="3628" spans="2:6">
      <c r="B3628" s="519" t="s">
        <v>1079</v>
      </c>
      <c r="C3628" s="12" t="s">
        <v>1908</v>
      </c>
      <c r="D3628" s="16" t="s">
        <v>353</v>
      </c>
      <c r="E3628" s="29" t="s">
        <v>354</v>
      </c>
      <c r="F3628" s="16" t="s">
        <v>355</v>
      </c>
    </row>
    <row r="3629" spans="2:6">
      <c r="C3629" s="217" t="s">
        <v>1896</v>
      </c>
    </row>
    <row r="3630" spans="2:6">
      <c r="C3630" s="217" t="s">
        <v>1897</v>
      </c>
    </row>
    <row r="3631" spans="2:6">
      <c r="C3631" s="217" t="s">
        <v>1898</v>
      </c>
    </row>
    <row r="3632" spans="2:6">
      <c r="C3632" s="217"/>
    </row>
    <row r="3633" spans="2:6">
      <c r="C3633" s="11"/>
      <c r="D3633" s="18" t="e">
        <f>SUM(#REF!)</f>
        <v>#REF!</v>
      </c>
      <c r="E3633" s="227" t="e">
        <f>SUM(#REF!)</f>
        <v>#REF!</v>
      </c>
      <c r="F3633" s="18" t="e">
        <f>SUM(#REF!)</f>
        <v>#REF!</v>
      </c>
    </row>
    <row r="3634" spans="2:6">
      <c r="C3634" s="11"/>
      <c r="D3634" s="18"/>
      <c r="E3634" s="227" t="e">
        <f>D3633-E3633</f>
        <v>#REF!</v>
      </c>
      <c r="F3634" s="18" t="e">
        <f>D3633-F3633</f>
        <v>#REF!</v>
      </c>
    </row>
    <row r="3635" spans="2:6">
      <c r="C3635" s="11"/>
      <c r="D3635" s="18"/>
      <c r="E3635" s="227"/>
      <c r="F3635" s="18"/>
    </row>
    <row r="3636" spans="2:6">
      <c r="C3636" s="11"/>
      <c r="D3636" s="18"/>
      <c r="E3636" s="227"/>
      <c r="F3636" s="18"/>
    </row>
    <row r="3637" spans="2:6">
      <c r="C3637" s="11"/>
      <c r="D3637" s="18"/>
      <c r="E3637" s="227"/>
      <c r="F3637" s="18"/>
    </row>
    <row r="3638" spans="2:6">
      <c r="C3638" s="12" t="s">
        <v>1010</v>
      </c>
      <c r="D3638" s="15" t="s">
        <v>1012</v>
      </c>
      <c r="E3638" s="29"/>
      <c r="F3638" s="15"/>
    </row>
    <row r="3639" spans="2:6">
      <c r="C3639" s="11"/>
      <c r="D3639" s="18"/>
      <c r="E3639" s="227"/>
      <c r="F3639" s="18"/>
    </row>
    <row r="3640" spans="2:6">
      <c r="C3640" s="11"/>
      <c r="D3640" s="18"/>
      <c r="E3640" s="227"/>
      <c r="F3640" s="18"/>
    </row>
    <row r="3641" spans="2:6">
      <c r="C3641" s="11"/>
      <c r="D3641" s="18"/>
      <c r="E3641" s="227"/>
      <c r="F3641" s="18"/>
    </row>
    <row r="3642" spans="2:6">
      <c r="B3642" s="578" t="s">
        <v>1202</v>
      </c>
      <c r="C3642" s="12" t="s">
        <v>1909</v>
      </c>
      <c r="D3642" s="16" t="s">
        <v>353</v>
      </c>
      <c r="E3642" s="29" t="s">
        <v>354</v>
      </c>
      <c r="F3642" s="16" t="s">
        <v>355</v>
      </c>
    </row>
    <row r="3643" spans="2:6">
      <c r="C3643" s="187" t="s">
        <v>1013</v>
      </c>
      <c r="D3643" s="18">
        <v>0.02</v>
      </c>
      <c r="E3643" s="18">
        <v>0.02</v>
      </c>
      <c r="F3643" s="18">
        <v>0.02</v>
      </c>
    </row>
    <row r="3644" spans="2:6" ht="28.8">
      <c r="C3644" s="187" t="s">
        <v>1014</v>
      </c>
      <c r="D3644" s="18">
        <v>0.01</v>
      </c>
      <c r="E3644" s="18">
        <v>0.01</v>
      </c>
      <c r="F3644" s="18">
        <v>0.01</v>
      </c>
    </row>
    <row r="3645" spans="2:6" ht="28.8">
      <c r="C3645" s="187" t="s">
        <v>1015</v>
      </c>
      <c r="D3645" s="18">
        <v>0.02</v>
      </c>
      <c r="E3645" s="18">
        <v>0.02</v>
      </c>
      <c r="F3645" s="18">
        <v>0.02</v>
      </c>
    </row>
    <row r="3646" spans="2:6">
      <c r="C3646" s="187" t="s">
        <v>1016</v>
      </c>
      <c r="D3646" s="18">
        <v>0.02</v>
      </c>
      <c r="E3646" s="18">
        <v>0.02</v>
      </c>
      <c r="F3646" s="18">
        <v>0.02</v>
      </c>
    </row>
    <row r="3647" spans="2:6">
      <c r="C3647" s="187" t="s">
        <v>1017</v>
      </c>
      <c r="D3647" s="18">
        <v>0.01</v>
      </c>
      <c r="E3647" s="18">
        <v>0.01</v>
      </c>
      <c r="F3647" s="18">
        <v>0.01</v>
      </c>
    </row>
    <row r="3648" spans="2:6" ht="28.8">
      <c r="C3648" s="187" t="s">
        <v>1018</v>
      </c>
      <c r="D3648" s="18">
        <v>0.02</v>
      </c>
      <c r="E3648" s="18">
        <v>0.02</v>
      </c>
      <c r="F3648" s="18">
        <v>0.02</v>
      </c>
    </row>
    <row r="3649" spans="3:6" ht="28.8">
      <c r="C3649" s="187" t="s">
        <v>1019</v>
      </c>
      <c r="D3649" s="18">
        <v>0.03</v>
      </c>
      <c r="E3649" s="18">
        <v>0.03</v>
      </c>
      <c r="F3649" s="18">
        <v>0.03</v>
      </c>
    </row>
    <row r="3650" spans="3:6">
      <c r="C3650" s="187" t="s">
        <v>1020</v>
      </c>
      <c r="D3650" s="18">
        <v>0.03</v>
      </c>
      <c r="E3650" s="18">
        <v>0.03</v>
      </c>
      <c r="F3650" s="18">
        <v>0.03</v>
      </c>
    </row>
    <row r="3651" spans="3:6" ht="43.2">
      <c r="C3651" s="187" t="s">
        <v>1021</v>
      </c>
      <c r="D3651" s="18">
        <v>0.02</v>
      </c>
      <c r="E3651" s="18">
        <v>0.02</v>
      </c>
      <c r="F3651" s="18">
        <v>0.02</v>
      </c>
    </row>
    <row r="3652" spans="3:6">
      <c r="C3652" s="187" t="s">
        <v>1022</v>
      </c>
      <c r="D3652" s="18">
        <v>0.03</v>
      </c>
      <c r="E3652" s="18">
        <v>0.03</v>
      </c>
      <c r="F3652" s="18">
        <v>0.03</v>
      </c>
    </row>
    <row r="3653" spans="3:6">
      <c r="C3653" s="187" t="s">
        <v>1023</v>
      </c>
      <c r="D3653" s="18">
        <v>0.02</v>
      </c>
      <c r="E3653" s="18">
        <v>0.02</v>
      </c>
      <c r="F3653" s="18">
        <v>0.02</v>
      </c>
    </row>
    <row r="3654" spans="3:6">
      <c r="C3654" s="187" t="s">
        <v>1910</v>
      </c>
      <c r="D3654" s="18">
        <v>0.1</v>
      </c>
      <c r="E3654" s="18">
        <v>0.1</v>
      </c>
      <c r="F3654" s="18">
        <v>0.1</v>
      </c>
    </row>
    <row r="3655" spans="3:6" ht="28.8">
      <c r="C3655" s="187" t="s">
        <v>1911</v>
      </c>
      <c r="D3655" s="18">
        <v>0.1</v>
      </c>
      <c r="E3655" s="18">
        <v>0.1</v>
      </c>
      <c r="F3655" s="18">
        <v>0.1</v>
      </c>
    </row>
    <row r="3656" spans="3:6">
      <c r="C3656" s="187" t="s">
        <v>1024</v>
      </c>
      <c r="D3656" s="18">
        <v>0.02</v>
      </c>
      <c r="E3656" s="18">
        <v>0.02</v>
      </c>
      <c r="F3656" s="18">
        <v>0.02</v>
      </c>
    </row>
    <row r="3657" spans="3:6">
      <c r="C3657" s="187" t="s">
        <v>1025</v>
      </c>
      <c r="D3657" s="18">
        <v>0.05</v>
      </c>
      <c r="E3657" s="18">
        <v>0.05</v>
      </c>
      <c r="F3657" s="18">
        <v>0.05</v>
      </c>
    </row>
    <row r="3658" spans="3:6">
      <c r="C3658" s="187" t="s">
        <v>1026</v>
      </c>
      <c r="D3658" s="18">
        <v>0.1</v>
      </c>
      <c r="E3658" s="18">
        <v>0.1</v>
      </c>
      <c r="F3658" s="18">
        <v>0.1</v>
      </c>
    </row>
    <row r="3659" spans="3:6" ht="43.2">
      <c r="C3659" s="187" t="s">
        <v>1027</v>
      </c>
      <c r="D3659" s="18">
        <v>0.25</v>
      </c>
      <c r="E3659" s="18">
        <v>0.25</v>
      </c>
      <c r="F3659" s="18">
        <v>0.25</v>
      </c>
    </row>
    <row r="3660" spans="3:6" ht="28.8">
      <c r="C3660" s="187" t="s">
        <v>1028</v>
      </c>
      <c r="D3660" s="18">
        <v>0.05</v>
      </c>
      <c r="E3660" s="18">
        <v>0.05</v>
      </c>
      <c r="F3660" s="18">
        <v>0.05</v>
      </c>
    </row>
    <row r="3661" spans="3:6">
      <c r="C3661" s="187" t="s">
        <v>1029</v>
      </c>
      <c r="D3661" s="18">
        <v>0.05</v>
      </c>
      <c r="E3661" s="18">
        <v>0.05</v>
      </c>
      <c r="F3661" s="18">
        <v>0.05</v>
      </c>
    </row>
    <row r="3662" spans="3:6">
      <c r="C3662" s="187" t="s">
        <v>1030</v>
      </c>
      <c r="D3662" s="18">
        <v>0.05</v>
      </c>
      <c r="E3662" s="18">
        <v>0.05</v>
      </c>
      <c r="F3662" s="18">
        <v>0.05</v>
      </c>
    </row>
    <row r="3663" spans="3:6">
      <c r="C3663" s="11"/>
      <c r="D3663" s="18">
        <f>SUM(D3643:D3662)</f>
        <v>1</v>
      </c>
      <c r="E3663" s="227">
        <f>SUM(E3643:E3662)</f>
        <v>1</v>
      </c>
      <c r="F3663" s="18">
        <f>SUM(F3643:F3662)</f>
        <v>1</v>
      </c>
    </row>
    <row r="3664" spans="3:6">
      <c r="C3664" s="11"/>
      <c r="D3664" s="18"/>
      <c r="E3664" s="227">
        <f>E3663-D3663</f>
        <v>0</v>
      </c>
      <c r="F3664" s="18">
        <f>D3663-F3663</f>
        <v>0</v>
      </c>
    </row>
    <row r="3665" spans="3:16">
      <c r="C3665" s="11"/>
      <c r="D3665" s="18"/>
      <c r="E3665" s="227"/>
      <c r="F3665" s="18"/>
    </row>
    <row r="3666" spans="3:16">
      <c r="C3666" s="12" t="s">
        <v>642</v>
      </c>
      <c r="D3666" s="15" t="s">
        <v>1031</v>
      </c>
      <c r="E3666" s="29"/>
      <c r="F3666" s="15"/>
    </row>
    <row r="3667" spans="3:16">
      <c r="C3667" s="11"/>
      <c r="D3667" s="15"/>
      <c r="E3667" s="227"/>
      <c r="F3667" s="15"/>
    </row>
    <row r="3668" spans="3:16">
      <c r="D3668" s="84"/>
      <c r="E3668" s="289"/>
      <c r="F3668" s="84"/>
      <c r="I3668" s="857" t="s">
        <v>1037</v>
      </c>
      <c r="J3668" s="857"/>
      <c r="K3668" s="857"/>
      <c r="L3668" s="857"/>
      <c r="M3668" s="857"/>
      <c r="N3668" s="857"/>
      <c r="O3668" s="857"/>
      <c r="P3668" s="857"/>
    </row>
    <row r="3669" spans="3:16">
      <c r="D3669" s="84"/>
      <c r="E3669" s="289"/>
      <c r="F3669" s="84"/>
      <c r="I3669" s="854" t="s">
        <v>1042</v>
      </c>
      <c r="J3669" s="854"/>
      <c r="K3669" s="854"/>
      <c r="L3669" s="854"/>
      <c r="M3669" s="854"/>
      <c r="N3669" s="854"/>
      <c r="O3669" s="854"/>
      <c r="P3669" s="854"/>
    </row>
    <row r="3670" spans="3:16">
      <c r="I3670" s="829" t="s">
        <v>1912</v>
      </c>
      <c r="J3670" s="829"/>
      <c r="K3670" s="271"/>
      <c r="L3670" s="829" t="s">
        <v>1077</v>
      </c>
      <c r="M3670" s="829"/>
      <c r="N3670" s="271"/>
      <c r="O3670" s="867" t="s">
        <v>1078</v>
      </c>
      <c r="P3670" s="867"/>
    </row>
    <row r="3671" spans="3:16" ht="28.8">
      <c r="C3671" s="240" t="s">
        <v>94</v>
      </c>
      <c r="D3671" s="16" t="s">
        <v>353</v>
      </c>
      <c r="E3671" s="29" t="s">
        <v>354</v>
      </c>
      <c r="F3671" s="16" t="s">
        <v>355</v>
      </c>
      <c r="I3671" s="93" t="s">
        <v>1080</v>
      </c>
      <c r="J3671" s="94" t="s">
        <v>1081</v>
      </c>
      <c r="K3671" s="94"/>
      <c r="L3671" s="93" t="s">
        <v>1080</v>
      </c>
      <c r="M3671" s="94" t="s">
        <v>1081</v>
      </c>
      <c r="N3671" s="94"/>
      <c r="O3671" s="93" t="s">
        <v>1080</v>
      </c>
      <c r="P3671" s="94" t="s">
        <v>1081</v>
      </c>
    </row>
    <row r="3672" spans="3:16">
      <c r="C3672" t="s">
        <v>1913</v>
      </c>
      <c r="E3672" s="6">
        <v>0.01</v>
      </c>
      <c r="F3672" s="6">
        <v>0.01</v>
      </c>
      <c r="I3672" s="161">
        <v>0.01</v>
      </c>
      <c r="J3672" s="161">
        <f>F3672</f>
        <v>0.01</v>
      </c>
      <c r="K3672" s="161"/>
      <c r="L3672" s="129">
        <f t="shared" ref="L3672:M3675" si="215">E3672</f>
        <v>0.01</v>
      </c>
      <c r="M3672" s="129">
        <f t="shared" si="215"/>
        <v>0.01</v>
      </c>
      <c r="N3672" s="129"/>
      <c r="O3672" s="125"/>
      <c r="P3672" s="125"/>
    </row>
    <row r="3673" spans="3:16">
      <c r="C3673" t="s">
        <v>1914</v>
      </c>
      <c r="E3673" s="6">
        <v>0.05</v>
      </c>
      <c r="F3673" s="6">
        <v>0.05</v>
      </c>
      <c r="I3673" s="161">
        <f>E3673</f>
        <v>0.05</v>
      </c>
      <c r="J3673" s="161">
        <f>F3673</f>
        <v>0.05</v>
      </c>
      <c r="K3673" s="161"/>
      <c r="L3673" s="129">
        <f t="shared" si="215"/>
        <v>0.05</v>
      </c>
      <c r="M3673" s="129">
        <f t="shared" si="215"/>
        <v>0.05</v>
      </c>
      <c r="N3673" s="129"/>
      <c r="O3673" s="125"/>
      <c r="P3673" s="125"/>
    </row>
    <row r="3674" spans="3:16">
      <c r="C3674" t="s">
        <v>1915</v>
      </c>
      <c r="E3674" s="6">
        <v>0.03</v>
      </c>
      <c r="F3674" s="6">
        <v>0.03</v>
      </c>
      <c r="I3674" s="215">
        <f>E3674</f>
        <v>0.03</v>
      </c>
      <c r="J3674" s="215">
        <f>F3674</f>
        <v>0.03</v>
      </c>
      <c r="K3674" s="215"/>
      <c r="L3674" s="163">
        <f t="shared" si="215"/>
        <v>0.03</v>
      </c>
      <c r="M3674" s="163">
        <f t="shared" si="215"/>
        <v>0.03</v>
      </c>
      <c r="N3674" s="163"/>
      <c r="O3674" s="131"/>
      <c r="P3674" s="131"/>
    </row>
    <row r="3675" spans="3:16">
      <c r="C3675" t="s">
        <v>1916</v>
      </c>
      <c r="E3675" s="6">
        <v>0.03</v>
      </c>
      <c r="F3675" s="6">
        <v>0.03</v>
      </c>
      <c r="I3675" s="161">
        <f>E3675</f>
        <v>0.03</v>
      </c>
      <c r="J3675" s="161">
        <f>F3675</f>
        <v>0.03</v>
      </c>
      <c r="K3675" s="161"/>
      <c r="L3675" s="129">
        <f t="shared" si="215"/>
        <v>0.03</v>
      </c>
      <c r="M3675" s="129">
        <f t="shared" si="215"/>
        <v>0.03</v>
      </c>
      <c r="N3675" s="129"/>
      <c r="O3675" s="125"/>
      <c r="P3675" s="125"/>
    </row>
    <row r="3676" spans="3:16">
      <c r="C3676" t="s">
        <v>1917</v>
      </c>
      <c r="E3676" s="6">
        <v>0.02</v>
      </c>
      <c r="F3676" s="6">
        <v>0.02</v>
      </c>
      <c r="I3676" s="65"/>
      <c r="J3676" s="65"/>
      <c r="K3676" s="65"/>
      <c r="L3676" s="65"/>
      <c r="M3676" s="65"/>
      <c r="N3676" s="65"/>
      <c r="O3676" s="6"/>
      <c r="P3676" s="6"/>
    </row>
    <row r="3677" spans="3:16">
      <c r="C3677" t="s">
        <v>1918</v>
      </c>
      <c r="E3677" s="6">
        <v>0.15</v>
      </c>
      <c r="F3677" s="6">
        <v>0.15</v>
      </c>
      <c r="I3677" s="6"/>
      <c r="J3677" s="6"/>
      <c r="K3677" s="6"/>
      <c r="L3677" s="6"/>
      <c r="M3677" s="6"/>
      <c r="N3677" s="6"/>
      <c r="O3677" s="6"/>
      <c r="P3677" s="6"/>
    </row>
    <row r="3678" spans="3:16">
      <c r="C3678" t="s">
        <v>1919</v>
      </c>
      <c r="E3678" s="6">
        <v>0.25</v>
      </c>
      <c r="F3678" s="6">
        <v>0.25</v>
      </c>
    </row>
    <row r="3679" spans="3:16">
      <c r="C3679" t="s">
        <v>1920</v>
      </c>
      <c r="E3679" s="6">
        <v>0.15</v>
      </c>
      <c r="F3679" s="6">
        <v>0.15</v>
      </c>
    </row>
    <row r="3680" spans="3:16">
      <c r="C3680" t="s">
        <v>1921</v>
      </c>
      <c r="E3680" s="6">
        <v>0.01</v>
      </c>
      <c r="F3680" s="6">
        <v>0.01</v>
      </c>
    </row>
    <row r="3681" spans="3:16">
      <c r="C3681" t="s">
        <v>1922</v>
      </c>
      <c r="E3681" s="6">
        <v>0.01</v>
      </c>
      <c r="F3681" s="6">
        <v>0.01</v>
      </c>
    </row>
    <row r="3682" spans="3:16">
      <c r="C3682" t="s">
        <v>1923</v>
      </c>
      <c r="E3682" s="6">
        <v>0.01</v>
      </c>
      <c r="F3682" s="6">
        <v>0.01</v>
      </c>
    </row>
    <row r="3683" spans="3:16">
      <c r="C3683" t="s">
        <v>1924</v>
      </c>
      <c r="E3683" s="6">
        <v>7.0000000000000007E-2</v>
      </c>
      <c r="F3683" s="6">
        <v>7.0000000000000007E-2</v>
      </c>
    </row>
    <row r="3684" spans="3:16">
      <c r="C3684" t="s">
        <v>1925</v>
      </c>
      <c r="E3684" s="6">
        <v>0.01</v>
      </c>
      <c r="F3684" s="6">
        <v>0.01</v>
      </c>
    </row>
    <row r="3685" spans="3:16">
      <c r="C3685" t="s">
        <v>1926</v>
      </c>
      <c r="E3685" s="6">
        <v>0.01</v>
      </c>
      <c r="F3685" s="6">
        <v>0.01</v>
      </c>
    </row>
    <row r="3686" spans="3:16">
      <c r="C3686" t="s">
        <v>1927</v>
      </c>
      <c r="E3686" s="6">
        <v>0.05</v>
      </c>
      <c r="F3686" s="6">
        <v>0.05</v>
      </c>
    </row>
    <row r="3687" spans="3:16">
      <c r="C3687" t="s">
        <v>1928</v>
      </c>
      <c r="E3687" s="6">
        <v>0.03</v>
      </c>
      <c r="F3687" s="6">
        <v>0.01</v>
      </c>
    </row>
    <row r="3688" spans="3:16">
      <c r="C3688" t="s">
        <v>1929</v>
      </c>
      <c r="E3688" s="6">
        <v>0.01</v>
      </c>
      <c r="F3688" s="6">
        <v>0.01</v>
      </c>
    </row>
    <row r="3689" spans="3:16">
      <c r="C3689" t="s">
        <v>1930</v>
      </c>
      <c r="E3689" s="6">
        <v>0.05</v>
      </c>
      <c r="F3689" s="6">
        <v>0.01</v>
      </c>
    </row>
    <row r="3690" spans="3:16">
      <c r="C3690" t="s">
        <v>1931</v>
      </c>
      <c r="E3690" s="6">
        <v>0.03</v>
      </c>
      <c r="F3690" s="6">
        <v>0.03</v>
      </c>
    </row>
    <row r="3691" spans="3:16">
      <c r="C3691" t="s">
        <v>1932</v>
      </c>
      <c r="E3691" s="6">
        <v>0.02</v>
      </c>
      <c r="F3691" s="6">
        <v>0.02</v>
      </c>
    </row>
    <row r="3692" spans="3:16">
      <c r="E3692" s="33">
        <f>SUM(E3672:E3691)</f>
        <v>1.0000000000000002</v>
      </c>
      <c r="F3692" s="33">
        <f>SUM(F3672:F3691)</f>
        <v>0.94000000000000017</v>
      </c>
    </row>
    <row r="3693" spans="3:16">
      <c r="F3693" s="33">
        <f>E3692-F3692</f>
        <v>6.0000000000000053E-2</v>
      </c>
    </row>
    <row r="3694" spans="3:16">
      <c r="C3694" s="1" t="s">
        <v>1933</v>
      </c>
      <c r="L3694" s="219"/>
      <c r="M3694" s="219"/>
      <c r="N3694" s="219"/>
      <c r="O3694" s="219"/>
      <c r="P3694" s="219"/>
    </row>
    <row r="3695" spans="3:16" ht="86.4">
      <c r="I3695" s="268" t="s">
        <v>1934</v>
      </c>
      <c r="J3695" s="274"/>
      <c r="K3695" s="330"/>
      <c r="L3695" s="271" t="s">
        <v>1935</v>
      </c>
      <c r="M3695" s="274"/>
      <c r="N3695" s="330"/>
      <c r="O3695" s="272" t="s">
        <v>1032</v>
      </c>
      <c r="P3695" s="269"/>
    </row>
    <row r="3696" spans="3:16" ht="28.8">
      <c r="I3696" s="271" t="s">
        <v>1033</v>
      </c>
      <c r="J3696" s="94" t="s">
        <v>1081</v>
      </c>
      <c r="K3696" s="94"/>
      <c r="L3696" s="93" t="s">
        <v>1080</v>
      </c>
      <c r="M3696" s="94" t="s">
        <v>1081</v>
      </c>
      <c r="N3696" s="94"/>
      <c r="O3696" s="93" t="s">
        <v>1080</v>
      </c>
      <c r="P3696" s="94" t="s">
        <v>1081</v>
      </c>
    </row>
    <row r="3697" spans="3:36" ht="28.8">
      <c r="C3697" s="240" t="s">
        <v>92</v>
      </c>
      <c r="D3697" s="16" t="s">
        <v>353</v>
      </c>
      <c r="E3697" s="29" t="s">
        <v>354</v>
      </c>
      <c r="F3697" s="16" t="s">
        <v>355</v>
      </c>
      <c r="I3697" s="93" t="s">
        <v>1080</v>
      </c>
      <c r="J3697" s="94"/>
      <c r="K3697" s="94"/>
      <c r="L3697" s="93"/>
      <c r="M3697" s="94"/>
      <c r="N3697" s="94"/>
      <c r="O3697" s="93"/>
      <c r="P3697" s="280"/>
    </row>
    <row r="3698" spans="3:36" s="50" customFormat="1">
      <c r="C3698" s="50" t="s">
        <v>1936</v>
      </c>
      <c r="D3698" s="287">
        <v>0.2</v>
      </c>
      <c r="E3698" s="288">
        <f>D3698</f>
        <v>0.2</v>
      </c>
      <c r="F3698" s="287">
        <v>0.2</v>
      </c>
      <c r="I3698" s="285">
        <f>D3698</f>
        <v>0.2</v>
      </c>
      <c r="J3698" s="286">
        <f>F3698</f>
        <v>0.2</v>
      </c>
      <c r="K3698" s="286"/>
      <c r="L3698" s="285">
        <f>F3698</f>
        <v>0.2</v>
      </c>
      <c r="M3698" s="286">
        <f>F3698</f>
        <v>0.2</v>
      </c>
      <c r="N3698" s="286"/>
      <c r="O3698" s="285">
        <v>0.2</v>
      </c>
      <c r="P3698" s="286">
        <v>0.2</v>
      </c>
      <c r="AD3698" s="128"/>
      <c r="AJ3698" s="394"/>
    </row>
    <row r="3699" spans="3:36" s="50" customFormat="1">
      <c r="C3699" s="50" t="s">
        <v>1937</v>
      </c>
      <c r="D3699" s="287">
        <v>0.2</v>
      </c>
      <c r="E3699" s="288">
        <v>0.2</v>
      </c>
      <c r="F3699" s="287">
        <v>0.2</v>
      </c>
      <c r="I3699" s="285">
        <f>D3699</f>
        <v>0.2</v>
      </c>
      <c r="J3699" s="286">
        <f>F3699</f>
        <v>0.2</v>
      </c>
      <c r="K3699" s="286"/>
      <c r="L3699" s="285">
        <f>F3699</f>
        <v>0.2</v>
      </c>
      <c r="M3699" s="286">
        <f>F3699</f>
        <v>0.2</v>
      </c>
      <c r="N3699" s="286"/>
      <c r="O3699" s="285">
        <v>0.2</v>
      </c>
      <c r="P3699" s="98">
        <v>0.2</v>
      </c>
      <c r="AD3699" s="128"/>
      <c r="AJ3699" s="394"/>
    </row>
    <row r="3700" spans="3:36">
      <c r="C3700" s="50" t="s">
        <v>1938</v>
      </c>
      <c r="D3700" s="232">
        <v>0.05</v>
      </c>
      <c r="E3700" s="289">
        <v>0.05</v>
      </c>
      <c r="F3700" s="232">
        <v>0.05</v>
      </c>
      <c r="I3700" s="97">
        <f>D3700</f>
        <v>0.05</v>
      </c>
      <c r="J3700" s="98">
        <f>F3700</f>
        <v>0.05</v>
      </c>
      <c r="K3700" s="98"/>
      <c r="L3700" s="98">
        <v>0.05</v>
      </c>
      <c r="M3700" s="98">
        <v>0.05</v>
      </c>
      <c r="N3700" s="98"/>
      <c r="O3700" s="125">
        <v>0.05</v>
      </c>
      <c r="P3700" s="125">
        <f>E3700</f>
        <v>0.05</v>
      </c>
    </row>
    <row r="3701" spans="3:36">
      <c r="C3701" t="s">
        <v>1939</v>
      </c>
      <c r="D3701" s="6">
        <v>0.22</v>
      </c>
      <c r="E3701" s="6">
        <v>0.22</v>
      </c>
      <c r="F3701" s="6">
        <v>0.22</v>
      </c>
      <c r="I3701" s="97">
        <f>D3701</f>
        <v>0.22</v>
      </c>
      <c r="J3701" s="98">
        <f>F3701</f>
        <v>0.22</v>
      </c>
      <c r="K3701" s="98"/>
      <c r="L3701" s="98">
        <f>E3702</f>
        <v>0.15</v>
      </c>
      <c r="M3701" s="98">
        <f>F3702</f>
        <v>0.15</v>
      </c>
      <c r="N3701" s="98"/>
      <c r="O3701" s="125">
        <f>E3702</f>
        <v>0.15</v>
      </c>
      <c r="P3701" s="125">
        <v>0.15</v>
      </c>
    </row>
    <row r="3702" spans="3:36">
      <c r="C3702" t="s">
        <v>1940</v>
      </c>
      <c r="D3702" s="6">
        <v>0.15</v>
      </c>
      <c r="E3702" s="6">
        <v>0.15</v>
      </c>
      <c r="F3702" s="6">
        <v>0.15</v>
      </c>
      <c r="I3702" s="97">
        <f>D3702</f>
        <v>0.15</v>
      </c>
      <c r="J3702" s="98">
        <f>F3702</f>
        <v>0.15</v>
      </c>
      <c r="K3702" s="98"/>
      <c r="L3702" s="98">
        <f>E3703</f>
        <v>0.04</v>
      </c>
      <c r="M3702" s="98">
        <f>F3703</f>
        <v>0.04</v>
      </c>
      <c r="N3702" s="98"/>
      <c r="O3702" s="125">
        <f>E3703</f>
        <v>0.04</v>
      </c>
      <c r="P3702" s="125">
        <v>0.04</v>
      </c>
    </row>
    <row r="3703" spans="3:36">
      <c r="C3703" t="s">
        <v>1941</v>
      </c>
      <c r="D3703" s="6">
        <v>0.04</v>
      </c>
      <c r="E3703" s="6">
        <v>0.04</v>
      </c>
      <c r="F3703" s="6">
        <v>0.04</v>
      </c>
      <c r="I3703" s="97"/>
      <c r="J3703" s="98"/>
      <c r="K3703" s="98"/>
      <c r="L3703" s="98">
        <f>E3703</f>
        <v>0.04</v>
      </c>
      <c r="M3703" s="98">
        <f>F3703</f>
        <v>0.04</v>
      </c>
      <c r="N3703" s="98"/>
      <c r="O3703" s="125">
        <f>F3703</f>
        <v>0.04</v>
      </c>
      <c r="P3703" s="125">
        <f>L3703</f>
        <v>0.04</v>
      </c>
    </row>
    <row r="3704" spans="3:36">
      <c r="C3704" t="s">
        <v>1942</v>
      </c>
      <c r="D3704" s="6">
        <v>0.01</v>
      </c>
      <c r="E3704" s="6">
        <v>0.01</v>
      </c>
      <c r="F3704" s="6">
        <v>0</v>
      </c>
      <c r="I3704" s="97">
        <f>E3704</f>
        <v>0.01</v>
      </c>
      <c r="J3704" s="98">
        <f>F3704</f>
        <v>0</v>
      </c>
      <c r="K3704" s="98"/>
      <c r="L3704" s="98">
        <f>E3704</f>
        <v>0.01</v>
      </c>
      <c r="M3704" s="98">
        <f>F3704</f>
        <v>0</v>
      </c>
      <c r="N3704" s="98"/>
      <c r="O3704" s="125">
        <f>E3704</f>
        <v>0.01</v>
      </c>
      <c r="P3704" s="125">
        <f>F3704</f>
        <v>0</v>
      </c>
    </row>
    <row r="3705" spans="3:36">
      <c r="C3705" t="s">
        <v>1943</v>
      </c>
      <c r="D3705" s="6">
        <v>0.1</v>
      </c>
      <c r="E3705" s="6">
        <v>0.1</v>
      </c>
      <c r="F3705" s="6">
        <v>0.06</v>
      </c>
      <c r="I3705" s="97"/>
      <c r="J3705" s="98">
        <f>F3706</f>
        <v>0.03</v>
      </c>
      <c r="K3705" s="98"/>
      <c r="L3705" s="98">
        <f>E3706</f>
        <v>0.05</v>
      </c>
      <c r="M3705" s="98">
        <f>F3706</f>
        <v>0.03</v>
      </c>
      <c r="N3705" s="98"/>
      <c r="O3705" s="125">
        <f>E3706</f>
        <v>0.05</v>
      </c>
      <c r="P3705" s="125"/>
    </row>
    <row r="3706" spans="3:36">
      <c r="C3706" t="s">
        <v>1944</v>
      </c>
      <c r="D3706" s="6">
        <v>0.05</v>
      </c>
      <c r="E3706" s="6">
        <v>0.05</v>
      </c>
      <c r="F3706" s="6">
        <v>0.03</v>
      </c>
      <c r="I3706" s="97">
        <f>E3706</f>
        <v>0.05</v>
      </c>
      <c r="J3706" s="98">
        <f>G3707</f>
        <v>0</v>
      </c>
      <c r="K3706" s="98"/>
      <c r="L3706" s="98"/>
      <c r="M3706" s="98"/>
      <c r="N3706" s="98"/>
      <c r="O3706" s="125"/>
      <c r="P3706" s="124">
        <f>F3706</f>
        <v>0.03</v>
      </c>
    </row>
    <row r="3707" spans="3:36">
      <c r="C3707" t="s">
        <v>1945</v>
      </c>
      <c r="D3707" s="6">
        <v>0.01</v>
      </c>
      <c r="E3707" s="6">
        <v>0.01</v>
      </c>
      <c r="F3707" s="6">
        <v>0.01</v>
      </c>
      <c r="I3707" s="98">
        <f>F3707</f>
        <v>0.01</v>
      </c>
      <c r="J3707" s="125"/>
      <c r="K3707" s="125"/>
      <c r="L3707" s="124">
        <f>F3708</f>
        <v>0.05</v>
      </c>
      <c r="M3707" s="124">
        <f>G3708</f>
        <v>0</v>
      </c>
      <c r="N3707" s="124"/>
      <c r="O3707" s="124">
        <f>F3708</f>
        <v>0.05</v>
      </c>
      <c r="P3707" s="125"/>
    </row>
    <row r="3708" spans="3:36">
      <c r="C3708" t="s">
        <v>1946</v>
      </c>
      <c r="D3708" s="6">
        <v>0.05</v>
      </c>
      <c r="E3708" s="6">
        <v>0.05</v>
      </c>
      <c r="F3708" s="6">
        <v>0.05</v>
      </c>
      <c r="I3708" s="125"/>
      <c r="J3708" s="125"/>
      <c r="K3708" s="125"/>
      <c r="L3708" s="125">
        <f>F3709</f>
        <v>0.05</v>
      </c>
      <c r="M3708" s="125">
        <f>G3709</f>
        <v>0</v>
      </c>
      <c r="N3708" s="125"/>
      <c r="O3708" s="125"/>
      <c r="P3708" s="125"/>
    </row>
    <row r="3709" spans="3:36">
      <c r="C3709" t="s">
        <v>1947</v>
      </c>
      <c r="D3709" s="6">
        <v>0.05</v>
      </c>
      <c r="E3709" s="6">
        <v>0.05</v>
      </c>
      <c r="F3709" s="6">
        <v>0.05</v>
      </c>
      <c r="I3709" s="125"/>
      <c r="J3709" s="125">
        <f>G3710</f>
        <v>0</v>
      </c>
      <c r="K3709" s="125"/>
      <c r="L3709" s="125"/>
      <c r="M3709" s="125"/>
      <c r="N3709" s="125"/>
      <c r="O3709" s="125"/>
      <c r="P3709" s="125"/>
    </row>
    <row r="3710" spans="3:36">
      <c r="C3710" t="s">
        <v>1948</v>
      </c>
      <c r="D3710" s="6">
        <v>0.04</v>
      </c>
      <c r="E3710" s="6">
        <v>0.04</v>
      </c>
      <c r="F3710" s="6">
        <v>0.04</v>
      </c>
      <c r="I3710" s="125">
        <f>F3710</f>
        <v>0.04</v>
      </c>
      <c r="J3710" s="125"/>
      <c r="K3710" s="125"/>
      <c r="L3710" s="125">
        <f>F3711</f>
        <v>0.1</v>
      </c>
      <c r="M3710" s="125">
        <f>G3711</f>
        <v>0</v>
      </c>
      <c r="N3710" s="125"/>
      <c r="O3710" s="125"/>
      <c r="P3710" s="125"/>
    </row>
    <row r="3711" spans="3:36">
      <c r="C3711" t="s">
        <v>1949</v>
      </c>
      <c r="D3711" s="6">
        <v>0.1</v>
      </c>
      <c r="E3711" s="6">
        <v>0.1</v>
      </c>
      <c r="F3711" s="6">
        <v>0.1</v>
      </c>
      <c r="I3711" s="125"/>
      <c r="J3711" s="125">
        <f>G3712</f>
        <v>0</v>
      </c>
      <c r="K3711" s="125"/>
      <c r="L3711" s="125"/>
      <c r="M3711" s="125"/>
      <c r="N3711" s="125"/>
      <c r="O3711" s="125"/>
      <c r="P3711" s="125"/>
    </row>
    <row r="3712" spans="3:36">
      <c r="C3712" t="s">
        <v>1950</v>
      </c>
      <c r="D3712" s="6">
        <v>0.05</v>
      </c>
      <c r="E3712" s="6">
        <v>0.05</v>
      </c>
      <c r="F3712" s="6">
        <v>0.05</v>
      </c>
      <c r="I3712" s="125">
        <f>SUM(I3703:I3711)</f>
        <v>0.11000000000000001</v>
      </c>
      <c r="J3712" s="125"/>
      <c r="K3712" s="125"/>
      <c r="L3712" s="125"/>
      <c r="M3712" s="125"/>
      <c r="N3712" s="125"/>
      <c r="O3712" s="125"/>
    </row>
    <row r="3713" spans="3:16">
      <c r="C3713" t="s">
        <v>1951</v>
      </c>
      <c r="D3713" s="6">
        <v>0.05</v>
      </c>
      <c r="E3713" s="6">
        <v>0.05</v>
      </c>
      <c r="F3713" s="6">
        <v>0.05</v>
      </c>
      <c r="I3713" s="125"/>
      <c r="J3713" s="125"/>
      <c r="K3713" s="125"/>
      <c r="L3713" s="124">
        <f>F3714</f>
        <v>0.05</v>
      </c>
      <c r="M3713" s="124">
        <f>G3714</f>
        <v>0</v>
      </c>
      <c r="N3713" s="124"/>
      <c r="O3713" s="124">
        <f>F3714</f>
        <v>0.05</v>
      </c>
    </row>
    <row r="3714" spans="3:16">
      <c r="C3714" t="s">
        <v>1952</v>
      </c>
      <c r="D3714" s="6">
        <v>0.05</v>
      </c>
      <c r="E3714" s="6">
        <v>0.05</v>
      </c>
      <c r="F3714" s="6">
        <v>0.05</v>
      </c>
      <c r="I3714" s="125"/>
    </row>
    <row r="3715" spans="3:16">
      <c r="C3715" t="s">
        <v>1953</v>
      </c>
      <c r="D3715" s="6">
        <v>0.03</v>
      </c>
      <c r="E3715" s="6">
        <v>0.03</v>
      </c>
      <c r="F3715" s="6">
        <v>0.03</v>
      </c>
    </row>
    <row r="3716" spans="3:16">
      <c r="D3716" s="6">
        <f>SUM(D3701:D3715)</f>
        <v>1.0000000000000002</v>
      </c>
      <c r="E3716" s="6">
        <f>SUM(E3701:E3715)</f>
        <v>1.0000000000000002</v>
      </c>
      <c r="F3716" s="6">
        <f>SUM(F3701:F3715)</f>
        <v>0.93000000000000027</v>
      </c>
    </row>
    <row r="3717" spans="3:16">
      <c r="E3717" s="6">
        <f>D3716-E3716</f>
        <v>0</v>
      </c>
      <c r="F3717" s="6">
        <f>E3716-F3716</f>
        <v>6.9999999999999951E-2</v>
      </c>
    </row>
    <row r="3718" spans="3:16">
      <c r="C3718" t="s">
        <v>366</v>
      </c>
    </row>
    <row r="3719" spans="3:16">
      <c r="I3719" s="268" t="s">
        <v>1612</v>
      </c>
      <c r="J3719" s="219"/>
      <c r="K3719" s="219"/>
      <c r="L3719" s="269"/>
      <c r="M3719" s="269"/>
      <c r="N3719" s="269"/>
      <c r="O3719" s="269"/>
      <c r="P3719" s="270"/>
    </row>
    <row r="3720" spans="3:16" ht="86.4">
      <c r="I3720" s="271" t="s">
        <v>1954</v>
      </c>
      <c r="J3720" s="274"/>
      <c r="K3720" s="330"/>
      <c r="L3720" s="271" t="s">
        <v>1955</v>
      </c>
      <c r="M3720" s="274"/>
      <c r="N3720" s="330"/>
      <c r="O3720" s="272" t="s">
        <v>1956</v>
      </c>
      <c r="P3720" s="273"/>
    </row>
    <row r="3721" spans="3:16" ht="28.8">
      <c r="C3721" s="240" t="s">
        <v>90</v>
      </c>
      <c r="D3721" s="16" t="s">
        <v>353</v>
      </c>
      <c r="E3721" s="16" t="s">
        <v>354</v>
      </c>
      <c r="F3721" s="16" t="s">
        <v>355</v>
      </c>
      <c r="I3721" s="93" t="s">
        <v>1080</v>
      </c>
      <c r="J3721" s="94" t="s">
        <v>1081</v>
      </c>
      <c r="K3721" s="94"/>
      <c r="L3721" s="93" t="s">
        <v>1080</v>
      </c>
      <c r="M3721" s="94" t="s">
        <v>1081</v>
      </c>
      <c r="N3721" s="94"/>
      <c r="O3721" s="93" t="s">
        <v>1080</v>
      </c>
      <c r="P3721" s="94" t="s">
        <v>1081</v>
      </c>
    </row>
    <row r="3722" spans="3:16">
      <c r="C3722" s="290" t="s">
        <v>1957</v>
      </c>
    </row>
    <row r="3723" spans="3:16">
      <c r="C3723" s="31"/>
      <c r="D3723" s="6"/>
      <c r="E3723" s="6"/>
      <c r="F3723" s="6"/>
      <c r="I3723" s="97"/>
      <c r="J3723" s="98"/>
      <c r="K3723" s="98"/>
      <c r="L3723" s="98"/>
      <c r="M3723" s="98"/>
      <c r="N3723" s="98"/>
      <c r="O3723" s="125"/>
      <c r="P3723" s="125"/>
    </row>
    <row r="3724" spans="3:16" ht="28.8">
      <c r="C3724" s="31" t="s">
        <v>1958</v>
      </c>
      <c r="D3724" s="6">
        <v>0.01</v>
      </c>
      <c r="E3724" s="6">
        <v>0.01</v>
      </c>
      <c r="F3724" s="6">
        <v>0.01</v>
      </c>
      <c r="I3724" s="97"/>
      <c r="J3724" s="98"/>
      <c r="K3724" s="98"/>
      <c r="L3724" s="98">
        <f>E3724</f>
        <v>0.01</v>
      </c>
      <c r="M3724" s="98">
        <f>F3724</f>
        <v>0.01</v>
      </c>
      <c r="N3724" s="98"/>
      <c r="O3724" s="125"/>
      <c r="P3724" s="125"/>
    </row>
    <row r="3725" spans="3:16" ht="28.8">
      <c r="C3725" s="31" t="s">
        <v>1959</v>
      </c>
      <c r="D3725" s="6">
        <v>0.22</v>
      </c>
      <c r="E3725" s="6">
        <v>0.22</v>
      </c>
      <c r="F3725" s="6">
        <v>0</v>
      </c>
      <c r="I3725" s="97">
        <f t="shared" ref="I3725:J3728" si="216">E3725</f>
        <v>0.22</v>
      </c>
      <c r="J3725" s="98">
        <f t="shared" si="216"/>
        <v>0</v>
      </c>
      <c r="K3725" s="98"/>
      <c r="L3725" s="98"/>
      <c r="M3725" s="98"/>
      <c r="N3725" s="98"/>
      <c r="O3725" s="125"/>
      <c r="P3725" s="125"/>
    </row>
    <row r="3726" spans="3:16">
      <c r="C3726" s="31" t="s">
        <v>1960</v>
      </c>
      <c r="D3726" s="6">
        <v>0.2</v>
      </c>
      <c r="E3726" s="6">
        <v>0.2</v>
      </c>
      <c r="F3726" s="6">
        <v>0</v>
      </c>
      <c r="I3726" s="97">
        <f t="shared" si="216"/>
        <v>0.2</v>
      </c>
      <c r="J3726" s="98">
        <f t="shared" si="216"/>
        <v>0</v>
      </c>
      <c r="K3726" s="98"/>
      <c r="L3726" s="98"/>
      <c r="M3726" s="98"/>
      <c r="N3726" s="98"/>
      <c r="O3726" s="125"/>
      <c r="P3726" s="125"/>
    </row>
    <row r="3727" spans="3:16">
      <c r="C3727" s="31" t="s">
        <v>1961</v>
      </c>
      <c r="D3727" s="6">
        <v>0.1</v>
      </c>
      <c r="E3727" s="6">
        <v>0.1</v>
      </c>
      <c r="F3727" s="6">
        <v>0</v>
      </c>
      <c r="I3727" s="97">
        <f t="shared" si="216"/>
        <v>0.1</v>
      </c>
      <c r="J3727" s="98">
        <f t="shared" si="216"/>
        <v>0</v>
      </c>
      <c r="K3727" s="98"/>
      <c r="L3727" s="98"/>
      <c r="M3727" s="98"/>
      <c r="N3727" s="98"/>
      <c r="O3727" s="125"/>
      <c r="P3727" s="125"/>
    </row>
    <row r="3728" spans="3:16">
      <c r="C3728" s="31" t="s">
        <v>1962</v>
      </c>
      <c r="D3728" s="6">
        <v>0.2</v>
      </c>
      <c r="E3728" s="6">
        <v>0.2</v>
      </c>
      <c r="F3728" s="6">
        <v>0.2</v>
      </c>
      <c r="I3728" s="98">
        <f t="shared" si="216"/>
        <v>0.2</v>
      </c>
      <c r="J3728" s="98">
        <f t="shared" si="216"/>
        <v>0.2</v>
      </c>
      <c r="K3728" s="98"/>
      <c r="L3728" s="98"/>
      <c r="M3728" s="98"/>
      <c r="N3728" s="98"/>
      <c r="O3728" s="125"/>
      <c r="P3728" s="125"/>
    </row>
    <row r="3729" spans="2:16">
      <c r="C3729" s="31" t="s">
        <v>1963</v>
      </c>
      <c r="D3729" s="6">
        <v>0.02</v>
      </c>
      <c r="E3729" s="6">
        <v>0.02</v>
      </c>
      <c r="F3729" s="6">
        <v>0.01</v>
      </c>
      <c r="I3729" s="125"/>
      <c r="J3729" s="125"/>
      <c r="K3729" s="125"/>
      <c r="L3729" s="124">
        <f>E3729</f>
        <v>0.02</v>
      </c>
      <c r="M3729" s="124">
        <f>F3729</f>
        <v>0.01</v>
      </c>
      <c r="N3729" s="124"/>
      <c r="O3729" s="124">
        <f>E3729</f>
        <v>0.02</v>
      </c>
      <c r="P3729" s="124">
        <f>F3729</f>
        <v>0.01</v>
      </c>
    </row>
    <row r="3730" spans="2:16">
      <c r="C3730" s="31" t="s">
        <v>1964</v>
      </c>
      <c r="D3730" s="6">
        <v>0.05</v>
      </c>
      <c r="E3730" s="6">
        <v>0.05</v>
      </c>
      <c r="F3730" s="6">
        <v>0.02</v>
      </c>
      <c r="I3730" s="125"/>
      <c r="J3730" s="125"/>
      <c r="K3730" s="125"/>
      <c r="L3730" s="125">
        <f>E3730</f>
        <v>0.05</v>
      </c>
      <c r="M3730" s="125">
        <f>F3730</f>
        <v>0.02</v>
      </c>
      <c r="N3730" s="125"/>
      <c r="O3730" s="125"/>
      <c r="P3730" s="125"/>
    </row>
    <row r="3731" spans="2:16">
      <c r="C3731" s="31" t="s">
        <v>1965</v>
      </c>
      <c r="D3731" s="6">
        <v>0.1</v>
      </c>
      <c r="E3731" s="6">
        <v>0.1</v>
      </c>
      <c r="F3731" s="6">
        <v>0.1</v>
      </c>
      <c r="I3731" s="125">
        <f>E3731</f>
        <v>0.1</v>
      </c>
      <c r="J3731" s="125">
        <f>F3731</f>
        <v>0.1</v>
      </c>
      <c r="K3731" s="125"/>
      <c r="L3731" s="125"/>
      <c r="M3731" s="125"/>
      <c r="N3731" s="125"/>
      <c r="O3731" s="125"/>
      <c r="P3731" s="125"/>
    </row>
    <row r="3732" spans="2:16">
      <c r="C3732" s="31" t="s">
        <v>1966</v>
      </c>
      <c r="D3732" s="6">
        <v>0.1</v>
      </c>
      <c r="E3732" s="6">
        <v>0.1</v>
      </c>
      <c r="F3732" s="6">
        <v>0.1</v>
      </c>
      <c r="I3732" s="125"/>
      <c r="J3732" s="125"/>
      <c r="K3732" s="125"/>
      <c r="L3732" s="125">
        <f>E3732</f>
        <v>0.1</v>
      </c>
      <c r="M3732" s="125">
        <f>F3732</f>
        <v>0.1</v>
      </c>
      <c r="N3732" s="125"/>
      <c r="O3732" s="125"/>
      <c r="P3732" s="125"/>
    </row>
    <row r="3733" spans="2:16">
      <c r="D3733" s="33">
        <f>SUM(D3723:D3732)</f>
        <v>1</v>
      </c>
      <c r="E3733" s="33">
        <f>SUM(E3723:E3732)</f>
        <v>1</v>
      </c>
      <c r="F3733" s="33">
        <f>SUM(F3723:F3732)</f>
        <v>0.44000000000000006</v>
      </c>
      <c r="I3733" s="125">
        <f>SUM(I3723:I3732)</f>
        <v>0.82</v>
      </c>
      <c r="J3733" s="125">
        <f>F3733</f>
        <v>0.44000000000000006</v>
      </c>
      <c r="K3733" s="125"/>
      <c r="L3733" s="125"/>
      <c r="M3733" s="125"/>
      <c r="N3733" s="125"/>
      <c r="O3733" s="125"/>
      <c r="P3733" s="125"/>
    </row>
    <row r="3734" spans="2:16">
      <c r="D3734" s="6"/>
      <c r="E3734" s="33">
        <f>D3733-E3733</f>
        <v>0</v>
      </c>
      <c r="F3734" s="33">
        <f>E3733-F3733</f>
        <v>0.55999999999999994</v>
      </c>
      <c r="I3734" s="125"/>
      <c r="J3734" s="125"/>
      <c r="K3734" s="125"/>
      <c r="L3734" s="124">
        <f>E3734</f>
        <v>0</v>
      </c>
      <c r="M3734" s="124">
        <f>F3734</f>
        <v>0.55999999999999994</v>
      </c>
      <c r="N3734" s="124"/>
      <c r="O3734" s="124">
        <f>E3734</f>
        <v>0</v>
      </c>
      <c r="P3734" s="124">
        <f>F3734</f>
        <v>0.55999999999999994</v>
      </c>
    </row>
    <row r="3735" spans="2:16">
      <c r="C3735" t="s">
        <v>366</v>
      </c>
      <c r="D3735" t="s">
        <v>418</v>
      </c>
    </row>
    <row r="3736" spans="2:16" ht="15" customHeight="1"/>
    <row r="3737" spans="2:16" ht="15" customHeight="1"/>
    <row r="3738" spans="2:16" ht="15" customHeight="1"/>
    <row r="3739" spans="2:16">
      <c r="B3739" s="519" t="s">
        <v>1079</v>
      </c>
      <c r="C3739" s="240" t="s">
        <v>1967</v>
      </c>
      <c r="D3739" s="16" t="s">
        <v>353</v>
      </c>
      <c r="E3739" s="16" t="s">
        <v>354</v>
      </c>
      <c r="F3739" s="16" t="s">
        <v>355</v>
      </c>
      <c r="I3739" s="125" t="str">
        <f>E3739</f>
        <v>Semi-Digital</v>
      </c>
      <c r="J3739" s="125" t="str">
        <f>F3739</f>
        <v>Full-Digital</v>
      </c>
      <c r="K3739" s="125"/>
      <c r="L3739" s="125"/>
      <c r="M3739" s="125"/>
      <c r="N3739" s="125"/>
      <c r="O3739" s="125"/>
      <c r="P3739" s="125"/>
    </row>
    <row r="3740" spans="2:16">
      <c r="C3740" s="31" t="s">
        <v>1968</v>
      </c>
      <c r="D3740" s="177"/>
      <c r="E3740" s="177"/>
      <c r="F3740" s="177"/>
      <c r="I3740" s="125"/>
      <c r="J3740" s="125"/>
      <c r="K3740" s="125"/>
      <c r="L3740" s="125"/>
      <c r="M3740" s="125"/>
      <c r="N3740" s="125"/>
      <c r="O3740" s="125"/>
      <c r="P3740" s="125"/>
    </row>
    <row r="3741" spans="2:16">
      <c r="C3741" s="31"/>
      <c r="D3741" s="177"/>
      <c r="E3741" s="177"/>
      <c r="F3741" s="177"/>
      <c r="I3741" s="125"/>
      <c r="J3741" s="125"/>
      <c r="K3741" s="125"/>
      <c r="L3741" s="125"/>
      <c r="M3741" s="125"/>
      <c r="N3741" s="125"/>
      <c r="O3741" s="125"/>
      <c r="P3741" s="125"/>
    </row>
    <row r="3742" spans="2:16">
      <c r="C3742" s="31"/>
      <c r="D3742" s="177"/>
      <c r="E3742" s="177"/>
      <c r="F3742" s="177"/>
      <c r="I3742" s="125"/>
      <c r="J3742" s="125"/>
      <c r="K3742" s="125"/>
      <c r="L3742" s="125"/>
      <c r="M3742" s="125"/>
      <c r="N3742" s="125"/>
      <c r="O3742" s="125"/>
      <c r="P3742" s="125"/>
    </row>
    <row r="3743" spans="2:16">
      <c r="C3743" s="31" t="s">
        <v>1969</v>
      </c>
      <c r="D3743" s="6">
        <v>0.02</v>
      </c>
      <c r="E3743" s="6">
        <v>0.02</v>
      </c>
      <c r="F3743" s="6">
        <v>0.02</v>
      </c>
      <c r="I3743" s="125">
        <f>E3743</f>
        <v>0.02</v>
      </c>
      <c r="J3743" s="125">
        <f>F3743</f>
        <v>0.02</v>
      </c>
      <c r="K3743" s="125"/>
      <c r="L3743" s="125"/>
      <c r="M3743" s="125"/>
      <c r="N3743" s="125"/>
      <c r="O3743" s="125"/>
      <c r="P3743" s="125"/>
    </row>
    <row r="3744" spans="2:16" ht="28.8">
      <c r="C3744" s="31" t="s">
        <v>1970</v>
      </c>
      <c r="D3744" s="6">
        <v>0.3</v>
      </c>
      <c r="E3744" s="6">
        <v>0.3</v>
      </c>
      <c r="F3744" s="6">
        <v>0.3</v>
      </c>
      <c r="I3744" s="131"/>
      <c r="J3744" s="131"/>
      <c r="K3744" s="131"/>
      <c r="L3744" s="156">
        <f>E3744</f>
        <v>0.3</v>
      </c>
      <c r="M3744" s="156">
        <f>F3744</f>
        <v>0.3</v>
      </c>
      <c r="N3744" s="156"/>
      <c r="O3744" s="156">
        <f>E3744</f>
        <v>0.3</v>
      </c>
      <c r="P3744" s="156">
        <f>F3744</f>
        <v>0.3</v>
      </c>
    </row>
    <row r="3745" spans="2:16" ht="28.8">
      <c r="C3745" s="31" t="s">
        <v>1971</v>
      </c>
      <c r="D3745" s="6">
        <v>0.31</v>
      </c>
      <c r="E3745" s="6">
        <v>0.31</v>
      </c>
      <c r="F3745" s="6">
        <v>0.31</v>
      </c>
      <c r="I3745" s="125">
        <f t="shared" ref="I3745:J3747" si="217">E3745</f>
        <v>0.31</v>
      </c>
      <c r="J3745" s="125">
        <f t="shared" si="217"/>
        <v>0.31</v>
      </c>
      <c r="K3745" s="125"/>
      <c r="L3745" s="125"/>
      <c r="M3745" s="125"/>
      <c r="N3745" s="125"/>
      <c r="O3745" s="125"/>
      <c r="P3745" s="125"/>
    </row>
    <row r="3746" spans="2:16">
      <c r="C3746" s="31" t="s">
        <v>1972</v>
      </c>
      <c r="D3746" s="6">
        <v>0.02</v>
      </c>
      <c r="E3746" s="6">
        <v>0.02</v>
      </c>
      <c r="F3746" s="6">
        <v>0.01</v>
      </c>
      <c r="I3746" s="125">
        <f t="shared" si="217"/>
        <v>0.02</v>
      </c>
      <c r="J3746" s="125">
        <f t="shared" si="217"/>
        <v>0.01</v>
      </c>
      <c r="K3746" s="125"/>
      <c r="L3746" s="87"/>
      <c r="M3746" s="87"/>
      <c r="N3746" s="87"/>
      <c r="O3746" s="87"/>
      <c r="P3746" s="87"/>
    </row>
    <row r="3747" spans="2:16">
      <c r="C3747" s="31" t="s">
        <v>1973</v>
      </c>
      <c r="D3747" s="6">
        <v>0.05</v>
      </c>
      <c r="E3747" s="6">
        <v>0.05</v>
      </c>
      <c r="F3747" s="6">
        <v>0.02</v>
      </c>
      <c r="I3747" s="125">
        <f t="shared" si="217"/>
        <v>0.05</v>
      </c>
      <c r="J3747" s="125">
        <f t="shared" si="217"/>
        <v>0.02</v>
      </c>
      <c r="K3747" s="125"/>
      <c r="L3747" s="87"/>
      <c r="M3747" s="87"/>
      <c r="N3747" s="87"/>
      <c r="O3747" s="87"/>
      <c r="P3747" s="87"/>
    </row>
    <row r="3748" spans="2:16">
      <c r="C3748" s="31" t="s">
        <v>1974</v>
      </c>
      <c r="D3748" s="6">
        <v>0.15</v>
      </c>
      <c r="E3748" s="6">
        <v>0.15</v>
      </c>
      <c r="F3748" s="6">
        <v>0.15</v>
      </c>
      <c r="I3748" s="33">
        <f>SUM(I3723:I3747)</f>
        <v>2.04</v>
      </c>
      <c r="J3748" s="33">
        <f>SUM(J3723:J3747)</f>
        <v>1.1000000000000001</v>
      </c>
      <c r="K3748" s="33"/>
      <c r="L3748" s="33">
        <f>SUM(L3723:L3747)</f>
        <v>0.48</v>
      </c>
      <c r="M3748" s="33">
        <f>SUM(M3723:M3747)</f>
        <v>1</v>
      </c>
      <c r="N3748" s="33"/>
      <c r="O3748" s="33">
        <f>SUM(O3723:O3747)</f>
        <v>0.32</v>
      </c>
      <c r="P3748" s="33">
        <f>SUM(P3723:P3747)</f>
        <v>0.86999999999999988</v>
      </c>
    </row>
    <row r="3749" spans="2:16">
      <c r="C3749" s="31" t="s">
        <v>1975</v>
      </c>
      <c r="D3749" s="6">
        <v>0.15</v>
      </c>
      <c r="E3749" s="6">
        <v>0.15</v>
      </c>
      <c r="F3749" s="6">
        <v>0.15</v>
      </c>
      <c r="I3749" s="125">
        <f t="shared" ref="I3749:J3752" si="218">E3749</f>
        <v>0.15</v>
      </c>
      <c r="J3749" s="125">
        <f t="shared" si="218"/>
        <v>0.15</v>
      </c>
      <c r="K3749" s="125"/>
      <c r="L3749" s="125">
        <f>E3749</f>
        <v>0.15</v>
      </c>
      <c r="M3749" s="125">
        <f>F3749</f>
        <v>0.15</v>
      </c>
      <c r="N3749" s="125"/>
      <c r="O3749" s="125"/>
      <c r="P3749" s="125"/>
    </row>
    <row r="3750" spans="2:16">
      <c r="D3750" s="33">
        <f>SUM(D3743:D3749)</f>
        <v>1</v>
      </c>
      <c r="E3750" s="33">
        <f t="shared" ref="E3750:F3750" si="219">SUM(E3743:E3749)</f>
        <v>1</v>
      </c>
      <c r="F3750" s="33">
        <f t="shared" si="219"/>
        <v>0.96000000000000008</v>
      </c>
      <c r="I3750" s="125">
        <f t="shared" si="218"/>
        <v>1</v>
      </c>
      <c r="J3750" s="125">
        <f t="shared" si="218"/>
        <v>0.96000000000000008</v>
      </c>
      <c r="K3750" s="125"/>
      <c r="L3750" s="125"/>
      <c r="M3750" s="125"/>
      <c r="N3750" s="125"/>
      <c r="O3750" s="125"/>
      <c r="P3750" s="125"/>
    </row>
    <row r="3751" spans="2:16">
      <c r="D3751" s="6"/>
      <c r="E3751" s="33">
        <f>D3750-E3750</f>
        <v>0</v>
      </c>
      <c r="F3751" s="33">
        <f>E3750-F3750</f>
        <v>3.9999999999999925E-2</v>
      </c>
      <c r="I3751" s="125">
        <f t="shared" si="218"/>
        <v>0</v>
      </c>
      <c r="J3751" s="125">
        <f t="shared" si="218"/>
        <v>3.9999999999999925E-2</v>
      </c>
      <c r="K3751" s="125"/>
      <c r="L3751" s="125"/>
      <c r="M3751" s="125"/>
      <c r="N3751" s="125"/>
      <c r="O3751" s="125"/>
      <c r="P3751" s="125"/>
    </row>
    <row r="3752" spans="2:16">
      <c r="C3752" t="s">
        <v>366</v>
      </c>
      <c r="D3752" s="6" t="s">
        <v>418</v>
      </c>
      <c r="E3752" s="6"/>
      <c r="F3752" s="6"/>
      <c r="I3752" s="125">
        <f t="shared" si="218"/>
        <v>0</v>
      </c>
      <c r="J3752" s="125">
        <f t="shared" si="218"/>
        <v>0</v>
      </c>
      <c r="K3752" s="125"/>
      <c r="L3752" s="125"/>
      <c r="M3752" s="125"/>
      <c r="N3752" s="125"/>
      <c r="O3752" s="125"/>
      <c r="P3752" s="125"/>
    </row>
    <row r="3753" spans="2:16">
      <c r="I3753" s="125"/>
      <c r="J3753" s="125"/>
      <c r="K3753" s="125"/>
      <c r="L3753" s="124">
        <f>E3753</f>
        <v>0</v>
      </c>
      <c r="M3753" s="124">
        <f>F3753</f>
        <v>0</v>
      </c>
      <c r="N3753" s="124"/>
      <c r="O3753" s="124">
        <f>E3753</f>
        <v>0</v>
      </c>
      <c r="P3753" s="124">
        <f>F3753</f>
        <v>0</v>
      </c>
    </row>
    <row r="3754" spans="2:16">
      <c r="D3754" s="6"/>
      <c r="E3754" s="6"/>
      <c r="F3754" s="6"/>
    </row>
    <row r="3755" spans="2:16">
      <c r="D3755" s="6"/>
      <c r="E3755" s="6"/>
      <c r="F3755" s="6"/>
      <c r="I3755" s="848" t="s">
        <v>1037</v>
      </c>
      <c r="J3755" s="848"/>
      <c r="K3755" s="848"/>
      <c r="L3755" s="848"/>
      <c r="M3755" s="848"/>
      <c r="N3755" s="848"/>
      <c r="O3755" s="848"/>
      <c r="P3755" s="848"/>
    </row>
    <row r="3756" spans="2:16">
      <c r="D3756" s="6"/>
      <c r="E3756" s="6"/>
      <c r="F3756" s="6"/>
      <c r="I3756" s="835" t="s">
        <v>1042</v>
      </c>
      <c r="J3756" s="835"/>
      <c r="K3756" s="835"/>
      <c r="L3756" s="835"/>
      <c r="M3756" s="835"/>
      <c r="N3756" s="835"/>
      <c r="O3756" s="835"/>
      <c r="P3756" s="835"/>
    </row>
    <row r="3757" spans="2:16" ht="13.5" customHeight="1">
      <c r="I3757" s="847" t="s">
        <v>1976</v>
      </c>
      <c r="J3757" s="847"/>
      <c r="K3757" s="317"/>
      <c r="L3757" s="847" t="s">
        <v>1077</v>
      </c>
      <c r="M3757" s="847"/>
      <c r="N3757" s="317"/>
      <c r="O3757" s="87"/>
      <c r="P3757" s="87"/>
    </row>
    <row r="3758" spans="2:16" ht="28.8">
      <c r="B3758" s="519" t="s">
        <v>1079</v>
      </c>
      <c r="C3758" s="240" t="s">
        <v>1977</v>
      </c>
      <c r="D3758" s="16" t="s">
        <v>353</v>
      </c>
      <c r="E3758" s="16" t="s">
        <v>354</v>
      </c>
      <c r="F3758" s="16" t="s">
        <v>355</v>
      </c>
      <c r="I3758" s="93" t="s">
        <v>1080</v>
      </c>
      <c r="J3758" s="94" t="s">
        <v>1081</v>
      </c>
      <c r="K3758" s="94"/>
      <c r="L3758" s="93" t="s">
        <v>1080</v>
      </c>
      <c r="M3758" s="94" t="s">
        <v>1081</v>
      </c>
      <c r="N3758" s="94"/>
      <c r="O3758" s="87"/>
      <c r="P3758" s="87"/>
    </row>
    <row r="3759" spans="2:16">
      <c r="C3759" t="s">
        <v>1968</v>
      </c>
      <c r="D3759" s="177"/>
      <c r="E3759" s="177"/>
      <c r="F3759" s="177"/>
      <c r="I3759" s="93"/>
      <c r="J3759" s="94"/>
      <c r="K3759" s="94"/>
      <c r="L3759" s="93"/>
      <c r="M3759" s="94"/>
      <c r="N3759" s="94"/>
      <c r="O3759" s="87"/>
      <c r="P3759" s="87"/>
    </row>
    <row r="3760" spans="2:16">
      <c r="D3760" s="177"/>
      <c r="E3760" s="177"/>
      <c r="F3760" s="177"/>
      <c r="I3760" s="93"/>
      <c r="J3760" s="94"/>
      <c r="K3760" s="94"/>
      <c r="L3760" s="93"/>
      <c r="M3760" s="94"/>
      <c r="N3760" s="94"/>
      <c r="O3760" s="87"/>
      <c r="P3760" s="87"/>
    </row>
    <row r="3761" spans="3:16">
      <c r="C3761" t="s">
        <v>1978</v>
      </c>
      <c r="D3761" s="275">
        <v>0.01</v>
      </c>
      <c r="E3761" s="275">
        <v>0.01</v>
      </c>
      <c r="F3761" s="275">
        <v>0.01</v>
      </c>
      <c r="I3761" s="292">
        <f t="shared" ref="I3761:I3769" si="220">E3761</f>
        <v>0.01</v>
      </c>
      <c r="J3761" s="292">
        <f t="shared" ref="J3761:J3769" si="221">F3761</f>
        <v>0.01</v>
      </c>
      <c r="K3761" s="292"/>
      <c r="L3761" s="293"/>
      <c r="M3761" s="293"/>
      <c r="N3761" s="293"/>
      <c r="O3761" s="87"/>
      <c r="P3761" s="87"/>
    </row>
    <row r="3762" spans="3:16">
      <c r="C3762" s="261" t="s">
        <v>1979</v>
      </c>
      <c r="D3762" s="6">
        <v>0.1</v>
      </c>
      <c r="E3762" s="6">
        <v>0.1</v>
      </c>
      <c r="F3762" s="6">
        <v>0.1</v>
      </c>
      <c r="I3762" s="292">
        <f t="shared" si="220"/>
        <v>0.1</v>
      </c>
      <c r="J3762" s="292">
        <f t="shared" si="221"/>
        <v>0.1</v>
      </c>
      <c r="K3762" s="292"/>
      <c r="L3762" s="293"/>
      <c r="M3762" s="293"/>
      <c r="N3762" s="293"/>
      <c r="O3762" s="87"/>
      <c r="P3762" s="87"/>
    </row>
    <row r="3763" spans="3:16">
      <c r="C3763" t="s">
        <v>1980</v>
      </c>
      <c r="D3763" s="6">
        <v>0.05</v>
      </c>
      <c r="E3763" s="6">
        <v>0.05</v>
      </c>
      <c r="F3763" s="6">
        <v>0.05</v>
      </c>
      <c r="I3763" s="292">
        <f t="shared" si="220"/>
        <v>0.05</v>
      </c>
      <c r="J3763" s="292">
        <f t="shared" si="221"/>
        <v>0.05</v>
      </c>
      <c r="K3763" s="292"/>
      <c r="L3763" s="293"/>
      <c r="M3763" s="293"/>
      <c r="N3763" s="293"/>
      <c r="O3763" s="87"/>
      <c r="P3763" s="87"/>
    </row>
    <row r="3764" spans="3:16">
      <c r="C3764" t="s">
        <v>1981</v>
      </c>
      <c r="D3764" s="6">
        <v>0.1</v>
      </c>
      <c r="E3764" s="6">
        <v>0.1</v>
      </c>
      <c r="F3764" s="6">
        <v>0.05</v>
      </c>
      <c r="I3764" s="292">
        <f t="shared" si="220"/>
        <v>0.1</v>
      </c>
      <c r="J3764" s="292">
        <f t="shared" si="221"/>
        <v>0.05</v>
      </c>
      <c r="K3764" s="292"/>
      <c r="L3764" s="293"/>
      <c r="M3764" s="293"/>
      <c r="N3764" s="293"/>
      <c r="O3764" s="87"/>
      <c r="P3764" s="87"/>
    </row>
    <row r="3765" spans="3:16">
      <c r="C3765" t="s">
        <v>1982</v>
      </c>
      <c r="D3765" s="6">
        <v>0.14000000000000001</v>
      </c>
      <c r="E3765" s="6">
        <v>0.1</v>
      </c>
      <c r="F3765" s="6">
        <v>7.0000000000000007E-2</v>
      </c>
      <c r="I3765" s="293">
        <f t="shared" si="220"/>
        <v>0.1</v>
      </c>
      <c r="J3765" s="293">
        <f t="shared" si="221"/>
        <v>7.0000000000000007E-2</v>
      </c>
      <c r="K3765" s="293"/>
      <c r="L3765" s="293"/>
      <c r="M3765" s="293"/>
      <c r="N3765" s="293"/>
      <c r="O3765" s="87"/>
      <c r="P3765" s="87"/>
    </row>
    <row r="3766" spans="3:16">
      <c r="C3766" t="s">
        <v>1983</v>
      </c>
      <c r="D3766" s="6">
        <v>0.3</v>
      </c>
      <c r="E3766" s="6">
        <v>0.15</v>
      </c>
      <c r="F3766" s="6">
        <v>0.1</v>
      </c>
      <c r="I3766" s="125">
        <f t="shared" si="220"/>
        <v>0.15</v>
      </c>
      <c r="J3766" s="125">
        <f t="shared" si="221"/>
        <v>0.1</v>
      </c>
      <c r="K3766" s="125"/>
      <c r="L3766" s="125"/>
      <c r="M3766" s="125"/>
      <c r="N3766" s="125"/>
      <c r="O3766" s="87"/>
      <c r="P3766" s="87"/>
    </row>
    <row r="3767" spans="3:16">
      <c r="C3767" t="s">
        <v>1984</v>
      </c>
      <c r="D3767" s="6">
        <v>0.2</v>
      </c>
      <c r="E3767" s="6">
        <v>0.15</v>
      </c>
      <c r="F3767" s="6">
        <v>0.1</v>
      </c>
      <c r="I3767" s="125">
        <f t="shared" si="220"/>
        <v>0.15</v>
      </c>
      <c r="J3767" s="125">
        <f t="shared" si="221"/>
        <v>0.1</v>
      </c>
      <c r="K3767" s="125"/>
      <c r="L3767" s="87"/>
      <c r="M3767" s="87"/>
      <c r="N3767" s="87"/>
      <c r="O3767" s="87"/>
      <c r="P3767" s="87"/>
    </row>
    <row r="3768" spans="3:16">
      <c r="C3768" t="s">
        <v>1985</v>
      </c>
      <c r="D3768" s="6">
        <v>0.05</v>
      </c>
      <c r="E3768" s="6">
        <v>0.05</v>
      </c>
      <c r="F3768" s="6">
        <v>0</v>
      </c>
      <c r="I3768" s="125">
        <f t="shared" si="220"/>
        <v>0.05</v>
      </c>
      <c r="J3768" s="125">
        <f t="shared" si="221"/>
        <v>0</v>
      </c>
      <c r="K3768" s="125"/>
      <c r="L3768" s="87"/>
      <c r="M3768" s="87"/>
      <c r="N3768" s="87"/>
      <c r="O3768" s="87"/>
      <c r="P3768" s="87"/>
    </row>
    <row r="3769" spans="3:16">
      <c r="C3769" t="s">
        <v>1986</v>
      </c>
      <c r="D3769" s="6">
        <v>0.05</v>
      </c>
      <c r="E3769" s="6">
        <v>0.05</v>
      </c>
      <c r="F3769" s="6">
        <v>0.05</v>
      </c>
      <c r="I3769" s="125">
        <f t="shared" si="220"/>
        <v>0.05</v>
      </c>
      <c r="J3769" s="125">
        <f t="shared" si="221"/>
        <v>0.05</v>
      </c>
      <c r="K3769" s="125"/>
      <c r="L3769" s="87"/>
      <c r="M3769" s="87"/>
      <c r="N3769" s="87"/>
      <c r="O3769" s="87"/>
      <c r="P3769" s="87"/>
    </row>
    <row r="3770" spans="3:16">
      <c r="D3770" s="33">
        <f>SUM(D3761:D3769)</f>
        <v>1</v>
      </c>
      <c r="E3770" s="33">
        <f t="shared" ref="E3770:F3770" si="222">SUM(E3761:E3769)</f>
        <v>0.76000000000000012</v>
      </c>
      <c r="F3770" s="33">
        <f t="shared" si="222"/>
        <v>0.53</v>
      </c>
      <c r="I3770" s="125">
        <f>SUM(I3761:I3769)</f>
        <v>0.76000000000000012</v>
      </c>
      <c r="J3770" s="125">
        <f>SUM(J3761:J3769)</f>
        <v>0.53</v>
      </c>
      <c r="K3770" s="125"/>
      <c r="L3770" s="87"/>
      <c r="M3770" s="87"/>
      <c r="N3770" s="87"/>
      <c r="O3770" s="87"/>
      <c r="P3770" s="87"/>
    </row>
    <row r="3771" spans="3:16">
      <c r="E3771" s="33">
        <f>D3770-E3770</f>
        <v>0.23999999999999988</v>
      </c>
      <c r="F3771" s="33">
        <f>E3770-F3770</f>
        <v>0.23000000000000009</v>
      </c>
      <c r="I3771" s="125">
        <f>E3771</f>
        <v>0.23999999999999988</v>
      </c>
      <c r="J3771" s="87">
        <v>24</v>
      </c>
      <c r="K3771" s="87"/>
      <c r="L3771" s="87"/>
      <c r="M3771" s="87"/>
      <c r="N3771" s="87"/>
      <c r="O3771" s="87"/>
      <c r="P3771" s="87"/>
    </row>
    <row r="3772" spans="3:16">
      <c r="C3772" t="s">
        <v>366</v>
      </c>
      <c r="D3772" t="s">
        <v>372</v>
      </c>
    </row>
    <row r="3774" spans="3:16">
      <c r="I3774" s="848" t="s">
        <v>1987</v>
      </c>
      <c r="J3774" s="848"/>
      <c r="K3774" s="848"/>
      <c r="L3774" s="848"/>
      <c r="M3774" s="848"/>
      <c r="N3774" s="848"/>
      <c r="O3774" s="848"/>
      <c r="P3774" s="848"/>
    </row>
    <row r="3775" spans="3:16">
      <c r="I3775" s="835" t="s">
        <v>1042</v>
      </c>
      <c r="J3775" s="835"/>
      <c r="K3775" s="835"/>
      <c r="L3775" s="835"/>
      <c r="M3775" s="835"/>
      <c r="N3775" s="835"/>
      <c r="O3775" s="835"/>
      <c r="P3775" s="835"/>
    </row>
    <row r="3776" spans="3:16">
      <c r="I3776" s="847" t="s">
        <v>1976</v>
      </c>
      <c r="J3776" s="847"/>
      <c r="K3776" s="317"/>
      <c r="L3776" s="847" t="s">
        <v>1077</v>
      </c>
      <c r="M3776" s="847"/>
      <c r="N3776" s="317"/>
      <c r="O3776" s="87"/>
      <c r="P3776" s="87"/>
    </row>
    <row r="3777" spans="2:17" ht="28.8">
      <c r="B3777" s="519" t="s">
        <v>1079</v>
      </c>
      <c r="C3777" s="240" t="s">
        <v>1988</v>
      </c>
      <c r="D3777" s="16" t="s">
        <v>353</v>
      </c>
      <c r="E3777" s="16" t="s">
        <v>354</v>
      </c>
      <c r="F3777" s="16" t="s">
        <v>355</v>
      </c>
      <c r="I3777" s="93" t="s">
        <v>1080</v>
      </c>
      <c r="J3777" s="94" t="s">
        <v>1081</v>
      </c>
      <c r="K3777" s="94"/>
      <c r="L3777" s="93" t="s">
        <v>1080</v>
      </c>
      <c r="M3777" s="94" t="s">
        <v>1081</v>
      </c>
      <c r="N3777" s="94"/>
      <c r="O3777" s="87"/>
      <c r="P3777" s="87"/>
    </row>
    <row r="3778" spans="2:17">
      <c r="C3778" t="s">
        <v>1968</v>
      </c>
    </row>
    <row r="3779" spans="2:17">
      <c r="D3779" s="6"/>
      <c r="E3779" s="6"/>
      <c r="F3779" s="6"/>
      <c r="I3779" s="292"/>
      <c r="J3779" s="292"/>
      <c r="K3779" s="292"/>
      <c r="L3779" s="293"/>
      <c r="M3779" s="293"/>
      <c r="N3779" s="293"/>
      <c r="O3779" s="87"/>
      <c r="P3779" s="87"/>
    </row>
    <row r="3780" spans="2:17">
      <c r="C3780" t="s">
        <v>1989</v>
      </c>
      <c r="D3780" s="6">
        <v>0.4</v>
      </c>
      <c r="E3780" s="6">
        <v>0.35</v>
      </c>
      <c r="F3780" s="6">
        <v>0.2</v>
      </c>
      <c r="I3780" s="292">
        <f>E3780</f>
        <v>0.35</v>
      </c>
      <c r="J3780" s="292">
        <f>F3780</f>
        <v>0.2</v>
      </c>
      <c r="K3780" s="292"/>
      <c r="L3780" s="293"/>
      <c r="M3780" s="293"/>
      <c r="N3780" s="293"/>
      <c r="O3780" s="87"/>
      <c r="P3780" s="87"/>
    </row>
    <row r="3781" spans="2:17">
      <c r="C3781" t="s">
        <v>1990</v>
      </c>
      <c r="D3781" s="6">
        <v>0.4</v>
      </c>
      <c r="E3781" s="6">
        <v>0.3</v>
      </c>
      <c r="F3781" s="6">
        <v>0.2</v>
      </c>
      <c r="I3781" s="292">
        <f t="shared" ref="I3781:J3785" si="223">E3781</f>
        <v>0.3</v>
      </c>
      <c r="J3781" s="292">
        <f t="shared" si="223"/>
        <v>0.2</v>
      </c>
      <c r="K3781" s="292"/>
      <c r="L3781" s="293"/>
      <c r="M3781" s="293"/>
      <c r="N3781" s="293"/>
      <c r="O3781" s="87"/>
      <c r="P3781" s="87"/>
    </row>
    <row r="3782" spans="2:17">
      <c r="C3782" t="s">
        <v>1985</v>
      </c>
      <c r="D3782" s="6">
        <v>0.1</v>
      </c>
      <c r="E3782" s="6">
        <v>0.1</v>
      </c>
      <c r="F3782" s="6">
        <v>0.1</v>
      </c>
      <c r="I3782" s="292">
        <f t="shared" si="223"/>
        <v>0.1</v>
      </c>
      <c r="J3782" s="292">
        <f t="shared" si="223"/>
        <v>0.1</v>
      </c>
      <c r="K3782" s="292"/>
      <c r="L3782" s="293"/>
      <c r="M3782" s="293"/>
      <c r="N3782" s="293"/>
      <c r="O3782" s="87"/>
      <c r="P3782" s="87"/>
    </row>
    <row r="3783" spans="2:17">
      <c r="C3783" t="s">
        <v>1986</v>
      </c>
      <c r="D3783" s="6">
        <v>0.1</v>
      </c>
      <c r="E3783" s="6">
        <v>0.1</v>
      </c>
      <c r="F3783" s="6">
        <v>0.1</v>
      </c>
      <c r="I3783" s="292">
        <f t="shared" si="223"/>
        <v>0.1</v>
      </c>
      <c r="J3783" s="292">
        <f t="shared" si="223"/>
        <v>0.1</v>
      </c>
      <c r="K3783" s="292"/>
      <c r="L3783" s="293"/>
      <c r="M3783" s="293"/>
      <c r="N3783" s="293"/>
      <c r="O3783" s="87"/>
      <c r="P3783" s="87"/>
    </row>
    <row r="3784" spans="2:17">
      <c r="D3784" s="33">
        <f>SUM(D3779:D3783)</f>
        <v>1</v>
      </c>
      <c r="E3784" s="33">
        <f>SUM(E3779:E3783)</f>
        <v>0.84999999999999987</v>
      </c>
      <c r="F3784" s="33">
        <f>SUM(F3779:F3783)</f>
        <v>0.6</v>
      </c>
      <c r="I3784" s="293">
        <f t="shared" si="223"/>
        <v>0.84999999999999987</v>
      </c>
      <c r="J3784" s="293">
        <f t="shared" si="223"/>
        <v>0.6</v>
      </c>
      <c r="K3784" s="293"/>
      <c r="L3784" s="293"/>
      <c r="M3784" s="293"/>
      <c r="N3784" s="293"/>
      <c r="O3784" s="87"/>
      <c r="P3784" s="87"/>
    </row>
    <row r="3785" spans="2:17">
      <c r="D3785" s="6"/>
      <c r="E3785" s="6">
        <f>D3784-E3784</f>
        <v>0.15000000000000013</v>
      </c>
      <c r="F3785" s="6">
        <f>E3784-F3784</f>
        <v>0.24999999999999989</v>
      </c>
      <c r="I3785" s="125">
        <f t="shared" si="223"/>
        <v>0.15000000000000013</v>
      </c>
      <c r="J3785" s="125">
        <f t="shared" si="223"/>
        <v>0.24999999999999989</v>
      </c>
      <c r="K3785" s="125"/>
      <c r="L3785" s="125"/>
      <c r="M3785" s="125"/>
      <c r="N3785" s="125"/>
      <c r="O3785" s="87"/>
      <c r="P3785" s="87"/>
    </row>
    <row r="3786" spans="2:17">
      <c r="C3786" t="s">
        <v>366</v>
      </c>
      <c r="D3786" t="s">
        <v>1225</v>
      </c>
      <c r="I3786" s="125"/>
      <c r="J3786" s="125"/>
      <c r="K3786" s="125"/>
      <c r="L3786" s="87"/>
      <c r="M3786" s="87"/>
      <c r="N3786" s="87"/>
      <c r="O3786" s="87"/>
      <c r="P3786" s="87"/>
    </row>
    <row r="3787" spans="2:17">
      <c r="I3787" s="125"/>
      <c r="J3787" s="125"/>
      <c r="K3787" s="125"/>
      <c r="L3787" s="87"/>
      <c r="M3787" s="87"/>
      <c r="N3787" s="87"/>
      <c r="O3787" s="87"/>
      <c r="P3787" s="87"/>
    </row>
    <row r="3788" spans="2:17">
      <c r="I3788" s="848" t="s">
        <v>1987</v>
      </c>
      <c r="J3788" s="848"/>
      <c r="K3788" s="848"/>
      <c r="L3788" s="848"/>
      <c r="M3788" s="848"/>
      <c r="N3788" s="848"/>
      <c r="O3788" s="848"/>
      <c r="P3788" s="848"/>
      <c r="Q3788" s="294"/>
    </row>
    <row r="3789" spans="2:17">
      <c r="I3789" s="835" t="s">
        <v>1042</v>
      </c>
      <c r="J3789" s="835"/>
      <c r="K3789" s="835"/>
      <c r="L3789" s="835"/>
      <c r="M3789" s="835"/>
      <c r="N3789" s="835"/>
      <c r="O3789" s="835"/>
      <c r="P3789" s="835"/>
      <c r="Q3789" s="295"/>
    </row>
    <row r="3790" spans="2:17" ht="13.5" customHeight="1">
      <c r="I3790" s="847" t="s">
        <v>1976</v>
      </c>
      <c r="J3790" s="847"/>
      <c r="K3790" s="317"/>
      <c r="L3790" s="847" t="s">
        <v>1991</v>
      </c>
      <c r="M3790" s="847"/>
      <c r="N3790" s="317"/>
      <c r="O3790" s="87"/>
      <c r="P3790" s="87"/>
      <c r="Q3790" s="87"/>
    </row>
    <row r="3791" spans="2:17" ht="15" customHeight="1">
      <c r="B3791" s="519" t="s">
        <v>1079</v>
      </c>
      <c r="C3791" s="240" t="s">
        <v>1992</v>
      </c>
      <c r="D3791" s="16" t="s">
        <v>353</v>
      </c>
      <c r="E3791" s="16" t="s">
        <v>354</v>
      </c>
      <c r="F3791" s="16" t="s">
        <v>355</v>
      </c>
      <c r="I3791" s="93" t="s">
        <v>1080</v>
      </c>
      <c r="J3791" s="94" t="s">
        <v>1081</v>
      </c>
      <c r="K3791" s="94"/>
      <c r="L3791" s="93" t="s">
        <v>1080</v>
      </c>
      <c r="M3791" s="94" t="s">
        <v>1081</v>
      </c>
      <c r="N3791" s="94"/>
      <c r="O3791" s="87"/>
      <c r="P3791" s="87"/>
      <c r="Q3791" s="87"/>
    </row>
    <row r="3792" spans="2:17">
      <c r="C3792" t="s">
        <v>1968</v>
      </c>
    </row>
    <row r="3793" spans="3:17">
      <c r="D3793" s="6"/>
      <c r="E3793" s="6"/>
      <c r="F3793" s="6"/>
      <c r="I3793" s="292"/>
      <c r="J3793" s="292"/>
      <c r="K3793" s="292"/>
      <c r="L3793" s="293"/>
      <c r="M3793" s="293"/>
      <c r="N3793" s="293"/>
      <c r="O3793" s="87"/>
      <c r="P3793" s="87"/>
    </row>
    <row r="3794" spans="3:17">
      <c r="C3794" t="s">
        <v>1993</v>
      </c>
      <c r="D3794" s="6">
        <v>0.01</v>
      </c>
      <c r="E3794" s="6">
        <v>0.01</v>
      </c>
      <c r="F3794" s="6">
        <v>0.01</v>
      </c>
      <c r="I3794" s="292">
        <f t="shared" ref="I3794:J3800" si="224">E3794</f>
        <v>0.01</v>
      </c>
      <c r="J3794" s="292">
        <f t="shared" si="224"/>
        <v>0.01</v>
      </c>
      <c r="K3794" s="292"/>
      <c r="L3794" s="293"/>
      <c r="M3794" s="293"/>
      <c r="N3794" s="293"/>
      <c r="O3794" s="87"/>
      <c r="P3794" s="87"/>
      <c r="Q3794" s="87"/>
    </row>
    <row r="3795" spans="3:17">
      <c r="C3795" t="s">
        <v>1994</v>
      </c>
      <c r="D3795" s="6">
        <v>0.3</v>
      </c>
      <c r="E3795" s="6">
        <v>0.2</v>
      </c>
      <c r="F3795" s="6">
        <v>0.05</v>
      </c>
      <c r="I3795" s="292">
        <f t="shared" si="224"/>
        <v>0.2</v>
      </c>
      <c r="J3795" s="292">
        <f t="shared" si="224"/>
        <v>0.05</v>
      </c>
      <c r="K3795" s="292"/>
      <c r="L3795" s="293"/>
      <c r="M3795" s="293"/>
      <c r="N3795" s="293"/>
      <c r="O3795" s="87"/>
      <c r="P3795" s="87"/>
      <c r="Q3795" s="87"/>
    </row>
    <row r="3796" spans="3:17">
      <c r="C3796" t="s">
        <v>1995</v>
      </c>
      <c r="D3796" s="6">
        <v>0.14000000000000001</v>
      </c>
      <c r="E3796" s="6">
        <v>0.1</v>
      </c>
      <c r="F3796" s="6">
        <v>0.05</v>
      </c>
      <c r="I3796" s="292">
        <f t="shared" si="224"/>
        <v>0.1</v>
      </c>
      <c r="J3796" s="292">
        <f t="shared" si="224"/>
        <v>0.05</v>
      </c>
      <c r="K3796" s="292"/>
      <c r="L3796" s="293"/>
      <c r="M3796" s="293"/>
      <c r="N3796" s="293"/>
      <c r="O3796" s="87"/>
      <c r="P3796" s="87"/>
      <c r="Q3796" s="87"/>
    </row>
    <row r="3797" spans="3:17">
      <c r="C3797" t="s">
        <v>1996</v>
      </c>
      <c r="D3797" s="6">
        <v>0.1</v>
      </c>
      <c r="E3797" s="6">
        <v>0.1</v>
      </c>
      <c r="F3797" s="6">
        <v>0.05</v>
      </c>
      <c r="I3797" s="292">
        <f t="shared" si="224"/>
        <v>0.1</v>
      </c>
      <c r="J3797" s="292">
        <f t="shared" si="224"/>
        <v>0.05</v>
      </c>
      <c r="K3797" s="292"/>
      <c r="L3797" s="293"/>
      <c r="M3797" s="293"/>
      <c r="N3797" s="293"/>
      <c r="O3797" s="87"/>
      <c r="P3797" s="87"/>
      <c r="Q3797" s="87"/>
    </row>
    <row r="3798" spans="3:17">
      <c r="C3798" t="s">
        <v>1997</v>
      </c>
      <c r="D3798" s="6">
        <v>0.05</v>
      </c>
      <c r="E3798" s="6">
        <v>0.05</v>
      </c>
      <c r="F3798" s="6">
        <v>0.01</v>
      </c>
      <c r="I3798" s="293">
        <f t="shared" si="224"/>
        <v>0.05</v>
      </c>
      <c r="J3798" s="293">
        <f t="shared" si="224"/>
        <v>0.01</v>
      </c>
      <c r="K3798" s="293"/>
      <c r="L3798" s="293"/>
      <c r="M3798" s="293"/>
      <c r="N3798" s="293"/>
      <c r="O3798" s="87"/>
      <c r="P3798" s="87"/>
      <c r="Q3798" s="87"/>
    </row>
    <row r="3799" spans="3:17">
      <c r="C3799" t="s">
        <v>1998</v>
      </c>
      <c r="D3799" s="6">
        <v>0.2</v>
      </c>
      <c r="E3799" s="6">
        <v>0.1</v>
      </c>
      <c r="F3799" s="6">
        <v>0.05</v>
      </c>
      <c r="I3799" s="125">
        <f t="shared" si="224"/>
        <v>0.1</v>
      </c>
      <c r="J3799" s="125">
        <f t="shared" si="224"/>
        <v>0.05</v>
      </c>
      <c r="K3799" s="125"/>
      <c r="L3799" s="125"/>
      <c r="M3799" s="125"/>
      <c r="N3799" s="125"/>
      <c r="O3799" s="87"/>
      <c r="P3799" s="87"/>
      <c r="Q3799" s="87"/>
    </row>
    <row r="3800" spans="3:17">
      <c r="C3800" t="s">
        <v>1999</v>
      </c>
      <c r="D3800" s="6">
        <v>0.1</v>
      </c>
      <c r="E3800" s="6">
        <v>0.1</v>
      </c>
      <c r="F3800" s="6">
        <v>0.05</v>
      </c>
      <c r="I3800" s="125">
        <f t="shared" si="224"/>
        <v>0.1</v>
      </c>
      <c r="J3800" s="125">
        <f t="shared" si="224"/>
        <v>0.05</v>
      </c>
      <c r="K3800" s="125"/>
      <c r="L3800" s="125"/>
      <c r="M3800" s="125"/>
      <c r="N3800" s="125"/>
      <c r="O3800" s="87"/>
      <c r="P3800" s="87"/>
    </row>
    <row r="3801" spans="3:17">
      <c r="C3801" t="s">
        <v>1975</v>
      </c>
      <c r="D3801" s="6">
        <v>0.1</v>
      </c>
      <c r="E3801" s="6">
        <v>0.1</v>
      </c>
      <c r="F3801" s="6">
        <v>0.05</v>
      </c>
      <c r="I3801" s="6">
        <v>0</v>
      </c>
      <c r="J3801" s="6">
        <v>0</v>
      </c>
      <c r="K3801" s="6"/>
      <c r="L3801" s="6">
        <f>E3801</f>
        <v>0.1</v>
      </c>
      <c r="M3801" s="6">
        <f>F3801</f>
        <v>0.05</v>
      </c>
      <c r="N3801" s="6"/>
    </row>
    <row r="3802" spans="3:17">
      <c r="D3802" s="33">
        <f>SUM(D3794:D3801)</f>
        <v>1</v>
      </c>
      <c r="E3802" s="33">
        <f>SUM(E3794:E3801)</f>
        <v>0.76</v>
      </c>
      <c r="F3802" s="33">
        <f>SUM(F3794:F3801)</f>
        <v>0.32</v>
      </c>
      <c r="I3802" s="6">
        <f>SUM(I3794:I3801)</f>
        <v>0.66</v>
      </c>
      <c r="J3802" s="6">
        <f>F3802</f>
        <v>0.32</v>
      </c>
      <c r="K3802" s="6"/>
    </row>
    <row r="3803" spans="3:17">
      <c r="D3803" s="6"/>
      <c r="E3803" s="6">
        <f>D3802-E3802</f>
        <v>0.24</v>
      </c>
      <c r="F3803" s="6">
        <f>E3802-F3802</f>
        <v>0.44</v>
      </c>
      <c r="I3803" s="6">
        <f>E3803</f>
        <v>0.24</v>
      </c>
      <c r="J3803" s="6">
        <f>F3803</f>
        <v>0.44</v>
      </c>
      <c r="K3803" s="6"/>
    </row>
    <row r="3804" spans="3:17">
      <c r="C3804" t="s">
        <v>366</v>
      </c>
      <c r="D3804" t="s">
        <v>372</v>
      </c>
    </row>
    <row r="3806" spans="3:17">
      <c r="I3806" s="848" t="s">
        <v>1987</v>
      </c>
      <c r="J3806" s="848"/>
      <c r="K3806" s="848"/>
      <c r="L3806" s="848"/>
      <c r="M3806" s="848"/>
      <c r="N3806" s="848"/>
      <c r="O3806" s="848"/>
      <c r="P3806" s="848"/>
    </row>
    <row r="3807" spans="3:17">
      <c r="I3807" s="835" t="s">
        <v>1042</v>
      </c>
      <c r="J3807" s="835"/>
      <c r="K3807" s="835"/>
      <c r="L3807" s="835"/>
      <c r="M3807" s="835"/>
      <c r="N3807" s="835"/>
      <c r="O3807" s="835"/>
      <c r="P3807" s="835"/>
    </row>
    <row r="3808" spans="3:17">
      <c r="I3808" s="847" t="s">
        <v>1976</v>
      </c>
      <c r="J3808" s="847"/>
      <c r="K3808" s="317"/>
      <c r="L3808" s="847" t="s">
        <v>1991</v>
      </c>
      <c r="M3808" s="847"/>
      <c r="N3808" s="317"/>
      <c r="O3808" s="87"/>
      <c r="P3808" s="87"/>
    </row>
    <row r="3809" spans="2:16" ht="28.8">
      <c r="B3809" s="578" t="s">
        <v>1202</v>
      </c>
      <c r="C3809" s="240" t="s">
        <v>89</v>
      </c>
      <c r="D3809" s="16" t="s">
        <v>353</v>
      </c>
      <c r="E3809" s="16" t="s">
        <v>354</v>
      </c>
      <c r="F3809" s="16" t="s">
        <v>355</v>
      </c>
      <c r="I3809" s="93" t="s">
        <v>1080</v>
      </c>
      <c r="J3809" s="94" t="s">
        <v>1081</v>
      </c>
      <c r="K3809" s="94"/>
      <c r="L3809" s="93" t="s">
        <v>1080</v>
      </c>
      <c r="M3809" s="94" t="s">
        <v>1081</v>
      </c>
      <c r="N3809" s="94"/>
      <c r="O3809" s="87"/>
      <c r="P3809" s="87"/>
    </row>
    <row r="3810" spans="2:16">
      <c r="C3810" t="s">
        <v>2000</v>
      </c>
      <c r="D3810" s="6">
        <v>0.01</v>
      </c>
      <c r="E3810" s="6">
        <v>0.01</v>
      </c>
      <c r="F3810" s="6">
        <v>0.01</v>
      </c>
      <c r="I3810" s="292">
        <f>E3810</f>
        <v>0.01</v>
      </c>
      <c r="J3810" s="292">
        <f>F3810</f>
        <v>0.01</v>
      </c>
      <c r="K3810" s="292"/>
      <c r="L3810" s="293"/>
      <c r="M3810" s="293"/>
      <c r="N3810" s="293"/>
      <c r="O3810" s="87"/>
      <c r="P3810" s="87"/>
    </row>
    <row r="3811" spans="2:16">
      <c r="C3811" t="s">
        <v>2001</v>
      </c>
      <c r="D3811" s="6">
        <v>0.1</v>
      </c>
      <c r="E3811" s="6">
        <v>0.08</v>
      </c>
      <c r="F3811" s="6">
        <v>0.05</v>
      </c>
      <c r="I3811" s="292">
        <f>E3811</f>
        <v>0.08</v>
      </c>
      <c r="J3811" s="292">
        <f>F3811</f>
        <v>0.05</v>
      </c>
      <c r="K3811" s="292"/>
      <c r="L3811" s="293"/>
      <c r="M3811" s="293"/>
      <c r="N3811" s="293"/>
      <c r="O3811" s="87"/>
      <c r="P3811" s="87"/>
    </row>
    <row r="3812" spans="2:16">
      <c r="C3812" t="s">
        <v>2002</v>
      </c>
      <c r="D3812" s="6">
        <v>0.1</v>
      </c>
      <c r="E3812" s="6">
        <v>0.08</v>
      </c>
      <c r="F3812" s="6">
        <v>0.05</v>
      </c>
      <c r="I3812" s="292">
        <v>0</v>
      </c>
      <c r="J3812" s="292">
        <v>0</v>
      </c>
      <c r="K3812" s="292"/>
      <c r="L3812" s="293">
        <f>E3812</f>
        <v>0.08</v>
      </c>
      <c r="M3812" s="293">
        <f>F3812</f>
        <v>0.05</v>
      </c>
      <c r="N3812" s="293"/>
      <c r="O3812" s="87"/>
      <c r="P3812" s="87"/>
    </row>
    <row r="3813" spans="2:16">
      <c r="C3813" t="s">
        <v>2003</v>
      </c>
      <c r="D3813" s="6">
        <v>0.25</v>
      </c>
      <c r="E3813" s="6">
        <v>0.2</v>
      </c>
      <c r="F3813" s="6">
        <v>0.05</v>
      </c>
      <c r="I3813" s="292">
        <f t="shared" ref="I3813:J3816" si="225">E3813</f>
        <v>0.2</v>
      </c>
      <c r="J3813" s="292">
        <f t="shared" si="225"/>
        <v>0.05</v>
      </c>
      <c r="K3813" s="292"/>
      <c r="L3813" s="293"/>
      <c r="M3813" s="293"/>
      <c r="N3813" s="293"/>
      <c r="O3813" s="87"/>
      <c r="P3813" s="87"/>
    </row>
    <row r="3814" spans="2:16">
      <c r="C3814" t="s">
        <v>2004</v>
      </c>
      <c r="D3814" s="6">
        <v>0.1</v>
      </c>
      <c r="E3814" s="6">
        <v>0.05</v>
      </c>
      <c r="F3814" s="6">
        <v>0.02</v>
      </c>
      <c r="I3814" s="293">
        <f t="shared" si="225"/>
        <v>0.05</v>
      </c>
      <c r="J3814" s="293">
        <f t="shared" si="225"/>
        <v>0.02</v>
      </c>
      <c r="K3814" s="293"/>
      <c r="L3814" s="293"/>
      <c r="M3814" s="293"/>
      <c r="N3814" s="293"/>
      <c r="O3814" s="87"/>
      <c r="P3814" s="87"/>
    </row>
    <row r="3815" spans="2:16">
      <c r="C3815" t="s">
        <v>2005</v>
      </c>
      <c r="D3815" s="6">
        <v>0.2</v>
      </c>
      <c r="E3815" s="6">
        <v>0.2</v>
      </c>
      <c r="F3815" s="6">
        <v>0.05</v>
      </c>
      <c r="I3815" s="125">
        <f t="shared" si="225"/>
        <v>0.2</v>
      </c>
      <c r="J3815" s="125">
        <f t="shared" si="225"/>
        <v>0.05</v>
      </c>
      <c r="K3815" s="125"/>
      <c r="L3815" s="125"/>
      <c r="M3815" s="125"/>
      <c r="N3815" s="125"/>
      <c r="O3815" s="87"/>
      <c r="P3815" s="87"/>
    </row>
    <row r="3816" spans="2:16">
      <c r="C3816" t="s">
        <v>2006</v>
      </c>
      <c r="D3816" s="6">
        <v>0.19</v>
      </c>
      <c r="E3816" s="6">
        <v>0.19</v>
      </c>
      <c r="F3816" s="6">
        <v>0.05</v>
      </c>
      <c r="I3816" s="125">
        <f t="shared" si="225"/>
        <v>0.19</v>
      </c>
      <c r="J3816" s="125">
        <f t="shared" si="225"/>
        <v>0.05</v>
      </c>
      <c r="K3816" s="125"/>
      <c r="L3816" s="125"/>
      <c r="M3816" s="125"/>
      <c r="N3816" s="125"/>
      <c r="O3816" s="87"/>
      <c r="P3816" s="87"/>
    </row>
    <row r="3817" spans="2:16">
      <c r="C3817" t="s">
        <v>2007</v>
      </c>
      <c r="D3817" s="6">
        <v>0.05</v>
      </c>
      <c r="E3817" s="6">
        <v>0.05</v>
      </c>
      <c r="F3817" s="6">
        <v>0.05</v>
      </c>
      <c r="I3817" s="6">
        <v>0</v>
      </c>
      <c r="J3817" s="6">
        <v>0</v>
      </c>
      <c r="K3817" s="6"/>
      <c r="L3817" s="6">
        <f>E3817</f>
        <v>0.05</v>
      </c>
      <c r="M3817" s="6">
        <f>F3817</f>
        <v>0.05</v>
      </c>
      <c r="N3817" s="6"/>
    </row>
    <row r="3818" spans="2:16">
      <c r="D3818" s="33">
        <f>SUM(D3810:D3817)</f>
        <v>1</v>
      </c>
      <c r="E3818" s="33">
        <f>SUM(E3810:E3817)</f>
        <v>0.8600000000000001</v>
      </c>
      <c r="F3818" s="33">
        <f>SUM(F3810:F3817)</f>
        <v>0.33</v>
      </c>
      <c r="I3818" s="6">
        <f>SUM(I3810:I3817)</f>
        <v>0.73</v>
      </c>
      <c r="J3818" s="6">
        <f>F3818</f>
        <v>0.33</v>
      </c>
      <c r="K3818" s="6"/>
    </row>
    <row r="3819" spans="2:16">
      <c r="E3819" s="33">
        <f>D3818-E3818</f>
        <v>0.1399999999999999</v>
      </c>
      <c r="F3819" s="33">
        <f>E3818-F3818</f>
        <v>0.53</v>
      </c>
      <c r="I3819" s="6">
        <f>E3819</f>
        <v>0.1399999999999999</v>
      </c>
      <c r="J3819" s="6">
        <f>F3819</f>
        <v>0.53</v>
      </c>
      <c r="K3819" s="6"/>
    </row>
    <row r="3820" spans="2:16">
      <c r="C3820" t="s">
        <v>366</v>
      </c>
      <c r="D3820" t="s">
        <v>2008</v>
      </c>
    </row>
    <row r="3821" spans="2:16">
      <c r="I3821" s="848" t="s">
        <v>2009</v>
      </c>
      <c r="J3821" s="848"/>
      <c r="K3821" s="848"/>
      <c r="L3821" s="848"/>
      <c r="M3821" s="848"/>
      <c r="N3821" s="848"/>
      <c r="O3821" s="848"/>
      <c r="P3821" s="848"/>
    </row>
    <row r="3822" spans="2:16">
      <c r="I3822" s="835" t="s">
        <v>1042</v>
      </c>
      <c r="J3822" s="835"/>
      <c r="K3822" s="835"/>
      <c r="L3822" s="835"/>
      <c r="M3822" s="835"/>
      <c r="N3822" s="835"/>
      <c r="O3822" s="835"/>
      <c r="P3822" s="835"/>
    </row>
    <row r="3823" spans="2:16">
      <c r="I3823" s="847" t="s">
        <v>1976</v>
      </c>
      <c r="J3823" s="847"/>
      <c r="K3823" s="317"/>
      <c r="L3823" s="847" t="s">
        <v>1991</v>
      </c>
      <c r="M3823" s="847"/>
      <c r="N3823" s="317"/>
      <c r="O3823" s="87"/>
      <c r="P3823" s="87"/>
    </row>
    <row r="3824" spans="2:16" ht="15" customHeight="1">
      <c r="B3824" s="578" t="s">
        <v>1202</v>
      </c>
      <c r="C3824" s="240" t="s">
        <v>88</v>
      </c>
      <c r="D3824" s="16" t="s">
        <v>353</v>
      </c>
      <c r="E3824" s="16" t="s">
        <v>354</v>
      </c>
      <c r="F3824" s="16" t="s">
        <v>355</v>
      </c>
      <c r="I3824" s="93" t="s">
        <v>1080</v>
      </c>
      <c r="J3824" s="94" t="s">
        <v>1081</v>
      </c>
      <c r="K3824" s="94"/>
      <c r="L3824" s="93" t="s">
        <v>1080</v>
      </c>
      <c r="M3824" s="94" t="s">
        <v>1081</v>
      </c>
      <c r="N3824" s="94"/>
      <c r="O3824" s="87"/>
      <c r="P3824" s="87"/>
    </row>
    <row r="3825" spans="3:16" ht="13.5" customHeight="1">
      <c r="C3825" t="s">
        <v>2010</v>
      </c>
      <c r="D3825" s="6">
        <v>0.01</v>
      </c>
      <c r="E3825" s="6">
        <v>0.01</v>
      </c>
      <c r="F3825" s="6">
        <v>0.01</v>
      </c>
      <c r="I3825" s="292">
        <f>E3825</f>
        <v>0.01</v>
      </c>
      <c r="J3825" s="292">
        <f>F3825</f>
        <v>0.01</v>
      </c>
      <c r="K3825" s="292"/>
      <c r="L3825" s="293"/>
      <c r="M3825" s="293"/>
      <c r="N3825" s="293"/>
      <c r="O3825" s="87"/>
      <c r="P3825" s="87"/>
    </row>
    <row r="3826" spans="3:16">
      <c r="C3826" t="s">
        <v>2011</v>
      </c>
      <c r="D3826" s="6">
        <v>0.15</v>
      </c>
      <c r="E3826" s="6">
        <v>0.1</v>
      </c>
      <c r="F3826" s="6">
        <v>0.1</v>
      </c>
      <c r="I3826" s="292">
        <f>E3826</f>
        <v>0.1</v>
      </c>
      <c r="J3826" s="292">
        <f>F3826</f>
        <v>0.1</v>
      </c>
      <c r="K3826" s="292"/>
      <c r="L3826" s="293"/>
      <c r="M3826" s="293"/>
      <c r="N3826" s="293"/>
      <c r="O3826" s="87"/>
      <c r="P3826" s="87"/>
    </row>
    <row r="3827" spans="3:16">
      <c r="C3827" t="s">
        <v>1994</v>
      </c>
      <c r="D3827" s="6">
        <v>0.24</v>
      </c>
      <c r="E3827" s="6">
        <v>0.2</v>
      </c>
      <c r="F3827" s="6">
        <v>0.2</v>
      </c>
      <c r="I3827" s="292">
        <v>0.2</v>
      </c>
      <c r="J3827" s="292">
        <v>0.2</v>
      </c>
      <c r="K3827" s="292"/>
      <c r="L3827" s="293">
        <v>0</v>
      </c>
      <c r="M3827" s="293">
        <v>0</v>
      </c>
      <c r="N3827" s="293"/>
      <c r="O3827" s="87"/>
      <c r="P3827" s="87"/>
    </row>
    <row r="3828" spans="3:16">
      <c r="C3828" t="s">
        <v>1996</v>
      </c>
      <c r="D3828" s="6">
        <v>0.1</v>
      </c>
      <c r="E3828" s="6">
        <v>0.1</v>
      </c>
      <c r="F3828" s="6">
        <v>0.1</v>
      </c>
      <c r="I3828" s="292">
        <f>E3828</f>
        <v>0.1</v>
      </c>
      <c r="J3828" s="292">
        <f>F3828</f>
        <v>0.1</v>
      </c>
      <c r="K3828" s="292"/>
      <c r="L3828" s="293"/>
      <c r="M3828" s="293"/>
      <c r="N3828" s="293"/>
      <c r="O3828" s="87"/>
      <c r="P3828" s="87"/>
    </row>
    <row r="3829" spans="3:16">
      <c r="C3829" t="s">
        <v>2012</v>
      </c>
      <c r="D3829" s="6">
        <v>0.05</v>
      </c>
      <c r="E3829" s="6">
        <v>0.05</v>
      </c>
      <c r="F3829" s="6">
        <v>0.05</v>
      </c>
      <c r="I3829" s="293">
        <v>0</v>
      </c>
      <c r="J3829" s="293">
        <v>0</v>
      </c>
      <c r="K3829" s="293"/>
      <c r="L3829" s="293">
        <f>E3829</f>
        <v>0.05</v>
      </c>
      <c r="M3829" s="293">
        <f>F3829</f>
        <v>0.05</v>
      </c>
      <c r="N3829" s="293"/>
      <c r="O3829" s="87"/>
      <c r="P3829" s="87"/>
    </row>
    <row r="3830" spans="3:16">
      <c r="C3830" t="s">
        <v>2013</v>
      </c>
      <c r="D3830" s="6">
        <v>0.15</v>
      </c>
      <c r="E3830" s="6">
        <v>0.1</v>
      </c>
      <c r="F3830" s="6">
        <v>0.05</v>
      </c>
      <c r="I3830" s="125">
        <f>E3830</f>
        <v>0.1</v>
      </c>
      <c r="J3830" s="125">
        <f>F3830</f>
        <v>0.05</v>
      </c>
      <c r="K3830" s="125"/>
      <c r="L3830" s="125"/>
      <c r="M3830" s="125"/>
      <c r="N3830" s="125"/>
      <c r="O3830" s="87"/>
      <c r="P3830" s="87"/>
    </row>
    <row r="3831" spans="3:16">
      <c r="C3831" t="s">
        <v>2014</v>
      </c>
      <c r="D3831" s="6">
        <v>0.1</v>
      </c>
      <c r="E3831" s="6">
        <v>0.1</v>
      </c>
      <c r="F3831" s="6">
        <v>0.05</v>
      </c>
      <c r="I3831" s="125">
        <f>E3831</f>
        <v>0.1</v>
      </c>
      <c r="J3831" s="125">
        <f>F3831</f>
        <v>0.05</v>
      </c>
      <c r="K3831" s="125"/>
      <c r="L3831" s="125"/>
      <c r="M3831" s="125"/>
      <c r="N3831" s="125"/>
      <c r="O3831" s="87"/>
      <c r="P3831" s="87"/>
    </row>
    <row r="3832" spans="3:16">
      <c r="C3832" t="s">
        <v>2015</v>
      </c>
      <c r="D3832" s="6">
        <v>0.15</v>
      </c>
      <c r="E3832" s="6">
        <v>0.15</v>
      </c>
      <c r="F3832" s="6">
        <v>0.05</v>
      </c>
      <c r="I3832" s="6">
        <v>0</v>
      </c>
      <c r="J3832" s="6">
        <v>0</v>
      </c>
      <c r="K3832" s="6"/>
      <c r="L3832" s="6">
        <f>E3832</f>
        <v>0.15</v>
      </c>
      <c r="M3832" s="6">
        <f>F3832</f>
        <v>0.05</v>
      </c>
      <c r="N3832" s="6"/>
    </row>
    <row r="3833" spans="3:16">
      <c r="C3833" t="s">
        <v>2016</v>
      </c>
      <c r="D3833" s="6">
        <v>0.05</v>
      </c>
      <c r="E3833" s="6">
        <v>0.05</v>
      </c>
      <c r="F3833" s="6">
        <v>0.05</v>
      </c>
      <c r="I3833" s="6">
        <v>0</v>
      </c>
      <c r="J3833" s="6">
        <v>0</v>
      </c>
      <c r="K3833" s="6"/>
      <c r="L3833" s="6">
        <f>E3833</f>
        <v>0.05</v>
      </c>
      <c r="M3833" s="6">
        <f>F3833</f>
        <v>0.05</v>
      </c>
      <c r="N3833" s="6"/>
    </row>
    <row r="3834" spans="3:16">
      <c r="D3834" s="33">
        <f>SUM(D3825:D3833)</f>
        <v>1</v>
      </c>
      <c r="E3834" s="33">
        <f>SUM(E3825:E3833)</f>
        <v>0.8600000000000001</v>
      </c>
      <c r="F3834" s="33">
        <f>SUM(F3825:F3833)</f>
        <v>0.66000000000000014</v>
      </c>
      <c r="I3834" s="6">
        <f t="shared" ref="I3834:J3836" si="226">E3834</f>
        <v>0.8600000000000001</v>
      </c>
      <c r="J3834" s="6">
        <f t="shared" si="226"/>
        <v>0.66000000000000014</v>
      </c>
      <c r="K3834" s="6"/>
    </row>
    <row r="3835" spans="3:16">
      <c r="D3835" s="6"/>
      <c r="E3835" s="33">
        <f>D3834-E3834</f>
        <v>0.1399999999999999</v>
      </c>
      <c r="F3835" s="33">
        <f>E3834-F3834</f>
        <v>0.19999999999999996</v>
      </c>
      <c r="I3835" s="6">
        <f t="shared" si="226"/>
        <v>0.1399999999999999</v>
      </c>
      <c r="J3835" s="6">
        <f t="shared" si="226"/>
        <v>0.19999999999999996</v>
      </c>
      <c r="K3835" s="6"/>
    </row>
    <row r="3836" spans="3:16">
      <c r="C3836" t="s">
        <v>366</v>
      </c>
      <c r="D3836" t="s">
        <v>468</v>
      </c>
      <c r="I3836" s="6">
        <f t="shared" si="226"/>
        <v>0</v>
      </c>
      <c r="J3836" s="6">
        <f t="shared" si="226"/>
        <v>0</v>
      </c>
      <c r="K3836" s="6"/>
    </row>
    <row r="3839" spans="3:16">
      <c r="I3839" s="848" t="s">
        <v>1987</v>
      </c>
      <c r="J3839" s="848"/>
      <c r="K3839" s="848"/>
      <c r="L3839" s="848"/>
      <c r="M3839" s="848"/>
      <c r="N3839" s="848"/>
      <c r="O3839" s="848"/>
      <c r="P3839" s="848"/>
    </row>
    <row r="3840" spans="3:16">
      <c r="I3840" s="835" t="s">
        <v>1042</v>
      </c>
      <c r="J3840" s="835"/>
      <c r="K3840" s="835"/>
      <c r="L3840" s="835"/>
      <c r="M3840" s="835"/>
      <c r="N3840" s="835"/>
      <c r="O3840" s="835"/>
      <c r="P3840" s="835"/>
    </row>
    <row r="3841" spans="2:16">
      <c r="I3841" s="847" t="s">
        <v>1976</v>
      </c>
      <c r="J3841" s="847"/>
      <c r="K3841" s="317"/>
      <c r="L3841" s="847" t="s">
        <v>1991</v>
      </c>
      <c r="M3841" s="847"/>
      <c r="N3841" s="317"/>
      <c r="O3841" s="87"/>
      <c r="P3841" s="87"/>
    </row>
    <row r="3842" spans="2:16" ht="28.8">
      <c r="B3842" s="578" t="s">
        <v>1202</v>
      </c>
      <c r="C3842" s="240" t="s">
        <v>87</v>
      </c>
      <c r="D3842" s="16" t="s">
        <v>353</v>
      </c>
      <c r="E3842" s="16" t="s">
        <v>354</v>
      </c>
      <c r="F3842" s="16" t="s">
        <v>355</v>
      </c>
      <c r="I3842" s="93" t="s">
        <v>1080</v>
      </c>
      <c r="J3842" s="94" t="s">
        <v>1081</v>
      </c>
      <c r="K3842" s="94"/>
      <c r="L3842" s="93" t="s">
        <v>1080</v>
      </c>
      <c r="M3842" s="94" t="s">
        <v>1081</v>
      </c>
      <c r="N3842" s="94"/>
      <c r="O3842" s="87"/>
      <c r="P3842" s="87"/>
    </row>
    <row r="3843" spans="2:16">
      <c r="C3843" t="s">
        <v>2017</v>
      </c>
      <c r="D3843" s="6">
        <v>0.05</v>
      </c>
      <c r="E3843" s="6">
        <v>0.02</v>
      </c>
      <c r="F3843" s="6">
        <v>0.02</v>
      </c>
      <c r="I3843" s="292">
        <f>E3843</f>
        <v>0.02</v>
      </c>
      <c r="J3843" s="292">
        <f>F3843</f>
        <v>0.02</v>
      </c>
      <c r="K3843" s="292"/>
      <c r="L3843" s="293"/>
      <c r="M3843" s="293"/>
      <c r="N3843" s="293"/>
      <c r="O3843" s="87"/>
      <c r="P3843" s="87"/>
    </row>
    <row r="3844" spans="2:16">
      <c r="C3844" t="s">
        <v>2018</v>
      </c>
      <c r="D3844" s="6">
        <v>0.05</v>
      </c>
      <c r="E3844" s="6">
        <v>0.02</v>
      </c>
      <c r="F3844" s="6">
        <v>0.02</v>
      </c>
      <c r="I3844" s="292">
        <f>E3844</f>
        <v>0.02</v>
      </c>
      <c r="J3844" s="292">
        <f>F3844</f>
        <v>0.02</v>
      </c>
      <c r="K3844" s="292"/>
      <c r="L3844" s="293"/>
      <c r="M3844" s="293"/>
      <c r="N3844" s="293"/>
      <c r="O3844" s="87"/>
      <c r="P3844" s="87"/>
    </row>
    <row r="3845" spans="2:16">
      <c r="C3845" t="s">
        <v>2019</v>
      </c>
      <c r="D3845" s="6">
        <v>0.05</v>
      </c>
      <c r="E3845" s="6">
        <v>0.02</v>
      </c>
      <c r="F3845" s="6">
        <v>0.02</v>
      </c>
      <c r="I3845" s="292">
        <v>0.2</v>
      </c>
      <c r="J3845" s="292">
        <v>0.2</v>
      </c>
      <c r="K3845" s="292"/>
      <c r="L3845" s="293">
        <v>0</v>
      </c>
      <c r="M3845" s="293">
        <v>0</v>
      </c>
      <c r="N3845" s="293"/>
      <c r="O3845" s="87"/>
      <c r="P3845" s="87"/>
    </row>
    <row r="3846" spans="2:16">
      <c r="C3846" t="s">
        <v>2020</v>
      </c>
      <c r="D3846" s="6">
        <v>0.05</v>
      </c>
      <c r="E3846" s="6">
        <v>0.02</v>
      </c>
      <c r="F3846" s="6">
        <v>0.02</v>
      </c>
      <c r="I3846" s="292">
        <f>E3846</f>
        <v>0.02</v>
      </c>
      <c r="J3846" s="292">
        <f>F3846</f>
        <v>0.02</v>
      </c>
      <c r="K3846" s="292"/>
      <c r="L3846" s="293"/>
      <c r="M3846" s="293"/>
      <c r="N3846" s="293"/>
      <c r="O3846" s="87"/>
      <c r="P3846" s="87"/>
    </row>
    <row r="3847" spans="2:16">
      <c r="C3847" t="s">
        <v>2021</v>
      </c>
      <c r="D3847" s="6">
        <v>0.1</v>
      </c>
      <c r="E3847" s="6">
        <v>0.05</v>
      </c>
      <c r="F3847" s="6">
        <v>0.05</v>
      </c>
      <c r="I3847" s="293">
        <v>0</v>
      </c>
      <c r="J3847" s="293">
        <v>0</v>
      </c>
      <c r="K3847" s="293"/>
      <c r="L3847" s="293">
        <f>E3847</f>
        <v>0.05</v>
      </c>
      <c r="M3847" s="293">
        <f>F3847</f>
        <v>0.05</v>
      </c>
      <c r="N3847" s="293"/>
      <c r="O3847" s="87"/>
      <c r="P3847" s="87"/>
    </row>
    <row r="3848" spans="2:16">
      <c r="C3848" t="s">
        <v>2022</v>
      </c>
      <c r="D3848" s="6">
        <v>0.5</v>
      </c>
      <c r="E3848" s="6">
        <v>0.5</v>
      </c>
      <c r="F3848" s="6">
        <v>0.25</v>
      </c>
      <c r="I3848" s="125">
        <f>E3848</f>
        <v>0.5</v>
      </c>
      <c r="J3848" s="125">
        <f>F3848</f>
        <v>0.25</v>
      </c>
      <c r="K3848" s="125"/>
      <c r="L3848" s="125"/>
      <c r="M3848" s="125"/>
      <c r="N3848" s="125"/>
      <c r="O3848" s="87"/>
      <c r="P3848" s="87"/>
    </row>
    <row r="3849" spans="2:16">
      <c r="C3849" t="s">
        <v>2023</v>
      </c>
      <c r="D3849" s="6">
        <v>0.1</v>
      </c>
      <c r="E3849" s="6">
        <v>0.1</v>
      </c>
      <c r="F3849" s="6">
        <v>0.1</v>
      </c>
      <c r="I3849" s="125">
        <f>E3849</f>
        <v>0.1</v>
      </c>
      <c r="J3849" s="125">
        <f>F3849</f>
        <v>0.1</v>
      </c>
      <c r="K3849" s="125"/>
      <c r="L3849" s="125"/>
      <c r="M3849" s="125"/>
      <c r="N3849" s="125"/>
      <c r="O3849" s="87"/>
      <c r="P3849" s="87"/>
    </row>
    <row r="3850" spans="2:16">
      <c r="C3850" t="s">
        <v>2024</v>
      </c>
      <c r="D3850" s="6">
        <v>0.05</v>
      </c>
      <c r="E3850" s="6">
        <v>0.05</v>
      </c>
      <c r="F3850" s="6">
        <v>0.05</v>
      </c>
      <c r="I3850" s="6">
        <v>0</v>
      </c>
      <c r="J3850" s="6">
        <v>0</v>
      </c>
      <c r="K3850" s="6"/>
      <c r="L3850" s="6">
        <f>E3850</f>
        <v>0.05</v>
      </c>
      <c r="M3850" s="6">
        <f>F3850</f>
        <v>0.05</v>
      </c>
      <c r="N3850" s="6"/>
    </row>
    <row r="3851" spans="2:16">
      <c r="C3851" t="s">
        <v>2025</v>
      </c>
      <c r="D3851" s="6">
        <v>0.05</v>
      </c>
      <c r="E3851" s="6">
        <v>0.05</v>
      </c>
      <c r="F3851" s="6">
        <v>0.05</v>
      </c>
      <c r="I3851" s="6">
        <v>0</v>
      </c>
      <c r="J3851" s="6">
        <v>0</v>
      </c>
      <c r="K3851" s="6"/>
      <c r="L3851" s="6">
        <f>E3851</f>
        <v>0.05</v>
      </c>
      <c r="M3851" s="6">
        <f>F3851</f>
        <v>0.05</v>
      </c>
      <c r="N3851" s="6"/>
    </row>
    <row r="3852" spans="2:16">
      <c r="D3852" s="33">
        <f>SUM(D3843:D3851)</f>
        <v>1</v>
      </c>
      <c r="E3852" s="33">
        <f>SUM(E3843:E3851)</f>
        <v>0.83000000000000007</v>
      </c>
      <c r="F3852" s="33">
        <f>SUM(F3843:F3851)</f>
        <v>0.58000000000000007</v>
      </c>
      <c r="I3852" s="6">
        <f>E3852</f>
        <v>0.83000000000000007</v>
      </c>
      <c r="J3852" s="6">
        <f>F3852</f>
        <v>0.58000000000000007</v>
      </c>
      <c r="K3852" s="6"/>
    </row>
    <row r="3853" spans="2:16">
      <c r="D3853" s="6"/>
      <c r="E3853" s="33">
        <f>D3852-E3852</f>
        <v>0.16999999999999993</v>
      </c>
      <c r="F3853" s="33">
        <f>E3852-F3852</f>
        <v>0.25</v>
      </c>
      <c r="I3853" s="6">
        <f>E3853</f>
        <v>0.16999999999999993</v>
      </c>
      <c r="J3853" s="6">
        <f>F3853</f>
        <v>0.25</v>
      </c>
      <c r="K3853" s="6"/>
    </row>
    <row r="3854" spans="2:16">
      <c r="C3854" t="s">
        <v>366</v>
      </c>
      <c r="D3854" t="s">
        <v>471</v>
      </c>
    </row>
    <row r="3855" spans="2:16">
      <c r="C3855" t="s">
        <v>2026</v>
      </c>
    </row>
    <row r="3857" spans="2:36">
      <c r="I3857" s="848" t="s">
        <v>1987</v>
      </c>
      <c r="J3857" s="848"/>
      <c r="K3857" s="848"/>
      <c r="L3857" s="848"/>
      <c r="M3857" s="848"/>
      <c r="N3857" s="848"/>
      <c r="O3857" s="848"/>
      <c r="P3857" s="848"/>
    </row>
    <row r="3858" spans="2:36">
      <c r="I3858" s="835" t="s">
        <v>1042</v>
      </c>
      <c r="J3858" s="835"/>
      <c r="K3858" s="835"/>
      <c r="L3858" s="835"/>
      <c r="M3858" s="835"/>
      <c r="N3858" s="835"/>
      <c r="O3858" s="835"/>
      <c r="P3858" s="835"/>
    </row>
    <row r="3859" spans="2:36">
      <c r="I3859" s="847" t="s">
        <v>2027</v>
      </c>
      <c r="J3859" s="847"/>
      <c r="K3859" s="317"/>
      <c r="L3859" s="847" t="s">
        <v>2028</v>
      </c>
      <c r="M3859" s="847"/>
      <c r="N3859" s="317"/>
      <c r="O3859" s="87" t="s">
        <v>2029</v>
      </c>
      <c r="P3859" s="87"/>
    </row>
    <row r="3860" spans="2:36" s="35" customFormat="1" ht="28.8">
      <c r="B3860" s="519" t="s">
        <v>1079</v>
      </c>
      <c r="C3860" s="240" t="s">
        <v>2030</v>
      </c>
      <c r="D3860" s="16" t="s">
        <v>353</v>
      </c>
      <c r="E3860" s="16" t="s">
        <v>354</v>
      </c>
      <c r="F3860" s="16" t="s">
        <v>355</v>
      </c>
      <c r="I3860" s="93" t="s">
        <v>1080</v>
      </c>
      <c r="J3860" s="94" t="s">
        <v>1081</v>
      </c>
      <c r="K3860" s="94"/>
      <c r="L3860" s="93" t="s">
        <v>1080</v>
      </c>
      <c r="M3860" s="94" t="s">
        <v>1081</v>
      </c>
      <c r="N3860" s="94"/>
      <c r="O3860" s="87" t="s">
        <v>354</v>
      </c>
      <c r="P3860" s="87" t="s">
        <v>1081</v>
      </c>
      <c r="AD3860" s="334"/>
      <c r="AJ3860" s="401"/>
    </row>
    <row r="3861" spans="2:36" ht="28.8">
      <c r="C3861" s="539" t="s">
        <v>2031</v>
      </c>
      <c r="D3861" s="6">
        <v>0.01</v>
      </c>
      <c r="E3861" s="6">
        <v>0.01</v>
      </c>
      <c r="F3861" s="6">
        <v>0</v>
      </c>
      <c r="I3861" s="292">
        <f>E3861</f>
        <v>0.01</v>
      </c>
      <c r="J3861" s="292">
        <f>F3861</f>
        <v>0</v>
      </c>
      <c r="K3861" s="292"/>
      <c r="L3861" s="293"/>
      <c r="M3861" s="293"/>
      <c r="N3861" s="293"/>
      <c r="O3861" s="87"/>
      <c r="P3861" s="87"/>
    </row>
    <row r="3862" spans="2:36">
      <c r="C3862" s="539" t="s">
        <v>2032</v>
      </c>
      <c r="D3862" s="6"/>
      <c r="E3862" s="6"/>
      <c r="F3862" s="6"/>
      <c r="I3862" s="292"/>
      <c r="J3862" s="292"/>
      <c r="K3862" s="292"/>
      <c r="L3862" s="293"/>
      <c r="M3862" s="293"/>
      <c r="N3862" s="293"/>
      <c r="O3862" s="87"/>
      <c r="P3862" s="87"/>
    </row>
    <row r="3863" spans="2:36">
      <c r="C3863" s="539" t="s">
        <v>2033</v>
      </c>
      <c r="D3863" s="6"/>
      <c r="E3863" s="6"/>
      <c r="F3863" s="6"/>
      <c r="I3863" s="292"/>
      <c r="J3863" s="292"/>
      <c r="K3863" s="292"/>
      <c r="L3863" s="293"/>
      <c r="M3863" s="293"/>
      <c r="N3863" s="293"/>
      <c r="O3863" s="87"/>
      <c r="P3863" s="87"/>
    </row>
    <row r="3864" spans="2:36" ht="28.8">
      <c r="C3864" s="31" t="s">
        <v>2034</v>
      </c>
      <c r="D3864" s="6">
        <v>0.12</v>
      </c>
      <c r="E3864" s="6">
        <v>0.12</v>
      </c>
      <c r="F3864" s="6">
        <v>0</v>
      </c>
      <c r="I3864" s="292">
        <f>E3864</f>
        <v>0.12</v>
      </c>
      <c r="J3864" s="292">
        <f>F3864</f>
        <v>0</v>
      </c>
      <c r="K3864" s="292"/>
      <c r="L3864" s="293"/>
      <c r="M3864" s="293"/>
      <c r="N3864" s="293"/>
      <c r="O3864" s="87"/>
      <c r="P3864" s="87"/>
    </row>
    <row r="3865" spans="2:36">
      <c r="C3865" s="31" t="s">
        <v>2035</v>
      </c>
      <c r="D3865" s="6">
        <v>0.03</v>
      </c>
      <c r="E3865" s="6">
        <v>0.03</v>
      </c>
      <c r="F3865" s="6">
        <v>0</v>
      </c>
      <c r="I3865" s="292">
        <v>0.2</v>
      </c>
      <c r="J3865" s="292">
        <v>0.2</v>
      </c>
      <c r="K3865" s="292"/>
      <c r="L3865" s="293">
        <v>0</v>
      </c>
      <c r="M3865" s="293">
        <v>0</v>
      </c>
      <c r="N3865" s="293"/>
      <c r="O3865" s="87"/>
      <c r="P3865" s="87"/>
    </row>
    <row r="3866" spans="2:36">
      <c r="C3866" s="31" t="s">
        <v>2036</v>
      </c>
      <c r="D3866" s="6">
        <v>0.03</v>
      </c>
      <c r="E3866" s="6">
        <v>0.03</v>
      </c>
      <c r="F3866" s="6">
        <v>0</v>
      </c>
      <c r="I3866" s="292">
        <v>0</v>
      </c>
      <c r="J3866" s="292">
        <f>F3866</f>
        <v>0</v>
      </c>
      <c r="K3866" s="292"/>
      <c r="L3866" s="293">
        <f>E3866</f>
        <v>0.03</v>
      </c>
      <c r="M3866" s="293">
        <f>F3866</f>
        <v>0</v>
      </c>
      <c r="N3866" s="293"/>
      <c r="O3866" s="87"/>
      <c r="P3866" s="87"/>
    </row>
    <row r="3867" spans="2:36">
      <c r="C3867" s="31" t="s">
        <v>2037</v>
      </c>
      <c r="D3867" s="6"/>
      <c r="E3867" s="6"/>
      <c r="F3867" s="6"/>
      <c r="I3867" s="292"/>
      <c r="J3867" s="292"/>
      <c r="K3867" s="292"/>
      <c r="L3867" s="293"/>
      <c r="M3867" s="293"/>
      <c r="N3867" s="293"/>
      <c r="O3867" s="87"/>
      <c r="P3867" s="87"/>
    </row>
    <row r="3868" spans="2:36" ht="28.8">
      <c r="C3868" s="31" t="s">
        <v>2038</v>
      </c>
      <c r="D3868" s="6"/>
      <c r="E3868" s="6"/>
      <c r="F3868" s="6"/>
      <c r="I3868" s="292"/>
      <c r="J3868" s="292"/>
      <c r="K3868" s="292"/>
      <c r="L3868" s="293"/>
      <c r="M3868" s="293"/>
      <c r="N3868" s="293"/>
      <c r="O3868" s="87"/>
      <c r="P3868" s="87"/>
    </row>
    <row r="3869" spans="2:36">
      <c r="C3869" s="31" t="s">
        <v>2039</v>
      </c>
      <c r="D3869" s="6">
        <v>0.03</v>
      </c>
      <c r="E3869" s="6">
        <v>0.03</v>
      </c>
      <c r="F3869" s="6">
        <v>0</v>
      </c>
      <c r="I3869" s="293">
        <v>0</v>
      </c>
      <c r="J3869" s="293">
        <v>0</v>
      </c>
      <c r="K3869" s="293"/>
      <c r="L3869" s="293">
        <f>E3869</f>
        <v>0.03</v>
      </c>
      <c r="M3869" s="293">
        <f>F3869</f>
        <v>0</v>
      </c>
      <c r="N3869" s="293"/>
      <c r="O3869" s="87"/>
      <c r="P3869" s="87"/>
    </row>
    <row r="3870" spans="2:36">
      <c r="C3870" s="31" t="s">
        <v>2040</v>
      </c>
      <c r="D3870" s="6">
        <v>0.05</v>
      </c>
      <c r="E3870" s="6">
        <v>0.05</v>
      </c>
      <c r="F3870" s="6">
        <v>0</v>
      </c>
      <c r="I3870" s="125">
        <f>E3870</f>
        <v>0.05</v>
      </c>
      <c r="J3870" s="125">
        <f>F3870</f>
        <v>0</v>
      </c>
      <c r="K3870" s="125"/>
      <c r="L3870" s="125"/>
      <c r="M3870" s="125"/>
      <c r="N3870" s="125"/>
      <c r="O3870" s="125">
        <f>E3870</f>
        <v>0.05</v>
      </c>
      <c r="P3870" s="125">
        <f>J3870</f>
        <v>0</v>
      </c>
    </row>
    <row r="3871" spans="2:36">
      <c r="C3871" s="31"/>
      <c r="D3871" s="6">
        <v>0.03</v>
      </c>
      <c r="E3871" s="6">
        <v>0.03</v>
      </c>
      <c r="F3871" s="6">
        <v>0.01</v>
      </c>
      <c r="I3871" s="125">
        <f>E3871</f>
        <v>0.03</v>
      </c>
      <c r="J3871" s="125">
        <f>F3871</f>
        <v>0.01</v>
      </c>
      <c r="K3871" s="125"/>
      <c r="L3871" s="125"/>
      <c r="M3871" s="125"/>
      <c r="N3871" s="125"/>
      <c r="O3871" s="87"/>
      <c r="P3871" s="87"/>
    </row>
    <row r="3872" spans="2:36">
      <c r="C3872" s="31"/>
      <c r="D3872" s="6">
        <v>0.03</v>
      </c>
      <c r="E3872" s="6">
        <v>0.03</v>
      </c>
      <c r="F3872" s="6">
        <v>0.03</v>
      </c>
      <c r="I3872" s="6">
        <v>0</v>
      </c>
      <c r="J3872" s="6">
        <v>0</v>
      </c>
      <c r="K3872" s="6"/>
      <c r="L3872" s="6">
        <f>E3872</f>
        <v>0.03</v>
      </c>
      <c r="M3872" s="6">
        <f>F3872</f>
        <v>0.03</v>
      </c>
      <c r="N3872" s="6"/>
    </row>
    <row r="3873" spans="3:16">
      <c r="C3873" s="31"/>
      <c r="D3873" s="6">
        <v>0.1</v>
      </c>
      <c r="E3873" s="6">
        <v>0.1</v>
      </c>
      <c r="F3873" s="6">
        <v>0.1</v>
      </c>
      <c r="I3873" s="6">
        <v>0</v>
      </c>
      <c r="J3873" s="6">
        <v>0</v>
      </c>
      <c r="K3873" s="6"/>
      <c r="L3873" s="6">
        <f>E3873</f>
        <v>0.1</v>
      </c>
      <c r="M3873" s="6">
        <f>F3873</f>
        <v>0.1</v>
      </c>
      <c r="N3873" s="6"/>
    </row>
    <row r="3874" spans="3:16">
      <c r="C3874" s="31"/>
      <c r="D3874" s="6">
        <v>0.03</v>
      </c>
      <c r="E3874" s="6">
        <v>0.03</v>
      </c>
      <c r="F3874" s="6">
        <v>0.03</v>
      </c>
      <c r="I3874" s="6">
        <f t="shared" ref="I3874:I3883" si="227">E3874</f>
        <v>0.03</v>
      </c>
      <c r="J3874" s="6">
        <f t="shared" ref="J3874:J3883" si="228">F3874</f>
        <v>0.03</v>
      </c>
      <c r="K3874" s="6"/>
    </row>
    <row r="3875" spans="3:16">
      <c r="C3875" s="31"/>
      <c r="D3875" s="6">
        <v>0.03</v>
      </c>
      <c r="E3875" s="6">
        <v>0.03</v>
      </c>
      <c r="F3875" s="6">
        <v>0.03</v>
      </c>
      <c r="I3875" s="6">
        <f t="shared" si="227"/>
        <v>0.03</v>
      </c>
      <c r="J3875" s="6">
        <f t="shared" si="228"/>
        <v>0.03</v>
      </c>
      <c r="K3875" s="6"/>
    </row>
    <row r="3876" spans="3:16">
      <c r="C3876" s="31"/>
      <c r="D3876" s="6">
        <v>0.15</v>
      </c>
      <c r="E3876" s="6">
        <v>0.15</v>
      </c>
      <c r="F3876" s="6">
        <v>0.15</v>
      </c>
      <c r="I3876" s="6">
        <f t="shared" si="227"/>
        <v>0.15</v>
      </c>
      <c r="J3876" s="6">
        <f t="shared" si="228"/>
        <v>0.15</v>
      </c>
      <c r="K3876" s="6"/>
    </row>
    <row r="3877" spans="3:16">
      <c r="C3877" s="31"/>
      <c r="D3877" s="6">
        <v>0.05</v>
      </c>
      <c r="E3877" s="6">
        <v>0.05</v>
      </c>
      <c r="F3877" s="6">
        <v>0.05</v>
      </c>
      <c r="I3877" s="6">
        <f t="shared" si="227"/>
        <v>0.05</v>
      </c>
      <c r="J3877" s="6">
        <f t="shared" si="228"/>
        <v>0.05</v>
      </c>
      <c r="K3877" s="6"/>
    </row>
    <row r="3878" spans="3:16">
      <c r="C3878" s="31"/>
      <c r="D3878" s="6">
        <v>0.03</v>
      </c>
      <c r="E3878" s="6">
        <v>0.03</v>
      </c>
      <c r="F3878" s="6">
        <v>0.03</v>
      </c>
      <c r="I3878" s="6">
        <f t="shared" si="227"/>
        <v>0.03</v>
      </c>
      <c r="J3878" s="6">
        <f t="shared" si="228"/>
        <v>0.03</v>
      </c>
      <c r="K3878" s="6"/>
    </row>
    <row r="3879" spans="3:16">
      <c r="C3879" s="31"/>
      <c r="D3879" s="6">
        <v>0.05</v>
      </c>
      <c r="E3879" s="6">
        <v>0.05</v>
      </c>
      <c r="F3879" s="6">
        <v>0.05</v>
      </c>
      <c r="I3879" s="6">
        <f t="shared" si="227"/>
        <v>0.05</v>
      </c>
      <c r="J3879" s="6">
        <f t="shared" si="228"/>
        <v>0.05</v>
      </c>
      <c r="K3879" s="6"/>
    </row>
    <row r="3880" spans="3:16">
      <c r="C3880" s="31"/>
      <c r="D3880" s="6">
        <v>0.05</v>
      </c>
      <c r="E3880" s="6">
        <v>0.05</v>
      </c>
      <c r="F3880" s="6">
        <v>0.05</v>
      </c>
      <c r="I3880" s="6">
        <f t="shared" si="227"/>
        <v>0.05</v>
      </c>
      <c r="J3880" s="6">
        <f t="shared" si="228"/>
        <v>0.05</v>
      </c>
      <c r="K3880" s="6"/>
      <c r="O3880" s="50"/>
      <c r="P3880" s="50"/>
    </row>
    <row r="3881" spans="3:16">
      <c r="C3881" s="31"/>
      <c r="D3881" s="6">
        <v>0.03</v>
      </c>
      <c r="E3881" s="6">
        <v>0.03</v>
      </c>
      <c r="F3881" s="6">
        <v>0.03</v>
      </c>
      <c r="I3881" s="6">
        <f t="shared" si="227"/>
        <v>0.03</v>
      </c>
      <c r="J3881" s="6">
        <f t="shared" si="228"/>
        <v>0.03</v>
      </c>
      <c r="K3881" s="6"/>
    </row>
    <row r="3882" spans="3:16">
      <c r="C3882" s="31"/>
      <c r="D3882" s="6">
        <v>0.05</v>
      </c>
      <c r="E3882" s="6">
        <v>0.05</v>
      </c>
      <c r="F3882" s="6">
        <v>0.05</v>
      </c>
      <c r="I3882" s="6">
        <f t="shared" si="227"/>
        <v>0.05</v>
      </c>
      <c r="J3882" s="6">
        <f t="shared" si="228"/>
        <v>0.05</v>
      </c>
      <c r="K3882" s="6"/>
    </row>
    <row r="3883" spans="3:16">
      <c r="C3883" s="31"/>
      <c r="D3883" s="6">
        <v>0.1</v>
      </c>
      <c r="E3883" s="6">
        <v>0.1</v>
      </c>
      <c r="F3883" s="6">
        <v>0.1</v>
      </c>
      <c r="I3883" s="6">
        <f t="shared" si="227"/>
        <v>0.1</v>
      </c>
      <c r="J3883" s="6">
        <f t="shared" si="228"/>
        <v>0.1</v>
      </c>
      <c r="K3883" s="6"/>
    </row>
    <row r="3884" spans="3:16">
      <c r="C3884" s="31"/>
      <c r="D3884" s="6">
        <f>SUM(D3861:D3883)</f>
        <v>1.0000000000000004</v>
      </c>
      <c r="E3884" s="6">
        <f>SUM(E3861:E3883)</f>
        <v>1.0000000000000004</v>
      </c>
      <c r="F3884" s="6">
        <f>SUM(F3861:F3883)</f>
        <v>0.71</v>
      </c>
    </row>
    <row r="3885" spans="3:16">
      <c r="C3885" s="31"/>
      <c r="E3885" s="6">
        <f>D3884-E3884</f>
        <v>0</v>
      </c>
      <c r="F3885" s="6">
        <f>E3884-F3884</f>
        <v>0.29000000000000048</v>
      </c>
    </row>
    <row r="3889" spans="3:36" s="50" customFormat="1">
      <c r="C3889" s="50" t="s">
        <v>2041</v>
      </c>
      <c r="D3889" s="50" t="s">
        <v>2042</v>
      </c>
      <c r="O3889"/>
      <c r="P3889"/>
      <c r="AD3889" s="128"/>
      <c r="AJ3889" s="394"/>
    </row>
    <row r="3892" spans="3:36" ht="15" customHeight="1">
      <c r="I3892" s="848" t="s">
        <v>1987</v>
      </c>
      <c r="J3892" s="848"/>
      <c r="K3892" s="848"/>
      <c r="L3892" s="848"/>
      <c r="M3892" s="848"/>
      <c r="N3892" s="848"/>
      <c r="O3892" s="848"/>
      <c r="P3892" s="848"/>
    </row>
    <row r="3893" spans="3:36" ht="15" customHeight="1">
      <c r="I3893" s="835" t="s">
        <v>1042</v>
      </c>
      <c r="J3893" s="835"/>
      <c r="K3893" s="835"/>
      <c r="L3893" s="835"/>
      <c r="M3893" s="835"/>
      <c r="N3893" s="835"/>
      <c r="O3893" s="835"/>
      <c r="P3893" s="835"/>
    </row>
    <row r="3894" spans="3:36" ht="15" customHeight="1">
      <c r="I3894" s="847" t="s">
        <v>2027</v>
      </c>
      <c r="J3894" s="847"/>
      <c r="K3894" s="317"/>
      <c r="L3894" s="847" t="s">
        <v>2028</v>
      </c>
      <c r="M3894" s="847"/>
      <c r="N3894" s="317"/>
      <c r="O3894" s="87" t="s">
        <v>2029</v>
      </c>
      <c r="P3894" s="87"/>
    </row>
    <row r="3895" spans="3:36" ht="28.8">
      <c r="C3895" s="240" t="s">
        <v>2043</v>
      </c>
      <c r="D3895" s="16" t="s">
        <v>353</v>
      </c>
      <c r="E3895" s="16" t="s">
        <v>354</v>
      </c>
      <c r="F3895" s="16" t="s">
        <v>355</v>
      </c>
      <c r="I3895" s="93" t="s">
        <v>1080</v>
      </c>
      <c r="J3895" s="94" t="s">
        <v>1081</v>
      </c>
      <c r="K3895" s="94"/>
      <c r="L3895" s="93" t="s">
        <v>1080</v>
      </c>
      <c r="M3895" s="94" t="s">
        <v>1081</v>
      </c>
      <c r="N3895" s="94"/>
      <c r="O3895" s="87" t="s">
        <v>354</v>
      </c>
      <c r="P3895" s="87" t="s">
        <v>1081</v>
      </c>
    </row>
    <row r="3896" spans="3:36">
      <c r="C3896" s="31" t="s">
        <v>2044</v>
      </c>
      <c r="D3896" s="6">
        <v>0.02</v>
      </c>
      <c r="E3896" s="6">
        <v>0.02</v>
      </c>
      <c r="F3896" s="6">
        <v>0.02</v>
      </c>
      <c r="I3896" s="292">
        <f>E3896</f>
        <v>0.02</v>
      </c>
      <c r="J3896" s="292">
        <f>F3896</f>
        <v>0.02</v>
      </c>
      <c r="K3896" s="292"/>
      <c r="L3896" s="293"/>
      <c r="M3896" s="293"/>
      <c r="N3896" s="293"/>
      <c r="O3896" s="87"/>
      <c r="P3896" s="87"/>
    </row>
    <row r="3897" spans="3:36" ht="28.8">
      <c r="C3897" s="31" t="s">
        <v>2045</v>
      </c>
      <c r="D3897" s="6">
        <v>0.1</v>
      </c>
      <c r="E3897" s="6">
        <v>0.1</v>
      </c>
      <c r="F3897" s="6">
        <v>0.1</v>
      </c>
      <c r="I3897" s="292">
        <f>E3897</f>
        <v>0.1</v>
      </c>
      <c r="J3897" s="292">
        <f>F3897</f>
        <v>0.1</v>
      </c>
      <c r="K3897" s="292"/>
      <c r="L3897" s="293"/>
      <c r="M3897" s="293"/>
      <c r="N3897" s="293"/>
      <c r="O3897" s="87"/>
      <c r="P3897" s="87"/>
    </row>
    <row r="3898" spans="3:36">
      <c r="C3898" s="31" t="s">
        <v>2046</v>
      </c>
      <c r="D3898" s="6">
        <v>0.05</v>
      </c>
      <c r="E3898" s="6">
        <v>0.05</v>
      </c>
      <c r="F3898" s="6">
        <v>0.02</v>
      </c>
      <c r="I3898" s="292">
        <v>0.2</v>
      </c>
      <c r="J3898" s="292">
        <v>0.2</v>
      </c>
      <c r="K3898" s="292"/>
      <c r="L3898" s="293">
        <v>0</v>
      </c>
      <c r="M3898" s="293">
        <v>0</v>
      </c>
      <c r="N3898" s="293"/>
      <c r="O3898" s="87"/>
      <c r="P3898" s="87"/>
    </row>
    <row r="3899" spans="3:36">
      <c r="C3899" s="31" t="s">
        <v>2047</v>
      </c>
      <c r="D3899" s="6">
        <v>0.05</v>
      </c>
      <c r="E3899" s="6">
        <v>0.05</v>
      </c>
      <c r="F3899" s="6">
        <v>0.02</v>
      </c>
      <c r="I3899" s="292">
        <v>0</v>
      </c>
      <c r="J3899" s="292">
        <f>F3899</f>
        <v>0.02</v>
      </c>
      <c r="K3899" s="292"/>
      <c r="L3899" s="293">
        <f>E3899</f>
        <v>0.05</v>
      </c>
      <c r="M3899" s="293">
        <f>F3899</f>
        <v>0.02</v>
      </c>
      <c r="N3899" s="293"/>
      <c r="O3899" s="87"/>
      <c r="P3899" s="87"/>
    </row>
    <row r="3900" spans="3:36">
      <c r="C3900" s="31" t="s">
        <v>2048</v>
      </c>
      <c r="D3900" s="6">
        <v>0.05</v>
      </c>
      <c r="E3900" s="6">
        <v>0.05</v>
      </c>
      <c r="F3900" s="6">
        <v>0.02</v>
      </c>
      <c r="I3900" s="293">
        <f>E3900</f>
        <v>0.05</v>
      </c>
      <c r="J3900" s="293">
        <f>F3900</f>
        <v>0.02</v>
      </c>
      <c r="K3900" s="293"/>
      <c r="L3900" s="293">
        <v>0</v>
      </c>
      <c r="M3900" s="293">
        <v>0</v>
      </c>
      <c r="N3900" s="293"/>
      <c r="O3900" s="87"/>
      <c r="P3900" s="87"/>
    </row>
    <row r="3901" spans="3:36">
      <c r="C3901" s="31" t="s">
        <v>2049</v>
      </c>
      <c r="D3901" s="6">
        <v>0.1</v>
      </c>
      <c r="E3901" s="6">
        <v>0.1</v>
      </c>
      <c r="F3901" s="6">
        <v>0.1</v>
      </c>
      <c r="I3901" s="125">
        <f>E3901</f>
        <v>0.1</v>
      </c>
      <c r="J3901" s="125">
        <f>F3901</f>
        <v>0.1</v>
      </c>
      <c r="K3901" s="125"/>
      <c r="L3901" s="125"/>
      <c r="M3901" s="125"/>
      <c r="N3901" s="125"/>
      <c r="O3901" s="125">
        <f>E3901</f>
        <v>0.1</v>
      </c>
      <c r="P3901" s="125">
        <f>J3901</f>
        <v>0.1</v>
      </c>
    </row>
    <row r="3902" spans="3:36">
      <c r="C3902" s="31" t="s">
        <v>2050</v>
      </c>
      <c r="D3902" s="6">
        <v>0.05</v>
      </c>
      <c r="E3902" s="6">
        <v>0.05</v>
      </c>
      <c r="F3902" s="6">
        <v>0.05</v>
      </c>
      <c r="I3902" s="125">
        <f>E3902</f>
        <v>0.05</v>
      </c>
      <c r="J3902" s="125">
        <f>F3902</f>
        <v>0.05</v>
      </c>
      <c r="K3902" s="125"/>
      <c r="L3902" s="125"/>
      <c r="M3902" s="125"/>
      <c r="N3902" s="125"/>
      <c r="O3902" s="87"/>
      <c r="P3902" s="87"/>
    </row>
    <row r="3903" spans="3:36">
      <c r="C3903" s="31" t="s">
        <v>2051</v>
      </c>
      <c r="D3903" s="6">
        <v>0.05</v>
      </c>
      <c r="E3903" s="6">
        <v>0.05</v>
      </c>
      <c r="F3903" s="6">
        <v>0.05</v>
      </c>
      <c r="I3903" s="6">
        <v>0</v>
      </c>
      <c r="J3903" s="6">
        <v>0</v>
      </c>
      <c r="K3903" s="6"/>
      <c r="L3903" s="6">
        <f>E3903</f>
        <v>0.05</v>
      </c>
      <c r="M3903" s="6">
        <f>F3903</f>
        <v>0.05</v>
      </c>
      <c r="N3903" s="6"/>
    </row>
    <row r="3904" spans="3:36">
      <c r="C3904" s="31" t="s">
        <v>2052</v>
      </c>
      <c r="D3904" s="6">
        <v>0.05</v>
      </c>
      <c r="E3904" s="6">
        <v>0.05</v>
      </c>
      <c r="F3904" s="6">
        <v>0.05</v>
      </c>
      <c r="I3904" s="6">
        <v>0</v>
      </c>
      <c r="J3904" s="6">
        <v>0</v>
      </c>
      <c r="K3904" s="6"/>
      <c r="L3904" s="6">
        <f>E3904</f>
        <v>0.05</v>
      </c>
      <c r="M3904" s="6">
        <f>F3904</f>
        <v>0.05</v>
      </c>
      <c r="N3904" s="6"/>
    </row>
    <row r="3905" spans="3:122">
      <c r="C3905" s="31" t="s">
        <v>2053</v>
      </c>
      <c r="D3905" s="6">
        <v>0.15</v>
      </c>
      <c r="E3905" s="6">
        <v>0.15</v>
      </c>
      <c r="F3905" s="6">
        <v>0.15</v>
      </c>
      <c r="I3905" s="6">
        <f t="shared" ref="I3905:I3914" si="229">E3905</f>
        <v>0.15</v>
      </c>
      <c r="J3905" s="6">
        <f t="shared" ref="J3905:J3914" si="230">F3905</f>
        <v>0.15</v>
      </c>
      <c r="K3905" s="6"/>
    </row>
    <row r="3906" spans="3:122">
      <c r="C3906" s="31" t="s">
        <v>2035</v>
      </c>
      <c r="D3906" s="6">
        <v>0.05</v>
      </c>
      <c r="E3906" s="6">
        <v>0.05</v>
      </c>
      <c r="F3906" s="6">
        <v>0.05</v>
      </c>
      <c r="I3906" s="6">
        <f t="shared" si="229"/>
        <v>0.05</v>
      </c>
      <c r="J3906" s="6">
        <f t="shared" si="230"/>
        <v>0.05</v>
      </c>
      <c r="K3906" s="6"/>
    </row>
    <row r="3907" spans="3:122">
      <c r="C3907" s="31" t="s">
        <v>2054</v>
      </c>
      <c r="D3907" s="6">
        <v>0.05</v>
      </c>
      <c r="E3907" s="6">
        <v>0.05</v>
      </c>
      <c r="F3907" s="6">
        <v>0.05</v>
      </c>
      <c r="I3907" s="6">
        <f t="shared" si="229"/>
        <v>0.05</v>
      </c>
      <c r="J3907" s="6">
        <f t="shared" si="230"/>
        <v>0.05</v>
      </c>
      <c r="K3907" s="6"/>
    </row>
    <row r="3908" spans="3:122">
      <c r="C3908" s="31" t="s">
        <v>2055</v>
      </c>
      <c r="D3908" s="6">
        <v>0.05</v>
      </c>
      <c r="E3908" s="6">
        <v>0.05</v>
      </c>
      <c r="F3908" s="6">
        <v>0.02</v>
      </c>
      <c r="I3908" s="6">
        <f t="shared" si="229"/>
        <v>0.05</v>
      </c>
      <c r="J3908" s="6">
        <f t="shared" si="230"/>
        <v>0.02</v>
      </c>
      <c r="K3908" s="6"/>
    </row>
    <row r="3909" spans="3:122" ht="28.8">
      <c r="C3909" s="31" t="s">
        <v>2056</v>
      </c>
      <c r="D3909" s="6">
        <v>0.05</v>
      </c>
      <c r="E3909" s="6">
        <v>0.05</v>
      </c>
      <c r="F3909" s="6">
        <v>0.05</v>
      </c>
      <c r="I3909" s="6">
        <f t="shared" si="229"/>
        <v>0.05</v>
      </c>
      <c r="J3909" s="6">
        <f t="shared" si="230"/>
        <v>0.05</v>
      </c>
      <c r="K3909" s="6"/>
    </row>
    <row r="3910" spans="3:122">
      <c r="C3910" s="31" t="s">
        <v>2057</v>
      </c>
      <c r="D3910" s="6">
        <v>0.03</v>
      </c>
      <c r="E3910" s="6">
        <v>0.03</v>
      </c>
      <c r="F3910" s="6">
        <v>0.03</v>
      </c>
      <c r="I3910" s="6">
        <f t="shared" si="229"/>
        <v>0.03</v>
      </c>
      <c r="J3910" s="6">
        <f t="shared" si="230"/>
        <v>0.03</v>
      </c>
      <c r="K3910" s="6"/>
    </row>
    <row r="3911" spans="3:122">
      <c r="C3911" s="31" t="s">
        <v>2058</v>
      </c>
      <c r="D3911" s="6">
        <v>0.05</v>
      </c>
      <c r="E3911" s="6">
        <v>0.05</v>
      </c>
      <c r="F3911" s="6">
        <v>0.05</v>
      </c>
      <c r="I3911" s="6">
        <f t="shared" si="229"/>
        <v>0.05</v>
      </c>
      <c r="J3911" s="6">
        <f t="shared" si="230"/>
        <v>0.05</v>
      </c>
      <c r="K3911" s="6"/>
      <c r="O3911" s="50"/>
      <c r="P3911" s="50"/>
    </row>
    <row r="3912" spans="3:122">
      <c r="C3912" s="31" t="s">
        <v>2059</v>
      </c>
      <c r="D3912" s="6">
        <v>0.05</v>
      </c>
      <c r="E3912" s="6">
        <v>0.05</v>
      </c>
      <c r="F3912" s="6">
        <v>0.05</v>
      </c>
      <c r="I3912" s="6">
        <f t="shared" si="229"/>
        <v>0.05</v>
      </c>
      <c r="J3912" s="6">
        <f t="shared" si="230"/>
        <v>0.05</v>
      </c>
      <c r="K3912" s="6"/>
    </row>
    <row r="3913" spans="3:122">
      <c r="D3913" s="6">
        <f>SUM(D3896:D3912)</f>
        <v>1.0000000000000002</v>
      </c>
      <c r="E3913" s="6">
        <f>SUM(E3896:E3912)</f>
        <v>1.0000000000000002</v>
      </c>
      <c r="F3913" s="6">
        <f>SUM(F3896:F3912)</f>
        <v>0.88000000000000023</v>
      </c>
      <c r="I3913" s="6">
        <f t="shared" si="229"/>
        <v>1.0000000000000002</v>
      </c>
      <c r="J3913" s="6">
        <f t="shared" si="230"/>
        <v>0.88000000000000023</v>
      </c>
      <c r="K3913" s="6"/>
    </row>
    <row r="3914" spans="3:122">
      <c r="E3914" s="6">
        <f>D3913-E3913</f>
        <v>0</v>
      </c>
      <c r="F3914" s="6">
        <f>E3913-F3913</f>
        <v>0.12</v>
      </c>
      <c r="I3914" s="6">
        <f t="shared" si="229"/>
        <v>0</v>
      </c>
      <c r="J3914" s="6">
        <f t="shared" si="230"/>
        <v>0.12</v>
      </c>
      <c r="K3914" s="6"/>
    </row>
    <row r="3918" spans="3:122">
      <c r="C3918" s="50" t="s">
        <v>2041</v>
      </c>
      <c r="D3918" s="50" t="s">
        <v>2060</v>
      </c>
      <c r="E3918" s="50"/>
      <c r="F3918" s="50"/>
      <c r="G3918" s="50"/>
      <c r="H3918" s="50"/>
      <c r="I3918" s="50"/>
      <c r="J3918" s="50"/>
      <c r="K3918" s="50"/>
      <c r="L3918" s="50"/>
      <c r="M3918" s="50"/>
      <c r="N3918" s="50"/>
      <c r="Q3918" s="50"/>
      <c r="R3918" s="50"/>
      <c r="S3918" s="50"/>
      <c r="T3918" s="50"/>
      <c r="U3918" s="50"/>
      <c r="V3918" s="50"/>
      <c r="W3918" s="50"/>
      <c r="X3918" s="50"/>
      <c r="Y3918" s="50"/>
      <c r="Z3918" s="50"/>
      <c r="AA3918" s="50"/>
      <c r="AB3918" s="50"/>
      <c r="AC3918" s="50"/>
      <c r="AD3918" s="128"/>
      <c r="AE3918" s="50"/>
      <c r="AF3918" s="50"/>
      <c r="AG3918" s="50"/>
      <c r="AH3918" s="50"/>
      <c r="AI3918" s="50"/>
      <c r="AJ3918" s="394"/>
      <c r="AK3918" s="50"/>
      <c r="AL3918" s="50"/>
      <c r="AM3918" s="50"/>
      <c r="AN3918" s="50"/>
      <c r="AO3918" s="50"/>
      <c r="AP3918" s="50"/>
      <c r="AQ3918" s="50"/>
      <c r="AR3918" s="50"/>
      <c r="AS3918" s="50"/>
      <c r="AT3918" s="50"/>
      <c r="AU3918" s="50"/>
      <c r="AV3918" s="50"/>
      <c r="AW3918" s="50"/>
      <c r="AX3918" s="50"/>
      <c r="AY3918" s="50"/>
      <c r="AZ3918" s="50"/>
      <c r="BA3918" s="50"/>
      <c r="BB3918" s="50"/>
      <c r="BC3918" s="50"/>
      <c r="BD3918" s="50"/>
      <c r="BE3918" s="50"/>
      <c r="BF3918" s="50"/>
      <c r="BG3918" s="50"/>
      <c r="BH3918" s="50"/>
      <c r="BI3918" s="50"/>
      <c r="BJ3918" s="50"/>
      <c r="BK3918" s="50"/>
      <c r="BL3918" s="50"/>
      <c r="BM3918" s="50"/>
      <c r="BN3918" s="50"/>
      <c r="BO3918" s="50"/>
      <c r="BP3918" s="50"/>
      <c r="BQ3918" s="50"/>
      <c r="BR3918" s="50"/>
      <c r="BS3918" s="50"/>
      <c r="BT3918" s="50"/>
      <c r="BU3918" s="50"/>
      <c r="BV3918" s="50"/>
      <c r="BW3918" s="50"/>
      <c r="BX3918" s="50"/>
      <c r="BY3918" s="50"/>
      <c r="BZ3918" s="50"/>
      <c r="CA3918" s="50"/>
      <c r="CB3918" s="50"/>
      <c r="CC3918" s="50"/>
      <c r="CD3918" s="50"/>
      <c r="CE3918" s="50"/>
      <c r="CF3918" s="50"/>
      <c r="CG3918" s="50"/>
      <c r="CH3918" s="50"/>
      <c r="CI3918" s="50"/>
      <c r="CJ3918" s="50"/>
      <c r="CK3918" s="50"/>
      <c r="CL3918" s="50"/>
      <c r="CM3918" s="50"/>
      <c r="CN3918" s="50"/>
      <c r="CO3918" s="50"/>
      <c r="CP3918" s="50"/>
      <c r="CQ3918" s="50"/>
      <c r="CR3918" s="50"/>
      <c r="CS3918" s="50"/>
      <c r="CT3918" s="50"/>
      <c r="CU3918" s="50"/>
      <c r="CV3918" s="50"/>
      <c r="CW3918" s="50"/>
      <c r="CX3918" s="50"/>
      <c r="CY3918" s="50"/>
      <c r="CZ3918" s="50"/>
      <c r="DA3918" s="50"/>
      <c r="DB3918" s="50"/>
      <c r="DC3918" s="50"/>
      <c r="DD3918" s="50"/>
      <c r="DE3918" s="50"/>
      <c r="DF3918" s="50"/>
      <c r="DG3918" s="50"/>
      <c r="DH3918" s="50"/>
      <c r="DI3918" s="50"/>
      <c r="DJ3918" s="50"/>
      <c r="DK3918" s="50"/>
      <c r="DL3918" s="50"/>
      <c r="DM3918" s="50"/>
      <c r="DN3918" s="50"/>
      <c r="DO3918" s="50"/>
      <c r="DP3918" s="50"/>
      <c r="DQ3918" s="50"/>
      <c r="DR3918" s="50"/>
    </row>
    <row r="3923" spans="3:26">
      <c r="C3923" s="459" t="s">
        <v>105</v>
      </c>
      <c r="D3923" s="16" t="s">
        <v>353</v>
      </c>
      <c r="E3923" s="16" t="s">
        <v>354</v>
      </c>
      <c r="F3923" s="16" t="s">
        <v>355</v>
      </c>
    </row>
    <row r="3924" spans="3:26">
      <c r="C3924" t="s">
        <v>2061</v>
      </c>
      <c r="D3924" s="6">
        <v>0.02</v>
      </c>
      <c r="E3924" s="6">
        <v>0.02</v>
      </c>
      <c r="F3924" s="6">
        <v>0.02</v>
      </c>
    </row>
    <row r="3925" spans="3:26">
      <c r="C3925" t="s">
        <v>2062</v>
      </c>
      <c r="D3925" s="6">
        <v>0.13</v>
      </c>
      <c r="E3925" s="6">
        <v>0.13</v>
      </c>
      <c r="F3925" s="6">
        <v>0.13</v>
      </c>
    </row>
    <row r="3926" spans="3:26">
      <c r="C3926" t="s">
        <v>2063</v>
      </c>
      <c r="D3926" s="6">
        <v>0.75</v>
      </c>
      <c r="E3926" s="6">
        <v>0.75</v>
      </c>
      <c r="F3926" s="6">
        <v>0.75</v>
      </c>
    </row>
    <row r="3927" spans="3:26">
      <c r="C3927" t="s">
        <v>2064</v>
      </c>
      <c r="D3927" s="6">
        <v>0.01</v>
      </c>
      <c r="E3927" s="6">
        <v>0.01</v>
      </c>
      <c r="F3927" s="6">
        <v>0.01</v>
      </c>
    </row>
    <row r="3928" spans="3:26">
      <c r="C3928" t="s">
        <v>2065</v>
      </c>
      <c r="D3928" s="6">
        <v>0.05</v>
      </c>
      <c r="E3928" s="6">
        <v>0.05</v>
      </c>
      <c r="F3928" s="6">
        <v>0.05</v>
      </c>
    </row>
    <row r="3929" spans="3:26">
      <c r="C3929" t="s">
        <v>2066</v>
      </c>
      <c r="D3929" s="6">
        <v>0.02</v>
      </c>
      <c r="E3929" s="6">
        <v>0.02</v>
      </c>
      <c r="F3929" s="6">
        <v>0.02</v>
      </c>
    </row>
    <row r="3930" spans="3:26">
      <c r="C3930" t="s">
        <v>2067</v>
      </c>
      <c r="D3930" s="6">
        <v>0.02</v>
      </c>
      <c r="E3930" s="6">
        <v>0.02</v>
      </c>
      <c r="F3930" s="6">
        <v>0.02</v>
      </c>
    </row>
    <row r="3931" spans="3:26">
      <c r="D3931" s="6">
        <f>SUM(D3924:D3930)</f>
        <v>1</v>
      </c>
      <c r="E3931" s="6">
        <f>SUM(E3924:E3930)</f>
        <v>1</v>
      </c>
      <c r="F3931" s="6">
        <f>SUM(F3924:F3930)</f>
        <v>1</v>
      </c>
    </row>
    <row r="3932" spans="3:26">
      <c r="D3932" s="6"/>
      <c r="E3932" s="6">
        <f>D3931-E3931</f>
        <v>0</v>
      </c>
      <c r="F3932" s="6">
        <f>E3931-F3931</f>
        <v>0</v>
      </c>
    </row>
    <row r="3933" spans="3:26">
      <c r="D3933" s="6"/>
      <c r="E3933" s="6"/>
      <c r="F3933" s="6"/>
    </row>
    <row r="3934" spans="3:26">
      <c r="D3934" s="6"/>
      <c r="E3934" s="6"/>
      <c r="F3934" s="6"/>
    </row>
    <row r="3935" spans="3:26">
      <c r="C3935" t="s">
        <v>366</v>
      </c>
      <c r="D3935" s="6" t="s">
        <v>1152</v>
      </c>
      <c r="E3935" s="6"/>
      <c r="F3935" s="6"/>
      <c r="Z3935" t="s">
        <v>2068</v>
      </c>
    </row>
    <row r="3936" spans="3:26">
      <c r="D3936" s="6"/>
      <c r="E3936" s="6"/>
      <c r="F3936" s="6"/>
    </row>
    <row r="3937" spans="3:26">
      <c r="C3937" s="459" t="s">
        <v>106</v>
      </c>
      <c r="D3937" s="16" t="s">
        <v>353</v>
      </c>
      <c r="E3937" s="16" t="s">
        <v>354</v>
      </c>
      <c r="F3937" s="16" t="s">
        <v>355</v>
      </c>
    </row>
    <row r="3938" spans="3:26">
      <c r="C3938" s="31" t="s">
        <v>2069</v>
      </c>
      <c r="D3938" s="6">
        <v>0.05</v>
      </c>
      <c r="E3938" s="6">
        <v>0.05</v>
      </c>
      <c r="F3938" s="6">
        <v>0.05</v>
      </c>
    </row>
    <row r="3939" spans="3:26" ht="28.8">
      <c r="C3939" s="31" t="s">
        <v>2070</v>
      </c>
      <c r="D3939" s="6">
        <v>0.05</v>
      </c>
      <c r="E3939" s="6">
        <v>0.05</v>
      </c>
      <c r="F3939" s="6">
        <v>0.05</v>
      </c>
    </row>
    <row r="3940" spans="3:26">
      <c r="C3940" s="31" t="s">
        <v>2052</v>
      </c>
      <c r="D3940" s="6">
        <v>0.05</v>
      </c>
      <c r="E3940" s="6">
        <v>0.05</v>
      </c>
      <c r="F3940" s="6">
        <v>0.05</v>
      </c>
    </row>
    <row r="3941" spans="3:26">
      <c r="C3941" s="31" t="s">
        <v>2071</v>
      </c>
      <c r="D3941" s="6">
        <v>0.6</v>
      </c>
      <c r="E3941" s="6">
        <v>0.6</v>
      </c>
      <c r="F3941" s="6">
        <v>0.6</v>
      </c>
    </row>
    <row r="3942" spans="3:26">
      <c r="C3942" s="31" t="s">
        <v>2035</v>
      </c>
      <c r="D3942" s="6">
        <v>0.05</v>
      </c>
      <c r="E3942" s="6">
        <v>0.05</v>
      </c>
      <c r="F3942" s="6">
        <v>0.05</v>
      </c>
    </row>
    <row r="3943" spans="3:26">
      <c r="C3943" s="31" t="s">
        <v>2054</v>
      </c>
      <c r="D3943" s="6">
        <v>0.05</v>
      </c>
      <c r="E3943" s="6">
        <v>0.05</v>
      </c>
      <c r="F3943" s="6">
        <v>0.05</v>
      </c>
    </row>
    <row r="3944" spans="3:26">
      <c r="C3944" s="31" t="s">
        <v>2055</v>
      </c>
      <c r="D3944" s="6">
        <v>0.05</v>
      </c>
      <c r="E3944" s="6">
        <v>0.05</v>
      </c>
      <c r="F3944" s="6">
        <v>0.05</v>
      </c>
    </row>
    <row r="3945" spans="3:26">
      <c r="C3945" s="31" t="s">
        <v>2072</v>
      </c>
      <c r="D3945" s="6">
        <f t="shared" ref="D3945:E3946" si="231">SUM(D3938)</f>
        <v>0.05</v>
      </c>
      <c r="E3945" s="6">
        <f t="shared" si="231"/>
        <v>0.05</v>
      </c>
      <c r="F3945" s="6">
        <f t="shared" ref="F3945" si="232">SUM(F3938)</f>
        <v>0.05</v>
      </c>
    </row>
    <row r="3946" spans="3:26">
      <c r="C3946" s="31" t="s">
        <v>2073</v>
      </c>
      <c r="D3946" s="6">
        <f t="shared" si="231"/>
        <v>0.05</v>
      </c>
      <c r="E3946" s="6">
        <f t="shared" si="231"/>
        <v>0.05</v>
      </c>
      <c r="F3946" s="6">
        <f t="shared" ref="F3946" si="233">SUM(F3939)</f>
        <v>0.05</v>
      </c>
    </row>
    <row r="3947" spans="3:26">
      <c r="C3947" s="31"/>
      <c r="D3947" s="6">
        <f>SUM(D3938:D3946)</f>
        <v>1.0000000000000002</v>
      </c>
      <c r="E3947" s="6">
        <f>SUM(E3938:E3946)</f>
        <v>1.0000000000000002</v>
      </c>
      <c r="F3947" s="6">
        <f>SUM(F3938:F3946)</f>
        <v>1.0000000000000002</v>
      </c>
    </row>
    <row r="3948" spans="3:26">
      <c r="D3948" s="6"/>
      <c r="E3948" s="6">
        <f>D3947-E3947</f>
        <v>0</v>
      </c>
      <c r="F3948" s="6">
        <f>E3947-F3947</f>
        <v>0</v>
      </c>
    </row>
    <row r="3949" spans="3:26">
      <c r="D3949" s="6"/>
      <c r="E3949" s="6"/>
      <c r="F3949" s="6"/>
    </row>
    <row r="3950" spans="3:26">
      <c r="D3950" s="6"/>
      <c r="E3950" s="6"/>
      <c r="F3950" s="6"/>
    </row>
    <row r="3951" spans="3:26">
      <c r="C3951" t="s">
        <v>2074</v>
      </c>
      <c r="D3951" t="s">
        <v>2075</v>
      </c>
      <c r="Z3951" t="s">
        <v>2068</v>
      </c>
    </row>
    <row r="3955" spans="3:6">
      <c r="C3955" s="240" t="s">
        <v>2076</v>
      </c>
      <c r="D3955" s="16" t="s">
        <v>353</v>
      </c>
      <c r="E3955" s="16" t="s">
        <v>354</v>
      </c>
      <c r="F3955" s="16" t="s">
        <v>355</v>
      </c>
    </row>
    <row r="3956" spans="3:6">
      <c r="C3956" t="s">
        <v>2077</v>
      </c>
      <c r="D3956" s="6">
        <f t="shared" ref="D3956:D3961" si="234">SUM(D3947)</f>
        <v>1.0000000000000002</v>
      </c>
      <c r="E3956" s="6"/>
      <c r="F3956" s="6"/>
    </row>
    <row r="3957" spans="3:6">
      <c r="C3957" t="s">
        <v>2078</v>
      </c>
      <c r="D3957" s="6">
        <f t="shared" si="234"/>
        <v>0</v>
      </c>
      <c r="E3957" s="6"/>
      <c r="F3957" s="6"/>
    </row>
    <row r="3958" spans="3:6">
      <c r="C3958" t="s">
        <v>2079</v>
      </c>
      <c r="D3958" s="6">
        <f t="shared" si="234"/>
        <v>0</v>
      </c>
      <c r="E3958" s="6"/>
      <c r="F3958" s="6"/>
    </row>
    <row r="3959" spans="3:6">
      <c r="C3959" t="s">
        <v>2080</v>
      </c>
      <c r="D3959" s="6">
        <f t="shared" si="234"/>
        <v>0</v>
      </c>
      <c r="E3959" s="6"/>
      <c r="F3959" s="6"/>
    </row>
    <row r="3960" spans="3:6">
      <c r="C3960" t="s">
        <v>2081</v>
      </c>
      <c r="D3960" s="6">
        <f t="shared" si="234"/>
        <v>0</v>
      </c>
      <c r="E3960" s="6"/>
      <c r="F3960" s="6"/>
    </row>
    <row r="3961" spans="3:6">
      <c r="D3961" s="6">
        <f t="shared" si="234"/>
        <v>0</v>
      </c>
      <c r="E3961" s="6"/>
      <c r="F3961" s="6"/>
    </row>
    <row r="3964" spans="3:6">
      <c r="C3964" s="456" t="s">
        <v>111</v>
      </c>
      <c r="D3964" s="297" t="s">
        <v>353</v>
      </c>
      <c r="E3964" s="297" t="s">
        <v>354</v>
      </c>
      <c r="F3964" s="297" t="s">
        <v>355</v>
      </c>
    </row>
    <row r="3965" spans="3:6" ht="28.8">
      <c r="C3965" s="457" t="s">
        <v>2082</v>
      </c>
      <c r="D3965" s="38">
        <v>0.5</v>
      </c>
      <c r="E3965" s="38">
        <v>0.5</v>
      </c>
      <c r="F3965" s="38">
        <v>0.3</v>
      </c>
    </row>
    <row r="3966" spans="3:6">
      <c r="C3966" s="457" t="s">
        <v>2083</v>
      </c>
      <c r="D3966" s="38">
        <v>0.15</v>
      </c>
      <c r="E3966" s="38">
        <v>0.15</v>
      </c>
      <c r="F3966" s="38">
        <v>0.1</v>
      </c>
    </row>
    <row r="3967" spans="3:6">
      <c r="C3967" s="457" t="s">
        <v>2084</v>
      </c>
      <c r="D3967" s="38">
        <v>0.05</v>
      </c>
      <c r="E3967" s="38">
        <v>0.05</v>
      </c>
      <c r="F3967" s="38">
        <v>0.05</v>
      </c>
    </row>
    <row r="3968" spans="3:6">
      <c r="C3968" s="457" t="s">
        <v>2085</v>
      </c>
      <c r="D3968" s="38">
        <v>0.05</v>
      </c>
      <c r="E3968" s="38">
        <v>0.05</v>
      </c>
      <c r="F3968" s="38">
        <v>0.05</v>
      </c>
    </row>
    <row r="3969" spans="3:6">
      <c r="C3969" s="457" t="s">
        <v>2086</v>
      </c>
      <c r="D3969" s="38">
        <v>0.05</v>
      </c>
      <c r="E3969" s="38">
        <v>0.05</v>
      </c>
      <c r="F3969" s="38">
        <v>0.05</v>
      </c>
    </row>
    <row r="3970" spans="3:6">
      <c r="C3970" s="457" t="s">
        <v>2087</v>
      </c>
      <c r="D3970" s="38">
        <v>0.05</v>
      </c>
      <c r="E3970" s="38">
        <v>0.05</v>
      </c>
      <c r="F3970" s="38">
        <v>0.05</v>
      </c>
    </row>
    <row r="3971" spans="3:6">
      <c r="C3971" s="457" t="s">
        <v>2088</v>
      </c>
      <c r="D3971" s="38">
        <v>0.05</v>
      </c>
      <c r="E3971" s="38">
        <v>0.05</v>
      </c>
      <c r="F3971" s="38">
        <v>0.05</v>
      </c>
    </row>
    <row r="3972" spans="3:6">
      <c r="C3972" s="457" t="s">
        <v>2089</v>
      </c>
      <c r="D3972" s="38">
        <v>0.1</v>
      </c>
      <c r="E3972" s="38">
        <v>0.1</v>
      </c>
      <c r="F3972" s="38">
        <v>0.1</v>
      </c>
    </row>
    <row r="3973" spans="3:6">
      <c r="C3973" s="241"/>
      <c r="D3973" s="38">
        <f>SUM(D3965:D3972)</f>
        <v>1.0000000000000002</v>
      </c>
      <c r="E3973" s="38">
        <f>SUM(E3965:E3972)</f>
        <v>1.0000000000000002</v>
      </c>
      <c r="F3973" s="38">
        <f>SUM(F3965:F3972)</f>
        <v>0.75000000000000011</v>
      </c>
    </row>
    <row r="3974" spans="3:6">
      <c r="C3974" s="241"/>
      <c r="E3974" s="6">
        <f>E3973-D3973</f>
        <v>0</v>
      </c>
      <c r="F3974" s="6">
        <f>E3973-F3973</f>
        <v>0.25000000000000011</v>
      </c>
    </row>
    <row r="3975" spans="3:6">
      <c r="C3975" s="241"/>
    </row>
    <row r="3976" spans="3:6">
      <c r="C3976" s="241" t="s">
        <v>2090</v>
      </c>
      <c r="D3976" t="s">
        <v>2091</v>
      </c>
    </row>
    <row r="3977" spans="3:6">
      <c r="C3977" s="241"/>
    </row>
    <row r="3978" spans="3:6">
      <c r="C3978" s="241"/>
    </row>
    <row r="3979" spans="3:6">
      <c r="C3979" s="456" t="s">
        <v>2092</v>
      </c>
      <c r="D3979" s="297" t="s">
        <v>353</v>
      </c>
      <c r="E3979" s="297" t="s">
        <v>354</v>
      </c>
      <c r="F3979" s="297" t="s">
        <v>355</v>
      </c>
    </row>
    <row r="3980" spans="3:6">
      <c r="C3980" t="s">
        <v>2093</v>
      </c>
      <c r="D3980" s="38">
        <v>0.05</v>
      </c>
      <c r="E3980" s="38">
        <v>0.05</v>
      </c>
      <c r="F3980" s="38">
        <v>0.02</v>
      </c>
    </row>
    <row r="3981" spans="3:6">
      <c r="C3981" s="45" t="s">
        <v>2094</v>
      </c>
      <c r="D3981" s="38">
        <v>0.05</v>
      </c>
      <c r="E3981" s="38">
        <v>0.05</v>
      </c>
      <c r="F3981" s="38">
        <v>0.02</v>
      </c>
    </row>
    <row r="3982" spans="3:6">
      <c r="C3982" s="45" t="s">
        <v>2095</v>
      </c>
      <c r="D3982" s="38">
        <v>0.6</v>
      </c>
      <c r="E3982" s="38">
        <v>0.6</v>
      </c>
      <c r="F3982" s="38">
        <v>0.6</v>
      </c>
    </row>
    <row r="3983" spans="3:6">
      <c r="C3983" s="45" t="s">
        <v>2096</v>
      </c>
      <c r="D3983" s="38">
        <v>0.05</v>
      </c>
      <c r="E3983" s="38">
        <v>0.05</v>
      </c>
      <c r="F3983" s="38">
        <v>0.02</v>
      </c>
    </row>
    <row r="3984" spans="3:6">
      <c r="C3984" s="45" t="s">
        <v>2097</v>
      </c>
      <c r="D3984" s="38">
        <v>0.2</v>
      </c>
      <c r="E3984" s="38">
        <v>0.2</v>
      </c>
      <c r="F3984" s="38">
        <v>0.2</v>
      </c>
    </row>
    <row r="3985" spans="3:6">
      <c r="C3985" s="45" t="s">
        <v>2098</v>
      </c>
      <c r="D3985" s="38">
        <v>0.05</v>
      </c>
      <c r="E3985" s="38">
        <v>0.05</v>
      </c>
      <c r="F3985" s="38">
        <v>0.02</v>
      </c>
    </row>
    <row r="3986" spans="3:6">
      <c r="D3986" s="38">
        <f>SUM(D3980:D3985)</f>
        <v>1</v>
      </c>
      <c r="E3986" s="38">
        <f>SUM(E3980:E3985)</f>
        <v>1</v>
      </c>
      <c r="F3986" s="38">
        <f>SUM(F3980:F3985)</f>
        <v>0.88000000000000012</v>
      </c>
    </row>
    <row r="3987" spans="3:6">
      <c r="E3987" s="6">
        <f>E3986-D3986</f>
        <v>0</v>
      </c>
      <c r="F3987" s="6">
        <f>E3986-F3986</f>
        <v>0.11999999999999988</v>
      </c>
    </row>
    <row r="3988" spans="3:6">
      <c r="C3988" s="241" t="s">
        <v>2090</v>
      </c>
      <c r="D3988" t="s">
        <v>418</v>
      </c>
    </row>
    <row r="3991" spans="3:6">
      <c r="C3991" s="296" t="s">
        <v>110</v>
      </c>
      <c r="D3991" s="297" t="s">
        <v>353</v>
      </c>
      <c r="E3991" s="297" t="s">
        <v>354</v>
      </c>
      <c r="F3991" s="297" t="s">
        <v>355</v>
      </c>
    </row>
    <row r="3992" spans="3:6" ht="28.8">
      <c r="C3992" s="31" t="s">
        <v>2099</v>
      </c>
      <c r="D3992" s="38">
        <v>0.05</v>
      </c>
      <c r="E3992" s="38">
        <v>0.05</v>
      </c>
      <c r="F3992" s="38">
        <v>0.02</v>
      </c>
    </row>
    <row r="3993" spans="3:6">
      <c r="C3993" s="31" t="s">
        <v>2100</v>
      </c>
      <c r="D3993" s="38">
        <v>0.1</v>
      </c>
      <c r="E3993" s="38">
        <v>0.1</v>
      </c>
      <c r="F3993" s="38">
        <v>0.1</v>
      </c>
    </row>
    <row r="3994" spans="3:6" ht="28.8">
      <c r="C3994" s="31" t="s">
        <v>2101</v>
      </c>
      <c r="D3994" s="38">
        <v>0.05</v>
      </c>
      <c r="E3994" s="38">
        <v>0.05</v>
      </c>
      <c r="F3994" s="38">
        <v>0.05</v>
      </c>
    </row>
    <row r="3995" spans="3:6" ht="28.8">
      <c r="C3995" s="31" t="s">
        <v>2102</v>
      </c>
      <c r="D3995" s="38">
        <v>0.6</v>
      </c>
      <c r="E3995" s="38">
        <v>0.6</v>
      </c>
      <c r="F3995" s="38">
        <v>0.3</v>
      </c>
    </row>
    <row r="3996" spans="3:6" ht="28.8">
      <c r="C3996" s="31" t="s">
        <v>2103</v>
      </c>
      <c r="D3996" s="38">
        <v>0.2</v>
      </c>
      <c r="E3996" s="38">
        <v>0.2</v>
      </c>
      <c r="F3996" s="38">
        <v>0</v>
      </c>
    </row>
    <row r="3997" spans="3:6">
      <c r="D3997" s="38">
        <f>SUM(D3992:D3996)</f>
        <v>1</v>
      </c>
      <c r="E3997" s="38">
        <f>SUM(E3992:E3996)</f>
        <v>1</v>
      </c>
      <c r="F3997" s="38">
        <f>SUM(F3992:F3996)</f>
        <v>0.47</v>
      </c>
    </row>
    <row r="3998" spans="3:6">
      <c r="D3998" s="38"/>
      <c r="E3998" s="38">
        <f>D3997-E3997</f>
        <v>0</v>
      </c>
      <c r="F3998" s="38">
        <f>E3997-F3997</f>
        <v>0.53</v>
      </c>
    </row>
    <row r="4000" spans="3:6">
      <c r="C4000" t="s">
        <v>2104</v>
      </c>
      <c r="D4000" t="s">
        <v>1001</v>
      </c>
    </row>
    <row r="4002" spans="3:6">
      <c r="C4002" s="296" t="s">
        <v>2105</v>
      </c>
      <c r="D4002" s="297" t="s">
        <v>353</v>
      </c>
      <c r="E4002" s="297" t="s">
        <v>354</v>
      </c>
      <c r="F4002" s="297" t="s">
        <v>355</v>
      </c>
    </row>
    <row r="4003" spans="3:6" ht="28.8">
      <c r="C4003" s="31" t="s">
        <v>2106</v>
      </c>
      <c r="D4003" s="38">
        <v>0.1</v>
      </c>
      <c r="E4003" s="38">
        <v>0.1</v>
      </c>
      <c r="F4003" s="38">
        <v>0.05</v>
      </c>
    </row>
    <row r="4004" spans="3:6">
      <c r="C4004" s="31" t="s">
        <v>321</v>
      </c>
      <c r="D4004" s="38">
        <v>0.3</v>
      </c>
      <c r="E4004" s="38">
        <v>0.3</v>
      </c>
      <c r="F4004" s="38">
        <v>0.3</v>
      </c>
    </row>
    <row r="4005" spans="3:6" ht="28.8">
      <c r="C4005" s="31" t="s">
        <v>2107</v>
      </c>
      <c r="D4005" s="38">
        <v>0.05</v>
      </c>
      <c r="E4005" s="38">
        <v>0.05</v>
      </c>
      <c r="F4005" s="38">
        <v>0.05</v>
      </c>
    </row>
    <row r="4006" spans="3:6" ht="28.8">
      <c r="C4006" s="31" t="s">
        <v>2108</v>
      </c>
      <c r="D4006" s="38">
        <v>0.1</v>
      </c>
      <c r="E4006" s="38">
        <v>0.1</v>
      </c>
      <c r="F4006" s="38">
        <v>0.1</v>
      </c>
    </row>
    <row r="4007" spans="3:6" ht="28.8">
      <c r="C4007" s="31" t="s">
        <v>2109</v>
      </c>
      <c r="D4007" s="38">
        <v>0.05</v>
      </c>
      <c r="E4007" s="38">
        <v>0.05</v>
      </c>
      <c r="F4007" s="38">
        <v>0.05</v>
      </c>
    </row>
    <row r="4008" spans="3:6" ht="28.8">
      <c r="C4008" s="31" t="s">
        <v>2110</v>
      </c>
      <c r="D4008" s="38">
        <v>0.4</v>
      </c>
      <c r="E4008" s="38">
        <v>0.4</v>
      </c>
      <c r="F4008" s="38">
        <v>0.4</v>
      </c>
    </row>
    <row r="4009" spans="3:6">
      <c r="D4009" s="38">
        <f>SUM(D4003:D4008)</f>
        <v>1</v>
      </c>
      <c r="E4009" s="38">
        <f>SUM(E4003:E4008)</f>
        <v>1</v>
      </c>
      <c r="F4009" s="38">
        <f>SUM(F4003:F4008)</f>
        <v>0.95000000000000007</v>
      </c>
    </row>
    <row r="4010" spans="3:6">
      <c r="D4010" s="38"/>
      <c r="E4010" s="38">
        <f>D4009-E4009</f>
        <v>0</v>
      </c>
      <c r="F4010" s="38">
        <f>E4009-F4009</f>
        <v>4.9999999999999933E-2</v>
      </c>
    </row>
    <row r="4011" spans="3:6">
      <c r="C4011" t="s">
        <v>2111</v>
      </c>
      <c r="D4011" t="s">
        <v>2112</v>
      </c>
    </row>
    <row r="4015" spans="3:6">
      <c r="C4015" s="296" t="s">
        <v>109</v>
      </c>
      <c r="D4015" s="297" t="s">
        <v>353</v>
      </c>
      <c r="E4015" s="297" t="s">
        <v>354</v>
      </c>
      <c r="F4015" s="297" t="s">
        <v>355</v>
      </c>
    </row>
    <row r="4016" spans="3:6" ht="28.8">
      <c r="C4016" s="31" t="s">
        <v>2113</v>
      </c>
      <c r="D4016" s="38">
        <v>0.05</v>
      </c>
      <c r="E4016" s="38">
        <v>0.05</v>
      </c>
      <c r="F4016" s="38">
        <v>0.02</v>
      </c>
    </row>
    <row r="4017" spans="3:6">
      <c r="C4017" s="458" t="s">
        <v>2114</v>
      </c>
      <c r="D4017" s="38">
        <v>0.4</v>
      </c>
      <c r="E4017" s="38">
        <v>0.4</v>
      </c>
      <c r="F4017" s="38">
        <v>0.4</v>
      </c>
    </row>
    <row r="4018" spans="3:6" ht="28.8">
      <c r="C4018" s="31" t="s">
        <v>2115</v>
      </c>
      <c r="D4018" s="38">
        <v>0.2</v>
      </c>
      <c r="E4018" s="38">
        <v>0.2</v>
      </c>
      <c r="F4018" s="38">
        <v>0.2</v>
      </c>
    </row>
    <row r="4019" spans="3:6" ht="28.8">
      <c r="C4019" s="31" t="s">
        <v>2116</v>
      </c>
      <c r="D4019" s="38">
        <v>0.2</v>
      </c>
      <c r="E4019" s="38">
        <v>0.2</v>
      </c>
      <c r="F4019" s="38">
        <v>0.2</v>
      </c>
    </row>
    <row r="4020" spans="3:6" ht="28.8">
      <c r="C4020" s="31" t="s">
        <v>2117</v>
      </c>
      <c r="D4020" s="38">
        <v>0.15</v>
      </c>
      <c r="E4020" s="38">
        <v>0.15</v>
      </c>
      <c r="F4020" s="38">
        <v>0.05</v>
      </c>
    </row>
    <row r="4021" spans="3:6">
      <c r="D4021" s="38">
        <f>SUM(D4016:D4020)</f>
        <v>1</v>
      </c>
      <c r="E4021" s="38">
        <f>SUM(E4016:E4020)</f>
        <v>1</v>
      </c>
      <c r="F4021" s="38">
        <f>SUM(F4016:F4020)</f>
        <v>0.87000000000000011</v>
      </c>
    </row>
    <row r="4022" spans="3:6">
      <c r="D4022" s="38"/>
      <c r="E4022" s="38">
        <f>D4021-E4021</f>
        <v>0</v>
      </c>
      <c r="F4022" s="38">
        <f>E4021-F4021</f>
        <v>0.12999999999999989</v>
      </c>
    </row>
    <row r="4023" spans="3:6">
      <c r="C4023" t="s">
        <v>2111</v>
      </c>
      <c r="D4023" t="s">
        <v>2118</v>
      </c>
    </row>
    <row r="4025" spans="3:6">
      <c r="C4025" s="296" t="s">
        <v>108</v>
      </c>
      <c r="D4025" s="297" t="s">
        <v>353</v>
      </c>
      <c r="E4025" s="297" t="s">
        <v>354</v>
      </c>
      <c r="F4025" s="297" t="s">
        <v>355</v>
      </c>
    </row>
    <row r="4026" spans="3:6" ht="28.8">
      <c r="C4026" s="31" t="s">
        <v>2119</v>
      </c>
      <c r="D4026" s="38">
        <v>0.05</v>
      </c>
      <c r="E4026" s="38">
        <v>0.05</v>
      </c>
      <c r="F4026" s="38">
        <v>0.02</v>
      </c>
    </row>
    <row r="4027" spans="3:6" ht="28.8">
      <c r="C4027" s="31" t="s">
        <v>2120</v>
      </c>
      <c r="D4027" s="38">
        <v>0.85</v>
      </c>
      <c r="E4027" s="38">
        <v>0.85</v>
      </c>
      <c r="F4027" s="38">
        <v>0.6</v>
      </c>
    </row>
    <row r="4028" spans="3:6" ht="28.8">
      <c r="C4028" s="31" t="s">
        <v>2121</v>
      </c>
      <c r="D4028" s="38">
        <v>0.05</v>
      </c>
      <c r="E4028" s="38">
        <v>0.05</v>
      </c>
      <c r="F4028" s="38">
        <v>0.02</v>
      </c>
    </row>
    <row r="4029" spans="3:6" ht="28.8">
      <c r="C4029" s="31" t="s">
        <v>2122</v>
      </c>
      <c r="D4029" s="38">
        <v>0.05</v>
      </c>
      <c r="E4029" s="38">
        <v>0.05</v>
      </c>
      <c r="F4029" s="38">
        <v>0.02</v>
      </c>
    </row>
    <row r="4030" spans="3:6">
      <c r="D4030" s="38">
        <f>SUM(D4026:D4029)</f>
        <v>1</v>
      </c>
      <c r="E4030" s="38">
        <f>SUM(E4026:E4029)</f>
        <v>1</v>
      </c>
      <c r="F4030" s="38">
        <f>SUM(F4026:F4029)</f>
        <v>0.66</v>
      </c>
    </row>
    <row r="4031" spans="3:6">
      <c r="F4031" s="6">
        <f>E4030-F4030</f>
        <v>0.33999999999999997</v>
      </c>
    </row>
    <row r="4032" spans="3:6">
      <c r="C4032" t="s">
        <v>2111</v>
      </c>
      <c r="D4032" t="s">
        <v>2123</v>
      </c>
    </row>
    <row r="4035" spans="3:6">
      <c r="C4035" s="296" t="s">
        <v>107</v>
      </c>
      <c r="D4035" s="297" t="s">
        <v>353</v>
      </c>
      <c r="E4035" s="297" t="s">
        <v>354</v>
      </c>
      <c r="F4035" s="297" t="s">
        <v>355</v>
      </c>
    </row>
    <row r="4036" spans="3:6">
      <c r="C4036" s="31" t="s">
        <v>2124</v>
      </c>
      <c r="D4036" s="38">
        <v>0.01</v>
      </c>
      <c r="E4036" s="38">
        <v>0.01</v>
      </c>
      <c r="F4036" s="38">
        <v>0.01</v>
      </c>
    </row>
    <row r="4037" spans="3:6">
      <c r="C4037" s="31" t="s">
        <v>2125</v>
      </c>
      <c r="D4037" s="38">
        <v>0.02</v>
      </c>
      <c r="E4037" s="38">
        <v>0.02</v>
      </c>
      <c r="F4037" s="38">
        <v>0.02</v>
      </c>
    </row>
    <row r="4038" spans="3:6">
      <c r="C4038" s="31" t="s">
        <v>2126</v>
      </c>
      <c r="D4038" s="38">
        <v>7.0000000000000007E-2</v>
      </c>
      <c r="E4038" s="38">
        <v>7.0000000000000007E-2</v>
      </c>
      <c r="F4038" s="38">
        <v>0</v>
      </c>
    </row>
    <row r="4039" spans="3:6">
      <c r="C4039" s="31" t="s">
        <v>2127</v>
      </c>
      <c r="D4039" s="38">
        <v>0.05</v>
      </c>
      <c r="E4039" s="38">
        <v>0.05</v>
      </c>
      <c r="F4039" s="38">
        <v>0</v>
      </c>
    </row>
    <row r="4040" spans="3:6">
      <c r="C4040" s="31" t="s">
        <v>2128</v>
      </c>
      <c r="D4040" s="38">
        <v>0.01</v>
      </c>
      <c r="E4040" s="38">
        <v>0.01</v>
      </c>
      <c r="F4040" s="38">
        <v>0</v>
      </c>
    </row>
    <row r="4041" spans="3:6">
      <c r="C4041" s="31" t="s">
        <v>2129</v>
      </c>
      <c r="D4041" s="38">
        <v>0.2</v>
      </c>
      <c r="E4041" s="38">
        <v>0.2</v>
      </c>
      <c r="F4041" s="38">
        <v>0.2</v>
      </c>
    </row>
    <row r="4042" spans="3:6" ht="28.8">
      <c r="C4042" s="31" t="s">
        <v>2130</v>
      </c>
      <c r="D4042" s="38">
        <v>0.1</v>
      </c>
      <c r="E4042" s="38">
        <v>0.1</v>
      </c>
      <c r="F4042" s="38">
        <v>0.08</v>
      </c>
    </row>
    <row r="4043" spans="3:6">
      <c r="C4043" s="31" t="s">
        <v>2131</v>
      </c>
      <c r="D4043" s="38">
        <v>0.02</v>
      </c>
      <c r="E4043" s="38">
        <v>0.02</v>
      </c>
      <c r="F4043" s="38">
        <v>0.02</v>
      </c>
    </row>
    <row r="4044" spans="3:6">
      <c r="C4044" s="31" t="s">
        <v>2132</v>
      </c>
      <c r="D4044" s="38">
        <v>0.01</v>
      </c>
      <c r="E4044" s="38">
        <v>0.01</v>
      </c>
      <c r="F4044" s="38">
        <v>0.01</v>
      </c>
    </row>
    <row r="4045" spans="3:6">
      <c r="C4045" s="31" t="s">
        <v>2133</v>
      </c>
      <c r="D4045" s="38">
        <v>0.01</v>
      </c>
      <c r="E4045" s="38">
        <v>0.01</v>
      </c>
      <c r="F4045" s="38">
        <v>0.01</v>
      </c>
    </row>
    <row r="4046" spans="3:6">
      <c r="C4046" s="31" t="s">
        <v>2134</v>
      </c>
      <c r="D4046" s="38">
        <v>0.01</v>
      </c>
      <c r="E4046" s="38">
        <v>0.01</v>
      </c>
      <c r="F4046" s="38">
        <v>0.01</v>
      </c>
    </row>
    <row r="4047" spans="3:6">
      <c r="C4047" s="31" t="s">
        <v>2135</v>
      </c>
      <c r="D4047" s="38">
        <v>0.1</v>
      </c>
      <c r="E4047" s="38">
        <v>0.1</v>
      </c>
      <c r="F4047" s="38">
        <v>0.1</v>
      </c>
    </row>
    <row r="4048" spans="3:6" ht="28.8">
      <c r="C4048" s="31" t="s">
        <v>2136</v>
      </c>
      <c r="D4048" s="38">
        <v>0.1</v>
      </c>
      <c r="E4048" s="38">
        <v>0.1</v>
      </c>
      <c r="F4048" s="38">
        <v>0.1</v>
      </c>
    </row>
    <row r="4049" spans="3:6">
      <c r="C4049" s="31" t="s">
        <v>2137</v>
      </c>
      <c r="D4049" s="38">
        <v>0.01</v>
      </c>
      <c r="E4049" s="38">
        <v>0.01</v>
      </c>
      <c r="F4049" s="38">
        <v>0.01</v>
      </c>
    </row>
    <row r="4050" spans="3:6">
      <c r="C4050" s="31" t="s">
        <v>2138</v>
      </c>
      <c r="D4050" s="38">
        <v>0.01</v>
      </c>
      <c r="E4050" s="38">
        <v>0.01</v>
      </c>
      <c r="F4050" s="38">
        <v>0.01</v>
      </c>
    </row>
    <row r="4051" spans="3:6" ht="28.8">
      <c r="C4051" s="31" t="s">
        <v>2139</v>
      </c>
      <c r="D4051" s="38">
        <v>0.01</v>
      </c>
      <c r="E4051" s="38">
        <v>0.01</v>
      </c>
      <c r="F4051" s="38">
        <v>0.01</v>
      </c>
    </row>
    <row r="4052" spans="3:6">
      <c r="C4052" s="31" t="s">
        <v>2140</v>
      </c>
      <c r="D4052" s="38">
        <v>0.01</v>
      </c>
      <c r="E4052" s="38">
        <v>0.01</v>
      </c>
      <c r="F4052" s="38">
        <v>0.01</v>
      </c>
    </row>
    <row r="4053" spans="3:6" ht="28.8">
      <c r="C4053" s="31" t="s">
        <v>2141</v>
      </c>
      <c r="D4053" s="38">
        <v>0.05</v>
      </c>
      <c r="E4053" s="38">
        <v>0.05</v>
      </c>
      <c r="F4053" s="38">
        <v>0.03</v>
      </c>
    </row>
    <row r="4054" spans="3:6">
      <c r="C4054" s="31" t="s">
        <v>2142</v>
      </c>
      <c r="D4054" s="38">
        <v>0.05</v>
      </c>
      <c r="E4054" s="38">
        <v>0.05</v>
      </c>
      <c r="F4054" s="38">
        <v>0.05</v>
      </c>
    </row>
    <row r="4055" spans="3:6" ht="28.8">
      <c r="C4055" s="31" t="s">
        <v>2143</v>
      </c>
      <c r="D4055" s="38">
        <v>0.05</v>
      </c>
      <c r="E4055" s="38">
        <v>0.05</v>
      </c>
      <c r="F4055" s="38">
        <v>0.05</v>
      </c>
    </row>
    <row r="4056" spans="3:6" ht="28.8">
      <c r="C4056" s="31" t="s">
        <v>2144</v>
      </c>
      <c r="D4056" s="38">
        <v>0.05</v>
      </c>
      <c r="E4056" s="38">
        <v>0.05</v>
      </c>
      <c r="F4056" s="38">
        <v>0.05</v>
      </c>
    </row>
    <row r="4057" spans="3:6" ht="28.8">
      <c r="C4057" s="31" t="s">
        <v>2145</v>
      </c>
      <c r="D4057" s="38">
        <v>0.01</v>
      </c>
      <c r="E4057" s="38">
        <v>0.01</v>
      </c>
      <c r="F4057" s="38">
        <v>0.01</v>
      </c>
    </row>
    <row r="4058" spans="3:6">
      <c r="C4058" s="31" t="s">
        <v>2146</v>
      </c>
      <c r="D4058" s="38">
        <v>0.01</v>
      </c>
      <c r="E4058" s="38">
        <v>0.01</v>
      </c>
      <c r="F4058" s="38">
        <v>0.01</v>
      </c>
    </row>
    <row r="4059" spans="3:6" ht="28.8">
      <c r="C4059" s="31" t="s">
        <v>2147</v>
      </c>
      <c r="D4059" s="38">
        <v>0.02</v>
      </c>
      <c r="E4059" s="38">
        <v>0.02</v>
      </c>
      <c r="F4059" s="38">
        <v>0.02</v>
      </c>
    </row>
    <row r="4060" spans="3:6" ht="28.8">
      <c r="C4060" s="31" t="s">
        <v>2148</v>
      </c>
      <c r="D4060" s="38">
        <v>0.01</v>
      </c>
      <c r="E4060" s="38">
        <v>0.01</v>
      </c>
      <c r="F4060" s="38">
        <v>0.01</v>
      </c>
    </row>
    <row r="4061" spans="3:6">
      <c r="C4061" s="31"/>
      <c r="D4061" s="38">
        <f>SUM(D4036:D4060)</f>
        <v>1.0000000000000002</v>
      </c>
      <c r="E4061" s="38">
        <f>SUM(E4036:E4060)</f>
        <v>1.0000000000000002</v>
      </c>
      <c r="F4061" s="38">
        <f>SUM(F4036:F4060)</f>
        <v>0.83000000000000029</v>
      </c>
    </row>
    <row r="4062" spans="3:6">
      <c r="D4062" s="38"/>
      <c r="E4062" s="38">
        <f>D4061-E4061</f>
        <v>0</v>
      </c>
      <c r="F4062" s="38">
        <f>E4061-F4061</f>
        <v>0.16999999999999993</v>
      </c>
    </row>
    <row r="4063" spans="3:6">
      <c r="D4063" s="38"/>
      <c r="E4063" s="38"/>
      <c r="F4063" s="38"/>
    </row>
    <row r="4064" spans="3:6">
      <c r="C4064" t="s">
        <v>2149</v>
      </c>
      <c r="D4064" t="s">
        <v>2150</v>
      </c>
    </row>
    <row r="4069" spans="2:6">
      <c r="B4069" s="578" t="s">
        <v>1202</v>
      </c>
      <c r="C4069" s="456" t="s">
        <v>112</v>
      </c>
      <c r="D4069" s="297" t="s">
        <v>353</v>
      </c>
      <c r="E4069" s="297" t="s">
        <v>354</v>
      </c>
      <c r="F4069" s="297" t="s">
        <v>355</v>
      </c>
    </row>
    <row r="4070" spans="2:6">
      <c r="C4070" s="31" t="s">
        <v>2151</v>
      </c>
      <c r="D4070" s="38">
        <v>0.05</v>
      </c>
      <c r="E4070" s="38">
        <v>0.05</v>
      </c>
      <c r="F4070" s="38">
        <v>0.02</v>
      </c>
    </row>
    <row r="4071" spans="2:6">
      <c r="C4071" s="31" t="s">
        <v>2152</v>
      </c>
      <c r="D4071" s="38">
        <v>0.05</v>
      </c>
      <c r="E4071" s="38">
        <v>0.05</v>
      </c>
      <c r="F4071" s="38">
        <v>0.05</v>
      </c>
    </row>
    <row r="4072" spans="2:6">
      <c r="C4072" s="31" t="s">
        <v>2153</v>
      </c>
      <c r="D4072" s="38">
        <v>0.1</v>
      </c>
      <c r="E4072" s="38">
        <v>0.1</v>
      </c>
      <c r="F4072" s="38">
        <v>0.1</v>
      </c>
    </row>
    <row r="4073" spans="2:6">
      <c r="C4073" s="31" t="s">
        <v>2154</v>
      </c>
      <c r="D4073" s="38">
        <v>0.05</v>
      </c>
      <c r="E4073" s="38">
        <v>0.05</v>
      </c>
      <c r="F4073" s="38">
        <v>0.05</v>
      </c>
    </row>
    <row r="4074" spans="2:6">
      <c r="C4074" s="31" t="s">
        <v>2155</v>
      </c>
      <c r="D4074" s="38">
        <v>0.05</v>
      </c>
      <c r="E4074" s="38">
        <v>0.05</v>
      </c>
      <c r="F4074" s="38">
        <v>0.05</v>
      </c>
    </row>
    <row r="4075" spans="2:6" ht="28.8">
      <c r="C4075" s="31" t="s">
        <v>2156</v>
      </c>
      <c r="D4075" s="38">
        <v>0.7</v>
      </c>
      <c r="E4075" s="38">
        <v>0.7</v>
      </c>
      <c r="F4075" s="38">
        <v>0.7</v>
      </c>
    </row>
    <row r="4076" spans="2:6">
      <c r="D4076" s="38">
        <f>SUM(D4070:D4075)</f>
        <v>1</v>
      </c>
      <c r="E4076" s="38">
        <f>SUM(E4070:E4075)</f>
        <v>1</v>
      </c>
      <c r="F4076" s="38">
        <f>SUM(F4070:F4075)</f>
        <v>0.97</v>
      </c>
    </row>
    <row r="4077" spans="2:6">
      <c r="D4077" s="38"/>
      <c r="E4077" s="38"/>
      <c r="F4077" s="38"/>
    </row>
    <row r="4079" spans="2:6">
      <c r="C4079" t="s">
        <v>366</v>
      </c>
      <c r="D4079" t="s">
        <v>2157</v>
      </c>
    </row>
    <row r="4082" spans="3:6">
      <c r="C4082" s="299" t="s">
        <v>113</v>
      </c>
      <c r="D4082" s="297" t="s">
        <v>353</v>
      </c>
      <c r="E4082" s="297" t="s">
        <v>354</v>
      </c>
      <c r="F4082" s="297" t="s">
        <v>355</v>
      </c>
    </row>
    <row r="4083" spans="3:6" ht="28.2">
      <c r="C4083" s="453" t="s">
        <v>2158</v>
      </c>
      <c r="D4083" s="300">
        <v>0.05</v>
      </c>
      <c r="E4083" s="300">
        <v>0.05</v>
      </c>
      <c r="F4083" s="300">
        <v>0.05</v>
      </c>
    </row>
    <row r="4084" spans="3:6" ht="27.6">
      <c r="C4084" s="452" t="s">
        <v>2159</v>
      </c>
      <c r="D4084" s="38">
        <v>0.05</v>
      </c>
      <c r="E4084" s="38">
        <v>0.05</v>
      </c>
      <c r="F4084" s="38">
        <v>0.05</v>
      </c>
    </row>
    <row r="4085" spans="3:6" ht="28.2">
      <c r="C4085" s="454" t="s">
        <v>2160</v>
      </c>
      <c r="D4085" s="38">
        <v>0.05</v>
      </c>
      <c r="E4085" s="38">
        <v>0.05</v>
      </c>
      <c r="F4085" s="38">
        <v>0.05</v>
      </c>
    </row>
    <row r="4086" spans="3:6" ht="28.2">
      <c r="C4086" s="454" t="s">
        <v>2161</v>
      </c>
      <c r="D4086" s="38">
        <v>0.05</v>
      </c>
      <c r="E4086" s="38">
        <v>0.05</v>
      </c>
      <c r="F4086" s="38">
        <v>0.05</v>
      </c>
    </row>
    <row r="4087" spans="3:6" ht="28.2">
      <c r="C4087" s="454" t="s">
        <v>2162</v>
      </c>
      <c r="D4087" s="38">
        <v>7.0000000000000007E-2</v>
      </c>
      <c r="E4087" s="38">
        <v>7.0000000000000007E-2</v>
      </c>
      <c r="F4087" s="38">
        <v>7.0000000000000007E-2</v>
      </c>
    </row>
    <row r="4088" spans="3:6" ht="28.2">
      <c r="C4088" s="454" t="s">
        <v>2163</v>
      </c>
      <c r="D4088" s="38">
        <v>0.05</v>
      </c>
      <c r="E4088" s="38">
        <v>0.05</v>
      </c>
      <c r="F4088" s="38">
        <v>0.05</v>
      </c>
    </row>
    <row r="4089" spans="3:6">
      <c r="C4089" s="454"/>
      <c r="D4089" s="38">
        <v>0.05</v>
      </c>
      <c r="E4089" s="38">
        <v>0.05</v>
      </c>
      <c r="F4089" s="38">
        <v>0.03</v>
      </c>
    </row>
    <row r="4090" spans="3:6" ht="27.6">
      <c r="C4090" s="452" t="s">
        <v>2164</v>
      </c>
      <c r="D4090" s="38">
        <v>0.05</v>
      </c>
      <c r="E4090" s="38">
        <v>0.05</v>
      </c>
      <c r="F4090" s="38">
        <v>0.05</v>
      </c>
    </row>
    <row r="4091" spans="3:6" ht="28.2">
      <c r="C4091" s="454" t="s">
        <v>2165</v>
      </c>
      <c r="D4091" s="38">
        <v>0.05</v>
      </c>
      <c r="E4091" s="38">
        <v>0.05</v>
      </c>
      <c r="F4091" s="38">
        <v>0.05</v>
      </c>
    </row>
    <row r="4092" spans="3:6" ht="28.2">
      <c r="C4092" s="454" t="s">
        <v>2166</v>
      </c>
      <c r="D4092" s="38">
        <v>0.02</v>
      </c>
      <c r="E4092" s="38">
        <v>0.02</v>
      </c>
      <c r="F4092" s="38">
        <v>0.02</v>
      </c>
    </row>
    <row r="4093" spans="3:6" ht="28.2">
      <c r="C4093" s="454" t="s">
        <v>2167</v>
      </c>
      <c r="D4093" s="38">
        <v>0.03</v>
      </c>
      <c r="E4093" s="38">
        <v>0.03</v>
      </c>
      <c r="F4093" s="38">
        <v>0.03</v>
      </c>
    </row>
    <row r="4094" spans="3:6" ht="28.2">
      <c r="C4094" s="454" t="s">
        <v>2168</v>
      </c>
      <c r="D4094" s="38">
        <v>0.1</v>
      </c>
      <c r="E4094" s="38">
        <v>0.1</v>
      </c>
      <c r="F4094" s="38">
        <v>7.0000000000000007E-2</v>
      </c>
    </row>
    <row r="4095" spans="3:6">
      <c r="C4095" s="454" t="s">
        <v>2169</v>
      </c>
      <c r="D4095" s="38">
        <v>0.03</v>
      </c>
      <c r="E4095" s="38">
        <v>0.03</v>
      </c>
      <c r="F4095" s="38">
        <v>0.03</v>
      </c>
    </row>
    <row r="4096" spans="3:6" ht="41.4">
      <c r="C4096" s="452" t="s">
        <v>2170</v>
      </c>
      <c r="D4096" s="38">
        <v>0.05</v>
      </c>
      <c r="E4096" s="38">
        <v>0.05</v>
      </c>
      <c r="F4096" s="38">
        <v>0.05</v>
      </c>
    </row>
    <row r="4097" spans="2:6">
      <c r="C4097" s="452" t="s">
        <v>2171</v>
      </c>
      <c r="D4097" s="38">
        <v>0.05</v>
      </c>
      <c r="E4097" s="38">
        <v>0.05</v>
      </c>
      <c r="F4097" s="38">
        <v>0.05</v>
      </c>
    </row>
    <row r="4098" spans="2:6" ht="27.6">
      <c r="C4098" s="452" t="s">
        <v>2172</v>
      </c>
      <c r="D4098" s="38">
        <v>0.05</v>
      </c>
      <c r="E4098" s="38">
        <v>0.05</v>
      </c>
      <c r="F4098" s="38">
        <v>0.05</v>
      </c>
    </row>
    <row r="4099" spans="2:6" ht="31.2">
      <c r="C4099" s="455" t="s">
        <v>2173</v>
      </c>
      <c r="D4099" s="38">
        <v>0.05</v>
      </c>
      <c r="E4099" s="38">
        <v>0.05</v>
      </c>
      <c r="F4099" s="38">
        <v>0.05</v>
      </c>
    </row>
    <row r="4100" spans="2:6" ht="27.6">
      <c r="C4100" s="452" t="s">
        <v>2174</v>
      </c>
      <c r="D4100" s="38">
        <v>0.05</v>
      </c>
      <c r="E4100" s="38">
        <v>0.05</v>
      </c>
      <c r="F4100" s="38">
        <v>0.05</v>
      </c>
    </row>
    <row r="4101" spans="2:6" ht="27.6">
      <c r="C4101" s="452" t="s">
        <v>2175</v>
      </c>
      <c r="D4101" s="38">
        <v>7.0000000000000007E-2</v>
      </c>
      <c r="E4101" s="38">
        <v>7.0000000000000007E-2</v>
      </c>
      <c r="F4101" s="38">
        <v>7.0000000000000007E-2</v>
      </c>
    </row>
    <row r="4102" spans="2:6" ht="27.6">
      <c r="C4102" s="452" t="s">
        <v>2176</v>
      </c>
      <c r="D4102" s="38">
        <v>0.03</v>
      </c>
      <c r="E4102" s="38">
        <v>0.03</v>
      </c>
      <c r="F4102" s="38">
        <v>0.03</v>
      </c>
    </row>
    <row r="4103" spans="2:6">
      <c r="D4103" s="38">
        <f>SUM(D4083:D4102)</f>
        <v>1.0000000000000002</v>
      </c>
      <c r="E4103" s="38">
        <f>SUM(E4083:E4102)</f>
        <v>1.0000000000000002</v>
      </c>
      <c r="F4103" s="38">
        <f>SUM(F4083:F4102)</f>
        <v>0.9500000000000004</v>
      </c>
    </row>
    <row r="4104" spans="2:6">
      <c r="D4104" s="38"/>
      <c r="E4104" s="38">
        <f>D4103-E4103</f>
        <v>0</v>
      </c>
      <c r="F4104" s="38">
        <f>E4103-F4103</f>
        <v>4.9999999999999822E-2</v>
      </c>
    </row>
    <row r="4105" spans="2:6">
      <c r="D4105" s="38"/>
      <c r="E4105" s="38"/>
      <c r="F4105" s="38"/>
    </row>
    <row r="4106" spans="2:6">
      <c r="C4106" t="s">
        <v>2177</v>
      </c>
    </row>
    <row r="4110" spans="2:6">
      <c r="B4110" s="519" t="s">
        <v>1079</v>
      </c>
      <c r="C4110" s="299" t="s">
        <v>2178</v>
      </c>
      <c r="D4110" s="297" t="s">
        <v>353</v>
      </c>
      <c r="E4110" s="297" t="s">
        <v>354</v>
      </c>
      <c r="F4110" s="297" t="s">
        <v>355</v>
      </c>
    </row>
    <row r="4111" spans="2:6" ht="27.6">
      <c r="C4111" s="450" t="s">
        <v>2179</v>
      </c>
      <c r="D4111" s="749"/>
      <c r="E4111" s="749"/>
      <c r="F4111" s="749"/>
    </row>
    <row r="4112" spans="2:6" ht="28.2">
      <c r="C4112" s="451" t="s">
        <v>2180</v>
      </c>
      <c r="D4112" s="749"/>
      <c r="E4112" s="749"/>
      <c r="F4112" s="749"/>
    </row>
    <row r="4113" spans="3:6">
      <c r="C4113" s="451" t="s">
        <v>2181</v>
      </c>
      <c r="D4113" s="749"/>
      <c r="E4113" s="749"/>
      <c r="F4113" s="749"/>
    </row>
    <row r="4114" spans="3:6">
      <c r="C4114" s="451" t="s">
        <v>2182</v>
      </c>
      <c r="D4114" s="749"/>
      <c r="E4114" s="749"/>
      <c r="F4114" s="749"/>
    </row>
    <row r="4115" spans="3:6" ht="28.2">
      <c r="C4115" s="449" t="s">
        <v>2183</v>
      </c>
      <c r="D4115" s="749"/>
      <c r="E4115" s="749"/>
      <c r="F4115" s="749"/>
    </row>
    <row r="4116" spans="3:6" ht="28.2">
      <c r="C4116" s="449" t="s">
        <v>2184</v>
      </c>
      <c r="D4116" s="307">
        <v>0.01</v>
      </c>
      <c r="E4116" s="307">
        <v>0</v>
      </c>
      <c r="F4116" s="307">
        <v>0</v>
      </c>
    </row>
    <row r="4117" spans="3:6" ht="28.2">
      <c r="C4117" s="451" t="s">
        <v>2185</v>
      </c>
      <c r="D4117" s="38">
        <v>0.3</v>
      </c>
      <c r="E4117" s="38">
        <v>0.3</v>
      </c>
      <c r="F4117" s="38">
        <v>0.3</v>
      </c>
    </row>
    <row r="4118" spans="3:6">
      <c r="C4118" s="451" t="s">
        <v>2186</v>
      </c>
      <c r="D4118" s="38"/>
      <c r="E4118" s="38"/>
      <c r="F4118" s="38"/>
    </row>
    <row r="4119" spans="3:6">
      <c r="C4119" s="451" t="s">
        <v>2187</v>
      </c>
      <c r="D4119" s="38"/>
      <c r="E4119" s="38"/>
      <c r="F4119" s="38"/>
    </row>
    <row r="4120" spans="3:6" ht="28.2">
      <c r="C4120" s="451" t="s">
        <v>2188</v>
      </c>
      <c r="D4120" s="38"/>
      <c r="E4120" s="38"/>
      <c r="F4120" s="38"/>
    </row>
    <row r="4121" spans="3:6" ht="28.2">
      <c r="C4121" s="767" t="s">
        <v>2189</v>
      </c>
      <c r="D4121" s="38"/>
      <c r="E4121" s="38"/>
      <c r="F4121" s="38"/>
    </row>
    <row r="4122" spans="3:6" ht="28.2">
      <c r="C4122" s="767" t="s">
        <v>2190</v>
      </c>
      <c r="D4122" s="38"/>
      <c r="E4122" s="38"/>
      <c r="F4122" s="38"/>
    </row>
    <row r="4123" spans="3:6">
      <c r="C4123" s="767" t="s">
        <v>2191</v>
      </c>
      <c r="D4123" s="38"/>
      <c r="E4123" s="38"/>
      <c r="F4123" s="38"/>
    </row>
    <row r="4124" spans="3:6" ht="28.2">
      <c r="C4124" s="767" t="s">
        <v>2192</v>
      </c>
      <c r="D4124" s="38"/>
      <c r="E4124" s="38"/>
      <c r="F4124" s="38"/>
    </row>
    <row r="4125" spans="3:6">
      <c r="C4125" s="651" t="s">
        <v>2193</v>
      </c>
      <c r="D4125" s="38"/>
      <c r="E4125" s="38"/>
      <c r="F4125" s="38"/>
    </row>
    <row r="4126" spans="3:6" ht="28.2">
      <c r="C4126" s="651" t="s">
        <v>2194</v>
      </c>
      <c r="D4126" s="38"/>
      <c r="E4126" s="38"/>
      <c r="F4126" s="38"/>
    </row>
    <row r="4127" spans="3:6" ht="28.2">
      <c r="C4127" s="651" t="s">
        <v>2195</v>
      </c>
      <c r="D4127" s="38"/>
      <c r="E4127" s="38"/>
      <c r="F4127" s="38"/>
    </row>
    <row r="4128" spans="3:6">
      <c r="C4128" s="651" t="s">
        <v>2196</v>
      </c>
      <c r="D4128" s="38"/>
      <c r="E4128" s="38"/>
      <c r="F4128" s="38"/>
    </row>
    <row r="4129" spans="3:6" ht="28.2">
      <c r="C4129" s="651" t="s">
        <v>2197</v>
      </c>
      <c r="D4129" s="38"/>
      <c r="E4129" s="38"/>
      <c r="F4129" s="38"/>
    </row>
    <row r="4130" spans="3:6" ht="42">
      <c r="C4130" s="651" t="s">
        <v>2198</v>
      </c>
      <c r="D4130" s="38"/>
      <c r="E4130" s="38"/>
      <c r="F4130" s="38"/>
    </row>
    <row r="4131" spans="3:6" ht="28.2">
      <c r="C4131" s="651" t="s">
        <v>2199</v>
      </c>
      <c r="D4131" s="38"/>
      <c r="E4131" s="38"/>
      <c r="F4131" s="38"/>
    </row>
    <row r="4132" spans="3:6">
      <c r="C4132" s="451"/>
      <c r="D4132" s="38"/>
      <c r="E4132" s="38"/>
      <c r="F4132" s="38"/>
    </row>
    <row r="4133" spans="3:6">
      <c r="C4133" s="450"/>
      <c r="D4133" s="38">
        <v>0.1</v>
      </c>
      <c r="E4133" s="38">
        <v>0.1</v>
      </c>
      <c r="F4133" s="38">
        <v>0.1</v>
      </c>
    </row>
    <row r="4134" spans="3:6">
      <c r="C4134" s="302"/>
      <c r="D4134" s="309">
        <f>SUM(D4116:D4133)</f>
        <v>0.41000000000000003</v>
      </c>
      <c r="E4134" s="309">
        <f>SUM(E4116:E4133)</f>
        <v>0.4</v>
      </c>
      <c r="F4134" s="309">
        <f>SUM(F4116:F4133)</f>
        <v>0.4</v>
      </c>
    </row>
    <row r="4135" spans="3:6">
      <c r="C4135" s="302"/>
      <c r="D4135" s="309"/>
      <c r="E4135" s="309">
        <f>D4134-E4134</f>
        <v>1.0000000000000009E-2</v>
      </c>
      <c r="F4135" s="309">
        <f>E4134-F4134</f>
        <v>0</v>
      </c>
    </row>
    <row r="4136" spans="3:6">
      <c r="C4136" s="302"/>
      <c r="D4136" s="38"/>
      <c r="E4136" s="38"/>
      <c r="F4136" s="38"/>
    </row>
    <row r="4137" spans="3:6">
      <c r="C4137" t="s">
        <v>2200</v>
      </c>
      <c r="D4137" s="38"/>
      <c r="E4137" s="38"/>
      <c r="F4137" s="38"/>
    </row>
    <row r="4138" spans="3:6">
      <c r="C4138" s="302"/>
      <c r="D4138" s="38"/>
      <c r="E4138" s="38"/>
      <c r="F4138" s="38"/>
    </row>
    <row r="4139" spans="3:6">
      <c r="C4139" s="301"/>
      <c r="D4139" s="38"/>
      <c r="E4139" s="38"/>
      <c r="F4139" s="38"/>
    </row>
    <row r="4140" spans="3:6">
      <c r="C4140" s="299" t="s">
        <v>115</v>
      </c>
      <c r="D4140" s="297" t="s">
        <v>353</v>
      </c>
      <c r="E4140" s="297" t="s">
        <v>354</v>
      </c>
      <c r="F4140" s="297" t="s">
        <v>355</v>
      </c>
    </row>
    <row r="4141" spans="3:6" ht="28.2">
      <c r="C4141" s="449" t="s">
        <v>2201</v>
      </c>
      <c r="D4141" s="38">
        <v>0</v>
      </c>
      <c r="E4141" s="38">
        <v>0</v>
      </c>
      <c r="F4141" s="38">
        <v>0</v>
      </c>
    </row>
    <row r="4142" spans="3:6" ht="27.6">
      <c r="C4142" s="450" t="s">
        <v>2202</v>
      </c>
      <c r="D4142" s="38">
        <v>0</v>
      </c>
      <c r="E4142" s="38">
        <v>0</v>
      </c>
      <c r="F4142" s="38">
        <v>0</v>
      </c>
    </row>
    <row r="4143" spans="3:6" ht="27.6">
      <c r="C4143" s="450" t="s">
        <v>2203</v>
      </c>
      <c r="D4143" s="38">
        <v>0.05</v>
      </c>
      <c r="E4143" s="38">
        <v>0.05</v>
      </c>
      <c r="F4143" s="38">
        <v>0.03</v>
      </c>
    </row>
    <row r="4144" spans="3:6">
      <c r="C4144" s="451" t="s">
        <v>2204</v>
      </c>
      <c r="D4144" s="38">
        <v>0.45</v>
      </c>
      <c r="E4144" s="38">
        <v>0.45</v>
      </c>
      <c r="F4144" s="38">
        <v>0.45</v>
      </c>
    </row>
    <row r="4145" spans="3:6">
      <c r="C4145" s="452" t="s">
        <v>2205</v>
      </c>
      <c r="D4145" s="38">
        <v>0.43</v>
      </c>
      <c r="E4145" s="38">
        <v>0.43</v>
      </c>
      <c r="F4145" s="38">
        <v>0.43</v>
      </c>
    </row>
    <row r="4146" spans="3:6">
      <c r="C4146" s="452" t="s">
        <v>2206</v>
      </c>
      <c r="D4146" s="38">
        <v>0.01</v>
      </c>
      <c r="E4146" s="38">
        <v>0.01</v>
      </c>
      <c r="F4146" s="38">
        <v>0.01</v>
      </c>
    </row>
    <row r="4147" spans="3:6" ht="27.6">
      <c r="C4147" s="452" t="s">
        <v>2207</v>
      </c>
      <c r="D4147" s="38">
        <v>0.05</v>
      </c>
      <c r="E4147" s="38">
        <v>0.05</v>
      </c>
      <c r="F4147" s="38">
        <v>0.03</v>
      </c>
    </row>
    <row r="4148" spans="3:6">
      <c r="C4148" s="452" t="s">
        <v>2208</v>
      </c>
      <c r="D4148" s="38">
        <v>0.01</v>
      </c>
      <c r="E4148" s="38">
        <v>0.01</v>
      </c>
      <c r="F4148" s="38">
        <v>0</v>
      </c>
    </row>
    <row r="4149" spans="3:6">
      <c r="D4149" s="38">
        <f>SUM(D4141:D4148)</f>
        <v>1</v>
      </c>
      <c r="E4149" s="38">
        <f>SUM(E4141:E4148)</f>
        <v>1</v>
      </c>
      <c r="F4149" s="38">
        <f>SUM(F4141:F4148)</f>
        <v>0.95</v>
      </c>
    </row>
    <row r="4150" spans="3:6">
      <c r="E4150" s="6">
        <f>D4149-E4149</f>
        <v>0</v>
      </c>
      <c r="F4150" s="6">
        <f>E4149-F4149</f>
        <v>5.0000000000000044E-2</v>
      </c>
    </row>
    <row r="4151" spans="3:6">
      <c r="C4151" t="s">
        <v>2177</v>
      </c>
    </row>
    <row r="4153" spans="3:6">
      <c r="C4153" s="299" t="s">
        <v>114</v>
      </c>
      <c r="D4153" s="297" t="s">
        <v>353</v>
      </c>
      <c r="E4153" s="297" t="s">
        <v>354</v>
      </c>
      <c r="F4153" s="297" t="s">
        <v>355</v>
      </c>
    </row>
    <row r="4154" spans="3:6">
      <c r="C4154" s="31" t="s">
        <v>2209</v>
      </c>
      <c r="D4154" s="38">
        <v>0.01</v>
      </c>
      <c r="E4154" s="38">
        <v>0.01</v>
      </c>
      <c r="F4154" s="38">
        <v>0.01</v>
      </c>
    </row>
    <row r="4155" spans="3:6">
      <c r="C4155" s="31" t="s">
        <v>2210</v>
      </c>
      <c r="D4155" s="38">
        <v>0.05</v>
      </c>
      <c r="E4155" s="38">
        <v>0.05</v>
      </c>
      <c r="F4155" s="38">
        <v>0.05</v>
      </c>
    </row>
    <row r="4156" spans="3:6">
      <c r="C4156" s="31" t="s">
        <v>2211</v>
      </c>
      <c r="D4156" s="38">
        <v>0.01</v>
      </c>
      <c r="E4156" s="38">
        <v>0.01</v>
      </c>
      <c r="F4156" s="38">
        <v>0</v>
      </c>
    </row>
    <row r="4157" spans="3:6">
      <c r="C4157" s="31" t="s">
        <v>2212</v>
      </c>
      <c r="D4157" s="38">
        <v>0.01</v>
      </c>
      <c r="E4157" s="38">
        <v>0.01</v>
      </c>
      <c r="F4157" s="38">
        <v>0.01</v>
      </c>
    </row>
    <row r="4158" spans="3:6" ht="28.8">
      <c r="C4158" s="31" t="s">
        <v>2213</v>
      </c>
      <c r="D4158" s="38">
        <v>0.1</v>
      </c>
      <c r="E4158" s="38">
        <v>0.1</v>
      </c>
      <c r="F4158" s="38">
        <v>0.05</v>
      </c>
    </row>
    <row r="4159" spans="3:6">
      <c r="C4159" s="31" t="s">
        <v>2214</v>
      </c>
      <c r="D4159" s="38">
        <v>0.77</v>
      </c>
      <c r="E4159" s="38">
        <v>0.77</v>
      </c>
      <c r="F4159" s="38">
        <v>0.77</v>
      </c>
    </row>
    <row r="4160" spans="3:6">
      <c r="C4160" s="31" t="s">
        <v>2215</v>
      </c>
      <c r="D4160" s="38">
        <v>0.05</v>
      </c>
      <c r="E4160" s="38">
        <v>0.05</v>
      </c>
      <c r="F4160" s="38">
        <v>0.03</v>
      </c>
    </row>
    <row r="4161" spans="3:6">
      <c r="D4161" s="38">
        <f>SUM(D4154:D4160)</f>
        <v>1</v>
      </c>
      <c r="E4161" s="38">
        <f>SUM(E4154:E4160)</f>
        <v>1</v>
      </c>
      <c r="F4161" s="38">
        <f>SUM(F4154:F4160)</f>
        <v>0.92</v>
      </c>
    </row>
    <row r="4162" spans="3:6">
      <c r="D4162" s="38"/>
      <c r="E4162" s="38">
        <f>D4161-E4161</f>
        <v>0</v>
      </c>
      <c r="F4162" s="38">
        <f>E4161-F4161</f>
        <v>7.999999999999996E-2</v>
      </c>
    </row>
    <row r="4163" spans="3:6">
      <c r="C4163" t="s">
        <v>2177</v>
      </c>
    </row>
    <row r="4166" spans="3:6">
      <c r="C4166" s="303" t="s">
        <v>2216</v>
      </c>
      <c r="D4166" s="297" t="s">
        <v>353</v>
      </c>
      <c r="E4166" s="297" t="s">
        <v>354</v>
      </c>
      <c r="F4166" s="297" t="s">
        <v>355</v>
      </c>
    </row>
    <row r="4167" spans="3:6">
      <c r="C4167" s="679" t="s">
        <v>2217</v>
      </c>
      <c r="D4167" s="680"/>
      <c r="E4167" s="680"/>
      <c r="F4167" s="680"/>
    </row>
    <row r="4168" spans="3:6">
      <c r="C4168" s="678" t="s">
        <v>2218</v>
      </c>
      <c r="D4168" s="38">
        <v>0.05</v>
      </c>
      <c r="E4168" s="38">
        <v>0.05</v>
      </c>
      <c r="F4168" s="38">
        <v>0.05</v>
      </c>
    </row>
    <row r="4169" spans="3:6">
      <c r="C4169" s="305" t="s">
        <v>2219</v>
      </c>
      <c r="D4169" s="38">
        <v>0.01</v>
      </c>
      <c r="E4169" s="38">
        <v>0.01</v>
      </c>
      <c r="F4169" s="38">
        <v>0.01</v>
      </c>
    </row>
    <row r="4170" spans="3:6">
      <c r="C4170" s="305" t="s">
        <v>2220</v>
      </c>
      <c r="D4170" s="38">
        <v>0.05</v>
      </c>
      <c r="E4170" s="38">
        <v>0.05</v>
      </c>
      <c r="F4170" s="38">
        <v>0.05</v>
      </c>
    </row>
    <row r="4171" spans="3:6">
      <c r="C4171" s="305" t="s">
        <v>2221</v>
      </c>
      <c r="D4171" s="38">
        <v>0.03</v>
      </c>
      <c r="E4171" s="38">
        <v>0.03</v>
      </c>
      <c r="F4171" s="38">
        <v>0.03</v>
      </c>
    </row>
    <row r="4172" spans="3:6">
      <c r="C4172" s="305" t="s">
        <v>2222</v>
      </c>
      <c r="D4172" s="38">
        <v>0.85</v>
      </c>
      <c r="E4172" s="38">
        <v>0.85</v>
      </c>
      <c r="F4172" s="38">
        <v>0.85</v>
      </c>
    </row>
    <row r="4173" spans="3:6">
      <c r="C4173" s="305" t="s">
        <v>2223</v>
      </c>
      <c r="D4173" s="38">
        <v>0.01</v>
      </c>
      <c r="E4173" s="38">
        <v>0.01</v>
      </c>
      <c r="F4173" s="38">
        <v>0.01</v>
      </c>
    </row>
    <row r="4174" spans="3:6">
      <c r="C4174" s="304"/>
      <c r="D4174" s="38">
        <f>SUM(D4168:D4173)</f>
        <v>1</v>
      </c>
      <c r="E4174" s="38">
        <f>SUM(E4168:E4173)</f>
        <v>1</v>
      </c>
      <c r="F4174" s="38">
        <f>SUM(F4168:F4173)</f>
        <v>1</v>
      </c>
    </row>
    <row r="4175" spans="3:6">
      <c r="D4175" s="38"/>
      <c r="E4175" s="38">
        <f>D4174-E4174</f>
        <v>0</v>
      </c>
      <c r="F4175" s="38">
        <f>E4174-F4174</f>
        <v>0</v>
      </c>
    </row>
    <row r="4176" spans="3:6">
      <c r="D4176" s="38"/>
      <c r="E4176" s="38"/>
      <c r="F4176" s="38"/>
    </row>
    <row r="4177" spans="2:6">
      <c r="C4177" t="s">
        <v>389</v>
      </c>
      <c r="D4177" t="s">
        <v>2224</v>
      </c>
    </row>
    <row r="4180" spans="2:6">
      <c r="C4180" s="306" t="s">
        <v>2225</v>
      </c>
    </row>
    <row r="4181" spans="2:6">
      <c r="C4181" s="304" t="s">
        <v>2226</v>
      </c>
      <c r="D4181" s="38">
        <v>0.05</v>
      </c>
      <c r="E4181" s="38">
        <v>0.05</v>
      </c>
      <c r="F4181" s="38">
        <v>0.05</v>
      </c>
    </row>
    <row r="4182" spans="2:6">
      <c r="C4182" s="305" t="s">
        <v>2227</v>
      </c>
      <c r="D4182" s="38">
        <v>0.01</v>
      </c>
      <c r="E4182" s="38">
        <v>0.01</v>
      </c>
      <c r="F4182" s="38">
        <v>0.01</v>
      </c>
    </row>
    <row r="4183" spans="2:6">
      <c r="C4183" s="305" t="s">
        <v>2220</v>
      </c>
      <c r="D4183" s="38">
        <v>0.05</v>
      </c>
      <c r="E4183" s="38">
        <v>0.05</v>
      </c>
      <c r="F4183" s="38">
        <v>0.05</v>
      </c>
    </row>
    <row r="4184" spans="2:6">
      <c r="C4184" s="305" t="s">
        <v>2221</v>
      </c>
      <c r="D4184" s="38">
        <v>0.03</v>
      </c>
      <c r="E4184" s="38">
        <v>0.03</v>
      </c>
      <c r="F4184" s="38">
        <v>0.03</v>
      </c>
    </row>
    <row r="4185" spans="2:6">
      <c r="C4185" s="305" t="s">
        <v>2228</v>
      </c>
      <c r="D4185" s="38">
        <v>0.85</v>
      </c>
      <c r="E4185" s="38">
        <v>0.85</v>
      </c>
      <c r="F4185" s="38">
        <v>0.85</v>
      </c>
    </row>
    <row r="4186" spans="2:6">
      <c r="C4186" s="305" t="s">
        <v>2223</v>
      </c>
      <c r="D4186" s="38">
        <v>0.01</v>
      </c>
      <c r="E4186" s="38">
        <v>0.01</v>
      </c>
      <c r="F4186" s="38">
        <v>0.01</v>
      </c>
    </row>
    <row r="4187" spans="2:6">
      <c r="C4187" s="304"/>
      <c r="D4187" s="38">
        <f>SUM(D4181:D4186)</f>
        <v>1</v>
      </c>
      <c r="E4187" s="38">
        <f>SUM(E4181:E4186)</f>
        <v>1</v>
      </c>
      <c r="F4187" s="38">
        <f>SUM(F4181:F4186)</f>
        <v>1</v>
      </c>
    </row>
    <row r="4188" spans="2:6">
      <c r="D4188" s="38"/>
      <c r="E4188" s="38">
        <f>D4187-E4187</f>
        <v>0</v>
      </c>
      <c r="F4188" s="38">
        <f>E4187-F4187</f>
        <v>0</v>
      </c>
    </row>
    <row r="4189" spans="2:6">
      <c r="D4189" s="38"/>
      <c r="E4189" s="38"/>
      <c r="F4189" s="38"/>
    </row>
    <row r="4190" spans="2:6">
      <c r="C4190" t="s">
        <v>389</v>
      </c>
      <c r="D4190" t="s">
        <v>2224</v>
      </c>
    </row>
    <row r="4192" spans="2:6">
      <c r="B4192" s="519" t="s">
        <v>1079</v>
      </c>
      <c r="C4192" s="308" t="s">
        <v>116</v>
      </c>
      <c r="D4192" s="297" t="s">
        <v>353</v>
      </c>
      <c r="E4192" s="297" t="s">
        <v>354</v>
      </c>
      <c r="F4192" s="297" t="s">
        <v>355</v>
      </c>
    </row>
    <row r="4193" spans="3:6">
      <c r="C4193" s="31" t="s">
        <v>2229</v>
      </c>
      <c r="D4193" s="749"/>
      <c r="E4193" s="749"/>
      <c r="F4193" s="749"/>
    </row>
    <row r="4194" spans="3:6">
      <c r="C4194" s="31"/>
      <c r="D4194" s="749"/>
      <c r="E4194" s="749"/>
      <c r="F4194" s="749"/>
    </row>
    <row r="4195" spans="3:6">
      <c r="C4195" s="31" t="s">
        <v>2230</v>
      </c>
      <c r="D4195" s="38">
        <v>0.02</v>
      </c>
      <c r="E4195" s="38">
        <v>0.02</v>
      </c>
      <c r="F4195" s="38">
        <v>0</v>
      </c>
    </row>
    <row r="4196" spans="3:6" ht="28.8">
      <c r="C4196" s="31" t="s">
        <v>2231</v>
      </c>
      <c r="D4196" s="38">
        <v>0.11</v>
      </c>
      <c r="E4196" s="38">
        <v>0.11</v>
      </c>
      <c r="F4196" s="38">
        <v>0</v>
      </c>
    </row>
    <row r="4197" spans="3:6" ht="28.8">
      <c r="C4197" s="31" t="s">
        <v>2232</v>
      </c>
      <c r="D4197" s="38">
        <v>0.1</v>
      </c>
      <c r="E4197" s="38">
        <v>0.1</v>
      </c>
      <c r="F4197" s="38">
        <v>0.1</v>
      </c>
    </row>
    <row r="4198" spans="3:6">
      <c r="C4198" s="31" t="s">
        <v>2233</v>
      </c>
      <c r="D4198" s="38">
        <v>0.02</v>
      </c>
      <c r="E4198" s="38">
        <v>0.02</v>
      </c>
      <c r="F4198" s="38">
        <v>0.02</v>
      </c>
    </row>
    <row r="4199" spans="3:6">
      <c r="C4199" s="31" t="s">
        <v>2234</v>
      </c>
      <c r="D4199" s="38">
        <v>0.2</v>
      </c>
      <c r="E4199" s="38">
        <v>0.2</v>
      </c>
      <c r="F4199" s="38">
        <v>0.2</v>
      </c>
    </row>
    <row r="4200" spans="3:6" ht="28.8">
      <c r="C4200" s="31" t="s">
        <v>2235</v>
      </c>
      <c r="D4200" s="38">
        <v>0.05</v>
      </c>
      <c r="E4200" s="38">
        <v>0.05</v>
      </c>
      <c r="F4200" s="38">
        <v>0.05</v>
      </c>
    </row>
    <row r="4201" spans="3:6" ht="28.8">
      <c r="C4201" s="31" t="s">
        <v>2236</v>
      </c>
      <c r="D4201" s="38">
        <v>0.2</v>
      </c>
      <c r="E4201" s="38">
        <v>0.2</v>
      </c>
      <c r="F4201" s="38">
        <v>0.2</v>
      </c>
    </row>
    <row r="4202" spans="3:6">
      <c r="C4202" s="31" t="s">
        <v>2237</v>
      </c>
      <c r="D4202" s="38">
        <v>0.1</v>
      </c>
      <c r="E4202" s="38">
        <v>0.1</v>
      </c>
      <c r="F4202" s="38">
        <v>0.1</v>
      </c>
    </row>
    <row r="4203" spans="3:6" ht="28.8">
      <c r="C4203" s="31" t="s">
        <v>2238</v>
      </c>
      <c r="D4203" s="38">
        <v>0.05</v>
      </c>
      <c r="E4203" s="38">
        <v>0.05</v>
      </c>
      <c r="F4203" s="38">
        <v>0.05</v>
      </c>
    </row>
    <row r="4204" spans="3:6" ht="28.8">
      <c r="C4204" s="31" t="s">
        <v>2239</v>
      </c>
      <c r="D4204" s="38">
        <v>0.1</v>
      </c>
      <c r="E4204" s="38">
        <v>0.1</v>
      </c>
      <c r="F4204" s="38">
        <v>0.1</v>
      </c>
    </row>
    <row r="4205" spans="3:6">
      <c r="C4205" s="31" t="s">
        <v>2240</v>
      </c>
      <c r="D4205" s="38">
        <v>0.05</v>
      </c>
      <c r="E4205" s="38">
        <v>0.05</v>
      </c>
      <c r="F4205" s="38">
        <v>0.05</v>
      </c>
    </row>
    <row r="4206" spans="3:6">
      <c r="D4206" s="309">
        <f>SUM(D4195:D4205)</f>
        <v>1</v>
      </c>
      <c r="E4206" s="309">
        <f>SUM(E4195:E4205)</f>
        <v>1</v>
      </c>
      <c r="F4206" s="309">
        <f>SUM(F4195:F4205)</f>
        <v>0.87000000000000011</v>
      </c>
    </row>
    <row r="4207" spans="3:6">
      <c r="D4207" s="309"/>
      <c r="E4207" s="309">
        <f>D4206-E4206</f>
        <v>0</v>
      </c>
      <c r="F4207" s="309">
        <f>E4206-F4206</f>
        <v>0.12999999999999989</v>
      </c>
    </row>
    <row r="4208" spans="3:6">
      <c r="D4208" s="38"/>
      <c r="E4208" s="38"/>
      <c r="F4208" s="38"/>
    </row>
    <row r="4209" spans="2:6">
      <c r="C4209" t="s">
        <v>2241</v>
      </c>
      <c r="D4209" s="38" t="s">
        <v>2242</v>
      </c>
      <c r="E4209" s="38"/>
      <c r="F4209" s="38"/>
    </row>
    <row r="4210" spans="2:6">
      <c r="D4210" s="38"/>
      <c r="E4210" s="38"/>
      <c r="F4210" s="38"/>
    </row>
    <row r="4211" spans="2:6">
      <c r="B4211" s="519" t="s">
        <v>1079</v>
      </c>
      <c r="C4211" s="308" t="s">
        <v>117</v>
      </c>
      <c r="D4211" s="297" t="s">
        <v>353</v>
      </c>
      <c r="E4211" s="297" t="s">
        <v>354</v>
      </c>
      <c r="F4211" s="297" t="s">
        <v>355</v>
      </c>
    </row>
    <row r="4212" spans="2:6">
      <c r="C4212" s="31" t="s">
        <v>2229</v>
      </c>
      <c r="D4212" s="749"/>
      <c r="E4212" s="749"/>
      <c r="F4212" s="749"/>
    </row>
    <row r="4213" spans="2:6">
      <c r="C4213" s="31"/>
      <c r="D4213" s="749"/>
      <c r="E4213" s="749"/>
      <c r="F4213" s="749"/>
    </row>
    <row r="4214" spans="2:6">
      <c r="C4214" s="31" t="s">
        <v>2230</v>
      </c>
      <c r="D4214" s="38">
        <v>0.02</v>
      </c>
      <c r="E4214" s="38">
        <v>0.02</v>
      </c>
      <c r="F4214" s="38">
        <v>0</v>
      </c>
    </row>
    <row r="4215" spans="2:6">
      <c r="C4215" s="31" t="s">
        <v>2243</v>
      </c>
      <c r="D4215" s="38">
        <v>0.05</v>
      </c>
      <c r="E4215" s="38">
        <v>0.05</v>
      </c>
      <c r="F4215" s="38">
        <v>0</v>
      </c>
    </row>
    <row r="4216" spans="2:6" ht="28.8">
      <c r="C4216" s="31" t="s">
        <v>2244</v>
      </c>
      <c r="D4216" s="38">
        <v>0.11</v>
      </c>
      <c r="E4216" s="38">
        <v>0.11</v>
      </c>
      <c r="F4216" s="38">
        <v>0</v>
      </c>
    </row>
    <row r="4217" spans="2:6" ht="28.8">
      <c r="C4217" s="31" t="s">
        <v>2245</v>
      </c>
      <c r="D4217" s="38">
        <v>0.1</v>
      </c>
      <c r="E4217" s="38">
        <v>0.1</v>
      </c>
      <c r="F4217" s="38">
        <v>0.1</v>
      </c>
    </row>
    <row r="4218" spans="2:6">
      <c r="C4218" s="31" t="s">
        <v>2246</v>
      </c>
      <c r="D4218" s="38">
        <v>0.02</v>
      </c>
      <c r="E4218" s="38">
        <v>0.02</v>
      </c>
      <c r="F4218" s="38">
        <v>0.02</v>
      </c>
    </row>
    <row r="4219" spans="2:6">
      <c r="C4219" s="31" t="s">
        <v>2247</v>
      </c>
      <c r="D4219" s="38">
        <v>0.3</v>
      </c>
      <c r="E4219" s="38">
        <v>0.3</v>
      </c>
      <c r="F4219" s="38">
        <v>0.3</v>
      </c>
    </row>
    <row r="4220" spans="2:6" ht="28.8">
      <c r="C4220" s="31" t="s">
        <v>2248</v>
      </c>
      <c r="D4220" s="38">
        <v>0.05</v>
      </c>
      <c r="E4220" s="38">
        <v>0.05</v>
      </c>
      <c r="F4220" s="38">
        <v>0.05</v>
      </c>
    </row>
    <row r="4221" spans="2:6">
      <c r="C4221" s="31" t="s">
        <v>2249</v>
      </c>
      <c r="D4221" s="38">
        <v>0.25</v>
      </c>
      <c r="E4221" s="38">
        <v>0.25</v>
      </c>
      <c r="F4221" s="38">
        <v>0.25</v>
      </c>
    </row>
    <row r="4222" spans="2:6">
      <c r="C4222" s="31" t="s">
        <v>2237</v>
      </c>
      <c r="D4222" s="38">
        <v>0.1</v>
      </c>
      <c r="E4222" s="38">
        <v>0.1</v>
      </c>
      <c r="F4222" s="38">
        <v>0.1</v>
      </c>
    </row>
    <row r="4223" spans="2:6">
      <c r="D4223" s="309">
        <f>SUM(D4214:D4222)</f>
        <v>1.0000000000000002</v>
      </c>
      <c r="E4223" s="309">
        <f>SUM(E4214:E4222)</f>
        <v>1.0000000000000002</v>
      </c>
      <c r="F4223" s="309">
        <f>SUM(F4214:F4222)</f>
        <v>0.82</v>
      </c>
    </row>
    <row r="4224" spans="2:6">
      <c r="D4224" s="1"/>
      <c r="E4224" s="33">
        <f>D4223-E4223</f>
        <v>0</v>
      </c>
      <c r="F4224" s="33">
        <f>E4223-F4223</f>
        <v>0.18000000000000027</v>
      </c>
    </row>
    <row r="4226" spans="3:6">
      <c r="C4226" t="s">
        <v>2241</v>
      </c>
      <c r="D4226" s="38" t="s">
        <v>2242</v>
      </c>
      <c r="E4226" s="38"/>
      <c r="F4226" s="38"/>
    </row>
    <row r="4229" spans="3:6">
      <c r="C4229" s="310" t="s">
        <v>2250</v>
      </c>
      <c r="D4229" s="297" t="s">
        <v>353</v>
      </c>
      <c r="E4229" s="297" t="s">
        <v>354</v>
      </c>
      <c r="F4229" s="297" t="s">
        <v>355</v>
      </c>
    </row>
    <row r="4230" spans="3:6" ht="28.2">
      <c r="C4230" s="312" t="s">
        <v>2251</v>
      </c>
      <c r="D4230" s="540">
        <v>0.01</v>
      </c>
      <c r="E4230" s="540">
        <v>0.01</v>
      </c>
      <c r="F4230" s="540">
        <v>0.01</v>
      </c>
    </row>
    <row r="4231" spans="3:6" ht="55.8">
      <c r="C4231" s="312" t="s">
        <v>2252</v>
      </c>
      <c r="D4231" s="540">
        <v>0.05</v>
      </c>
      <c r="E4231" s="540">
        <v>0.05</v>
      </c>
      <c r="F4231" s="540">
        <v>0.05</v>
      </c>
    </row>
    <row r="4232" spans="3:6" ht="28.2">
      <c r="C4232" s="312" t="s">
        <v>2253</v>
      </c>
      <c r="D4232" s="540">
        <v>0.03</v>
      </c>
      <c r="E4232" s="540">
        <v>0.03</v>
      </c>
      <c r="F4232" s="540">
        <v>0.03</v>
      </c>
    </row>
    <row r="4233" spans="3:6" ht="28.2">
      <c r="C4233" s="427" t="s">
        <v>2254</v>
      </c>
      <c r="D4233" s="540">
        <v>0.01</v>
      </c>
      <c r="E4233" s="540">
        <v>0.01</v>
      </c>
      <c r="F4233" s="540">
        <v>0.01</v>
      </c>
    </row>
    <row r="4234" spans="3:6" ht="28.2">
      <c r="C4234" s="312" t="s">
        <v>2255</v>
      </c>
      <c r="D4234" s="541">
        <v>0.01</v>
      </c>
      <c r="E4234" s="541">
        <v>0.01</v>
      </c>
      <c r="F4234" s="541">
        <v>0</v>
      </c>
    </row>
    <row r="4235" spans="3:6" ht="28.2">
      <c r="C4235" s="427" t="s">
        <v>2256</v>
      </c>
      <c r="D4235" s="541">
        <v>0.05</v>
      </c>
      <c r="E4235" s="541">
        <v>0.05</v>
      </c>
      <c r="F4235" s="541">
        <v>0.05</v>
      </c>
    </row>
    <row r="4236" spans="3:6" ht="28.2">
      <c r="C4236" s="312" t="s">
        <v>2257</v>
      </c>
      <c r="D4236" s="541">
        <v>0.01</v>
      </c>
      <c r="E4236" s="541">
        <v>0.01</v>
      </c>
      <c r="F4236" s="541">
        <v>0</v>
      </c>
    </row>
    <row r="4237" spans="3:6" ht="28.2">
      <c r="C4237" s="428" t="s">
        <v>2258</v>
      </c>
      <c r="D4237" s="541">
        <v>0.01</v>
      </c>
      <c r="E4237" s="541">
        <v>0.01</v>
      </c>
      <c r="F4237" s="541">
        <v>0</v>
      </c>
    </row>
    <row r="4238" spans="3:6" ht="28.2">
      <c r="C4238" s="426" t="s">
        <v>2259</v>
      </c>
      <c r="D4238" s="541">
        <v>0.02</v>
      </c>
      <c r="E4238" s="541">
        <v>0.02</v>
      </c>
      <c r="F4238" s="541">
        <v>0.02</v>
      </c>
    </row>
    <row r="4239" spans="3:6" ht="28.2">
      <c r="C4239" s="312" t="s">
        <v>2260</v>
      </c>
      <c r="D4239" s="541">
        <v>0.02</v>
      </c>
      <c r="E4239" s="541">
        <v>0.02</v>
      </c>
      <c r="F4239" s="541">
        <v>0.02</v>
      </c>
    </row>
    <row r="4240" spans="3:6" ht="28.2">
      <c r="C4240" s="312" t="s">
        <v>2261</v>
      </c>
      <c r="D4240" s="541">
        <v>0.2</v>
      </c>
      <c r="E4240" s="541">
        <v>0.2</v>
      </c>
      <c r="F4240" s="541">
        <v>0.2</v>
      </c>
    </row>
    <row r="4241" spans="3:6" ht="28.2">
      <c r="C4241" s="312" t="s">
        <v>2262</v>
      </c>
      <c r="D4241" s="540">
        <v>0.05</v>
      </c>
      <c r="E4241" s="540">
        <v>0.05</v>
      </c>
      <c r="F4241" s="540">
        <v>0.05</v>
      </c>
    </row>
    <row r="4242" spans="3:6" ht="28.2">
      <c r="C4242" s="312" t="s">
        <v>2263</v>
      </c>
      <c r="D4242" s="540">
        <v>0.03</v>
      </c>
      <c r="E4242" s="540">
        <v>0.03</v>
      </c>
      <c r="F4242" s="540">
        <v>0.03</v>
      </c>
    </row>
    <row r="4243" spans="3:6" ht="28.2">
      <c r="C4243" s="312" t="s">
        <v>2264</v>
      </c>
      <c r="D4243" s="540">
        <v>0.01</v>
      </c>
      <c r="E4243" s="540">
        <v>0.01</v>
      </c>
      <c r="F4243" s="540">
        <v>0.01</v>
      </c>
    </row>
    <row r="4244" spans="3:6" ht="28.2">
      <c r="C4244" s="426" t="s">
        <v>2265</v>
      </c>
      <c r="D4244" s="540">
        <v>0.01</v>
      </c>
      <c r="E4244" s="540">
        <v>0.01</v>
      </c>
      <c r="F4244" s="540">
        <v>0</v>
      </c>
    </row>
    <row r="4245" spans="3:6" ht="28.2">
      <c r="C4245" s="312" t="s">
        <v>2266</v>
      </c>
      <c r="D4245" s="540">
        <v>0.1</v>
      </c>
      <c r="E4245" s="540">
        <v>0.1</v>
      </c>
      <c r="F4245" s="540">
        <v>0.1</v>
      </c>
    </row>
    <row r="4246" spans="3:6" ht="28.2">
      <c r="C4246" s="312" t="s">
        <v>2267</v>
      </c>
      <c r="D4246" s="540">
        <v>0.03</v>
      </c>
      <c r="E4246" s="540">
        <v>0.03</v>
      </c>
      <c r="F4246" s="540">
        <v>0.03</v>
      </c>
    </row>
    <row r="4247" spans="3:6" ht="28.2">
      <c r="C4247" s="312" t="s">
        <v>2268</v>
      </c>
      <c r="D4247" s="540">
        <v>0.01</v>
      </c>
      <c r="E4247" s="540">
        <v>0.01</v>
      </c>
      <c r="F4247" s="540">
        <v>0.01</v>
      </c>
    </row>
    <row r="4248" spans="3:6" ht="28.2">
      <c r="C4248" s="312" t="s">
        <v>2269</v>
      </c>
      <c r="D4248" s="540">
        <v>0.02</v>
      </c>
      <c r="E4248" s="540">
        <v>0.02</v>
      </c>
      <c r="F4248" s="540">
        <v>0</v>
      </c>
    </row>
    <row r="4249" spans="3:6" ht="28.2">
      <c r="C4249" s="426" t="s">
        <v>2270</v>
      </c>
      <c r="D4249" s="540">
        <v>0.01</v>
      </c>
      <c r="E4249" s="540">
        <v>0.01</v>
      </c>
      <c r="F4249" s="540">
        <v>0</v>
      </c>
    </row>
    <row r="4250" spans="3:6" ht="28.2">
      <c r="C4250" s="312" t="s">
        <v>2271</v>
      </c>
      <c r="D4250" s="540">
        <v>0.02</v>
      </c>
      <c r="E4250" s="540">
        <v>0.02</v>
      </c>
      <c r="F4250" s="540">
        <v>0.02</v>
      </c>
    </row>
    <row r="4251" spans="3:6" ht="28.2">
      <c r="C4251" s="426" t="s">
        <v>2272</v>
      </c>
      <c r="D4251" s="540">
        <v>0.05</v>
      </c>
      <c r="E4251" s="540">
        <v>0.05</v>
      </c>
      <c r="F4251" s="540">
        <v>0.05</v>
      </c>
    </row>
    <row r="4252" spans="3:6" ht="28.2">
      <c r="C4252" s="312" t="s">
        <v>2273</v>
      </c>
      <c r="D4252" s="540">
        <v>0.02</v>
      </c>
      <c r="E4252" s="540">
        <v>0.02</v>
      </c>
      <c r="F4252" s="540">
        <v>0.02</v>
      </c>
    </row>
    <row r="4253" spans="3:6" ht="28.2">
      <c r="C4253" s="312" t="s">
        <v>2274</v>
      </c>
      <c r="D4253" s="540">
        <v>0.05</v>
      </c>
      <c r="E4253" s="540">
        <v>0.05</v>
      </c>
      <c r="F4253" s="540">
        <v>0.05</v>
      </c>
    </row>
    <row r="4254" spans="3:6" ht="28.2">
      <c r="C4254" s="426" t="s">
        <v>2275</v>
      </c>
      <c r="D4254" s="541">
        <v>0.02</v>
      </c>
      <c r="E4254" s="541">
        <v>0.02</v>
      </c>
      <c r="F4254" s="541">
        <v>0</v>
      </c>
    </row>
    <row r="4255" spans="3:6" ht="28.2">
      <c r="C4255" s="312" t="s">
        <v>2276</v>
      </c>
      <c r="D4255" s="541">
        <v>0.01</v>
      </c>
      <c r="E4255" s="541">
        <v>0.01</v>
      </c>
      <c r="F4255" s="541">
        <v>0.01</v>
      </c>
    </row>
    <row r="4256" spans="3:6" ht="28.2">
      <c r="C4256" s="312" t="s">
        <v>2277</v>
      </c>
      <c r="D4256" s="540">
        <v>0.01</v>
      </c>
      <c r="E4256" s="540">
        <v>0.01</v>
      </c>
      <c r="F4256" s="540">
        <v>0</v>
      </c>
    </row>
    <row r="4257" spans="3:6" ht="28.2">
      <c r="C4257" s="312" t="s">
        <v>2278</v>
      </c>
      <c r="D4257" s="540">
        <v>0.01</v>
      </c>
      <c r="E4257" s="540">
        <v>0.01</v>
      </c>
      <c r="F4257" s="540">
        <v>0.01</v>
      </c>
    </row>
    <row r="4258" spans="3:6" ht="28.2">
      <c r="C4258" s="312" t="s">
        <v>2279</v>
      </c>
      <c r="D4258" s="540">
        <v>0.01</v>
      </c>
      <c r="E4258" s="540">
        <v>0.01</v>
      </c>
      <c r="F4258" s="540">
        <v>0.01</v>
      </c>
    </row>
    <row r="4259" spans="3:6" ht="28.2">
      <c r="C4259" s="312" t="s">
        <v>2280</v>
      </c>
      <c r="D4259" s="540">
        <v>0.02</v>
      </c>
      <c r="E4259" s="540">
        <v>0.02</v>
      </c>
      <c r="F4259" s="540">
        <v>0.02</v>
      </c>
    </row>
    <row r="4260" spans="3:6" ht="28.2">
      <c r="C4260" s="312" t="s">
        <v>2281</v>
      </c>
      <c r="D4260" s="540">
        <v>0.03</v>
      </c>
      <c r="E4260" s="540">
        <v>0.03</v>
      </c>
      <c r="F4260" s="540">
        <v>0.03</v>
      </c>
    </row>
    <row r="4261" spans="3:6" ht="28.2">
      <c r="C4261" s="312" t="s">
        <v>2282</v>
      </c>
      <c r="D4261" s="541">
        <v>0.03</v>
      </c>
      <c r="E4261" s="541">
        <v>0.03</v>
      </c>
      <c r="F4261" s="541">
        <v>0.03</v>
      </c>
    </row>
    <row r="4262" spans="3:6" ht="28.2">
      <c r="C4262" s="426" t="s">
        <v>2283</v>
      </c>
      <c r="D4262" s="540">
        <v>0.01</v>
      </c>
      <c r="E4262" s="540">
        <v>0.01</v>
      </c>
      <c r="F4262" s="540">
        <v>0.01</v>
      </c>
    </row>
    <row r="4263" spans="3:6">
      <c r="C4263" s="312" t="s">
        <v>2284</v>
      </c>
      <c r="D4263" s="540">
        <v>0.02</v>
      </c>
      <c r="E4263" s="540">
        <v>0.02</v>
      </c>
      <c r="F4263" s="540">
        <v>0.02</v>
      </c>
    </row>
    <row r="4264" spans="3:6">
      <c r="C4264" s="311"/>
      <c r="D4264" s="540">
        <f>SUM(D4230:D4263)</f>
        <v>1.0000000000000002</v>
      </c>
      <c r="E4264" s="540">
        <f>SUM(E4230:E4263)</f>
        <v>1.0000000000000002</v>
      </c>
      <c r="F4264" s="540">
        <f>SUM(F4230:F4263)</f>
        <v>0.90000000000000024</v>
      </c>
    </row>
    <row r="4265" spans="3:6">
      <c r="C4265" s="11"/>
      <c r="D4265" s="540"/>
      <c r="E4265" s="540">
        <f>D4264-E4264</f>
        <v>0</v>
      </c>
      <c r="F4265" s="540">
        <f>E4264-F4264</f>
        <v>9.9999999999999978E-2</v>
      </c>
    </row>
    <row r="4266" spans="3:6">
      <c r="C4266" s="11"/>
      <c r="D4266" s="540"/>
      <c r="E4266" s="540"/>
      <c r="F4266" s="540"/>
    </row>
    <row r="4267" spans="3:6">
      <c r="C4267" s="314" t="s">
        <v>2285</v>
      </c>
      <c r="D4267" s="11"/>
      <c r="E4267" s="11"/>
      <c r="F4267" s="11"/>
    </row>
    <row r="4268" spans="3:6">
      <c r="C4268" s="314"/>
      <c r="D4268" s="297"/>
      <c r="E4268" s="297"/>
      <c r="F4268" s="297"/>
    </row>
    <row r="4269" spans="3:6">
      <c r="C4269" s="373" t="s">
        <v>118</v>
      </c>
      <c r="D4269" s="315" t="s">
        <v>353</v>
      </c>
      <c r="E4269" s="315" t="s">
        <v>354</v>
      </c>
      <c r="F4269" s="315" t="s">
        <v>355</v>
      </c>
    </row>
    <row r="4270" spans="3:6" ht="28.8">
      <c r="C4270" s="187" t="s">
        <v>2286</v>
      </c>
      <c r="D4270" s="540">
        <v>0.08</v>
      </c>
      <c r="E4270" s="540">
        <v>0.08</v>
      </c>
      <c r="F4270" s="540">
        <v>0</v>
      </c>
    </row>
    <row r="4271" spans="3:6" ht="43.2">
      <c r="C4271" s="187" t="s">
        <v>2287</v>
      </c>
      <c r="D4271" s="540">
        <v>0.1</v>
      </c>
      <c r="E4271" s="540">
        <v>0.1</v>
      </c>
      <c r="F4271" s="540">
        <v>0.1</v>
      </c>
    </row>
    <row r="4272" spans="3:6" ht="28.8">
      <c r="C4272" s="187" t="s">
        <v>2288</v>
      </c>
      <c r="D4272" s="540">
        <v>0.05</v>
      </c>
      <c r="E4272" s="540">
        <v>0.05</v>
      </c>
      <c r="F4272" s="540">
        <v>0.05</v>
      </c>
    </row>
    <row r="4273" spans="3:6">
      <c r="C4273" s="187" t="s">
        <v>2289</v>
      </c>
      <c r="D4273" s="540">
        <v>0.04</v>
      </c>
      <c r="E4273" s="540">
        <v>0.04</v>
      </c>
      <c r="F4273" s="540">
        <v>0.04</v>
      </c>
    </row>
    <row r="4274" spans="3:6">
      <c r="C4274" s="187" t="s">
        <v>2290</v>
      </c>
      <c r="D4274" s="540">
        <v>0.04</v>
      </c>
      <c r="E4274" s="540">
        <v>0.04</v>
      </c>
      <c r="F4274" s="540">
        <v>0.04</v>
      </c>
    </row>
    <row r="4275" spans="3:6">
      <c r="C4275" s="187" t="s">
        <v>2291</v>
      </c>
      <c r="D4275" s="540">
        <v>0.04</v>
      </c>
      <c r="E4275" s="540">
        <v>0.04</v>
      </c>
      <c r="F4275" s="540">
        <v>0.04</v>
      </c>
    </row>
    <row r="4276" spans="3:6" ht="28.8">
      <c r="C4276" s="187" t="s">
        <v>2292</v>
      </c>
      <c r="D4276" s="540">
        <v>0.05</v>
      </c>
      <c r="E4276" s="540">
        <v>0.05</v>
      </c>
      <c r="F4276" s="540">
        <v>0.05</v>
      </c>
    </row>
    <row r="4277" spans="3:6" ht="28.8">
      <c r="C4277" s="187" t="s">
        <v>2293</v>
      </c>
      <c r="D4277" s="540">
        <v>0.05</v>
      </c>
      <c r="E4277" s="540">
        <v>0.05</v>
      </c>
      <c r="F4277" s="540">
        <v>0.05</v>
      </c>
    </row>
    <row r="4278" spans="3:6">
      <c r="C4278" s="187" t="s">
        <v>2294</v>
      </c>
      <c r="D4278" s="540">
        <v>0.05</v>
      </c>
      <c r="E4278" s="540">
        <v>0.05</v>
      </c>
      <c r="F4278" s="540">
        <v>0.05</v>
      </c>
    </row>
    <row r="4279" spans="3:6" ht="28.8">
      <c r="C4279" s="187" t="s">
        <v>2295</v>
      </c>
      <c r="D4279" s="540">
        <v>0.25</v>
      </c>
      <c r="E4279" s="540">
        <v>0.25</v>
      </c>
      <c r="F4279" s="540">
        <v>0.25</v>
      </c>
    </row>
    <row r="4280" spans="3:6" ht="28.8">
      <c r="C4280" s="187" t="s">
        <v>2296</v>
      </c>
      <c r="D4280" s="540">
        <v>0.05</v>
      </c>
      <c r="E4280" s="540">
        <v>0.05</v>
      </c>
      <c r="F4280" s="540">
        <v>0.05</v>
      </c>
    </row>
    <row r="4281" spans="3:6" ht="28.8">
      <c r="C4281" s="187" t="s">
        <v>2297</v>
      </c>
      <c r="D4281" s="540">
        <v>0.05</v>
      </c>
      <c r="E4281" s="540">
        <v>0.05</v>
      </c>
      <c r="F4281" s="540">
        <v>0.05</v>
      </c>
    </row>
    <row r="4282" spans="3:6">
      <c r="C4282" s="187" t="s">
        <v>2298</v>
      </c>
      <c r="D4282" s="540">
        <v>0.05</v>
      </c>
      <c r="E4282" s="540">
        <v>0.05</v>
      </c>
      <c r="F4282" s="540">
        <v>0.05</v>
      </c>
    </row>
    <row r="4283" spans="3:6">
      <c r="C4283" s="187" t="s">
        <v>2299</v>
      </c>
      <c r="D4283" s="540">
        <v>0.1</v>
      </c>
      <c r="E4283" s="540">
        <v>0.1</v>
      </c>
      <c r="F4283" s="540">
        <v>0.1</v>
      </c>
    </row>
    <row r="4284" spans="3:6">
      <c r="C4284" s="187"/>
      <c r="D4284" s="20">
        <f>SUM(D4269:D4283)</f>
        <v>1</v>
      </c>
      <c r="E4284" s="20">
        <f>SUM(E4269:E4283)</f>
        <v>1</v>
      </c>
      <c r="F4284" s="20">
        <f>SUM(F4269:F4283)</f>
        <v>0.92</v>
      </c>
    </row>
    <row r="4285" spans="3:6">
      <c r="C4285" s="11"/>
      <c r="D4285" s="11"/>
      <c r="E4285" s="20">
        <f>D4284-E4284</f>
        <v>0</v>
      </c>
      <c r="F4285" s="20">
        <f>E4284-F4284</f>
        <v>7.999999999999996E-2</v>
      </c>
    </row>
    <row r="4286" spans="3:6">
      <c r="C4286" s="11"/>
      <c r="D4286" s="11"/>
      <c r="E4286" s="11"/>
      <c r="F4286" s="11"/>
    </row>
    <row r="4287" spans="3:6">
      <c r="C4287" s="313" t="s">
        <v>366</v>
      </c>
      <c r="D4287" s="11" t="s">
        <v>2300</v>
      </c>
      <c r="E4287" s="11"/>
      <c r="F4287" s="11"/>
    </row>
    <row r="4288" spans="3:6">
      <c r="C4288" s="11"/>
      <c r="D4288" s="11"/>
      <c r="E4288" s="11"/>
      <c r="F4288" s="11"/>
    </row>
    <row r="4289" spans="3:6">
      <c r="C4289" s="313" t="s">
        <v>2301</v>
      </c>
      <c r="D4289" s="315" t="s">
        <v>353</v>
      </c>
      <c r="E4289" s="315" t="s">
        <v>354</v>
      </c>
      <c r="F4289" s="315" t="s">
        <v>355</v>
      </c>
    </row>
    <row r="4290" spans="3:6">
      <c r="C4290" s="187" t="s">
        <v>2302</v>
      </c>
      <c r="D4290" s="540">
        <v>0.02</v>
      </c>
      <c r="E4290" s="540">
        <v>0.02</v>
      </c>
      <c r="F4290" s="540">
        <v>0</v>
      </c>
    </row>
    <row r="4291" spans="3:6" ht="28.8">
      <c r="C4291" s="187" t="s">
        <v>2303</v>
      </c>
      <c r="D4291" s="540">
        <v>0.02</v>
      </c>
      <c r="E4291" s="540">
        <v>0.02</v>
      </c>
      <c r="F4291" s="540">
        <v>0</v>
      </c>
    </row>
    <row r="4292" spans="3:6" ht="28.8">
      <c r="C4292" s="187" t="s">
        <v>2304</v>
      </c>
      <c r="D4292" s="540">
        <v>0.1</v>
      </c>
      <c r="E4292" s="540">
        <v>0.1</v>
      </c>
      <c r="F4292" s="540">
        <v>0.05</v>
      </c>
    </row>
    <row r="4293" spans="3:6">
      <c r="C4293" s="187" t="s">
        <v>2305</v>
      </c>
      <c r="D4293" s="540">
        <v>0.05</v>
      </c>
      <c r="E4293" s="540">
        <v>0.05</v>
      </c>
      <c r="F4293" s="540">
        <v>0.02</v>
      </c>
    </row>
    <row r="4294" spans="3:6">
      <c r="C4294" s="187" t="s">
        <v>2306</v>
      </c>
      <c r="D4294" s="540">
        <v>0.05</v>
      </c>
      <c r="E4294" s="540">
        <v>0.05</v>
      </c>
      <c r="F4294" s="540">
        <v>0.02</v>
      </c>
    </row>
    <row r="4295" spans="3:6" ht="28.8">
      <c r="C4295" s="187" t="s">
        <v>2307</v>
      </c>
      <c r="D4295" s="540">
        <v>0.1</v>
      </c>
      <c r="E4295" s="540">
        <v>0.1</v>
      </c>
      <c r="F4295" s="540">
        <v>0</v>
      </c>
    </row>
    <row r="4296" spans="3:6" ht="28.8">
      <c r="C4296" s="187" t="s">
        <v>2308</v>
      </c>
      <c r="D4296" s="540">
        <v>0.5</v>
      </c>
      <c r="E4296" s="540">
        <v>0.5</v>
      </c>
      <c r="F4296" s="540">
        <v>0.5</v>
      </c>
    </row>
    <row r="4297" spans="3:6" ht="28.8">
      <c r="C4297" s="187" t="s">
        <v>2309</v>
      </c>
      <c r="D4297" s="540">
        <v>0.1</v>
      </c>
      <c r="E4297" s="540">
        <v>0.1</v>
      </c>
      <c r="F4297" s="540">
        <v>0.1</v>
      </c>
    </row>
    <row r="4298" spans="3:6">
      <c r="C4298" s="187" t="s">
        <v>2310</v>
      </c>
      <c r="D4298" s="540">
        <v>0.06</v>
      </c>
      <c r="E4298" s="540">
        <v>0.06</v>
      </c>
      <c r="F4298" s="540">
        <v>0.06</v>
      </c>
    </row>
    <row r="4299" spans="3:6">
      <c r="C4299" s="11"/>
      <c r="D4299" s="316">
        <f>SUM(D4290:D4298)</f>
        <v>1</v>
      </c>
      <c r="E4299" s="316">
        <f>SUM(E4290:E4298)</f>
        <v>1</v>
      </c>
      <c r="F4299" s="316">
        <f>SUM(F4290:F4298)</f>
        <v>0.75</v>
      </c>
    </row>
    <row r="4300" spans="3:6">
      <c r="C4300" s="11"/>
      <c r="D4300" s="316"/>
      <c r="E4300" s="316">
        <f>D4299-E4299</f>
        <v>0</v>
      </c>
      <c r="F4300" s="316">
        <f>E4299-F4299</f>
        <v>0.25</v>
      </c>
    </row>
    <row r="4301" spans="3:6">
      <c r="C4301" s="11"/>
      <c r="D4301" s="11"/>
      <c r="E4301" s="11"/>
      <c r="F4301" s="11"/>
    </row>
    <row r="4302" spans="3:6">
      <c r="C4302" s="313" t="s">
        <v>2311</v>
      </c>
      <c r="D4302" s="11" t="s">
        <v>668</v>
      </c>
      <c r="E4302" s="11"/>
      <c r="F4302" s="11"/>
    </row>
    <row r="4303" spans="3:6">
      <c r="C4303" s="11"/>
      <c r="D4303" s="11"/>
      <c r="E4303" s="11"/>
      <c r="F4303" s="11"/>
    </row>
    <row r="4304" spans="3:6">
      <c r="C4304" s="11"/>
      <c r="D4304" s="11"/>
      <c r="E4304" s="11"/>
      <c r="F4304" s="11"/>
    </row>
    <row r="4305" spans="3:6">
      <c r="C4305" s="313" t="s">
        <v>119</v>
      </c>
      <c r="D4305" s="315" t="s">
        <v>353</v>
      </c>
      <c r="E4305" s="315" t="s">
        <v>354</v>
      </c>
      <c r="F4305" s="315" t="s">
        <v>355</v>
      </c>
    </row>
    <row r="4306" spans="3:6">
      <c r="C4306" s="11" t="s">
        <v>2312</v>
      </c>
      <c r="D4306" s="540">
        <v>0.02</v>
      </c>
      <c r="E4306" s="540">
        <v>0.02</v>
      </c>
      <c r="F4306" s="540">
        <v>0.02</v>
      </c>
    </row>
    <row r="4307" spans="3:6">
      <c r="C4307" s="11" t="s">
        <v>2313</v>
      </c>
      <c r="D4307" s="540">
        <v>0.1</v>
      </c>
      <c r="E4307" s="540">
        <v>0.1</v>
      </c>
      <c r="F4307" s="540">
        <v>0.1</v>
      </c>
    </row>
    <row r="4308" spans="3:6">
      <c r="C4308" s="11" t="s">
        <v>2314</v>
      </c>
      <c r="D4308" s="540">
        <v>0.6</v>
      </c>
      <c r="E4308" s="540">
        <v>0.6</v>
      </c>
      <c r="F4308" s="540">
        <v>0.6</v>
      </c>
    </row>
    <row r="4309" spans="3:6">
      <c r="C4309" s="11" t="s">
        <v>2315</v>
      </c>
      <c r="D4309" s="540">
        <v>0.15</v>
      </c>
      <c r="E4309" s="540">
        <v>0.15</v>
      </c>
      <c r="F4309" s="540">
        <v>0.15</v>
      </c>
    </row>
    <row r="4310" spans="3:6">
      <c r="C4310" s="11" t="s">
        <v>2316</v>
      </c>
      <c r="D4310" s="540">
        <v>0.1</v>
      </c>
      <c r="E4310" s="540">
        <v>0.1</v>
      </c>
      <c r="F4310" s="540">
        <v>0.1</v>
      </c>
    </row>
    <row r="4311" spans="3:6">
      <c r="C4311" s="11" t="s">
        <v>2317</v>
      </c>
      <c r="D4311" s="540">
        <v>0.03</v>
      </c>
      <c r="E4311" s="540">
        <v>0.03</v>
      </c>
      <c r="F4311" s="540">
        <v>0.03</v>
      </c>
    </row>
    <row r="4312" spans="3:6">
      <c r="C4312" s="11"/>
      <c r="D4312" s="316">
        <f>SUM(D4306:D4311)</f>
        <v>1</v>
      </c>
      <c r="E4312" s="316">
        <f>SUM(E4306:E4311)</f>
        <v>1</v>
      </c>
      <c r="F4312" s="316">
        <f>SUM(F4306:F4311)</f>
        <v>1</v>
      </c>
    </row>
    <row r="4313" spans="3:6">
      <c r="C4313" s="11"/>
      <c r="D4313" s="316"/>
      <c r="E4313" s="316">
        <f>D4312-E4312</f>
        <v>0</v>
      </c>
      <c r="F4313" s="316">
        <f>E4312-F4312</f>
        <v>0</v>
      </c>
    </row>
    <row r="4314" spans="3:6">
      <c r="C4314" s="11"/>
      <c r="D4314" s="316"/>
      <c r="E4314" s="316"/>
      <c r="F4314" s="316"/>
    </row>
    <row r="4315" spans="3:6">
      <c r="C4315" s="12" t="s">
        <v>2318</v>
      </c>
      <c r="D4315" s="316"/>
      <c r="E4315" s="316"/>
      <c r="F4315" s="316"/>
    </row>
    <row r="4316" spans="3:6">
      <c r="C4316" s="11"/>
      <c r="D4316" s="316"/>
      <c r="E4316" s="316"/>
      <c r="F4316" s="316"/>
    </row>
    <row r="4317" spans="3:6">
      <c r="C4317" s="11"/>
      <c r="D4317" s="540"/>
      <c r="E4317" s="540"/>
      <c r="F4317" s="540"/>
    </row>
    <row r="4318" spans="3:6">
      <c r="C4318" s="11"/>
      <c r="D4318" s="540"/>
      <c r="E4318" s="540"/>
      <c r="F4318" s="540"/>
    </row>
    <row r="4319" spans="3:6">
      <c r="C4319" s="373" t="s">
        <v>120</v>
      </c>
      <c r="D4319" s="315" t="s">
        <v>353</v>
      </c>
      <c r="E4319" s="315" t="s">
        <v>354</v>
      </c>
      <c r="F4319" s="315" t="s">
        <v>355</v>
      </c>
    </row>
    <row r="4320" spans="3:6" ht="28.8">
      <c r="C4320" s="187" t="s">
        <v>2319</v>
      </c>
      <c r="D4320" s="540">
        <v>0.02</v>
      </c>
      <c r="E4320" s="540">
        <v>0.02</v>
      </c>
      <c r="F4320" s="540">
        <v>0.02</v>
      </c>
    </row>
    <row r="4321" spans="3:6" ht="28.8">
      <c r="C4321" s="187" t="s">
        <v>2313</v>
      </c>
      <c r="D4321" s="540">
        <v>0.1</v>
      </c>
      <c r="E4321" s="540">
        <v>0.1</v>
      </c>
      <c r="F4321" s="540">
        <v>0.1</v>
      </c>
    </row>
    <row r="4322" spans="3:6">
      <c r="C4322" s="187" t="s">
        <v>2314</v>
      </c>
      <c r="D4322" s="540">
        <v>0.6</v>
      </c>
      <c r="E4322" s="540">
        <v>0.6</v>
      </c>
      <c r="F4322" s="540">
        <v>0.6</v>
      </c>
    </row>
    <row r="4323" spans="3:6" ht="28.8">
      <c r="C4323" s="187" t="s">
        <v>2320</v>
      </c>
      <c r="D4323" s="540">
        <v>0.15</v>
      </c>
      <c r="E4323" s="540">
        <v>0.15</v>
      </c>
      <c r="F4323" s="540">
        <v>0.15</v>
      </c>
    </row>
    <row r="4324" spans="3:6">
      <c r="C4324" s="187" t="s">
        <v>2321</v>
      </c>
      <c r="D4324" s="540">
        <v>0.1</v>
      </c>
      <c r="E4324" s="540">
        <v>0.1</v>
      </c>
      <c r="F4324" s="540">
        <v>0.1</v>
      </c>
    </row>
    <row r="4325" spans="3:6">
      <c r="C4325" s="187" t="s">
        <v>2317</v>
      </c>
      <c r="D4325" s="540">
        <v>0.03</v>
      </c>
      <c r="E4325" s="540">
        <v>0.03</v>
      </c>
      <c r="F4325" s="540">
        <v>0.03</v>
      </c>
    </row>
    <row r="4326" spans="3:6">
      <c r="C4326" s="11"/>
      <c r="D4326" s="540">
        <f>SUM(D4320:D4325)</f>
        <v>1</v>
      </c>
      <c r="E4326" s="540">
        <f>SUM(E4320:E4325)</f>
        <v>1</v>
      </c>
      <c r="F4326" s="540">
        <f>SUM(F4320:F4325)</f>
        <v>1</v>
      </c>
    </row>
    <row r="4327" spans="3:6">
      <c r="C4327" s="11"/>
      <c r="D4327" s="540"/>
      <c r="E4327" s="540">
        <f>D4326-E4326</f>
        <v>0</v>
      </c>
      <c r="F4327" s="540">
        <f>E4326-F4326</f>
        <v>0</v>
      </c>
    </row>
    <row r="4328" spans="3:6">
      <c r="C4328" s="11"/>
      <c r="D4328" s="540"/>
      <c r="E4328" s="540"/>
      <c r="F4328" s="540"/>
    </row>
    <row r="4329" spans="3:6">
      <c r="C4329" s="12" t="s">
        <v>366</v>
      </c>
      <c r="D4329" s="540" t="s">
        <v>428</v>
      </c>
      <c r="E4329" s="540"/>
      <c r="F4329" s="540"/>
    </row>
    <row r="4330" spans="3:6">
      <c r="C4330" s="11"/>
      <c r="D4330" s="11"/>
      <c r="E4330" s="11"/>
      <c r="F4330" s="11"/>
    </row>
    <row r="4331" spans="3:6">
      <c r="C4331" s="313" t="s">
        <v>121</v>
      </c>
      <c r="D4331" s="315" t="s">
        <v>353</v>
      </c>
      <c r="E4331" s="315" t="s">
        <v>354</v>
      </c>
      <c r="F4331" s="315" t="s">
        <v>355</v>
      </c>
    </row>
    <row r="4332" spans="3:6">
      <c r="C4332" s="11" t="s">
        <v>2322</v>
      </c>
      <c r="D4332" s="540">
        <v>0.1</v>
      </c>
      <c r="E4332" s="540">
        <v>0.1</v>
      </c>
      <c r="F4332" s="540">
        <v>0.1</v>
      </c>
    </row>
    <row r="4333" spans="3:6">
      <c r="C4333" s="11" t="s">
        <v>2323</v>
      </c>
      <c r="D4333" s="540">
        <v>0.02</v>
      </c>
      <c r="E4333" s="540">
        <v>0.02</v>
      </c>
      <c r="F4333" s="540">
        <v>0.02</v>
      </c>
    </row>
    <row r="4334" spans="3:6">
      <c r="C4334" s="11" t="s">
        <v>2324</v>
      </c>
      <c r="D4334" s="540">
        <v>0.6</v>
      </c>
      <c r="E4334" s="540">
        <v>0.6</v>
      </c>
      <c r="F4334" s="540">
        <v>0.6</v>
      </c>
    </row>
    <row r="4335" spans="3:6">
      <c r="C4335" s="11" t="s">
        <v>2325</v>
      </c>
      <c r="D4335" s="540">
        <v>0.05</v>
      </c>
      <c r="E4335" s="540">
        <v>0.05</v>
      </c>
      <c r="F4335" s="540">
        <v>0.05</v>
      </c>
    </row>
    <row r="4336" spans="3:6">
      <c r="C4336" s="11" t="s">
        <v>2321</v>
      </c>
      <c r="D4336" s="540">
        <v>0.18</v>
      </c>
      <c r="E4336" s="540">
        <v>0.18</v>
      </c>
      <c r="F4336" s="540">
        <v>0.18</v>
      </c>
    </row>
    <row r="4337" spans="3:6">
      <c r="C4337" s="11" t="s">
        <v>2326</v>
      </c>
      <c r="D4337" s="540">
        <v>0.05</v>
      </c>
      <c r="E4337" s="540">
        <v>0.05</v>
      </c>
      <c r="F4337" s="540">
        <v>0.05</v>
      </c>
    </row>
    <row r="4338" spans="3:6">
      <c r="C4338" s="11"/>
      <c r="D4338" s="540">
        <f>SUM(D4332:D4337)</f>
        <v>1</v>
      </c>
      <c r="E4338" s="540">
        <f>SUM(E4332:E4337)</f>
        <v>1</v>
      </c>
      <c r="F4338" s="540">
        <f>SUM(F4332:F4337)</f>
        <v>1</v>
      </c>
    </row>
    <row r="4339" spans="3:6">
      <c r="C4339" s="11"/>
      <c r="D4339" s="540"/>
      <c r="E4339" s="540">
        <f>D4338-E4338</f>
        <v>0</v>
      </c>
      <c r="F4339" s="540">
        <f>E4338-F4338</f>
        <v>0</v>
      </c>
    </row>
    <row r="4340" spans="3:6">
      <c r="C4340" s="12" t="s">
        <v>366</v>
      </c>
      <c r="D4340" s="540" t="s">
        <v>468</v>
      </c>
      <c r="E4340" s="540"/>
      <c r="F4340" s="540"/>
    </row>
    <row r="4341" spans="3:6">
      <c r="C4341" s="11"/>
      <c r="D4341" s="540"/>
      <c r="E4341" s="540"/>
      <c r="F4341" s="540"/>
    </row>
    <row r="4342" spans="3:6">
      <c r="C4342" s="11"/>
      <c r="D4342" s="11"/>
      <c r="E4342" s="11"/>
      <c r="F4342" s="11"/>
    </row>
    <row r="4343" spans="3:6">
      <c r="C4343" s="313" t="s">
        <v>122</v>
      </c>
      <c r="D4343" s="315" t="s">
        <v>353</v>
      </c>
      <c r="E4343" s="315" t="s">
        <v>354</v>
      </c>
      <c r="F4343" s="315" t="s">
        <v>355</v>
      </c>
    </row>
    <row r="4344" spans="3:6">
      <c r="C4344" s="187" t="s">
        <v>2327</v>
      </c>
      <c r="D4344" s="540">
        <v>0.02</v>
      </c>
      <c r="E4344" s="540">
        <v>0.02</v>
      </c>
      <c r="F4344" s="540">
        <v>0.02</v>
      </c>
    </row>
    <row r="4345" spans="3:6" ht="28.8">
      <c r="C4345" s="187" t="s">
        <v>2328</v>
      </c>
      <c r="D4345" s="540">
        <v>0.02</v>
      </c>
      <c r="E4345" s="540">
        <v>0.02</v>
      </c>
      <c r="F4345" s="540">
        <v>0.02</v>
      </c>
    </row>
    <row r="4346" spans="3:6">
      <c r="C4346" s="187" t="s">
        <v>2321</v>
      </c>
      <c r="D4346" s="540">
        <v>0.96</v>
      </c>
      <c r="E4346" s="540">
        <v>0.96</v>
      </c>
      <c r="F4346" s="540">
        <v>0.96</v>
      </c>
    </row>
    <row r="4347" spans="3:6">
      <c r="C4347" s="187"/>
      <c r="D4347" s="540">
        <f>SUM(D4344:D4346)</f>
        <v>1</v>
      </c>
      <c r="E4347" s="540">
        <f>SUM(E4344:E4346)</f>
        <v>1</v>
      </c>
      <c r="F4347" s="540">
        <f>SUM(F4344:F4346)</f>
        <v>1</v>
      </c>
    </row>
    <row r="4348" spans="3:6">
      <c r="C4348" s="11"/>
      <c r="D4348" s="540"/>
      <c r="E4348" s="540">
        <f>D4347-E4347</f>
        <v>0</v>
      </c>
      <c r="F4348" s="540">
        <f>E4347-F4347</f>
        <v>0</v>
      </c>
    </row>
    <row r="4349" spans="3:6">
      <c r="C4349" s="11"/>
      <c r="D4349" s="540"/>
      <c r="E4349" s="540"/>
      <c r="F4349" s="540"/>
    </row>
    <row r="4350" spans="3:6">
      <c r="C4350" s="12" t="s">
        <v>366</v>
      </c>
      <c r="D4350" s="540" t="s">
        <v>385</v>
      </c>
      <c r="E4350" s="540"/>
      <c r="F4350" s="540"/>
    </row>
    <row r="4351" spans="3:6">
      <c r="C4351" s="11"/>
      <c r="D4351" s="11"/>
      <c r="E4351" s="11"/>
      <c r="F4351" s="11"/>
    </row>
    <row r="4352" spans="3:6">
      <c r="C4352" s="373" t="s">
        <v>123</v>
      </c>
      <c r="D4352" s="315" t="s">
        <v>353</v>
      </c>
      <c r="E4352" s="315" t="s">
        <v>354</v>
      </c>
      <c r="F4352" s="315" t="s">
        <v>355</v>
      </c>
    </row>
    <row r="4353" spans="3:6" ht="43.2">
      <c r="C4353" s="187" t="s">
        <v>2329</v>
      </c>
      <c r="D4353" s="540">
        <v>0.02</v>
      </c>
      <c r="E4353" s="540">
        <v>0.02</v>
      </c>
      <c r="F4353" s="540">
        <v>0.02</v>
      </c>
    </row>
    <row r="4354" spans="3:6" ht="28.8">
      <c r="C4354" s="187" t="s">
        <v>2330</v>
      </c>
      <c r="D4354" s="540">
        <v>0.02</v>
      </c>
      <c r="E4354" s="540">
        <v>0.02</v>
      </c>
      <c r="F4354" s="540">
        <v>0.02</v>
      </c>
    </row>
    <row r="4355" spans="3:6" ht="28.2">
      <c r="C4355" s="312" t="s">
        <v>2271</v>
      </c>
      <c r="D4355" s="540">
        <v>0.1</v>
      </c>
      <c r="E4355" s="540">
        <v>0.1</v>
      </c>
      <c r="F4355" s="540">
        <v>0.1</v>
      </c>
    </row>
    <row r="4356" spans="3:6" ht="28.2">
      <c r="C4356" s="312" t="s">
        <v>2331</v>
      </c>
      <c r="D4356" s="540">
        <v>0.4</v>
      </c>
      <c r="E4356" s="540">
        <v>0.4</v>
      </c>
      <c r="F4356" s="540">
        <v>0.4</v>
      </c>
    </row>
    <row r="4357" spans="3:6" ht="28.2">
      <c r="C4357" s="312" t="s">
        <v>2332</v>
      </c>
      <c r="D4357" s="541">
        <v>0.2</v>
      </c>
      <c r="E4357" s="541">
        <v>0.2</v>
      </c>
      <c r="F4357" s="541">
        <v>0.2</v>
      </c>
    </row>
    <row r="4358" spans="3:6" ht="28.2">
      <c r="C4358" s="312" t="s">
        <v>2333</v>
      </c>
      <c r="D4358" s="541">
        <v>0.1</v>
      </c>
      <c r="E4358" s="541">
        <v>0.1</v>
      </c>
      <c r="F4358" s="541">
        <v>0.1</v>
      </c>
    </row>
    <row r="4359" spans="3:6" ht="28.2">
      <c r="C4359" s="312" t="s">
        <v>2276</v>
      </c>
      <c r="D4359" s="541">
        <v>7.0000000000000007E-2</v>
      </c>
      <c r="E4359" s="541">
        <v>7.0000000000000007E-2</v>
      </c>
      <c r="F4359" s="541">
        <v>7.0000000000000007E-2</v>
      </c>
    </row>
    <row r="4360" spans="3:6" ht="28.2">
      <c r="C4360" s="312" t="s">
        <v>2334</v>
      </c>
      <c r="D4360" s="541">
        <v>0.02</v>
      </c>
      <c r="E4360" s="541">
        <v>0.02</v>
      </c>
      <c r="F4360" s="541">
        <v>0.02</v>
      </c>
    </row>
    <row r="4361" spans="3:6" ht="28.2">
      <c r="C4361" s="312" t="s">
        <v>2335</v>
      </c>
      <c r="D4361" s="541">
        <v>7.0000000000000007E-2</v>
      </c>
      <c r="E4361" s="541">
        <v>7.0000000000000007E-2</v>
      </c>
      <c r="F4361" s="541">
        <v>7.0000000000000007E-2</v>
      </c>
    </row>
    <row r="4362" spans="3:6">
      <c r="C4362" s="11"/>
      <c r="D4362" s="540">
        <f>SUM(D4353:D4361)</f>
        <v>1</v>
      </c>
      <c r="E4362" s="540">
        <f>SUM(E4353:E4361)</f>
        <v>1</v>
      </c>
      <c r="F4362" s="540">
        <f>SUM(F4353:F4361)</f>
        <v>1</v>
      </c>
    </row>
    <row r="4363" spans="3:6">
      <c r="C4363" s="11"/>
      <c r="D4363" s="11"/>
      <c r="E4363" s="20">
        <f>D4362-E4362</f>
        <v>0</v>
      </c>
      <c r="F4363" s="20">
        <f>E4362-F4362</f>
        <v>0</v>
      </c>
    </row>
    <row r="4364" spans="3:6">
      <c r="C4364" s="11"/>
      <c r="D4364" s="11"/>
      <c r="E4364" s="11"/>
      <c r="F4364" s="11"/>
    </row>
    <row r="4365" spans="3:6">
      <c r="C4365" s="12" t="s">
        <v>366</v>
      </c>
      <c r="D4365" s="11" t="s">
        <v>894</v>
      </c>
      <c r="E4365" s="11"/>
      <c r="F4365" s="11"/>
    </row>
    <row r="4366" spans="3:6">
      <c r="C4366" s="11"/>
      <c r="D4366" s="11"/>
      <c r="E4366" s="11"/>
      <c r="F4366" s="11"/>
    </row>
    <row r="4367" spans="3:6">
      <c r="C4367" s="11"/>
      <c r="D4367" s="11"/>
      <c r="E4367" s="11"/>
      <c r="F4367" s="11"/>
    </row>
    <row r="4369" spans="2:6">
      <c r="B4369" s="9" t="s">
        <v>1079</v>
      </c>
      <c r="C4369" s="313" t="s">
        <v>2336</v>
      </c>
      <c r="D4369" s="315" t="s">
        <v>353</v>
      </c>
      <c r="E4369" s="315" t="s">
        <v>354</v>
      </c>
      <c r="F4369" s="315" t="s">
        <v>355</v>
      </c>
    </row>
    <row r="4370" spans="2:6">
      <c r="C4370" s="189" t="s">
        <v>2337</v>
      </c>
      <c r="D4370" s="38">
        <v>0.01</v>
      </c>
      <c r="E4370" s="38">
        <v>0.01</v>
      </c>
      <c r="F4370" s="38">
        <v>0.01</v>
      </c>
    </row>
    <row r="4371" spans="2:6" ht="28.8">
      <c r="C4371" s="187" t="s">
        <v>2338</v>
      </c>
      <c r="D4371" s="38">
        <v>0.1</v>
      </c>
      <c r="E4371" s="38">
        <v>0.1</v>
      </c>
      <c r="F4371" s="38">
        <v>0.1</v>
      </c>
    </row>
    <row r="4372" spans="2:6">
      <c r="C4372" s="187" t="s">
        <v>2339</v>
      </c>
      <c r="D4372" s="38">
        <v>0.01</v>
      </c>
      <c r="E4372" s="38">
        <v>0.01</v>
      </c>
      <c r="F4372" s="38">
        <v>0.01</v>
      </c>
    </row>
    <row r="4373" spans="2:6">
      <c r="C4373" s="187" t="s">
        <v>2340</v>
      </c>
      <c r="D4373" s="38"/>
      <c r="E4373" s="38"/>
      <c r="F4373" s="38"/>
    </row>
    <row r="4374" spans="2:6">
      <c r="D4374" s="504">
        <f>SUM(D4370:D4373)</f>
        <v>0.12</v>
      </c>
      <c r="E4374" s="504">
        <f>SUM(E4370:E4373)</f>
        <v>0.12</v>
      </c>
      <c r="F4374" s="504">
        <f>SUM(F4370:F4373)</f>
        <v>0.12</v>
      </c>
    </row>
    <row r="4375" spans="2:6">
      <c r="D4375" s="505"/>
      <c r="E4375" s="504">
        <f>D4374-E4374</f>
        <v>0</v>
      </c>
      <c r="F4375" s="504">
        <f>E4374-F4374</f>
        <v>0</v>
      </c>
    </row>
    <row r="4376" spans="2:6">
      <c r="C4376" s="324"/>
      <c r="D4376" s="38"/>
      <c r="E4376" s="38"/>
      <c r="F4376" s="38"/>
    </row>
    <row r="4377" spans="2:6">
      <c r="C4377" s="35" t="s">
        <v>2341</v>
      </c>
      <c r="D4377" s="326" t="s">
        <v>2342</v>
      </c>
      <c r="E4377" s="38"/>
      <c r="F4377" s="38"/>
    </row>
    <row r="4378" spans="2:6">
      <c r="C4378" s="50"/>
      <c r="D4378" s="326"/>
      <c r="E4378" s="38"/>
      <c r="F4378" s="38"/>
    </row>
    <row r="4379" spans="2:6">
      <c r="C4379" s="324"/>
      <c r="D4379" s="38"/>
      <c r="E4379" s="38"/>
      <c r="F4379" s="38"/>
    </row>
    <row r="4380" spans="2:6">
      <c r="C4380" s="324"/>
      <c r="D4380" s="38"/>
      <c r="E4380" s="38"/>
      <c r="F4380" s="38"/>
    </row>
    <row r="4381" spans="2:6">
      <c r="C4381" s="313" t="s">
        <v>2343</v>
      </c>
      <c r="D4381" s="315" t="s">
        <v>353</v>
      </c>
      <c r="E4381" s="315" t="s">
        <v>354</v>
      </c>
      <c r="F4381" s="315" t="s">
        <v>355</v>
      </c>
    </row>
    <row r="4382" spans="2:6">
      <c r="C4382" s="324" t="s">
        <v>2344</v>
      </c>
      <c r="D4382" s="38"/>
      <c r="E4382" s="38"/>
      <c r="F4382" s="38"/>
    </row>
    <row r="4383" spans="2:6">
      <c r="C4383" s="50"/>
      <c r="D4383" s="326"/>
      <c r="E4383" s="38"/>
      <c r="F4383" s="38"/>
    </row>
    <row r="4384" spans="2:6">
      <c r="C4384" s="324"/>
      <c r="D4384" s="38"/>
      <c r="E4384" s="38"/>
      <c r="F4384" s="38"/>
    </row>
    <row r="4385" spans="3:6">
      <c r="C4385" s="324"/>
      <c r="D4385" s="38"/>
      <c r="E4385" s="38"/>
      <c r="F4385" s="38"/>
    </row>
    <row r="4386" spans="3:6">
      <c r="C4386" s="324"/>
      <c r="D4386" s="38"/>
      <c r="E4386" s="38"/>
      <c r="F4386" s="38"/>
    </row>
    <row r="4387" spans="3:6">
      <c r="C4387" s="324"/>
      <c r="D4387" s="38"/>
      <c r="E4387" s="38"/>
      <c r="F4387" s="38"/>
    </row>
    <row r="4388" spans="3:6">
      <c r="C4388" s="313" t="s">
        <v>2345</v>
      </c>
      <c r="D4388" s="315" t="s">
        <v>353</v>
      </c>
      <c r="E4388" s="315" t="s">
        <v>354</v>
      </c>
      <c r="F4388" s="315" t="s">
        <v>355</v>
      </c>
    </row>
    <row r="4389" spans="3:6">
      <c r="C4389" s="91" t="s">
        <v>2346</v>
      </c>
      <c r="D4389" s="38">
        <v>0.01</v>
      </c>
      <c r="E4389" s="38">
        <v>0.01</v>
      </c>
      <c r="F4389" s="38"/>
    </row>
    <row r="4390" spans="3:6">
      <c r="C4390" s="11" t="s">
        <v>2347</v>
      </c>
      <c r="D4390" s="38">
        <v>0.45</v>
      </c>
      <c r="E4390" s="38">
        <v>0.45</v>
      </c>
      <c r="F4390" s="38"/>
    </row>
    <row r="4391" spans="3:6">
      <c r="C4391" s="11" t="s">
        <v>2348</v>
      </c>
      <c r="D4391" s="38">
        <v>0.37</v>
      </c>
      <c r="E4391" s="38">
        <v>0.37</v>
      </c>
      <c r="F4391" s="38"/>
    </row>
    <row r="4392" spans="3:6">
      <c r="C4392" s="11" t="s">
        <v>2349</v>
      </c>
      <c r="D4392" s="38">
        <v>0.06</v>
      </c>
      <c r="E4392" s="38">
        <v>0.06</v>
      </c>
      <c r="F4392" s="38"/>
    </row>
    <row r="4393" spans="3:6">
      <c r="C4393" s="11" t="s">
        <v>2350</v>
      </c>
      <c r="D4393" s="38">
        <v>0.05</v>
      </c>
      <c r="E4393" s="38">
        <v>0.05</v>
      </c>
      <c r="F4393" s="38"/>
    </row>
    <row r="4394" spans="3:6">
      <c r="C4394" s="324" t="s">
        <v>2351</v>
      </c>
      <c r="D4394" s="38">
        <v>0.05</v>
      </c>
      <c r="E4394" s="38">
        <v>0.05</v>
      </c>
      <c r="F4394" s="38"/>
    </row>
    <row r="4395" spans="3:6">
      <c r="C4395" s="324" t="s">
        <v>2352</v>
      </c>
      <c r="D4395" s="38">
        <v>0.01</v>
      </c>
      <c r="E4395" s="38">
        <v>0.01</v>
      </c>
      <c r="F4395" s="38"/>
    </row>
    <row r="4396" spans="3:6">
      <c r="C4396" s="324" t="s">
        <v>2353</v>
      </c>
      <c r="D4396" s="38">
        <f>SUM(D4389:D4395)</f>
        <v>1.0000000000000002</v>
      </c>
      <c r="E4396" s="38"/>
      <c r="F4396" s="38"/>
    </row>
    <row r="4397" spans="3:6">
      <c r="C4397" s="324"/>
      <c r="D4397" s="38"/>
      <c r="E4397" s="38">
        <f>D4396-E4396</f>
        <v>1.0000000000000002</v>
      </c>
      <c r="F4397" s="38">
        <f>E4396-F4396</f>
        <v>0</v>
      </c>
    </row>
    <row r="4398" spans="3:6">
      <c r="C4398" s="324"/>
      <c r="D4398" s="38"/>
      <c r="E4398" s="38"/>
      <c r="F4398" s="38"/>
    </row>
    <row r="4399" spans="3:6">
      <c r="C4399" s="325" t="s">
        <v>2354</v>
      </c>
      <c r="D4399" s="38" t="s">
        <v>2355</v>
      </c>
      <c r="E4399" s="38"/>
      <c r="F4399" s="38"/>
    </row>
    <row r="4400" spans="3:6">
      <c r="C4400" s="324"/>
      <c r="D4400" s="38"/>
      <c r="E4400" s="38"/>
      <c r="F4400" s="38"/>
    </row>
    <row r="4401" spans="3:6">
      <c r="C4401" s="324"/>
    </row>
    <row r="4402" spans="3:6">
      <c r="C4402" s="313" t="s">
        <v>2356</v>
      </c>
      <c r="D4402" s="315" t="s">
        <v>353</v>
      </c>
      <c r="E4402" s="315" t="s">
        <v>354</v>
      </c>
      <c r="F4402" s="315" t="s">
        <v>355</v>
      </c>
    </row>
    <row r="4403" spans="3:6">
      <c r="C4403" s="91" t="s">
        <v>2346</v>
      </c>
      <c r="D4403" s="38">
        <v>0.01</v>
      </c>
      <c r="E4403" s="38">
        <v>0.01</v>
      </c>
      <c r="F4403" s="38"/>
    </row>
    <row r="4404" spans="3:6">
      <c r="C4404" s="11" t="s">
        <v>2347</v>
      </c>
      <c r="D4404" s="38">
        <v>0.5</v>
      </c>
      <c r="E4404" s="38">
        <v>0.5</v>
      </c>
      <c r="F4404" s="38"/>
    </row>
    <row r="4405" spans="3:6">
      <c r="C4405" s="11" t="s">
        <v>2357</v>
      </c>
      <c r="D4405" s="38">
        <v>0.44</v>
      </c>
      <c r="E4405" s="38">
        <v>0.44</v>
      </c>
      <c r="F4405" s="38"/>
    </row>
    <row r="4406" spans="3:6">
      <c r="C4406" s="324" t="s">
        <v>2358</v>
      </c>
      <c r="D4406" s="38">
        <v>0.05</v>
      </c>
      <c r="E4406" s="38">
        <v>0.05</v>
      </c>
      <c r="F4406" s="38"/>
    </row>
    <row r="4407" spans="3:6">
      <c r="C4407" s="324"/>
      <c r="D4407" s="38">
        <f>SUM(D4403:D4406)</f>
        <v>1</v>
      </c>
      <c r="E4407" s="38">
        <f>SUM(E4403:E4406)</f>
        <v>1</v>
      </c>
      <c r="F4407" s="38"/>
    </row>
    <row r="4408" spans="3:6">
      <c r="D4408" s="38"/>
      <c r="E4408" s="38">
        <f>D4407-E4407</f>
        <v>0</v>
      </c>
      <c r="F4408" s="38">
        <f>E4407-F4407</f>
        <v>1</v>
      </c>
    </row>
    <row r="4409" spans="3:6">
      <c r="C4409" s="324"/>
      <c r="D4409" s="38"/>
      <c r="E4409" s="38"/>
      <c r="F4409" s="38"/>
    </row>
    <row r="4410" spans="3:6">
      <c r="C4410" s="325" t="s">
        <v>2354</v>
      </c>
      <c r="D4410" s="38" t="s">
        <v>2355</v>
      </c>
      <c r="E4410" s="38"/>
      <c r="F4410" s="38"/>
    </row>
    <row r="4411" spans="3:6">
      <c r="C4411" s="324"/>
      <c r="D4411" s="38"/>
      <c r="E4411" s="38"/>
      <c r="F4411" s="38"/>
    </row>
    <row r="4412" spans="3:6">
      <c r="D4412" s="38"/>
      <c r="E4412" s="38"/>
      <c r="F4412" s="38"/>
    </row>
    <row r="4413" spans="3:6">
      <c r="C4413" s="313" t="s">
        <v>2359</v>
      </c>
      <c r="D4413" s="315" t="s">
        <v>353</v>
      </c>
      <c r="E4413" s="315" t="s">
        <v>354</v>
      </c>
      <c r="F4413" s="315" t="s">
        <v>355</v>
      </c>
    </row>
    <row r="4414" spans="3:6">
      <c r="C4414" s="91" t="s">
        <v>2360</v>
      </c>
      <c r="D4414" s="38">
        <v>0.01</v>
      </c>
      <c r="E4414" s="38">
        <v>0.01</v>
      </c>
      <c r="F4414" s="38"/>
    </row>
    <row r="4415" spans="3:6">
      <c r="C4415" s="11" t="s">
        <v>2361</v>
      </c>
      <c r="D4415" s="38">
        <v>0.05</v>
      </c>
      <c r="E4415" s="38">
        <v>0.05</v>
      </c>
      <c r="F4415" s="38"/>
    </row>
    <row r="4416" spans="3:6">
      <c r="C4416" s="11" t="s">
        <v>2362</v>
      </c>
      <c r="D4416" s="38">
        <v>0.05</v>
      </c>
      <c r="E4416" s="38">
        <v>0.05</v>
      </c>
      <c r="F4416" s="38"/>
    </row>
    <row r="4417" spans="3:6">
      <c r="C4417" s="11" t="s">
        <v>2363</v>
      </c>
      <c r="D4417" s="38">
        <v>0.89</v>
      </c>
      <c r="E4417" s="38">
        <v>0.89</v>
      </c>
      <c r="F4417" s="38"/>
    </row>
    <row r="4418" spans="3:6">
      <c r="D4418" s="6">
        <f>SUM(D4414:D4417)</f>
        <v>1</v>
      </c>
      <c r="E4418" s="6">
        <f>SUM(E4414:E4417)</f>
        <v>1</v>
      </c>
    </row>
    <row r="4419" spans="3:6">
      <c r="C4419" t="s">
        <v>2364</v>
      </c>
      <c r="D4419" s="6"/>
      <c r="E4419" s="6">
        <f>D4418-E4418</f>
        <v>0</v>
      </c>
      <c r="F4419" s="38">
        <f>E4418-F4418</f>
        <v>1</v>
      </c>
    </row>
    <row r="4420" spans="3:6">
      <c r="D4420" s="6">
        <v>0.2</v>
      </c>
    </row>
    <row r="4421" spans="3:6">
      <c r="C4421" s="325" t="s">
        <v>2365</v>
      </c>
      <c r="D4421" s="38" t="s">
        <v>2355</v>
      </c>
    </row>
    <row r="4424" spans="3:6" ht="15.6">
      <c r="C4424" s="587" t="s">
        <v>2366</v>
      </c>
      <c r="D4424" s="588" t="s">
        <v>353</v>
      </c>
      <c r="E4424" s="588" t="s">
        <v>354</v>
      </c>
      <c r="F4424" s="588" t="s">
        <v>355</v>
      </c>
    </row>
    <row r="4425" spans="3:6">
      <c r="C4425" s="589" t="s">
        <v>2367</v>
      </c>
      <c r="D4425" s="590">
        <v>0.02</v>
      </c>
      <c r="E4425" s="590">
        <v>0.02</v>
      </c>
      <c r="F4425" s="590">
        <v>0.02</v>
      </c>
    </row>
    <row r="4426" spans="3:6" ht="28.8">
      <c r="C4426" s="97" t="s">
        <v>2368</v>
      </c>
      <c r="D4426" s="98">
        <v>0.03</v>
      </c>
      <c r="E4426" s="98">
        <v>0.03</v>
      </c>
      <c r="F4426" s="98">
        <v>0</v>
      </c>
    </row>
    <row r="4427" spans="3:6" ht="28.8">
      <c r="C4427" s="97" t="s">
        <v>2369</v>
      </c>
      <c r="D4427" s="98">
        <v>0.14000000000000001</v>
      </c>
      <c r="E4427" s="98">
        <v>0.14000000000000001</v>
      </c>
      <c r="F4427" s="98">
        <v>0</v>
      </c>
    </row>
    <row r="4428" spans="3:6">
      <c r="C4428" s="97" t="s">
        <v>2370</v>
      </c>
      <c r="D4428" s="98">
        <v>0.1</v>
      </c>
      <c r="E4428" s="98">
        <v>0.1</v>
      </c>
      <c r="F4428" s="98">
        <v>0.01</v>
      </c>
    </row>
    <row r="4429" spans="3:6">
      <c r="C4429" s="591" t="s">
        <v>2371</v>
      </c>
      <c r="D4429" s="592">
        <v>0.17</v>
      </c>
      <c r="E4429" s="592">
        <v>0.17</v>
      </c>
      <c r="F4429" s="592">
        <v>0.02</v>
      </c>
    </row>
    <row r="4430" spans="3:6">
      <c r="C4430" s="591" t="s">
        <v>2372</v>
      </c>
      <c r="D4430" s="592">
        <v>0.05</v>
      </c>
      <c r="E4430" s="592">
        <v>0.05</v>
      </c>
      <c r="F4430" s="592">
        <v>0</v>
      </c>
    </row>
    <row r="4431" spans="3:6" ht="28.8">
      <c r="C4431" s="591" t="s">
        <v>2373</v>
      </c>
      <c r="D4431" s="592">
        <v>0.1</v>
      </c>
      <c r="E4431" s="592">
        <v>0.1</v>
      </c>
      <c r="F4431" s="592">
        <v>0</v>
      </c>
    </row>
    <row r="4432" spans="3:6" ht="28.8">
      <c r="C4432" s="591" t="s">
        <v>2374</v>
      </c>
      <c r="D4432" s="592">
        <v>0.2</v>
      </c>
      <c r="E4432" s="592">
        <v>0.2</v>
      </c>
      <c r="F4432" s="592">
        <v>0.01</v>
      </c>
    </row>
    <row r="4433" spans="3:6" ht="28.8">
      <c r="C4433" s="591" t="s">
        <v>2375</v>
      </c>
      <c r="D4433" s="592">
        <v>0.12</v>
      </c>
      <c r="E4433" s="592">
        <v>0.12</v>
      </c>
      <c r="F4433" s="592">
        <v>0.1</v>
      </c>
    </row>
    <row r="4434" spans="3:6" ht="28.8">
      <c r="C4434" s="593" t="s">
        <v>2376</v>
      </c>
      <c r="D4434" s="592">
        <v>0.05</v>
      </c>
      <c r="E4434" s="592">
        <v>0.05</v>
      </c>
      <c r="F4434" s="592">
        <v>0.05</v>
      </c>
    </row>
    <row r="4435" spans="3:6">
      <c r="C4435" s="97" t="s">
        <v>2377</v>
      </c>
      <c r="D4435" s="592">
        <v>0.02</v>
      </c>
      <c r="E4435" s="592">
        <v>0.02</v>
      </c>
      <c r="F4435" s="592">
        <v>0.02</v>
      </c>
    </row>
    <row r="4436" spans="3:6">
      <c r="C4436" s="62"/>
      <c r="D4436" s="69">
        <f>SUM(D4425:D4435)</f>
        <v>1</v>
      </c>
      <c r="E4436" s="69">
        <f>SUM(E4425:E4435)</f>
        <v>1</v>
      </c>
      <c r="F4436" s="69">
        <f>SUM(F4425:F4435)</f>
        <v>0.23</v>
      </c>
    </row>
    <row r="4437" spans="3:6">
      <c r="C4437" s="64"/>
      <c r="D4437" s="65"/>
      <c r="E4437" s="69">
        <f>+D4436-E4436</f>
        <v>0</v>
      </c>
      <c r="F4437" s="69">
        <f>+E4436-F4436</f>
        <v>0.77</v>
      </c>
    </row>
    <row r="4438" spans="3:6">
      <c r="C4438" s="594" t="s">
        <v>2378</v>
      </c>
      <c r="D4438" s="88">
        <v>480</v>
      </c>
      <c r="E4438" s="88"/>
      <c r="F4438" s="184"/>
    </row>
    <row r="4439" spans="3:6">
      <c r="C4439" s="87" t="s">
        <v>2379</v>
      </c>
      <c r="D4439" s="595">
        <v>1</v>
      </c>
      <c r="E4439" s="595"/>
      <c r="F4439" s="595"/>
    </row>
    <row r="4442" spans="3:6" ht="15.6">
      <c r="C4442" s="587" t="s">
        <v>2380</v>
      </c>
      <c r="D4442" s="588" t="s">
        <v>353</v>
      </c>
      <c r="E4442" s="588" t="s">
        <v>354</v>
      </c>
      <c r="F4442" s="588" t="s">
        <v>355</v>
      </c>
    </row>
    <row r="4443" spans="3:6">
      <c r="C4443" s="596" t="s">
        <v>2381</v>
      </c>
      <c r="D4443" s="597">
        <v>0.1</v>
      </c>
      <c r="E4443" s="597">
        <v>0.1</v>
      </c>
      <c r="F4443" s="597">
        <v>0</v>
      </c>
    </row>
    <row r="4444" spans="3:6">
      <c r="C4444" s="97" t="s">
        <v>2382</v>
      </c>
      <c r="D4444" s="98">
        <v>0.2</v>
      </c>
      <c r="E4444" s="98">
        <v>0.2</v>
      </c>
      <c r="F4444" s="98">
        <v>0</v>
      </c>
    </row>
    <row r="4445" spans="3:6">
      <c r="C4445" s="97" t="s">
        <v>2383</v>
      </c>
      <c r="D4445" s="98">
        <v>0.02</v>
      </c>
      <c r="E4445" s="98">
        <v>0.02</v>
      </c>
      <c r="F4445" s="98">
        <v>0.02</v>
      </c>
    </row>
    <row r="4446" spans="3:6" ht="28.8">
      <c r="C4446" s="97" t="s">
        <v>2384</v>
      </c>
      <c r="D4446" s="98">
        <v>0.2</v>
      </c>
      <c r="E4446" s="98">
        <v>0.2</v>
      </c>
      <c r="F4446" s="98">
        <v>0.02</v>
      </c>
    </row>
    <row r="4447" spans="3:6">
      <c r="C4447" s="591" t="s">
        <v>2385</v>
      </c>
      <c r="D4447" s="592">
        <v>0.2</v>
      </c>
      <c r="E4447" s="592">
        <v>0.2</v>
      </c>
      <c r="F4447" s="592">
        <v>0</v>
      </c>
    </row>
    <row r="4448" spans="3:6">
      <c r="C4448" s="591" t="s">
        <v>2386</v>
      </c>
      <c r="D4448" s="592">
        <v>0.03</v>
      </c>
      <c r="E4448" s="592">
        <v>0.03</v>
      </c>
      <c r="F4448" s="592">
        <v>0.03</v>
      </c>
    </row>
    <row r="4449" spans="3:6">
      <c r="C4449" s="591" t="s">
        <v>2387</v>
      </c>
      <c r="D4449" s="592">
        <v>0.2</v>
      </c>
      <c r="E4449" s="592">
        <v>0.2</v>
      </c>
      <c r="F4449" s="592">
        <v>0</v>
      </c>
    </row>
    <row r="4450" spans="3:6">
      <c r="C4450" s="591" t="s">
        <v>2388</v>
      </c>
      <c r="D4450" s="592">
        <v>0.05</v>
      </c>
      <c r="E4450" s="592">
        <v>0.05</v>
      </c>
      <c r="F4450" s="592">
        <v>0.05</v>
      </c>
    </row>
    <row r="4451" spans="3:6">
      <c r="C4451" s="62"/>
      <c r="D4451" s="69">
        <f>SUM(D4443:D4450)</f>
        <v>1</v>
      </c>
      <c r="E4451" s="69">
        <f>SUM(E4443:E4450)</f>
        <v>1</v>
      </c>
      <c r="F4451" s="69">
        <f>SUM(F4443:F4450)</f>
        <v>0.12000000000000001</v>
      </c>
    </row>
    <row r="4452" spans="3:6">
      <c r="C4452" s="64"/>
      <c r="D4452" s="65"/>
      <c r="E4452" s="69">
        <f>+D4451-E4451</f>
        <v>0</v>
      </c>
      <c r="F4452" s="69">
        <f>+E4451-F4451</f>
        <v>0.88</v>
      </c>
    </row>
    <row r="4453" spans="3:6">
      <c r="C4453" s="594" t="s">
        <v>2378</v>
      </c>
      <c r="D4453" s="88"/>
      <c r="E4453" s="88"/>
      <c r="F4453" s="184"/>
    </row>
    <row r="4454" spans="3:6">
      <c r="C4454" s="87" t="s">
        <v>2379</v>
      </c>
      <c r="D4454" s="595">
        <v>1</v>
      </c>
      <c r="E4454" s="595"/>
      <c r="F4454" s="595"/>
    </row>
    <row r="4456" spans="3:6" ht="15.6">
      <c r="C4456" s="598" t="s">
        <v>2389</v>
      </c>
      <c r="D4456" s="599" t="s">
        <v>353</v>
      </c>
      <c r="E4456" s="599" t="s">
        <v>354</v>
      </c>
      <c r="F4456" s="599" t="s">
        <v>355</v>
      </c>
    </row>
    <row r="4457" spans="3:6" ht="28.8">
      <c r="C4457" s="600" t="s">
        <v>2390</v>
      </c>
      <c r="D4457" s="597">
        <v>0.1</v>
      </c>
      <c r="E4457" s="597">
        <v>0.1</v>
      </c>
      <c r="F4457" s="597">
        <v>0.1</v>
      </c>
    </row>
    <row r="4458" spans="3:6" ht="28.8">
      <c r="C4458" s="97" t="s">
        <v>2391</v>
      </c>
      <c r="D4458" s="98">
        <v>0.2</v>
      </c>
      <c r="E4458" s="98">
        <v>0.2</v>
      </c>
      <c r="F4458" s="98">
        <v>0.05</v>
      </c>
    </row>
    <row r="4459" spans="3:6" ht="28.8">
      <c r="C4459" s="97" t="s">
        <v>2392</v>
      </c>
      <c r="D4459" s="98">
        <v>0.08</v>
      </c>
      <c r="E4459" s="98">
        <v>0.08</v>
      </c>
      <c r="F4459" s="98">
        <v>0.08</v>
      </c>
    </row>
    <row r="4460" spans="3:6">
      <c r="C4460" s="97" t="s">
        <v>2393</v>
      </c>
      <c r="D4460" s="98">
        <v>0.2</v>
      </c>
      <c r="E4460" s="98">
        <v>0.2</v>
      </c>
      <c r="F4460" s="98">
        <v>0.1</v>
      </c>
    </row>
    <row r="4461" spans="3:6" ht="28.8">
      <c r="C4461" s="97" t="s">
        <v>2394</v>
      </c>
      <c r="D4461" s="98">
        <v>0.02</v>
      </c>
      <c r="E4461" s="98">
        <v>0.02</v>
      </c>
      <c r="F4461" s="98">
        <v>0.02</v>
      </c>
    </row>
    <row r="4462" spans="3:6">
      <c r="C4462" s="97" t="s">
        <v>2395</v>
      </c>
      <c r="D4462" s="98">
        <v>0.05</v>
      </c>
      <c r="E4462" s="98">
        <v>0.05</v>
      </c>
      <c r="F4462" s="98">
        <v>0</v>
      </c>
    </row>
    <row r="4463" spans="3:6" ht="28.8">
      <c r="C4463" s="97" t="s">
        <v>2396</v>
      </c>
      <c r="D4463" s="98">
        <v>0.1</v>
      </c>
      <c r="E4463" s="98">
        <v>0.1</v>
      </c>
      <c r="F4463" s="98">
        <v>0.05</v>
      </c>
    </row>
    <row r="4464" spans="3:6" ht="28.8">
      <c r="C4464" s="97" t="s">
        <v>2397</v>
      </c>
      <c r="D4464" s="98">
        <v>0.05</v>
      </c>
      <c r="E4464" s="98">
        <v>0.05</v>
      </c>
      <c r="F4464" s="98">
        <v>0.05</v>
      </c>
    </row>
    <row r="4465" spans="3:6" ht="28.8">
      <c r="C4465" s="97" t="s">
        <v>2398</v>
      </c>
      <c r="D4465" s="98">
        <v>0.2</v>
      </c>
      <c r="E4465" s="98">
        <v>0.2</v>
      </c>
      <c r="F4465" s="98">
        <v>0.05</v>
      </c>
    </row>
    <row r="4466" spans="3:6">
      <c r="C4466" s="62"/>
      <c r="D4466" s="69">
        <f>SUM(D4457:D4465)</f>
        <v>1.0000000000000002</v>
      </c>
      <c r="E4466" s="69">
        <f>SUM(E4457:E4465)</f>
        <v>1.0000000000000002</v>
      </c>
      <c r="F4466" s="69">
        <f>SUM(F4457:F4465)</f>
        <v>0.50000000000000011</v>
      </c>
    </row>
    <row r="4467" spans="3:6">
      <c r="C4467" s="64"/>
      <c r="D4467" s="65"/>
      <c r="E4467" s="69">
        <f>+D4466-E4466</f>
        <v>0</v>
      </c>
      <c r="F4467" s="69">
        <f>+E4466-F4466</f>
        <v>0.50000000000000011</v>
      </c>
    </row>
    <row r="4468" spans="3:6">
      <c r="C4468" s="594" t="s">
        <v>2378</v>
      </c>
      <c r="D4468" s="88"/>
      <c r="E4468" s="88"/>
      <c r="F4468" s="184"/>
    </row>
    <row r="4469" spans="3:6">
      <c r="C4469" s="87" t="s">
        <v>2379</v>
      </c>
      <c r="D4469" s="595">
        <v>1</v>
      </c>
      <c r="E4469" s="595"/>
      <c r="F4469" s="595"/>
    </row>
    <row r="4471" spans="3:6" ht="15.6">
      <c r="C4471" s="598" t="s">
        <v>2399</v>
      </c>
      <c r="D4471" s="599" t="s">
        <v>353</v>
      </c>
      <c r="E4471" s="599" t="s">
        <v>354</v>
      </c>
      <c r="F4471" s="599" t="s">
        <v>355</v>
      </c>
    </row>
    <row r="4472" spans="3:6">
      <c r="C4472" s="601" t="s">
        <v>2400</v>
      </c>
      <c r="D4472" s="602">
        <v>0.05</v>
      </c>
      <c r="E4472" s="602">
        <v>0.05</v>
      </c>
      <c r="F4472" s="602">
        <v>0.05</v>
      </c>
    </row>
    <row r="4473" spans="3:6">
      <c r="C4473" s="596" t="s">
        <v>2401</v>
      </c>
      <c r="D4473" s="597">
        <v>0.3</v>
      </c>
      <c r="E4473" s="597">
        <v>0.3</v>
      </c>
      <c r="F4473" s="597">
        <v>0</v>
      </c>
    </row>
    <row r="4474" spans="3:6">
      <c r="C4474" s="97" t="s">
        <v>2402</v>
      </c>
      <c r="D4474" s="98">
        <v>0.01</v>
      </c>
      <c r="E4474" s="98">
        <v>0.01</v>
      </c>
      <c r="F4474" s="98">
        <v>0.01</v>
      </c>
    </row>
    <row r="4475" spans="3:6">
      <c r="C4475" s="97" t="s">
        <v>2403</v>
      </c>
      <c r="D4475" s="98">
        <v>0.02</v>
      </c>
      <c r="E4475" s="98">
        <v>0.02</v>
      </c>
      <c r="F4475" s="98">
        <v>0.02</v>
      </c>
    </row>
    <row r="4476" spans="3:6" ht="28.8">
      <c r="C4476" s="97" t="s">
        <v>2404</v>
      </c>
      <c r="D4476" s="98">
        <v>0.05</v>
      </c>
      <c r="E4476" s="98">
        <v>0.05</v>
      </c>
      <c r="F4476" s="98">
        <v>0.03</v>
      </c>
    </row>
    <row r="4477" spans="3:6">
      <c r="C4477" s="97" t="s">
        <v>2405</v>
      </c>
      <c r="D4477" s="98">
        <v>0.2</v>
      </c>
      <c r="E4477" s="98">
        <v>0.2</v>
      </c>
      <c r="F4477" s="98">
        <v>0</v>
      </c>
    </row>
    <row r="4478" spans="3:6" ht="28.8">
      <c r="C4478" s="97" t="s">
        <v>2406</v>
      </c>
      <c r="D4478" s="98">
        <v>0.05</v>
      </c>
      <c r="E4478" s="98">
        <v>0.05</v>
      </c>
      <c r="F4478" s="98">
        <v>0.05</v>
      </c>
    </row>
    <row r="4479" spans="3:6" ht="28.8">
      <c r="C4479" s="111" t="s">
        <v>2407</v>
      </c>
      <c r="D4479" s="112">
        <v>0</v>
      </c>
      <c r="E4479" s="112">
        <v>0</v>
      </c>
      <c r="F4479" s="112">
        <v>0</v>
      </c>
    </row>
    <row r="4480" spans="3:6" ht="28.8">
      <c r="C4480" s="97" t="s">
        <v>2408</v>
      </c>
      <c r="D4480" s="347">
        <v>0.35</v>
      </c>
      <c r="E4480" s="347">
        <v>0.35</v>
      </c>
      <c r="F4480" s="98">
        <v>0</v>
      </c>
    </row>
    <row r="4481" spans="3:6">
      <c r="C4481" s="97" t="s">
        <v>2409</v>
      </c>
      <c r="D4481" s="347">
        <v>0.01</v>
      </c>
      <c r="E4481" s="347">
        <v>0.01</v>
      </c>
      <c r="F4481" s="98">
        <v>0.01</v>
      </c>
    </row>
    <row r="4482" spans="3:6" ht="28.8">
      <c r="C4482" s="572" t="s">
        <v>2410</v>
      </c>
      <c r="D4482" s="347">
        <v>0.01</v>
      </c>
      <c r="E4482" s="347">
        <v>0.01</v>
      </c>
      <c r="F4482" s="98">
        <v>0.01</v>
      </c>
    </row>
    <row r="4483" spans="3:6">
      <c r="C4483" s="62"/>
      <c r="D4483" s="69">
        <f>SUM(D4473:D4482)</f>
        <v>1</v>
      </c>
      <c r="E4483" s="69">
        <f>SUM(E4473:E4482)</f>
        <v>1</v>
      </c>
      <c r="F4483" s="69">
        <f>SUM(F4473:F4479)</f>
        <v>0.11</v>
      </c>
    </row>
    <row r="4484" spans="3:6">
      <c r="C4484" s="64"/>
      <c r="D4484" s="65"/>
      <c r="E4484" s="69">
        <f>+D4483-E4483</f>
        <v>0</v>
      </c>
      <c r="F4484" s="69">
        <f>+E4483-F4483</f>
        <v>0.89</v>
      </c>
    </row>
    <row r="4485" spans="3:6">
      <c r="C4485" s="594" t="s">
        <v>2411</v>
      </c>
      <c r="D4485" s="88"/>
      <c r="E4485" s="88"/>
      <c r="F4485" s="184"/>
    </row>
    <row r="4486" spans="3:6">
      <c r="C4486" s="87" t="s">
        <v>2379</v>
      </c>
      <c r="D4486" s="595">
        <v>1</v>
      </c>
      <c r="E4486" s="595"/>
      <c r="F4486" s="595"/>
    </row>
    <row r="4489" spans="3:6" ht="15.6">
      <c r="C4489" s="598" t="s">
        <v>2412</v>
      </c>
      <c r="D4489" s="599" t="s">
        <v>353</v>
      </c>
      <c r="E4489" s="599" t="s">
        <v>354</v>
      </c>
      <c r="F4489" s="599" t="s">
        <v>355</v>
      </c>
    </row>
    <row r="4490" spans="3:6" ht="28.8">
      <c r="C4490" s="601" t="s">
        <v>2413</v>
      </c>
      <c r="D4490" s="602">
        <v>0.05</v>
      </c>
      <c r="E4490" s="603">
        <v>0.05</v>
      </c>
      <c r="F4490" s="602">
        <v>0.05</v>
      </c>
    </row>
    <row r="4491" spans="3:6" ht="28.8">
      <c r="C4491" s="604" t="s">
        <v>2414</v>
      </c>
      <c r="D4491" s="603">
        <v>0.05</v>
      </c>
      <c r="E4491" s="603">
        <v>0.05</v>
      </c>
      <c r="F4491" s="603">
        <v>0.05</v>
      </c>
    </row>
    <row r="4492" spans="3:6" ht="28.8">
      <c r="C4492" s="604" t="s">
        <v>2415</v>
      </c>
      <c r="D4492" s="603">
        <v>0.3</v>
      </c>
      <c r="E4492" s="603">
        <v>0.3</v>
      </c>
      <c r="F4492" s="603">
        <v>0</v>
      </c>
    </row>
    <row r="4493" spans="3:6" ht="28.8">
      <c r="C4493" s="476" t="s">
        <v>2416</v>
      </c>
      <c r="D4493" s="603">
        <v>0.23</v>
      </c>
      <c r="E4493" s="603">
        <v>0.23</v>
      </c>
      <c r="F4493" s="603">
        <v>0</v>
      </c>
    </row>
    <row r="4494" spans="3:6" ht="28.8">
      <c r="C4494" s="600" t="s">
        <v>2417</v>
      </c>
      <c r="D4494" s="603">
        <v>0.1</v>
      </c>
      <c r="E4494" s="603">
        <v>0.1</v>
      </c>
      <c r="F4494" s="603">
        <v>0.02</v>
      </c>
    </row>
    <row r="4495" spans="3:6" ht="28.8">
      <c r="C4495" s="600" t="s">
        <v>2418</v>
      </c>
      <c r="D4495" s="603">
        <v>0.02</v>
      </c>
      <c r="E4495" s="603">
        <v>0.02</v>
      </c>
      <c r="F4495" s="603">
        <v>0.02</v>
      </c>
    </row>
    <row r="4496" spans="3:6" ht="28.8">
      <c r="C4496" s="97" t="s">
        <v>2419</v>
      </c>
      <c r="D4496" s="603">
        <v>0.05</v>
      </c>
      <c r="E4496" s="603">
        <v>0.05</v>
      </c>
      <c r="F4496" s="597">
        <v>0.02</v>
      </c>
    </row>
    <row r="4497" spans="3:6" ht="28.8">
      <c r="C4497" s="97" t="s">
        <v>2420</v>
      </c>
      <c r="D4497" s="603">
        <v>0.05</v>
      </c>
      <c r="E4497" s="603">
        <v>0.05</v>
      </c>
      <c r="F4497" s="597">
        <v>0.02</v>
      </c>
    </row>
    <row r="4498" spans="3:6" ht="28.8">
      <c r="C4498" s="97" t="s">
        <v>2421</v>
      </c>
      <c r="D4498" s="603">
        <v>0.05</v>
      </c>
      <c r="E4498" s="603">
        <v>0.05</v>
      </c>
      <c r="F4498" s="597">
        <v>0.02</v>
      </c>
    </row>
    <row r="4499" spans="3:6" ht="28.8">
      <c r="C4499" s="111" t="s">
        <v>2422</v>
      </c>
      <c r="D4499" s="603">
        <v>0.05</v>
      </c>
      <c r="E4499" s="603">
        <v>0.05</v>
      </c>
      <c r="F4499" s="603">
        <v>0.02</v>
      </c>
    </row>
    <row r="4500" spans="3:6" ht="28.8">
      <c r="C4500" s="97" t="s">
        <v>2423</v>
      </c>
      <c r="D4500" s="597">
        <v>0.05</v>
      </c>
      <c r="E4500" s="597">
        <v>0.05</v>
      </c>
      <c r="F4500" s="597">
        <v>0.02</v>
      </c>
    </row>
    <row r="4501" spans="3:6">
      <c r="C4501" s="62"/>
      <c r="D4501" s="69">
        <f>SUM(D4490:D4500)</f>
        <v>1.0000000000000002</v>
      </c>
      <c r="E4501" s="69">
        <f>SUM(E4490:E4500)</f>
        <v>1.0000000000000002</v>
      </c>
      <c r="F4501" s="69">
        <f>SUM(F4490:F4500)</f>
        <v>0.23999999999999996</v>
      </c>
    </row>
    <row r="4502" spans="3:6">
      <c r="C4502" s="64"/>
      <c r="D4502" s="65"/>
      <c r="E4502" s="69">
        <f>+D4501-E4501</f>
        <v>0</v>
      </c>
      <c r="F4502" s="69">
        <f>+E4501-F4501</f>
        <v>0.76000000000000023</v>
      </c>
    </row>
    <row r="4503" spans="3:6">
      <c r="C4503" s="594" t="s">
        <v>2411</v>
      </c>
      <c r="D4503" s="88"/>
      <c r="E4503" s="88"/>
      <c r="F4503" s="184"/>
    </row>
    <row r="4504" spans="3:6">
      <c r="C4504" s="87" t="s">
        <v>2379</v>
      </c>
      <c r="D4504" s="595">
        <v>1</v>
      </c>
      <c r="E4504" s="595"/>
      <c r="F4504" s="595"/>
    </row>
    <row r="4506" spans="3:6" ht="15.6">
      <c r="C4506" s="598" t="s">
        <v>2424</v>
      </c>
      <c r="D4506" s="599" t="s">
        <v>353</v>
      </c>
      <c r="E4506" s="599" t="s">
        <v>354</v>
      </c>
      <c r="F4506" s="599" t="s">
        <v>355</v>
      </c>
    </row>
    <row r="4507" spans="3:6" ht="28.8">
      <c r="C4507" s="604" t="s">
        <v>2425</v>
      </c>
      <c r="D4507" s="603">
        <v>0.3</v>
      </c>
      <c r="E4507" s="603">
        <v>0.3</v>
      </c>
      <c r="F4507" s="603">
        <v>0</v>
      </c>
    </row>
    <row r="4508" spans="3:6">
      <c r="C4508" s="604" t="s">
        <v>2426</v>
      </c>
      <c r="D4508" s="603">
        <v>0.2</v>
      </c>
      <c r="E4508" s="603">
        <v>0.2</v>
      </c>
      <c r="F4508" s="603">
        <v>0</v>
      </c>
    </row>
    <row r="4509" spans="3:6">
      <c r="C4509" s="600" t="s">
        <v>2427</v>
      </c>
      <c r="D4509" s="603">
        <v>0.05</v>
      </c>
      <c r="E4509" s="603">
        <v>0.05</v>
      </c>
      <c r="F4509" s="603">
        <v>0.05</v>
      </c>
    </row>
    <row r="4510" spans="3:6">
      <c r="C4510" s="572" t="s">
        <v>2428</v>
      </c>
      <c r="D4510" s="603">
        <v>0.03</v>
      </c>
      <c r="E4510" s="603">
        <v>0.03</v>
      </c>
      <c r="F4510" s="603">
        <v>0.02</v>
      </c>
    </row>
    <row r="4511" spans="3:6" ht="28.8">
      <c r="C4511" s="600" t="s">
        <v>2429</v>
      </c>
      <c r="D4511" s="603">
        <v>0.02</v>
      </c>
      <c r="E4511" s="603">
        <v>0.02</v>
      </c>
      <c r="F4511" s="603">
        <v>0.02</v>
      </c>
    </row>
    <row r="4512" spans="3:6" ht="28.8">
      <c r="C4512" s="600" t="s">
        <v>2430</v>
      </c>
      <c r="D4512" s="603">
        <v>0.03</v>
      </c>
      <c r="E4512" s="603">
        <v>0.03</v>
      </c>
      <c r="F4512" s="603">
        <v>0.03</v>
      </c>
    </row>
    <row r="4513" spans="3:6" ht="28.8">
      <c r="C4513" s="152" t="s">
        <v>2431</v>
      </c>
      <c r="D4513" s="603">
        <v>0.05</v>
      </c>
      <c r="E4513" s="603">
        <v>0.05</v>
      </c>
      <c r="F4513" s="603">
        <v>0.01</v>
      </c>
    </row>
    <row r="4514" spans="3:6" ht="28.8">
      <c r="C4514" s="111" t="s">
        <v>2432</v>
      </c>
      <c r="D4514" s="603">
        <v>0.15</v>
      </c>
      <c r="E4514" s="603">
        <v>0.15</v>
      </c>
      <c r="F4514" s="603">
        <v>0</v>
      </c>
    </row>
    <row r="4515" spans="3:6">
      <c r="C4515" s="97" t="s">
        <v>2433</v>
      </c>
      <c r="D4515" s="597">
        <v>0.02</v>
      </c>
      <c r="E4515" s="597">
        <v>0.02</v>
      </c>
      <c r="F4515" s="597">
        <v>0.02</v>
      </c>
    </row>
    <row r="4516" spans="3:6">
      <c r="C4516" s="97" t="s">
        <v>2434</v>
      </c>
      <c r="D4516" s="597">
        <v>0.15</v>
      </c>
      <c r="E4516" s="597">
        <v>0.15</v>
      </c>
      <c r="F4516" s="597">
        <v>0.05</v>
      </c>
    </row>
    <row r="4517" spans="3:6">
      <c r="C4517" s="62"/>
      <c r="D4517" s="69">
        <f>SUM(D4507:D4516)</f>
        <v>1.0000000000000002</v>
      </c>
      <c r="E4517" s="69">
        <f>SUM(E4507:E4516)</f>
        <v>1.0000000000000002</v>
      </c>
      <c r="F4517" s="69">
        <f>SUM(F4507:F4516)</f>
        <v>0.2</v>
      </c>
    </row>
    <row r="4518" spans="3:6">
      <c r="C4518" s="64"/>
      <c r="D4518" s="65"/>
      <c r="E4518" s="69">
        <f>+D4517-E4517</f>
        <v>0</v>
      </c>
      <c r="F4518" s="69">
        <f>+E4517-F4517</f>
        <v>0.80000000000000027</v>
      </c>
    </row>
    <row r="4519" spans="3:6">
      <c r="C4519" s="594" t="s">
        <v>2411</v>
      </c>
      <c r="D4519" s="88"/>
      <c r="E4519" s="88"/>
      <c r="F4519" s="184"/>
    </row>
    <row r="4520" spans="3:6">
      <c r="C4520" s="87" t="s">
        <v>2379</v>
      </c>
      <c r="D4520" s="595">
        <v>1</v>
      </c>
      <c r="E4520" s="595"/>
      <c r="F4520" s="595"/>
    </row>
    <row r="4522" spans="3:6" ht="15.6">
      <c r="C4522" s="598" t="s">
        <v>2435</v>
      </c>
      <c r="D4522" s="605" t="s">
        <v>353</v>
      </c>
      <c r="E4522" s="606" t="s">
        <v>354</v>
      </c>
      <c r="F4522" s="607" t="s">
        <v>355</v>
      </c>
    </row>
    <row r="4523" spans="3:6" ht="28.8">
      <c r="C4523" s="608" t="s">
        <v>567</v>
      </c>
      <c r="D4523" s="609">
        <v>0.02</v>
      </c>
      <c r="E4523" s="610">
        <v>0.02</v>
      </c>
      <c r="F4523" s="611">
        <v>0</v>
      </c>
    </row>
    <row r="4524" spans="3:6">
      <c r="C4524" s="608" t="s">
        <v>568</v>
      </c>
      <c r="D4524" s="609">
        <v>0.25</v>
      </c>
      <c r="E4524" s="610">
        <v>0.25</v>
      </c>
      <c r="F4524" s="611">
        <v>0.1</v>
      </c>
    </row>
    <row r="4525" spans="3:6">
      <c r="C4525" s="608" t="s">
        <v>569</v>
      </c>
      <c r="D4525" s="609">
        <v>0.12</v>
      </c>
      <c r="E4525" s="610">
        <v>0.12</v>
      </c>
      <c r="F4525" s="611">
        <v>0</v>
      </c>
    </row>
    <row r="4526" spans="3:6">
      <c r="C4526" s="608" t="s">
        <v>570</v>
      </c>
      <c r="D4526" s="609">
        <v>0.12</v>
      </c>
      <c r="E4526" s="610">
        <v>0.12</v>
      </c>
      <c r="F4526" s="611">
        <v>0</v>
      </c>
    </row>
    <row r="4527" spans="3:6">
      <c r="C4527" s="608" t="s">
        <v>571</v>
      </c>
      <c r="D4527" s="609">
        <v>0.05</v>
      </c>
      <c r="E4527" s="610">
        <v>0.05</v>
      </c>
      <c r="F4527" s="611">
        <v>0.02</v>
      </c>
    </row>
    <row r="4528" spans="3:6">
      <c r="C4528" s="608" t="s">
        <v>572</v>
      </c>
      <c r="D4528" s="609">
        <v>0.1</v>
      </c>
      <c r="E4528" s="610">
        <v>0.1</v>
      </c>
      <c r="F4528" s="611">
        <v>0</v>
      </c>
    </row>
    <row r="4529" spans="3:6">
      <c r="C4529" s="608" t="s">
        <v>573</v>
      </c>
      <c r="D4529" s="609">
        <v>0.05</v>
      </c>
      <c r="E4529" s="610">
        <v>0.05</v>
      </c>
      <c r="F4529" s="611">
        <v>0.05</v>
      </c>
    </row>
    <row r="4530" spans="3:6">
      <c r="C4530" s="608" t="s">
        <v>574</v>
      </c>
      <c r="D4530" s="609">
        <v>0.05</v>
      </c>
      <c r="E4530" s="610">
        <v>0.05</v>
      </c>
      <c r="F4530" s="611">
        <v>0.05</v>
      </c>
    </row>
    <row r="4531" spans="3:6">
      <c r="C4531" s="608" t="s">
        <v>575</v>
      </c>
      <c r="D4531" s="609">
        <v>0.05</v>
      </c>
      <c r="E4531" s="610">
        <v>0.05</v>
      </c>
      <c r="F4531" s="611">
        <v>0.03</v>
      </c>
    </row>
    <row r="4532" spans="3:6" ht="28.8">
      <c r="C4532" s="608" t="s">
        <v>576</v>
      </c>
      <c r="D4532" s="609">
        <v>0.02</v>
      </c>
      <c r="E4532" s="610">
        <v>0.02</v>
      </c>
      <c r="F4532" s="611">
        <v>0.02</v>
      </c>
    </row>
    <row r="4533" spans="3:6">
      <c r="C4533" s="608" t="s">
        <v>577</v>
      </c>
      <c r="D4533" s="609">
        <v>0.12</v>
      </c>
      <c r="E4533" s="610">
        <v>0.12</v>
      </c>
      <c r="F4533" s="611">
        <v>0.12</v>
      </c>
    </row>
    <row r="4534" spans="3:6">
      <c r="C4534" s="608" t="s">
        <v>578</v>
      </c>
      <c r="D4534" s="609">
        <v>0.05</v>
      </c>
      <c r="E4534" s="610">
        <v>2.5000000000000001E-2</v>
      </c>
      <c r="F4534" s="611">
        <v>0</v>
      </c>
    </row>
    <row r="4535" spans="3:6">
      <c r="C4535" s="612"/>
      <c r="D4535" s="613">
        <f>SUM(D4523:D4534)</f>
        <v>1.0000000000000002</v>
      </c>
      <c r="E4535" s="614">
        <f>SUM(E4523:E4534)</f>
        <v>0.9750000000000002</v>
      </c>
      <c r="F4535" s="615">
        <f>SUM(F4523:F4534)</f>
        <v>0.39</v>
      </c>
    </row>
    <row r="4536" spans="3:6">
      <c r="C4536" s="616"/>
      <c r="D4536" s="613"/>
      <c r="E4536" s="614">
        <f>D4535-E4535</f>
        <v>2.5000000000000022E-2</v>
      </c>
      <c r="F4536" s="617">
        <f>E4535-F4535</f>
        <v>0.58500000000000019</v>
      </c>
    </row>
    <row r="4537" spans="3:6">
      <c r="C4537" s="618" t="s">
        <v>2436</v>
      </c>
      <c r="D4537" s="619"/>
      <c r="E4537" s="619"/>
      <c r="F4537" s="611"/>
    </row>
    <row r="4538" spans="3:6">
      <c r="C4538" s="87" t="s">
        <v>361</v>
      </c>
      <c r="D4538" s="595"/>
      <c r="E4538" s="595"/>
      <c r="F4538" s="595"/>
    </row>
    <row r="4539" spans="3:6">
      <c r="C4539" s="87" t="s">
        <v>2437</v>
      </c>
      <c r="D4539" s="595"/>
      <c r="E4539" s="595"/>
      <c r="F4539" s="595"/>
    </row>
    <row r="4540" spans="3:6">
      <c r="C4540" s="87" t="s">
        <v>1446</v>
      </c>
      <c r="D4540" s="88"/>
      <c r="E4540" s="88"/>
      <c r="F4540" s="88"/>
    </row>
    <row r="4541" spans="3:6">
      <c r="C4541" s="87" t="s">
        <v>1447</v>
      </c>
      <c r="D4541" s="88">
        <v>8</v>
      </c>
      <c r="E4541" s="88">
        <v>22</v>
      </c>
      <c r="F4541" s="88"/>
    </row>
    <row r="4542" spans="3:6">
      <c r="C4542" s="87" t="s">
        <v>2438</v>
      </c>
      <c r="D4542" s="88"/>
      <c r="E4542" s="88"/>
      <c r="F4542" s="88"/>
    </row>
    <row r="4544" spans="3:6" ht="15.6">
      <c r="C4544" s="587" t="s">
        <v>2439</v>
      </c>
      <c r="D4544" s="620" t="s">
        <v>353</v>
      </c>
      <c r="E4544" s="621" t="s">
        <v>354</v>
      </c>
      <c r="F4544" s="622" t="s">
        <v>355</v>
      </c>
    </row>
    <row r="4545" spans="3:6">
      <c r="C4545" s="191" t="s">
        <v>2440</v>
      </c>
      <c r="D4545" s="165">
        <v>0.02</v>
      </c>
      <c r="E4545" s="125">
        <v>0.02</v>
      </c>
      <c r="F4545" s="125">
        <v>0</v>
      </c>
    </row>
    <row r="4546" spans="3:6">
      <c r="C4546" s="191" t="s">
        <v>2441</v>
      </c>
      <c r="D4546" s="165">
        <v>0.1</v>
      </c>
      <c r="E4546" s="125">
        <v>0.1</v>
      </c>
      <c r="F4546" s="125">
        <v>0.1</v>
      </c>
    </row>
    <row r="4547" spans="3:6" ht="28.8">
      <c r="C4547" s="191" t="s">
        <v>2442</v>
      </c>
      <c r="D4547" s="165">
        <v>0.19</v>
      </c>
      <c r="E4547" s="125">
        <v>0.19</v>
      </c>
      <c r="F4547" s="125">
        <v>0.19</v>
      </c>
    </row>
    <row r="4548" spans="3:6">
      <c r="C4548" s="191" t="s">
        <v>2443</v>
      </c>
      <c r="D4548" s="165">
        <v>0.19</v>
      </c>
      <c r="E4548" s="125">
        <v>0.19</v>
      </c>
      <c r="F4548" s="125">
        <v>0.19</v>
      </c>
    </row>
    <row r="4549" spans="3:6">
      <c r="C4549" s="191" t="s">
        <v>2444</v>
      </c>
      <c r="D4549" s="165">
        <v>0.05</v>
      </c>
      <c r="E4549" s="125">
        <v>0.05</v>
      </c>
      <c r="F4549" s="125">
        <v>0.05</v>
      </c>
    </row>
    <row r="4550" spans="3:6" ht="28.8">
      <c r="C4550" s="191" t="s">
        <v>2445</v>
      </c>
      <c r="D4550" s="165"/>
      <c r="E4550" s="125"/>
      <c r="F4550" s="125"/>
    </row>
    <row r="4551" spans="3:6">
      <c r="C4551" s="191"/>
      <c r="D4551" s="165"/>
      <c r="E4551" s="125"/>
      <c r="F4551" s="125"/>
    </row>
    <row r="4552" spans="3:6">
      <c r="C4552" s="191"/>
      <c r="D4552" s="165"/>
      <c r="E4552" s="125"/>
      <c r="F4552" s="125"/>
    </row>
    <row r="4553" spans="3:6">
      <c r="C4553" s="191"/>
      <c r="D4553" s="165"/>
      <c r="E4553" s="125"/>
      <c r="F4553" s="125"/>
    </row>
    <row r="4554" spans="3:6">
      <c r="C4554" s="191"/>
      <c r="D4554" s="165"/>
      <c r="E4554" s="125"/>
      <c r="F4554" s="125"/>
    </row>
    <row r="4555" spans="3:6">
      <c r="C4555" s="191"/>
      <c r="D4555" s="165"/>
      <c r="E4555" s="125"/>
      <c r="F4555" s="125"/>
    </row>
    <row r="4556" spans="3:6" ht="15.6">
      <c r="C4556" s="587" t="s">
        <v>2446</v>
      </c>
      <c r="D4556" s="620" t="s">
        <v>353</v>
      </c>
      <c r="E4556" s="621" t="s">
        <v>354</v>
      </c>
      <c r="F4556" s="622" t="s">
        <v>355</v>
      </c>
    </row>
    <row r="4557" spans="3:6">
      <c r="C4557" s="191"/>
      <c r="D4557" s="165"/>
      <c r="E4557" s="125"/>
      <c r="F4557" s="125"/>
    </row>
    <row r="4558" spans="3:6">
      <c r="C4558" s="87" t="s">
        <v>2447</v>
      </c>
      <c r="D4558" s="165">
        <v>0.15</v>
      </c>
      <c r="E4558" s="125">
        <v>0.15</v>
      </c>
      <c r="F4558" s="125">
        <v>0.15</v>
      </c>
    </row>
    <row r="4559" spans="3:6">
      <c r="C4559" s="87" t="s">
        <v>2448</v>
      </c>
      <c r="D4559" s="165"/>
      <c r="E4559" s="125"/>
      <c r="F4559" s="125"/>
    </row>
    <row r="4560" spans="3:6">
      <c r="C4560" s="191" t="s">
        <v>2449</v>
      </c>
      <c r="D4560" s="165">
        <v>0.05</v>
      </c>
      <c r="E4560" s="125">
        <v>0.05</v>
      </c>
      <c r="F4560" s="125">
        <v>0.05</v>
      </c>
    </row>
    <row r="4561" spans="3:6">
      <c r="C4561" s="191" t="s">
        <v>2450</v>
      </c>
      <c r="D4561" s="165"/>
      <c r="E4561" s="125"/>
      <c r="F4561" s="125"/>
    </row>
    <row r="4562" spans="3:6">
      <c r="C4562" s="191" t="s">
        <v>2451</v>
      </c>
      <c r="D4562" s="165"/>
      <c r="E4562" s="125"/>
      <c r="F4562" s="125"/>
    </row>
    <row r="4563" spans="3:6">
      <c r="C4563" s="191" t="s">
        <v>2452</v>
      </c>
      <c r="D4563" s="165"/>
      <c r="E4563" s="125"/>
      <c r="F4563" s="125"/>
    </row>
    <row r="4564" spans="3:6">
      <c r="C4564" s="191" t="s">
        <v>2453</v>
      </c>
      <c r="D4564" s="165"/>
      <c r="E4564" s="125"/>
      <c r="F4564" s="125"/>
    </row>
    <row r="4565" spans="3:6">
      <c r="C4565" s="191"/>
      <c r="D4565" s="165"/>
      <c r="E4565" s="125"/>
      <c r="F4565" s="125"/>
    </row>
    <row r="4566" spans="3:6">
      <c r="C4566" s="618" t="s">
        <v>2436</v>
      </c>
      <c r="D4566" s="623"/>
      <c r="E4566" s="619"/>
      <c r="F4566" s="611"/>
    </row>
    <row r="4567" spans="3:6">
      <c r="C4567" s="87" t="s">
        <v>361</v>
      </c>
      <c r="D4567" s="624"/>
      <c r="E4567" s="595"/>
      <c r="F4567" s="595"/>
    </row>
    <row r="4568" spans="3:6">
      <c r="C4568" s="87" t="s">
        <v>2437</v>
      </c>
      <c r="D4568" s="624"/>
      <c r="E4568" s="595"/>
      <c r="F4568" s="595"/>
    </row>
    <row r="4569" spans="3:6">
      <c r="C4569" s="87" t="s">
        <v>1446</v>
      </c>
      <c r="D4569" s="625"/>
      <c r="E4569" s="88"/>
      <c r="F4569" s="88"/>
    </row>
    <row r="4570" spans="3:6">
      <c r="C4570" s="87" t="s">
        <v>1447</v>
      </c>
      <c r="D4570" s="625">
        <v>8</v>
      </c>
      <c r="E4570" s="88">
        <v>22</v>
      </c>
      <c r="F4570" s="88"/>
    </row>
    <row r="4571" spans="3:6">
      <c r="C4571" s="87" t="s">
        <v>2438</v>
      </c>
      <c r="D4571" s="625"/>
      <c r="E4571" s="88"/>
      <c r="F4571" s="88"/>
    </row>
    <row r="4572" spans="3:6">
      <c r="C4572" s="191"/>
      <c r="D4572" s="165"/>
      <c r="E4572" s="125"/>
      <c r="F4572" s="125"/>
    </row>
    <row r="4573" spans="3:6" ht="15.6">
      <c r="C4573" s="587" t="s">
        <v>2454</v>
      </c>
      <c r="D4573" s="620" t="s">
        <v>353</v>
      </c>
      <c r="E4573" s="621" t="s">
        <v>354</v>
      </c>
      <c r="F4573" s="622" t="s">
        <v>355</v>
      </c>
    </row>
    <row r="4574" spans="3:6" ht="28.8">
      <c r="C4574" s="191" t="s">
        <v>2455</v>
      </c>
      <c r="D4574" s="165"/>
      <c r="E4574" s="125"/>
      <c r="F4574" s="125"/>
    </row>
    <row r="4575" spans="3:6" ht="28.8">
      <c r="C4575" s="626" t="s">
        <v>2456</v>
      </c>
      <c r="D4575" s="165">
        <v>0.05</v>
      </c>
      <c r="E4575" s="125">
        <v>0.05</v>
      </c>
      <c r="F4575" s="125">
        <v>0.05</v>
      </c>
    </row>
    <row r="4576" spans="3:6" ht="28.8">
      <c r="C4576" s="626" t="s">
        <v>2457</v>
      </c>
      <c r="D4576" s="165"/>
      <c r="E4576" s="125"/>
      <c r="F4576" s="125"/>
    </row>
    <row r="4577" spans="3:6">
      <c r="C4577" s="626"/>
      <c r="D4577" s="165"/>
      <c r="E4577" s="125"/>
      <c r="F4577" s="125"/>
    </row>
    <row r="4578" spans="3:6">
      <c r="C4578" s="626"/>
      <c r="D4578" s="165"/>
      <c r="E4578" s="125"/>
      <c r="F4578" s="125"/>
    </row>
    <row r="4579" spans="3:6">
      <c r="C4579" s="626"/>
      <c r="D4579" s="165"/>
      <c r="E4579" s="125"/>
      <c r="F4579" s="125"/>
    </row>
    <row r="4580" spans="3:6" ht="15.6">
      <c r="C4580" s="587" t="s">
        <v>2458</v>
      </c>
      <c r="D4580" s="620" t="s">
        <v>353</v>
      </c>
      <c r="E4580" s="621" t="s">
        <v>354</v>
      </c>
      <c r="F4580" s="622" t="s">
        <v>355</v>
      </c>
    </row>
    <row r="4581" spans="3:6" ht="15.6">
      <c r="C4581" s="627" t="s">
        <v>2459</v>
      </c>
      <c r="D4581" s="628"/>
      <c r="E4581" s="628"/>
      <c r="F4581" s="629"/>
    </row>
    <row r="4582" spans="3:6" ht="15.6">
      <c r="C4582" s="627" t="s">
        <v>2460</v>
      </c>
      <c r="D4582" s="628"/>
      <c r="E4582" s="628"/>
      <c r="F4582" s="629"/>
    </row>
    <row r="4583" spans="3:6">
      <c r="C4583" s="87" t="s">
        <v>2461</v>
      </c>
      <c r="D4583" s="165">
        <v>0.2</v>
      </c>
      <c r="E4583" s="125">
        <v>0.2</v>
      </c>
      <c r="F4583" s="125">
        <v>0.2</v>
      </c>
    </row>
    <row r="4584" spans="3:6">
      <c r="C4584" s="87"/>
      <c r="D4584" s="344"/>
      <c r="E4584" s="131"/>
      <c r="F4584" s="131"/>
    </row>
    <row r="4585" spans="3:6">
      <c r="C4585" s="87"/>
      <c r="D4585" s="344"/>
      <c r="E4585" s="131"/>
      <c r="F4585" s="131"/>
    </row>
    <row r="4586" spans="3:6">
      <c r="C4586" s="87"/>
      <c r="D4586" s="344">
        <v>0.05</v>
      </c>
      <c r="E4586" s="131">
        <v>0.05</v>
      </c>
      <c r="F4586" s="131">
        <v>0.05</v>
      </c>
    </row>
    <row r="4587" spans="3:6">
      <c r="C4587" s="87"/>
      <c r="D4587" s="630">
        <f>SUM(D4545:D4586)</f>
        <v>9.0500000000000007</v>
      </c>
      <c r="E4587" s="631">
        <f>SUM(E4545:E4586)</f>
        <v>23.05</v>
      </c>
      <c r="F4587" s="631">
        <f>SUM(F4545:F4586)</f>
        <v>1.0300000000000002</v>
      </c>
    </row>
    <row r="4588" spans="3:6">
      <c r="C4588" s="87"/>
      <c r="D4588" s="133"/>
      <c r="E4588" s="631">
        <f>D4587-E4587</f>
        <v>-14</v>
      </c>
      <c r="F4588" s="631">
        <f>E4587-F4587</f>
        <v>22.02</v>
      </c>
    </row>
    <row r="4589" spans="3:6">
      <c r="C4589" s="87"/>
    </row>
    <row r="4590" spans="3:6">
      <c r="C4590" s="618" t="s">
        <v>2436</v>
      </c>
      <c r="D4590" s="623"/>
      <c r="E4590" s="619"/>
      <c r="F4590" s="611"/>
    </row>
    <row r="4591" spans="3:6">
      <c r="C4591" s="87" t="s">
        <v>361</v>
      </c>
      <c r="D4591" s="624"/>
      <c r="E4591" s="595"/>
      <c r="F4591" s="595"/>
    </row>
    <row r="4592" spans="3:6">
      <c r="C4592" s="87" t="s">
        <v>2437</v>
      </c>
      <c r="D4592" s="624"/>
      <c r="E4592" s="595"/>
      <c r="F4592" s="595"/>
    </row>
    <row r="4593" spans="3:6">
      <c r="C4593" s="87" t="s">
        <v>1446</v>
      </c>
      <c r="D4593" s="625"/>
      <c r="E4593" s="88"/>
      <c r="F4593" s="88"/>
    </row>
    <row r="4594" spans="3:6">
      <c r="C4594" s="87" t="s">
        <v>1447</v>
      </c>
      <c r="D4594" s="625">
        <v>8</v>
      </c>
      <c r="E4594" s="88">
        <v>22</v>
      </c>
      <c r="F4594" s="88"/>
    </row>
    <row r="4595" spans="3:6">
      <c r="C4595" s="87" t="s">
        <v>2438</v>
      </c>
      <c r="D4595" s="625"/>
      <c r="E4595" s="88"/>
      <c r="F4595" s="88"/>
    </row>
    <row r="4596" spans="3:6">
      <c r="C4596" s="87"/>
    </row>
    <row r="4597" spans="3:6">
      <c r="C4597" s="87"/>
    </row>
    <row r="4598" spans="3:6" ht="15.6">
      <c r="C4598" s="587" t="s">
        <v>2462</v>
      </c>
      <c r="D4598" s="620" t="s">
        <v>353</v>
      </c>
      <c r="E4598" s="621" t="s">
        <v>354</v>
      </c>
      <c r="F4598" s="622" t="s">
        <v>355</v>
      </c>
    </row>
    <row r="4599" spans="3:6" ht="28.8">
      <c r="C4599" s="191" t="s">
        <v>2463</v>
      </c>
      <c r="D4599" s="165">
        <v>0.5</v>
      </c>
      <c r="E4599" s="125">
        <v>0.3</v>
      </c>
      <c r="F4599" s="125">
        <v>0.1</v>
      </c>
    </row>
    <row r="4600" spans="3:6" ht="28.8">
      <c r="C4600" s="191" t="s">
        <v>2464</v>
      </c>
      <c r="D4600" s="165">
        <v>0.25</v>
      </c>
      <c r="E4600" s="125">
        <v>0.25</v>
      </c>
      <c r="F4600" s="125">
        <v>0.25</v>
      </c>
    </row>
    <row r="4601" spans="3:6">
      <c r="C4601" s="191" t="s">
        <v>2465</v>
      </c>
      <c r="D4601" s="344">
        <v>0.25</v>
      </c>
      <c r="E4601" s="131">
        <v>0.25</v>
      </c>
      <c r="F4601" s="131">
        <v>0.25</v>
      </c>
    </row>
    <row r="4602" spans="3:6">
      <c r="C4602" s="87"/>
      <c r="D4602" s="630">
        <f>SUM(D4599:D4601)</f>
        <v>1</v>
      </c>
      <c r="E4602" s="631">
        <f>SUM(E4599:E4601)</f>
        <v>0.8</v>
      </c>
      <c r="F4602" s="631">
        <f>SUM(F4599:F4601)</f>
        <v>0.6</v>
      </c>
    </row>
    <row r="4603" spans="3:6">
      <c r="C4603" s="87"/>
      <c r="D4603" s="133"/>
      <c r="E4603" s="631">
        <f>D4602-E4602</f>
        <v>0.19999999999999996</v>
      </c>
      <c r="F4603" s="631">
        <f>E4602-F4602</f>
        <v>0.20000000000000007</v>
      </c>
    </row>
    <row r="4604" spans="3:6">
      <c r="C4604" s="87"/>
    </row>
    <row r="4605" spans="3:6">
      <c r="C4605" s="618" t="s">
        <v>2436</v>
      </c>
      <c r="D4605" s="623"/>
      <c r="E4605" s="619"/>
      <c r="F4605" s="611"/>
    </row>
    <row r="4606" spans="3:6">
      <c r="C4606" s="87" t="s">
        <v>361</v>
      </c>
      <c r="D4606" s="624"/>
      <c r="E4606" s="595"/>
      <c r="F4606" s="595"/>
    </row>
    <row r="4607" spans="3:6">
      <c r="C4607" s="87" t="s">
        <v>2437</v>
      </c>
      <c r="D4607" s="624"/>
      <c r="E4607" s="595"/>
      <c r="F4607" s="595"/>
    </row>
    <row r="4608" spans="3:6">
      <c r="C4608" s="87" t="s">
        <v>1446</v>
      </c>
      <c r="D4608" s="625"/>
      <c r="E4608" s="88"/>
      <c r="F4608" s="88"/>
    </row>
    <row r="4609" spans="3:6">
      <c r="C4609" s="87" t="s">
        <v>1447</v>
      </c>
      <c r="D4609" s="625">
        <v>8</v>
      </c>
      <c r="E4609" s="88">
        <v>22</v>
      </c>
      <c r="F4609" s="88"/>
    </row>
    <row r="4610" spans="3:6">
      <c r="C4610" s="87" t="s">
        <v>2438</v>
      </c>
      <c r="D4610" s="625"/>
      <c r="E4610" s="88"/>
      <c r="F4610" s="88"/>
    </row>
    <row r="4611" spans="3:6">
      <c r="C4611" s="87"/>
    </row>
    <row r="4612" spans="3:6" ht="15.6">
      <c r="C4612" s="587" t="s">
        <v>2466</v>
      </c>
      <c r="D4612" s="620" t="s">
        <v>353</v>
      </c>
      <c r="E4612" s="621" t="s">
        <v>354</v>
      </c>
      <c r="F4612" s="622" t="s">
        <v>355</v>
      </c>
    </row>
    <row r="4613" spans="3:6" ht="28.8">
      <c r="C4613" s="191" t="s">
        <v>2467</v>
      </c>
      <c r="D4613" s="165">
        <v>0.6</v>
      </c>
      <c r="E4613" s="125">
        <v>0.6</v>
      </c>
      <c r="F4613" s="125">
        <v>0.3</v>
      </c>
    </row>
    <row r="4614" spans="3:6" ht="28.8">
      <c r="C4614" s="191" t="s">
        <v>2468</v>
      </c>
      <c r="D4614" s="165">
        <v>0.1</v>
      </c>
      <c r="E4614" s="125">
        <v>0.1</v>
      </c>
      <c r="F4614" s="125">
        <v>0.1</v>
      </c>
    </row>
    <row r="4615" spans="3:6">
      <c r="C4615" s="191" t="s">
        <v>2469</v>
      </c>
      <c r="D4615" s="344"/>
      <c r="E4615" s="131"/>
      <c r="F4615" s="131"/>
    </row>
    <row r="4616" spans="3:6" ht="28.8">
      <c r="C4616" s="191" t="s">
        <v>2470</v>
      </c>
      <c r="D4616" s="344">
        <v>0.2</v>
      </c>
      <c r="E4616" s="131">
        <v>0.2</v>
      </c>
      <c r="F4616" s="131">
        <v>0.2</v>
      </c>
    </row>
    <row r="4617" spans="3:6" ht="28.8">
      <c r="C4617" s="191" t="s">
        <v>2471</v>
      </c>
      <c r="D4617" s="165">
        <v>0.05</v>
      </c>
      <c r="E4617" s="125">
        <v>0.05</v>
      </c>
      <c r="F4617" s="125">
        <v>0.05</v>
      </c>
    </row>
    <row r="4618" spans="3:6" ht="28.8">
      <c r="C4618" s="191" t="s">
        <v>2472</v>
      </c>
      <c r="D4618" s="344">
        <v>0.05</v>
      </c>
      <c r="E4618" s="131">
        <v>0.05</v>
      </c>
      <c r="F4618" s="131">
        <v>0.05</v>
      </c>
    </row>
    <row r="4619" spans="3:6">
      <c r="C4619" s="87"/>
      <c r="D4619" s="630">
        <f>SUM(D4613:D4618)</f>
        <v>1</v>
      </c>
      <c r="E4619" s="631">
        <f>SUM(E4613:E4618)</f>
        <v>1</v>
      </c>
      <c r="F4619" s="631">
        <f>SUM(F4613:F4618)</f>
        <v>0.70000000000000018</v>
      </c>
    </row>
    <row r="4620" spans="3:6">
      <c r="C4620" s="87"/>
      <c r="D4620" s="133"/>
      <c r="E4620" s="631">
        <f>D4619-E4619</f>
        <v>0</v>
      </c>
      <c r="F4620" s="631">
        <f>E4619-F4619</f>
        <v>0.29999999999999982</v>
      </c>
    </row>
    <row r="4621" spans="3:6">
      <c r="C4621" s="87"/>
    </row>
    <row r="4622" spans="3:6">
      <c r="C4622" s="618" t="s">
        <v>2436</v>
      </c>
      <c r="D4622" s="623"/>
      <c r="E4622" s="619"/>
      <c r="F4622" s="611"/>
    </row>
    <row r="4623" spans="3:6">
      <c r="C4623" s="87" t="s">
        <v>361</v>
      </c>
      <c r="D4623" s="624"/>
      <c r="E4623" s="595"/>
      <c r="F4623" s="595"/>
    </row>
    <row r="4624" spans="3:6">
      <c r="C4624" s="87" t="s">
        <v>2437</v>
      </c>
      <c r="D4624" s="624"/>
      <c r="E4624" s="595"/>
      <c r="F4624" s="595"/>
    </row>
    <row r="4625" spans="3:6">
      <c r="C4625" s="87" t="s">
        <v>1446</v>
      </c>
      <c r="D4625" s="625"/>
      <c r="E4625" s="88"/>
      <c r="F4625" s="88"/>
    </row>
    <row r="4626" spans="3:6">
      <c r="C4626" s="87" t="s">
        <v>1447</v>
      </c>
      <c r="D4626" s="625">
        <v>8</v>
      </c>
      <c r="E4626" s="88">
        <v>22</v>
      </c>
      <c r="F4626" s="88"/>
    </row>
    <row r="4627" spans="3:6">
      <c r="C4627" s="87" t="s">
        <v>2438</v>
      </c>
      <c r="D4627" s="625"/>
      <c r="E4627" s="88"/>
      <c r="F4627" s="88"/>
    </row>
    <row r="4628" spans="3:6">
      <c r="C4628" s="87"/>
    </row>
    <row r="4629" spans="3:6" ht="15.6">
      <c r="C4629" s="587" t="s">
        <v>2473</v>
      </c>
      <c r="D4629" s="620" t="s">
        <v>353</v>
      </c>
      <c r="E4629" s="621" t="s">
        <v>354</v>
      </c>
      <c r="F4629" s="622" t="s">
        <v>355</v>
      </c>
    </row>
    <row r="4630" spans="3:6">
      <c r="C4630" s="191" t="s">
        <v>2474</v>
      </c>
      <c r="D4630" s="632"/>
      <c r="E4630" s="632"/>
      <c r="F4630" s="622"/>
    </row>
    <row r="4631" spans="3:6" ht="28.8">
      <c r="C4631" s="191" t="s">
        <v>2475</v>
      </c>
      <c r="D4631" s="165">
        <v>0.5</v>
      </c>
      <c r="E4631" s="125">
        <v>0.5</v>
      </c>
      <c r="F4631" s="125">
        <v>0</v>
      </c>
    </row>
    <row r="4632" spans="3:6" ht="28.8">
      <c r="C4632" s="191" t="s">
        <v>2476</v>
      </c>
      <c r="D4632" s="165"/>
      <c r="E4632" s="125"/>
      <c r="F4632" s="125"/>
    </row>
    <row r="4633" spans="3:6" ht="28.8">
      <c r="C4633" s="191" t="s">
        <v>2477</v>
      </c>
      <c r="D4633" s="165">
        <v>0.4</v>
      </c>
      <c r="E4633" s="125">
        <v>0.4</v>
      </c>
      <c r="F4633" s="125">
        <v>0</v>
      </c>
    </row>
    <row r="4634" spans="3:6">
      <c r="C4634" s="191" t="s">
        <v>2478</v>
      </c>
      <c r="D4634" s="344">
        <v>0.1</v>
      </c>
      <c r="E4634" s="131">
        <v>0.1</v>
      </c>
      <c r="F4634" s="131">
        <v>0</v>
      </c>
    </row>
    <row r="4635" spans="3:6">
      <c r="C4635" s="87"/>
      <c r="D4635" s="630">
        <f>SUM(D4631:D4634)</f>
        <v>1</v>
      </c>
      <c r="E4635" s="631">
        <f>SUM(E4631:E4634)</f>
        <v>1</v>
      </c>
      <c r="F4635" s="631">
        <f>SUM(F4631:F4634)</f>
        <v>0</v>
      </c>
    </row>
    <row r="4636" spans="3:6">
      <c r="C4636" s="87"/>
      <c r="D4636" s="133"/>
      <c r="E4636" s="631">
        <f>D4635-E4635</f>
        <v>0</v>
      </c>
      <c r="F4636" s="631">
        <f>E4635-F4635</f>
        <v>1</v>
      </c>
    </row>
    <row r="4637" spans="3:6">
      <c r="C4637" s="87"/>
    </row>
    <row r="4638" spans="3:6">
      <c r="C4638" s="618" t="s">
        <v>2436</v>
      </c>
      <c r="D4638" s="623"/>
      <c r="E4638" s="619"/>
      <c r="F4638" s="611"/>
    </row>
    <row r="4639" spans="3:6">
      <c r="C4639" s="87" t="s">
        <v>361</v>
      </c>
      <c r="D4639" s="624"/>
      <c r="E4639" s="595"/>
      <c r="F4639" s="595"/>
    </row>
    <row r="4640" spans="3:6">
      <c r="C4640" s="87" t="s">
        <v>2437</v>
      </c>
      <c r="D4640" s="624"/>
      <c r="E4640" s="595"/>
      <c r="F4640" s="595"/>
    </row>
    <row r="4641" spans="3:6">
      <c r="C4641" s="87" t="s">
        <v>1446</v>
      </c>
      <c r="D4641" s="625"/>
      <c r="E4641" s="88"/>
      <c r="F4641" s="88"/>
    </row>
    <row r="4642" spans="3:6">
      <c r="C4642" s="87" t="s">
        <v>1447</v>
      </c>
      <c r="D4642" s="625">
        <v>8</v>
      </c>
      <c r="E4642" s="88">
        <v>22</v>
      </c>
      <c r="F4642" s="88"/>
    </row>
    <row r="4643" spans="3:6">
      <c r="C4643" s="87" t="s">
        <v>2438</v>
      </c>
      <c r="D4643" s="625"/>
      <c r="E4643" s="88"/>
      <c r="F4643" s="88"/>
    </row>
    <row r="4644" spans="3:6">
      <c r="C4644" s="87"/>
    </row>
    <row r="4645" spans="3:6" ht="15.6">
      <c r="C4645" s="587"/>
      <c r="D4645" s="620"/>
      <c r="E4645" s="621"/>
      <c r="F4645" s="622"/>
    </row>
    <row r="4646" spans="3:6">
      <c r="C4646" s="191"/>
      <c r="D4646" s="165"/>
      <c r="E4646" s="125"/>
      <c r="F4646" s="125"/>
    </row>
    <row r="4647" spans="3:6">
      <c r="C4647" s="191"/>
      <c r="D4647" s="165"/>
      <c r="E4647" s="125"/>
      <c r="F4647" s="125"/>
    </row>
    <row r="4648" spans="3:6">
      <c r="C4648" s="191"/>
      <c r="D4648" s="344"/>
      <c r="E4648" s="131"/>
      <c r="F4648" s="131"/>
    </row>
    <row r="4649" spans="3:6">
      <c r="C4649" s="87"/>
      <c r="D4649" s="630"/>
      <c r="E4649" s="631"/>
      <c r="F4649" s="631"/>
    </row>
    <row r="4650" spans="3:6">
      <c r="C4650" s="87"/>
      <c r="D4650" s="133"/>
      <c r="E4650" s="631">
        <f>D4649-E4649</f>
        <v>0</v>
      </c>
      <c r="F4650" s="631">
        <f>E4649-F4649</f>
        <v>0</v>
      </c>
    </row>
    <row r="4651" spans="3:6">
      <c r="C4651" s="87"/>
    </row>
    <row r="4652" spans="3:6">
      <c r="C4652" s="618" t="s">
        <v>2436</v>
      </c>
      <c r="D4652" s="623"/>
      <c r="E4652" s="619"/>
      <c r="F4652" s="611"/>
    </row>
    <row r="4653" spans="3:6">
      <c r="C4653" s="87" t="s">
        <v>361</v>
      </c>
      <c r="D4653" s="624"/>
      <c r="E4653" s="595"/>
      <c r="F4653" s="595"/>
    </row>
    <row r="4654" spans="3:6">
      <c r="C4654" s="87" t="s">
        <v>2437</v>
      </c>
      <c r="D4654" s="624"/>
      <c r="E4654" s="595"/>
      <c r="F4654" s="595"/>
    </row>
    <row r="4655" spans="3:6">
      <c r="C4655" s="87" t="s">
        <v>1446</v>
      </c>
      <c r="D4655" s="625"/>
      <c r="E4655" s="88"/>
      <c r="F4655" s="88"/>
    </row>
    <row r="4656" spans="3:6">
      <c r="C4656" s="87" t="s">
        <v>1447</v>
      </c>
      <c r="D4656" s="625">
        <v>8</v>
      </c>
      <c r="E4656" s="88">
        <v>22</v>
      </c>
      <c r="F4656" s="88"/>
    </row>
    <row r="4657" spans="2:6">
      <c r="C4657" s="87" t="s">
        <v>2438</v>
      </c>
      <c r="D4657" s="625"/>
      <c r="E4657" s="88"/>
      <c r="F4657" s="88"/>
    </row>
    <row r="4658" spans="2:6">
      <c r="C4658" s="87"/>
    </row>
    <row r="4659" spans="2:6">
      <c r="C4659" s="87"/>
    </row>
    <row r="4660" spans="2:6" ht="15.6">
      <c r="B4660" s="584" t="s">
        <v>1202</v>
      </c>
      <c r="C4660" s="587" t="s">
        <v>2479</v>
      </c>
      <c r="D4660" s="634" t="s">
        <v>353</v>
      </c>
      <c r="E4660" s="607" t="s">
        <v>354</v>
      </c>
      <c r="F4660" s="607" t="s">
        <v>355</v>
      </c>
    </row>
    <row r="4661" spans="2:6" ht="28.8">
      <c r="C4661" s="191" t="s">
        <v>2480</v>
      </c>
      <c r="D4661" s="165">
        <v>0.05</v>
      </c>
      <c r="E4661" s="125">
        <v>0.05</v>
      </c>
      <c r="F4661" s="125">
        <v>0.05</v>
      </c>
    </row>
    <row r="4662" spans="2:6">
      <c r="C4662" s="191" t="s">
        <v>2481</v>
      </c>
      <c r="D4662" s="165">
        <v>0.05</v>
      </c>
      <c r="E4662" s="125">
        <v>0.05</v>
      </c>
      <c r="F4662" s="125">
        <v>0.05</v>
      </c>
    </row>
    <row r="4663" spans="2:6">
      <c r="C4663" s="191" t="s">
        <v>2482</v>
      </c>
      <c r="D4663" s="165">
        <v>0.4</v>
      </c>
      <c r="E4663" s="125">
        <v>0.4</v>
      </c>
      <c r="F4663" s="125">
        <v>0</v>
      </c>
    </row>
    <row r="4664" spans="2:6">
      <c r="C4664" s="87" t="s">
        <v>2483</v>
      </c>
      <c r="D4664" s="165">
        <v>0.3</v>
      </c>
      <c r="E4664" s="125">
        <v>0.3</v>
      </c>
      <c r="F4664" s="125">
        <v>0.3</v>
      </c>
    </row>
    <row r="4665" spans="2:6">
      <c r="C4665" s="87" t="s">
        <v>2484</v>
      </c>
      <c r="D4665" s="165">
        <v>0.2</v>
      </c>
      <c r="E4665" s="125">
        <v>0.2</v>
      </c>
      <c r="F4665" s="125">
        <v>0.2</v>
      </c>
    </row>
    <row r="4666" spans="2:6">
      <c r="C4666" s="87"/>
      <c r="D4666" s="635">
        <f>SUM(D4661:D4665)</f>
        <v>1</v>
      </c>
      <c r="E4666" s="635">
        <f t="shared" ref="E4666:F4666" si="235">SUM(E4661:E4665)</f>
        <v>1</v>
      </c>
      <c r="F4666" s="635">
        <f t="shared" si="235"/>
        <v>0.60000000000000009</v>
      </c>
    </row>
    <row r="4667" spans="2:6">
      <c r="C4667" s="87"/>
      <c r="D4667" s="636"/>
      <c r="E4667" s="635">
        <f>D4666-E4666</f>
        <v>0</v>
      </c>
      <c r="F4667" s="635">
        <f>E4666-F4666</f>
        <v>0.39999999999999991</v>
      </c>
    </row>
    <row r="4668" spans="2:6">
      <c r="C4668" s="87"/>
    </row>
    <row r="4669" spans="2:6">
      <c r="C4669" s="618" t="s">
        <v>2436</v>
      </c>
      <c r="D4669" s="623"/>
      <c r="E4669" s="619"/>
      <c r="F4669" s="611"/>
    </row>
    <row r="4670" spans="2:6">
      <c r="C4670" s="87" t="s">
        <v>361</v>
      </c>
      <c r="D4670" s="624"/>
      <c r="E4670" s="595"/>
      <c r="F4670" s="595"/>
    </row>
    <row r="4671" spans="2:6">
      <c r="C4671" s="87" t="s">
        <v>2437</v>
      </c>
      <c r="D4671" s="624"/>
      <c r="E4671" s="595"/>
      <c r="F4671" s="595"/>
    </row>
    <row r="4672" spans="2:6">
      <c r="C4672" s="87" t="s">
        <v>1446</v>
      </c>
      <c r="D4672" s="625"/>
      <c r="E4672" s="88"/>
      <c r="F4672" s="88"/>
    </row>
    <row r="4673" spans="2:6">
      <c r="C4673" s="87" t="s">
        <v>1447</v>
      </c>
      <c r="D4673" s="625">
        <v>8</v>
      </c>
      <c r="E4673" s="88">
        <v>22</v>
      </c>
      <c r="F4673" s="88"/>
    </row>
    <row r="4674" spans="2:6">
      <c r="C4674" s="87" t="s">
        <v>2438</v>
      </c>
      <c r="D4674" s="625"/>
      <c r="E4674" s="88"/>
      <c r="F4674" s="88"/>
    </row>
    <row r="4675" spans="2:6">
      <c r="C4675" s="87"/>
    </row>
    <row r="4677" spans="2:6" ht="15.6">
      <c r="B4677" s="584" t="s">
        <v>1202</v>
      </c>
      <c r="C4677" s="598" t="s">
        <v>2485</v>
      </c>
      <c r="D4677" s="637" t="s">
        <v>353</v>
      </c>
      <c r="E4677" s="621" t="s">
        <v>354</v>
      </c>
      <c r="F4677" s="622" t="s">
        <v>355</v>
      </c>
    </row>
    <row r="4678" spans="2:6">
      <c r="C4678" s="191" t="s">
        <v>2486</v>
      </c>
      <c r="D4678" s="125">
        <v>0.05</v>
      </c>
      <c r="E4678" s="125">
        <v>0.05</v>
      </c>
      <c r="F4678" s="125">
        <v>0.05</v>
      </c>
    </row>
    <row r="4679" spans="2:6">
      <c r="C4679" s="191" t="s">
        <v>2487</v>
      </c>
      <c r="D4679" s="125">
        <v>0.5</v>
      </c>
      <c r="E4679" s="125">
        <v>0.4</v>
      </c>
      <c r="F4679" s="125">
        <v>0.4</v>
      </c>
    </row>
    <row r="4680" spans="2:6">
      <c r="C4680" s="638" t="s">
        <v>2488</v>
      </c>
      <c r="D4680" s="131">
        <v>0.3</v>
      </c>
      <c r="E4680" s="131">
        <v>0.3</v>
      </c>
      <c r="F4680" s="131">
        <v>0.3</v>
      </c>
    </row>
    <row r="4681" spans="2:6">
      <c r="C4681" s="87" t="s">
        <v>2489</v>
      </c>
      <c r="D4681" s="125">
        <v>0.15</v>
      </c>
      <c r="E4681" s="125">
        <v>0.15</v>
      </c>
      <c r="F4681" s="125">
        <v>0.05</v>
      </c>
    </row>
    <row r="4682" spans="2:6">
      <c r="D4682" s="635">
        <f>SUM(D4678:D4681)</f>
        <v>1</v>
      </c>
      <c r="E4682" s="635">
        <f>SUM(E4678:E4681)</f>
        <v>0.9</v>
      </c>
      <c r="F4682" s="635">
        <f>SUM(F4678:F4681)</f>
        <v>0.8</v>
      </c>
    </row>
    <row r="4683" spans="2:6">
      <c r="D4683" s="636"/>
      <c r="E4683" s="635">
        <f>D4682-E4682</f>
        <v>9.9999999999999978E-2</v>
      </c>
      <c r="F4683" s="635">
        <f>E4682-F4682</f>
        <v>9.9999999999999978E-2</v>
      </c>
    </row>
    <row r="4685" spans="2:6">
      <c r="C4685" s="618" t="s">
        <v>2436</v>
      </c>
      <c r="D4685" s="619"/>
      <c r="E4685" s="619"/>
      <c r="F4685" s="611"/>
    </row>
    <row r="4686" spans="2:6">
      <c r="C4686" s="87" t="s">
        <v>361</v>
      </c>
      <c r="D4686" s="595"/>
      <c r="E4686" s="595"/>
      <c r="F4686" s="595"/>
    </row>
    <row r="4687" spans="2:6">
      <c r="C4687" s="87" t="s">
        <v>2437</v>
      </c>
      <c r="D4687" s="595"/>
      <c r="E4687" s="595"/>
      <c r="F4687" s="595"/>
    </row>
    <row r="4688" spans="2:6">
      <c r="C4688" s="87" t="s">
        <v>1446</v>
      </c>
      <c r="D4688" s="88"/>
      <c r="E4688" s="88"/>
      <c r="F4688" s="88"/>
    </row>
    <row r="4689" spans="2:6">
      <c r="C4689" s="87" t="s">
        <v>1447</v>
      </c>
      <c r="D4689" s="88">
        <v>8</v>
      </c>
      <c r="E4689" s="88">
        <v>22</v>
      </c>
      <c r="F4689" s="88"/>
    </row>
    <row r="4690" spans="2:6">
      <c r="C4690" s="87" t="s">
        <v>2438</v>
      </c>
      <c r="D4690" s="88"/>
      <c r="E4690" s="88"/>
      <c r="F4690" s="88"/>
    </row>
    <row r="4692" spans="2:6" ht="15.6">
      <c r="B4692" s="519" t="s">
        <v>1079</v>
      </c>
      <c r="C4692" s="598" t="s">
        <v>2490</v>
      </c>
      <c r="D4692" s="637" t="s">
        <v>353</v>
      </c>
      <c r="E4692" s="621" t="s">
        <v>354</v>
      </c>
      <c r="F4692" s="622" t="s">
        <v>355</v>
      </c>
    </row>
    <row r="4693" spans="2:6">
      <c r="C4693" s="97" t="s">
        <v>2491</v>
      </c>
      <c r="D4693" s="125">
        <v>0.05</v>
      </c>
      <c r="E4693" s="125">
        <v>0.05</v>
      </c>
      <c r="F4693" s="125">
        <v>0.01</v>
      </c>
    </row>
    <row r="4694" spans="2:6">
      <c r="C4694" s="97" t="s">
        <v>2492</v>
      </c>
      <c r="D4694" s="125">
        <v>0.5</v>
      </c>
      <c r="E4694" s="125">
        <v>0.3</v>
      </c>
      <c r="F4694" s="125">
        <v>0</v>
      </c>
    </row>
    <row r="4695" spans="2:6">
      <c r="C4695" s="97" t="s">
        <v>2493</v>
      </c>
      <c r="D4695" s="131">
        <v>0.3</v>
      </c>
      <c r="E4695" s="131">
        <v>0.1</v>
      </c>
      <c r="F4695" s="131">
        <v>0.05</v>
      </c>
    </row>
    <row r="4696" spans="2:6">
      <c r="C4696" s="261" t="s">
        <v>2488</v>
      </c>
      <c r="D4696" s="125">
        <v>0.1</v>
      </c>
      <c r="E4696" s="125">
        <v>0.1</v>
      </c>
      <c r="F4696" s="125">
        <v>0.05</v>
      </c>
    </row>
    <row r="4697" spans="2:6">
      <c r="C4697" s="633" t="s">
        <v>2494</v>
      </c>
      <c r="D4697" s="125">
        <v>0.05</v>
      </c>
      <c r="E4697" s="125">
        <v>0.05</v>
      </c>
      <c r="F4697" s="125">
        <v>0.05</v>
      </c>
    </row>
    <row r="4698" spans="2:6">
      <c r="D4698" s="635">
        <f>SUM(D4693:D4697)</f>
        <v>1</v>
      </c>
      <c r="E4698" s="635">
        <f>SUM(E4693:E4697)</f>
        <v>0.6</v>
      </c>
      <c r="F4698" s="635">
        <f>SUM(F4693:F4697)</f>
        <v>0.16000000000000003</v>
      </c>
    </row>
    <row r="4699" spans="2:6">
      <c r="D4699" s="636"/>
      <c r="E4699" s="635">
        <f>D4698-E4698</f>
        <v>0.4</v>
      </c>
      <c r="F4699" s="635">
        <f>E4698-F4698</f>
        <v>0.43999999999999995</v>
      </c>
    </row>
    <row r="4701" spans="2:6">
      <c r="C4701" s="618" t="s">
        <v>2436</v>
      </c>
      <c r="D4701" s="619"/>
      <c r="E4701" s="619"/>
      <c r="F4701" s="611"/>
    </row>
    <row r="4702" spans="2:6">
      <c r="C4702" s="87" t="s">
        <v>361</v>
      </c>
      <c r="D4702" s="595"/>
      <c r="E4702" s="595"/>
      <c r="F4702" s="595"/>
    </row>
    <row r="4703" spans="2:6">
      <c r="C4703" s="87" t="s">
        <v>2437</v>
      </c>
      <c r="D4703" s="595"/>
      <c r="E4703" s="595"/>
      <c r="F4703" s="595"/>
    </row>
    <row r="4704" spans="2:6">
      <c r="C4704" s="87" t="s">
        <v>1446</v>
      </c>
      <c r="D4704" s="88"/>
      <c r="E4704" s="88"/>
      <c r="F4704" s="88"/>
    </row>
    <row r="4705" spans="2:6">
      <c r="C4705" s="87" t="s">
        <v>1447</v>
      </c>
      <c r="D4705" s="88">
        <v>8</v>
      </c>
      <c r="E4705" s="88">
        <v>22</v>
      </c>
      <c r="F4705" s="88"/>
    </row>
    <row r="4706" spans="2:6">
      <c r="C4706" s="87" t="s">
        <v>2438</v>
      </c>
      <c r="D4706" s="88"/>
      <c r="E4706" s="88"/>
      <c r="F4706" s="88"/>
    </row>
    <row r="4709" spans="2:6" ht="15.6">
      <c r="B4709" s="584" t="s">
        <v>1202</v>
      </c>
      <c r="C4709" s="598" t="s">
        <v>2495</v>
      </c>
      <c r="D4709" s="637" t="s">
        <v>353</v>
      </c>
      <c r="E4709" s="621" t="s">
        <v>354</v>
      </c>
      <c r="F4709" s="622" t="s">
        <v>355</v>
      </c>
    </row>
    <row r="4710" spans="2:6" ht="28.8">
      <c r="C4710" s="97" t="s">
        <v>2496</v>
      </c>
      <c r="D4710" s="165">
        <v>0.15</v>
      </c>
      <c r="E4710" s="165">
        <v>0.15</v>
      </c>
      <c r="F4710" s="165">
        <v>0.15</v>
      </c>
    </row>
    <row r="4711" spans="2:6" ht="28.8">
      <c r="C4711" s="97" t="s">
        <v>2497</v>
      </c>
      <c r="D4711" s="165">
        <v>0.5</v>
      </c>
      <c r="E4711" s="165">
        <v>0.5</v>
      </c>
      <c r="F4711" s="165">
        <v>0.5</v>
      </c>
    </row>
    <row r="4712" spans="2:6">
      <c r="C4712" s="572" t="s">
        <v>2498</v>
      </c>
      <c r="D4712" s="344">
        <v>0.3</v>
      </c>
      <c r="E4712" s="344">
        <v>0.3</v>
      </c>
      <c r="F4712" s="344">
        <v>0.3</v>
      </c>
    </row>
    <row r="4713" spans="2:6">
      <c r="C4713" s="572" t="s">
        <v>2499</v>
      </c>
      <c r="D4713" s="165">
        <v>0.05</v>
      </c>
      <c r="E4713" s="165">
        <v>0.05</v>
      </c>
      <c r="F4713" s="165">
        <v>0.05</v>
      </c>
    </row>
    <row r="4714" spans="2:6">
      <c r="D4714" s="635">
        <f>SUM(D4710:D4713)</f>
        <v>1</v>
      </c>
      <c r="E4714" s="635">
        <f>SUM(E4710:E4713)</f>
        <v>1</v>
      </c>
      <c r="F4714" s="635">
        <f>SUM(F4710:F4713)</f>
        <v>1</v>
      </c>
    </row>
    <row r="4715" spans="2:6">
      <c r="D4715" s="636"/>
      <c r="E4715" s="635">
        <f>D4714-E4714</f>
        <v>0</v>
      </c>
      <c r="F4715" s="635">
        <f>E4714-F4714</f>
        <v>0</v>
      </c>
    </row>
    <row r="4717" spans="2:6">
      <c r="C4717" s="618" t="s">
        <v>2436</v>
      </c>
      <c r="D4717" s="619"/>
      <c r="E4717" s="619"/>
      <c r="F4717" s="611"/>
    </row>
    <row r="4718" spans="2:6">
      <c r="C4718" s="87" t="s">
        <v>361</v>
      </c>
      <c r="D4718" s="595"/>
      <c r="E4718" s="595"/>
      <c r="F4718" s="595"/>
    </row>
    <row r="4719" spans="2:6">
      <c r="C4719" s="87" t="s">
        <v>2437</v>
      </c>
      <c r="D4719" s="595"/>
      <c r="E4719" s="595"/>
      <c r="F4719" s="595"/>
    </row>
    <row r="4720" spans="2:6">
      <c r="C4720" s="87" t="s">
        <v>1446</v>
      </c>
      <c r="D4720" s="88"/>
      <c r="E4720" s="88"/>
      <c r="F4720" s="88"/>
    </row>
    <row r="4721" spans="2:6">
      <c r="C4721" s="87" t="s">
        <v>1447</v>
      </c>
      <c r="D4721" s="88">
        <v>8</v>
      </c>
      <c r="E4721" s="88">
        <v>22</v>
      </c>
      <c r="F4721" s="88"/>
    </row>
    <row r="4722" spans="2:6">
      <c r="C4722" s="87" t="s">
        <v>2438</v>
      </c>
      <c r="D4722" s="88"/>
      <c r="E4722" s="88"/>
      <c r="F4722" s="88"/>
    </row>
    <row r="4724" spans="2:6" ht="15.6">
      <c r="B4724" s="519" t="s">
        <v>1079</v>
      </c>
      <c r="C4724" s="598" t="s">
        <v>2500</v>
      </c>
      <c r="D4724" s="637" t="s">
        <v>353</v>
      </c>
      <c r="E4724" s="621" t="s">
        <v>354</v>
      </c>
      <c r="F4724" s="622" t="s">
        <v>355</v>
      </c>
    </row>
    <row r="4725" spans="2:6">
      <c r="C4725" s="337" t="s">
        <v>2501</v>
      </c>
      <c r="D4725" s="607"/>
      <c r="E4725" s="607"/>
      <c r="F4725" s="686"/>
    </row>
    <row r="4726" spans="2:6">
      <c r="C4726" s="337" t="s">
        <v>2502</v>
      </c>
      <c r="D4726" s="607"/>
      <c r="E4726" s="607"/>
      <c r="F4726" s="686"/>
    </row>
    <row r="4727" spans="2:6" ht="28.8">
      <c r="C4727" s="337" t="s">
        <v>2503</v>
      </c>
      <c r="D4727" s="607"/>
      <c r="E4727" s="607"/>
      <c r="F4727" s="686"/>
    </row>
    <row r="4728" spans="2:6">
      <c r="C4728" s="337" t="s">
        <v>2504</v>
      </c>
      <c r="D4728" s="607"/>
      <c r="E4728" s="607"/>
      <c r="F4728" s="686"/>
    </row>
    <row r="4729" spans="2:6">
      <c r="C4729" s="337" t="s">
        <v>2505</v>
      </c>
      <c r="D4729" s="607"/>
      <c r="E4729" s="607"/>
      <c r="F4729" s="686"/>
    </row>
    <row r="4730" spans="2:6" ht="28.8">
      <c r="C4730" s="337" t="s">
        <v>2506</v>
      </c>
      <c r="D4730" s="607"/>
      <c r="E4730" s="607"/>
      <c r="F4730" s="686"/>
    </row>
    <row r="4731" spans="2:6" ht="28.8">
      <c r="C4731" s="337" t="s">
        <v>2507</v>
      </c>
      <c r="D4731" s="607"/>
      <c r="E4731" s="607"/>
      <c r="F4731" s="686"/>
    </row>
    <row r="4732" spans="2:6">
      <c r="C4732" s="337" t="s">
        <v>2508</v>
      </c>
      <c r="D4732" s="607"/>
      <c r="E4732" s="607"/>
      <c r="F4732" s="686"/>
    </row>
    <row r="4733" spans="2:6">
      <c r="C4733" s="337"/>
      <c r="D4733" s="607"/>
      <c r="E4733" s="607"/>
      <c r="F4733" s="686"/>
    </row>
    <row r="4734" spans="2:6">
      <c r="D4734" s="635" t="e">
        <f>SUM(#REF!)</f>
        <v>#REF!</v>
      </c>
      <c r="E4734" s="635" t="e">
        <f>SUM(#REF!)</f>
        <v>#REF!</v>
      </c>
      <c r="F4734" s="635" t="e">
        <f>SUM(#REF!)</f>
        <v>#REF!</v>
      </c>
    </row>
    <row r="4735" spans="2:6">
      <c r="D4735" s="636"/>
      <c r="E4735" s="635" t="e">
        <f>D4734-E4734</f>
        <v>#REF!</v>
      </c>
      <c r="F4735" s="635" t="e">
        <f>E4734-F4734</f>
        <v>#REF!</v>
      </c>
    </row>
    <row r="4737" spans="2:6">
      <c r="C4737" s="618" t="s">
        <v>2436</v>
      </c>
      <c r="D4737" s="619"/>
      <c r="E4737" s="619"/>
      <c r="F4737" s="611"/>
    </row>
    <row r="4738" spans="2:6">
      <c r="C4738" s="87" t="s">
        <v>361</v>
      </c>
      <c r="D4738" s="595"/>
      <c r="E4738" s="595"/>
      <c r="F4738" s="595"/>
    </row>
    <row r="4739" spans="2:6">
      <c r="C4739" s="87" t="s">
        <v>2437</v>
      </c>
      <c r="D4739" s="595"/>
      <c r="E4739" s="595"/>
      <c r="F4739" s="595"/>
    </row>
    <row r="4740" spans="2:6">
      <c r="C4740" s="87" t="s">
        <v>1446</v>
      </c>
      <c r="D4740" s="88"/>
      <c r="E4740" s="88"/>
      <c r="F4740" s="88"/>
    </row>
    <row r="4741" spans="2:6">
      <c r="C4741" s="87" t="s">
        <v>1447</v>
      </c>
      <c r="D4741" s="88">
        <v>8</v>
      </c>
      <c r="E4741" s="88">
        <v>22</v>
      </c>
      <c r="F4741" s="88"/>
    </row>
    <row r="4742" spans="2:6">
      <c r="C4742" s="87" t="s">
        <v>2438</v>
      </c>
      <c r="D4742" s="88"/>
      <c r="E4742" s="88"/>
      <c r="F4742" s="88"/>
    </row>
    <row r="4744" spans="2:6" ht="15.6">
      <c r="B4744" s="584" t="s">
        <v>1202</v>
      </c>
      <c r="C4744" s="598" t="s">
        <v>2509</v>
      </c>
      <c r="D4744" s="637" t="s">
        <v>353</v>
      </c>
      <c r="E4744" s="621" t="s">
        <v>354</v>
      </c>
      <c r="F4744" s="622" t="s">
        <v>355</v>
      </c>
    </row>
    <row r="4745" spans="2:6">
      <c r="C4745" s="97" t="s">
        <v>2510</v>
      </c>
      <c r="D4745" s="125">
        <v>0.5</v>
      </c>
      <c r="E4745" s="125">
        <v>0.5</v>
      </c>
      <c r="F4745" s="125">
        <v>0.5</v>
      </c>
    </row>
    <row r="4746" spans="2:6">
      <c r="C4746" s="97" t="s">
        <v>2511</v>
      </c>
      <c r="D4746" s="125">
        <v>0.3</v>
      </c>
      <c r="E4746" s="125">
        <v>0.3</v>
      </c>
      <c r="F4746" s="125">
        <v>0.3</v>
      </c>
    </row>
    <row r="4747" spans="2:6">
      <c r="C4747" s="572" t="s">
        <v>2512</v>
      </c>
      <c r="D4747" s="125">
        <v>0.2</v>
      </c>
      <c r="E4747" s="125">
        <v>0.2</v>
      </c>
      <c r="F4747" s="125">
        <v>0.2</v>
      </c>
    </row>
    <row r="4748" spans="2:6">
      <c r="D4748" s="635">
        <f>SUM(D4745:D4747)</f>
        <v>1</v>
      </c>
      <c r="E4748" s="635">
        <f>SUM(E4745:E4747)</f>
        <v>1</v>
      </c>
      <c r="F4748" s="635">
        <f>SUM(F4745:F4747)</f>
        <v>1</v>
      </c>
    </row>
    <row r="4749" spans="2:6">
      <c r="D4749" s="636"/>
      <c r="E4749" s="635">
        <f>D4748-E4748</f>
        <v>0</v>
      </c>
      <c r="F4749" s="635">
        <f>E4748-F4748</f>
        <v>0</v>
      </c>
    </row>
    <row r="4751" spans="2:6">
      <c r="C4751" s="618" t="s">
        <v>2436</v>
      </c>
      <c r="D4751" s="619"/>
      <c r="E4751" s="619"/>
      <c r="F4751" s="611"/>
    </row>
    <row r="4752" spans="2:6">
      <c r="C4752" s="87" t="s">
        <v>361</v>
      </c>
      <c r="D4752" s="595"/>
      <c r="E4752" s="595"/>
      <c r="F4752" s="595"/>
    </row>
    <row r="4753" spans="3:6">
      <c r="C4753" s="87" t="s">
        <v>2437</v>
      </c>
      <c r="D4753" s="595"/>
      <c r="E4753" s="595"/>
      <c r="F4753" s="595"/>
    </row>
    <row r="4754" spans="3:6">
      <c r="C4754" s="87" t="s">
        <v>1446</v>
      </c>
      <c r="D4754" s="88"/>
      <c r="E4754" s="88"/>
      <c r="F4754" s="88"/>
    </row>
    <row r="4755" spans="3:6">
      <c r="C4755" s="87" t="s">
        <v>1447</v>
      </c>
      <c r="D4755" s="88">
        <v>8</v>
      </c>
      <c r="E4755" s="88">
        <v>22</v>
      </c>
      <c r="F4755" s="88"/>
    </row>
    <row r="4756" spans="3:6">
      <c r="C4756" s="87" t="s">
        <v>2438</v>
      </c>
      <c r="D4756" s="88"/>
      <c r="E4756" s="88"/>
      <c r="F4756" s="88"/>
    </row>
    <row r="4760" spans="3:6" ht="15.6">
      <c r="C4760" s="587" t="s">
        <v>2513</v>
      </c>
      <c r="D4760" s="639" t="s">
        <v>353</v>
      </c>
      <c r="E4760" s="640" t="s">
        <v>354</v>
      </c>
      <c r="F4760" s="639" t="s">
        <v>355</v>
      </c>
    </row>
    <row r="4761" spans="3:6" ht="28.8">
      <c r="C4761" s="191" t="s">
        <v>1913</v>
      </c>
      <c r="D4761" s="125">
        <v>0.01</v>
      </c>
      <c r="E4761" s="125">
        <v>0.01</v>
      </c>
      <c r="F4761" s="125">
        <v>0.01</v>
      </c>
    </row>
    <row r="4762" spans="3:6">
      <c r="C4762" s="191" t="s">
        <v>1914</v>
      </c>
      <c r="D4762" s="125">
        <v>0.05</v>
      </c>
      <c r="E4762" s="125">
        <v>0.05</v>
      </c>
      <c r="F4762" s="125">
        <v>0.05</v>
      </c>
    </row>
    <row r="4763" spans="3:6">
      <c r="C4763" s="191" t="s">
        <v>1915</v>
      </c>
      <c r="D4763" s="125">
        <v>0.03</v>
      </c>
      <c r="E4763" s="125">
        <v>0.03</v>
      </c>
      <c r="F4763" s="125">
        <v>0.03</v>
      </c>
    </row>
    <row r="4764" spans="3:6">
      <c r="C4764" s="191" t="s">
        <v>1916</v>
      </c>
      <c r="D4764" s="125">
        <v>0.03</v>
      </c>
      <c r="E4764" s="125">
        <v>0.03</v>
      </c>
      <c r="F4764" s="125">
        <v>0.03</v>
      </c>
    </row>
    <row r="4765" spans="3:6" ht="28.8">
      <c r="C4765" s="191" t="s">
        <v>1917</v>
      </c>
      <c r="D4765" s="125">
        <v>0.02</v>
      </c>
      <c r="E4765" s="125">
        <v>0.02</v>
      </c>
      <c r="F4765" s="125">
        <v>0.02</v>
      </c>
    </row>
    <row r="4766" spans="3:6" ht="28.8">
      <c r="C4766" s="191" t="s">
        <v>1918</v>
      </c>
      <c r="D4766" s="125">
        <v>0.15</v>
      </c>
      <c r="E4766" s="125">
        <v>0.15</v>
      </c>
      <c r="F4766" s="125">
        <v>0.15</v>
      </c>
    </row>
    <row r="4767" spans="3:6">
      <c r="C4767" s="191" t="s">
        <v>1919</v>
      </c>
      <c r="D4767" s="125">
        <v>0.25</v>
      </c>
      <c r="E4767" s="125">
        <v>0.25</v>
      </c>
      <c r="F4767" s="125">
        <v>0.25</v>
      </c>
    </row>
    <row r="4768" spans="3:6">
      <c r="C4768" s="191" t="s">
        <v>1920</v>
      </c>
      <c r="D4768" s="125">
        <v>0.15</v>
      </c>
      <c r="E4768" s="125">
        <v>0.15</v>
      </c>
      <c r="F4768" s="125">
        <v>0.15</v>
      </c>
    </row>
    <row r="4769" spans="3:6" ht="28.8">
      <c r="C4769" s="191" t="s">
        <v>1921</v>
      </c>
      <c r="D4769" s="125">
        <v>0.01</v>
      </c>
      <c r="E4769" s="125">
        <v>0.01</v>
      </c>
      <c r="F4769" s="125">
        <v>0.01</v>
      </c>
    </row>
    <row r="4770" spans="3:6">
      <c r="C4770" s="191" t="s">
        <v>1922</v>
      </c>
      <c r="D4770" s="125">
        <v>0.01</v>
      </c>
      <c r="E4770" s="125">
        <v>0.01</v>
      </c>
      <c r="F4770" s="125">
        <v>0.01</v>
      </c>
    </row>
    <row r="4771" spans="3:6">
      <c r="C4771" s="191" t="s">
        <v>1923</v>
      </c>
      <c r="D4771" s="125">
        <v>0.01</v>
      </c>
      <c r="E4771" s="125">
        <v>0.01</v>
      </c>
      <c r="F4771" s="125">
        <v>0.01</v>
      </c>
    </row>
    <row r="4772" spans="3:6">
      <c r="C4772" s="191" t="s">
        <v>1924</v>
      </c>
      <c r="D4772" s="125">
        <v>7.0000000000000007E-2</v>
      </c>
      <c r="E4772" s="125">
        <v>7.0000000000000007E-2</v>
      </c>
      <c r="F4772" s="125">
        <v>7.0000000000000007E-2</v>
      </c>
    </row>
    <row r="4773" spans="3:6">
      <c r="C4773" s="191" t="s">
        <v>1925</v>
      </c>
      <c r="D4773" s="125">
        <v>0.01</v>
      </c>
      <c r="E4773" s="125">
        <v>0.01</v>
      </c>
      <c r="F4773" s="125">
        <v>0.01</v>
      </c>
    </row>
    <row r="4774" spans="3:6">
      <c r="C4774" s="191" t="s">
        <v>1926</v>
      </c>
      <c r="D4774" s="125">
        <v>0.01</v>
      </c>
      <c r="E4774" s="125">
        <v>0.01</v>
      </c>
      <c r="F4774" s="125">
        <v>0.01</v>
      </c>
    </row>
    <row r="4775" spans="3:6">
      <c r="C4775" s="191" t="s">
        <v>1927</v>
      </c>
      <c r="D4775" s="125">
        <v>0.05</v>
      </c>
      <c r="E4775" s="125">
        <v>0.05</v>
      </c>
      <c r="F4775" s="125">
        <v>0.05</v>
      </c>
    </row>
    <row r="4776" spans="3:6">
      <c r="C4776" s="191" t="s">
        <v>2514</v>
      </c>
      <c r="D4776" s="125">
        <v>0.03</v>
      </c>
      <c r="E4776" s="125">
        <v>0.03</v>
      </c>
      <c r="F4776" s="125">
        <v>0.01</v>
      </c>
    </row>
    <row r="4777" spans="3:6">
      <c r="C4777" s="191" t="s">
        <v>1929</v>
      </c>
      <c r="D4777" s="125">
        <v>0.01</v>
      </c>
      <c r="E4777" s="125">
        <v>0.01</v>
      </c>
      <c r="F4777" s="125">
        <v>0.01</v>
      </c>
    </row>
    <row r="4778" spans="3:6">
      <c r="C4778" s="191" t="s">
        <v>2515</v>
      </c>
      <c r="D4778" s="125">
        <v>0.01</v>
      </c>
      <c r="E4778" s="125">
        <v>0.01</v>
      </c>
      <c r="F4778" s="125">
        <v>0.01</v>
      </c>
    </row>
    <row r="4779" spans="3:6">
      <c r="C4779" s="191" t="s">
        <v>1930</v>
      </c>
      <c r="D4779" s="125">
        <v>0.04</v>
      </c>
      <c r="E4779" s="125">
        <v>0.04</v>
      </c>
      <c r="F4779" s="125">
        <v>0.01</v>
      </c>
    </row>
    <row r="4780" spans="3:6" ht="28.8">
      <c r="C4780" s="191" t="s">
        <v>1931</v>
      </c>
      <c r="D4780" s="125">
        <v>0.03</v>
      </c>
      <c r="E4780" s="125">
        <v>0.03</v>
      </c>
      <c r="F4780" s="125">
        <v>0.03</v>
      </c>
    </row>
    <row r="4781" spans="3:6" ht="28.8">
      <c r="C4781" s="191" t="s">
        <v>1932</v>
      </c>
      <c r="D4781" s="125">
        <v>0.02</v>
      </c>
      <c r="E4781" s="125">
        <v>0.02</v>
      </c>
      <c r="F4781" s="125">
        <v>0.02</v>
      </c>
    </row>
    <row r="4782" spans="3:6">
      <c r="C4782" s="641"/>
      <c r="D4782" s="642">
        <f>SUM(D4761:D4781)</f>
        <v>1.0000000000000002</v>
      </c>
      <c r="E4782" s="642">
        <f>SUM(E4761:E4781)</f>
        <v>1.0000000000000002</v>
      </c>
      <c r="F4782" s="642">
        <f>SUM(F4761:F4781)</f>
        <v>0.95000000000000018</v>
      </c>
    </row>
    <row r="4783" spans="3:6">
      <c r="C4783" s="643"/>
      <c r="D4783" s="642"/>
      <c r="E4783" s="642">
        <f>D4782-E4782</f>
        <v>0</v>
      </c>
      <c r="F4783" s="184">
        <f>E4782-F4782</f>
        <v>5.0000000000000044E-2</v>
      </c>
    </row>
    <row r="4784" spans="3:6">
      <c r="C4784" s="594" t="s">
        <v>2436</v>
      </c>
      <c r="D4784" s="88">
        <v>240</v>
      </c>
      <c r="E4784" s="88"/>
      <c r="F4784" s="184"/>
    </row>
    <row r="4785" spans="3:6">
      <c r="C4785" s="87" t="s">
        <v>2516</v>
      </c>
      <c r="D4785" s="644">
        <v>2600</v>
      </c>
      <c r="E4785" s="595"/>
      <c r="F4785" s="595"/>
    </row>
    <row r="4786" spans="3:6">
      <c r="C4786" s="87" t="s">
        <v>2437</v>
      </c>
      <c r="D4786" s="595"/>
      <c r="E4786" s="595"/>
      <c r="F4786" s="595"/>
    </row>
    <row r="4787" spans="3:6">
      <c r="C4787" s="87" t="s">
        <v>1446</v>
      </c>
      <c r="D4787" s="88"/>
      <c r="E4787" s="88"/>
      <c r="F4787" s="88"/>
    </row>
    <row r="4788" spans="3:6">
      <c r="C4788" s="87" t="s">
        <v>1447</v>
      </c>
      <c r="D4788" s="88">
        <v>8</v>
      </c>
      <c r="E4788" s="88">
        <v>22</v>
      </c>
      <c r="F4788" s="88"/>
    </row>
    <row r="4789" spans="3:6">
      <c r="C4789" s="87" t="s">
        <v>2438</v>
      </c>
      <c r="D4789" s="88"/>
      <c r="E4789" s="88"/>
      <c r="F4789" s="88"/>
    </row>
    <row r="4790" spans="3:6">
      <c r="C4790" s="87"/>
      <c r="D4790" s="88"/>
      <c r="E4790" s="88"/>
      <c r="F4790" s="88"/>
    </row>
    <row r="4791" spans="3:6">
      <c r="C4791" s="643"/>
      <c r="D4791" s="87"/>
      <c r="E4791" s="87"/>
      <c r="F4791" s="645"/>
    </row>
    <row r="4792" spans="3:6">
      <c r="C4792" s="87"/>
      <c r="D4792" s="87"/>
      <c r="E4792" s="87"/>
      <c r="F4792" s="87"/>
    </row>
    <row r="4793" spans="3:6" ht="15.6">
      <c r="C4793" s="587" t="s">
        <v>106</v>
      </c>
      <c r="D4793" s="588" t="s">
        <v>353</v>
      </c>
      <c r="E4793" s="588" t="s">
        <v>354</v>
      </c>
      <c r="F4793" s="588" t="s">
        <v>355</v>
      </c>
    </row>
    <row r="4794" spans="3:6">
      <c r="C4794" s="191" t="s">
        <v>2069</v>
      </c>
      <c r="D4794" s="125">
        <v>0.05</v>
      </c>
      <c r="E4794" s="125">
        <v>0.05</v>
      </c>
      <c r="F4794" s="125">
        <v>0.05</v>
      </c>
    </row>
    <row r="4795" spans="3:6" ht="28.8">
      <c r="C4795" s="191" t="s">
        <v>2070</v>
      </c>
      <c r="D4795" s="125">
        <v>0.05</v>
      </c>
      <c r="E4795" s="125">
        <v>0.05</v>
      </c>
      <c r="F4795" s="125">
        <v>0.05</v>
      </c>
    </row>
    <row r="4796" spans="3:6">
      <c r="C4796" s="191" t="s">
        <v>2052</v>
      </c>
      <c r="D4796" s="125">
        <v>0.05</v>
      </c>
      <c r="E4796" s="125">
        <v>0.05</v>
      </c>
      <c r="F4796" s="125">
        <v>0.05</v>
      </c>
    </row>
    <row r="4797" spans="3:6">
      <c r="C4797" s="191" t="s">
        <v>2071</v>
      </c>
      <c r="D4797" s="125">
        <v>0.6</v>
      </c>
      <c r="E4797" s="125">
        <v>0.6</v>
      </c>
      <c r="F4797" s="125">
        <v>0.6</v>
      </c>
    </row>
    <row r="4798" spans="3:6">
      <c r="C4798" s="191" t="s">
        <v>2517</v>
      </c>
      <c r="D4798" s="125">
        <v>0.05</v>
      </c>
      <c r="E4798" s="125">
        <v>0.05</v>
      </c>
      <c r="F4798" s="125">
        <v>0.05</v>
      </c>
    </row>
    <row r="4799" spans="3:6">
      <c r="C4799" s="191" t="s">
        <v>2054</v>
      </c>
      <c r="D4799" s="125">
        <v>0.05</v>
      </c>
      <c r="E4799" s="125">
        <v>0.05</v>
      </c>
      <c r="F4799" s="125">
        <v>0.05</v>
      </c>
    </row>
    <row r="4800" spans="3:6">
      <c r="C4800" s="191" t="s">
        <v>2055</v>
      </c>
      <c r="D4800" s="125">
        <v>0.05</v>
      </c>
      <c r="E4800" s="125">
        <v>0.05</v>
      </c>
      <c r="F4800" s="125">
        <v>0.05</v>
      </c>
    </row>
    <row r="4801" spans="3:6">
      <c r="C4801" s="191" t="s">
        <v>2072</v>
      </c>
      <c r="D4801" s="125">
        <f t="shared" ref="D4801:F4802" si="236">SUM(D4794)</f>
        <v>0.05</v>
      </c>
      <c r="E4801" s="125">
        <f t="shared" si="236"/>
        <v>0.05</v>
      </c>
      <c r="F4801" s="125">
        <f t="shared" si="236"/>
        <v>0.05</v>
      </c>
    </row>
    <row r="4802" spans="3:6">
      <c r="C4802" s="191" t="s">
        <v>2073</v>
      </c>
      <c r="D4802" s="125">
        <f t="shared" si="236"/>
        <v>0.05</v>
      </c>
      <c r="E4802" s="125">
        <f t="shared" si="236"/>
        <v>0.05</v>
      </c>
      <c r="F4802" s="125">
        <f t="shared" si="236"/>
        <v>0.05</v>
      </c>
    </row>
    <row r="4803" spans="3:6">
      <c r="C4803" s="87"/>
      <c r="D4803" s="642">
        <f>SUM(D4794:D4802)</f>
        <v>1.0000000000000002</v>
      </c>
      <c r="E4803" s="642">
        <f t="shared" ref="E4803:F4803" si="237">SUM(E4794:E4802)</f>
        <v>1.0000000000000002</v>
      </c>
      <c r="F4803" s="642">
        <f t="shared" si="237"/>
        <v>1.0000000000000002</v>
      </c>
    </row>
    <row r="4804" spans="3:6">
      <c r="C4804" s="643"/>
      <c r="D4804" s="642"/>
      <c r="E4804" s="642">
        <f>D4803-E4803</f>
        <v>0</v>
      </c>
      <c r="F4804" s="184">
        <f>E4803-F4803</f>
        <v>0</v>
      </c>
    </row>
    <row r="4805" spans="3:6">
      <c r="C4805" s="594" t="s">
        <v>2436</v>
      </c>
      <c r="D4805" s="88">
        <v>240</v>
      </c>
      <c r="E4805" s="88"/>
      <c r="F4805" s="184"/>
    </row>
    <row r="4806" spans="3:6">
      <c r="C4806" s="87" t="s">
        <v>2518</v>
      </c>
      <c r="D4806" s="595">
        <v>2</v>
      </c>
      <c r="E4806" s="595"/>
      <c r="F4806" s="595"/>
    </row>
    <row r="4807" spans="3:6">
      <c r="C4807" s="87" t="s">
        <v>2437</v>
      </c>
      <c r="D4807" s="595"/>
      <c r="E4807" s="595"/>
      <c r="F4807" s="595"/>
    </row>
    <row r="4808" spans="3:6">
      <c r="C4808" s="87" t="s">
        <v>1446</v>
      </c>
      <c r="D4808" s="88"/>
      <c r="E4808" s="88"/>
      <c r="F4808" s="88"/>
    </row>
    <row r="4809" spans="3:6">
      <c r="C4809" s="87" t="s">
        <v>1447</v>
      </c>
      <c r="D4809" s="88">
        <v>8</v>
      </c>
      <c r="E4809" s="88">
        <v>22</v>
      </c>
      <c r="F4809" s="88"/>
    </row>
    <row r="4810" spans="3:6">
      <c r="C4810" s="87" t="s">
        <v>2438</v>
      </c>
      <c r="D4810" s="88"/>
      <c r="E4810" s="88"/>
      <c r="F4810" s="88"/>
    </row>
    <row r="4811" spans="3:6">
      <c r="C4811" s="87"/>
      <c r="D4811" s="125"/>
      <c r="E4811" s="125"/>
      <c r="F4811" s="125"/>
    </row>
    <row r="4812" spans="3:6">
      <c r="C4812" s="87"/>
      <c r="D4812" s="125"/>
      <c r="E4812" s="125"/>
      <c r="F4812" s="125"/>
    </row>
    <row r="4813" spans="3:6" ht="15.6">
      <c r="C4813" s="587" t="s">
        <v>113</v>
      </c>
      <c r="D4813" s="646" t="s">
        <v>353</v>
      </c>
      <c r="E4813" s="646" t="s">
        <v>354</v>
      </c>
      <c r="F4813" s="646" t="s">
        <v>355</v>
      </c>
    </row>
    <row r="4814" spans="3:6" ht="28.2">
      <c r="C4814" s="647" t="s">
        <v>2158</v>
      </c>
      <c r="D4814" s="648">
        <v>0.05</v>
      </c>
      <c r="E4814" s="648">
        <v>0.05</v>
      </c>
      <c r="F4814" s="648">
        <v>0.05</v>
      </c>
    </row>
    <row r="4815" spans="3:6" ht="27.6">
      <c r="C4815" s="649" t="s">
        <v>2159</v>
      </c>
      <c r="D4815" s="650">
        <v>0.05</v>
      </c>
      <c r="E4815" s="650">
        <v>0.05</v>
      </c>
      <c r="F4815" s="650">
        <v>0.05</v>
      </c>
    </row>
    <row r="4816" spans="3:6" ht="28.2">
      <c r="C4816" s="651" t="s">
        <v>2160</v>
      </c>
      <c r="D4816" s="650">
        <v>0.05</v>
      </c>
      <c r="E4816" s="650">
        <v>0.05</v>
      </c>
      <c r="F4816" s="650">
        <v>0.05</v>
      </c>
    </row>
    <row r="4817" spans="3:6" ht="28.2">
      <c r="C4817" s="651" t="s">
        <v>2161</v>
      </c>
      <c r="D4817" s="650">
        <v>0.05</v>
      </c>
      <c r="E4817" s="650">
        <v>0.05</v>
      </c>
      <c r="F4817" s="650">
        <v>0.05</v>
      </c>
    </row>
    <row r="4818" spans="3:6" ht="28.2">
      <c r="C4818" s="651" t="s">
        <v>2162</v>
      </c>
      <c r="D4818" s="650">
        <v>7.0000000000000007E-2</v>
      </c>
      <c r="E4818" s="650">
        <v>7.0000000000000007E-2</v>
      </c>
      <c r="F4818" s="650">
        <v>7.0000000000000007E-2</v>
      </c>
    </row>
    <row r="4819" spans="3:6" ht="28.2">
      <c r="C4819" s="651" t="s">
        <v>2163</v>
      </c>
      <c r="D4819" s="650">
        <v>0.05</v>
      </c>
      <c r="E4819" s="650">
        <v>0.05</v>
      </c>
      <c r="F4819" s="650">
        <v>0.05</v>
      </c>
    </row>
    <row r="4820" spans="3:6" ht="28.2">
      <c r="C4820" s="651" t="s">
        <v>2519</v>
      </c>
      <c r="D4820" s="650">
        <v>0.05</v>
      </c>
      <c r="E4820" s="650">
        <v>0.05</v>
      </c>
      <c r="F4820" s="650">
        <v>0.03</v>
      </c>
    </row>
    <row r="4821" spans="3:6" ht="27.6">
      <c r="C4821" s="649" t="s">
        <v>2164</v>
      </c>
      <c r="D4821" s="650">
        <v>0.05</v>
      </c>
      <c r="E4821" s="650">
        <v>0.05</v>
      </c>
      <c r="F4821" s="650">
        <v>0.05</v>
      </c>
    </row>
    <row r="4822" spans="3:6" ht="28.2">
      <c r="C4822" s="651" t="s">
        <v>2165</v>
      </c>
      <c r="D4822" s="650">
        <v>0.05</v>
      </c>
      <c r="E4822" s="650">
        <v>0.05</v>
      </c>
      <c r="F4822" s="650">
        <v>0.05</v>
      </c>
    </row>
    <row r="4823" spans="3:6" ht="28.2">
      <c r="C4823" s="651" t="s">
        <v>2166</v>
      </c>
      <c r="D4823" s="650">
        <v>0.02</v>
      </c>
      <c r="E4823" s="650">
        <v>0.02</v>
      </c>
      <c r="F4823" s="650">
        <v>0.02</v>
      </c>
    </row>
    <row r="4824" spans="3:6" ht="28.2">
      <c r="C4824" s="651" t="s">
        <v>2167</v>
      </c>
      <c r="D4824" s="650">
        <v>0.03</v>
      </c>
      <c r="E4824" s="650">
        <v>0.03</v>
      </c>
      <c r="F4824" s="650">
        <v>0.03</v>
      </c>
    </row>
    <row r="4825" spans="3:6" ht="28.2">
      <c r="C4825" s="651" t="s">
        <v>2168</v>
      </c>
      <c r="D4825" s="650">
        <v>0.1</v>
      </c>
      <c r="E4825" s="650">
        <v>0.1</v>
      </c>
      <c r="F4825" s="650">
        <v>7.0000000000000007E-2</v>
      </c>
    </row>
    <row r="4826" spans="3:6">
      <c r="C4826" s="651" t="s">
        <v>2169</v>
      </c>
      <c r="D4826" s="650">
        <v>0.03</v>
      </c>
      <c r="E4826" s="650">
        <v>0.03</v>
      </c>
      <c r="F4826" s="650">
        <v>0.03</v>
      </c>
    </row>
    <row r="4827" spans="3:6" ht="41.4">
      <c r="C4827" s="649" t="s">
        <v>2170</v>
      </c>
      <c r="D4827" s="650">
        <v>0.05</v>
      </c>
      <c r="E4827" s="650">
        <v>0.05</v>
      </c>
      <c r="F4827" s="650">
        <v>0.05</v>
      </c>
    </row>
    <row r="4828" spans="3:6" ht="27.6">
      <c r="C4828" s="649" t="s">
        <v>2520</v>
      </c>
      <c r="D4828" s="650">
        <v>0.05</v>
      </c>
      <c r="E4828" s="650">
        <v>0.05</v>
      </c>
      <c r="F4828" s="650">
        <v>0.05</v>
      </c>
    </row>
    <row r="4829" spans="3:6" ht="27.6">
      <c r="C4829" s="649" t="s">
        <v>2172</v>
      </c>
      <c r="D4829" s="650">
        <v>0.05</v>
      </c>
      <c r="E4829" s="650">
        <v>0.05</v>
      </c>
      <c r="F4829" s="650">
        <v>0.05</v>
      </c>
    </row>
    <row r="4830" spans="3:6" ht="28.2">
      <c r="C4830" s="652" t="s">
        <v>2173</v>
      </c>
      <c r="D4830" s="650">
        <v>0.05</v>
      </c>
      <c r="E4830" s="650">
        <v>0.05</v>
      </c>
      <c r="F4830" s="650">
        <v>0.05</v>
      </c>
    </row>
    <row r="4831" spans="3:6" ht="27.6">
      <c r="C4831" s="649" t="s">
        <v>2174</v>
      </c>
      <c r="D4831" s="650">
        <v>0.05</v>
      </c>
      <c r="E4831" s="650">
        <v>0.05</v>
      </c>
      <c r="F4831" s="650">
        <v>0.05</v>
      </c>
    </row>
    <row r="4832" spans="3:6" ht="27.6">
      <c r="C4832" s="649" t="s">
        <v>2175</v>
      </c>
      <c r="D4832" s="650">
        <v>7.0000000000000007E-2</v>
      </c>
      <c r="E4832" s="650">
        <v>7.0000000000000007E-2</v>
      </c>
      <c r="F4832" s="650">
        <v>7.0000000000000007E-2</v>
      </c>
    </row>
    <row r="4833" spans="3:6" ht="27.6">
      <c r="C4833" s="649" t="s">
        <v>2176</v>
      </c>
      <c r="D4833" s="650">
        <v>0.03</v>
      </c>
      <c r="E4833" s="650">
        <v>0.03</v>
      </c>
      <c r="F4833" s="650">
        <v>0.03</v>
      </c>
    </row>
    <row r="4834" spans="3:6">
      <c r="C4834" s="641"/>
      <c r="D4834" s="642">
        <f>SUM(D4814:D4833)</f>
        <v>1.0000000000000002</v>
      </c>
      <c r="E4834" s="642">
        <f t="shared" ref="E4834:F4834" si="238">SUM(E4814:E4833)</f>
        <v>1.0000000000000002</v>
      </c>
      <c r="F4834" s="642">
        <f t="shared" si="238"/>
        <v>0.9500000000000004</v>
      </c>
    </row>
    <row r="4835" spans="3:6">
      <c r="C4835" s="643"/>
      <c r="D4835" s="642"/>
      <c r="E4835" s="642">
        <f>D4834-E4834</f>
        <v>0</v>
      </c>
      <c r="F4835" s="184">
        <f>E4834-F4834</f>
        <v>4.9999999999999822E-2</v>
      </c>
    </row>
    <row r="4836" spans="3:6">
      <c r="C4836" s="594" t="s">
        <v>2436</v>
      </c>
      <c r="D4836" s="88">
        <v>240</v>
      </c>
      <c r="E4836" s="88"/>
      <c r="F4836" s="184"/>
    </row>
    <row r="4837" spans="3:6">
      <c r="C4837" s="87" t="s">
        <v>2521</v>
      </c>
      <c r="D4837" s="644">
        <v>2600</v>
      </c>
      <c r="E4837" s="595"/>
      <c r="F4837" s="595"/>
    </row>
    <row r="4838" spans="3:6">
      <c r="C4838" s="87" t="s">
        <v>2437</v>
      </c>
      <c r="D4838" s="595"/>
      <c r="E4838" s="595"/>
      <c r="F4838" s="595"/>
    </row>
    <row r="4839" spans="3:6">
      <c r="C4839" s="87" t="s">
        <v>1446</v>
      </c>
      <c r="D4839" s="88"/>
      <c r="E4839" s="88"/>
      <c r="F4839" s="88"/>
    </row>
    <row r="4840" spans="3:6">
      <c r="C4840" s="87" t="s">
        <v>1447</v>
      </c>
      <c r="D4840" s="88">
        <v>8</v>
      </c>
      <c r="E4840" s="88">
        <v>22</v>
      </c>
      <c r="F4840" s="88"/>
    </row>
    <row r="4841" spans="3:6">
      <c r="C4841" s="87" t="s">
        <v>2438</v>
      </c>
      <c r="D4841" s="88"/>
      <c r="E4841" s="88"/>
      <c r="F4841" s="88"/>
    </row>
    <row r="4842" spans="3:6">
      <c r="C4842" s="87"/>
      <c r="D4842" s="87"/>
      <c r="E4842" s="87"/>
      <c r="F4842" s="87"/>
    </row>
    <row r="4843" spans="3:6" ht="15.6">
      <c r="C4843" s="587" t="s">
        <v>2522</v>
      </c>
      <c r="D4843" s="646" t="s">
        <v>353</v>
      </c>
      <c r="E4843" s="646" t="s">
        <v>354</v>
      </c>
      <c r="F4843" s="646" t="s">
        <v>355</v>
      </c>
    </row>
    <row r="4844" spans="3:6">
      <c r="C4844" s="647" t="s">
        <v>2523</v>
      </c>
      <c r="D4844" s="653">
        <v>0.01</v>
      </c>
      <c r="E4844" s="653">
        <v>0</v>
      </c>
      <c r="F4844" s="653">
        <v>0</v>
      </c>
    </row>
    <row r="4845" spans="3:6" ht="27.6">
      <c r="C4845" s="649" t="s">
        <v>2202</v>
      </c>
      <c r="D4845" s="650">
        <v>0.3</v>
      </c>
      <c r="E4845" s="650">
        <v>0</v>
      </c>
      <c r="F4845" s="650">
        <v>0</v>
      </c>
    </row>
    <row r="4846" spans="3:6">
      <c r="C4846" s="651" t="s">
        <v>2524</v>
      </c>
      <c r="D4846" s="650">
        <v>0.3</v>
      </c>
      <c r="E4846" s="650">
        <v>0.3</v>
      </c>
      <c r="F4846" s="650">
        <v>0.3</v>
      </c>
    </row>
    <row r="4847" spans="3:6">
      <c r="C4847" s="651" t="s">
        <v>2525</v>
      </c>
      <c r="D4847" s="650">
        <v>0.01</v>
      </c>
      <c r="E4847" s="650">
        <v>0.01</v>
      </c>
      <c r="F4847" s="650">
        <v>0.01</v>
      </c>
    </row>
    <row r="4848" spans="3:6" ht="28.2">
      <c r="C4848" s="651" t="s">
        <v>2526</v>
      </c>
      <c r="D4848" s="650">
        <v>0.1</v>
      </c>
      <c r="E4848" s="650">
        <v>0.1</v>
      </c>
      <c r="F4848" s="650">
        <v>0.1</v>
      </c>
    </row>
    <row r="4849" spans="3:6" ht="28.2">
      <c r="C4849" s="651" t="s">
        <v>2527</v>
      </c>
      <c r="D4849" s="650">
        <v>0.03</v>
      </c>
      <c r="E4849" s="650">
        <v>0.03</v>
      </c>
      <c r="F4849" s="650">
        <v>0.03</v>
      </c>
    </row>
    <row r="4850" spans="3:6">
      <c r="C4850" s="651" t="s">
        <v>2528</v>
      </c>
      <c r="D4850" s="650">
        <v>0.15</v>
      </c>
      <c r="E4850" s="650">
        <v>0.15</v>
      </c>
      <c r="F4850" s="650">
        <v>0.1</v>
      </c>
    </row>
    <row r="4851" spans="3:6" ht="27.6">
      <c r="C4851" s="649" t="s">
        <v>2529</v>
      </c>
      <c r="D4851" s="650">
        <v>0.1</v>
      </c>
      <c r="E4851" s="650">
        <v>0.1</v>
      </c>
      <c r="F4851" s="650">
        <v>0.1</v>
      </c>
    </row>
    <row r="4852" spans="3:6">
      <c r="C4852" s="87"/>
      <c r="D4852" s="642">
        <f>SUM(D4844:D4851)</f>
        <v>1</v>
      </c>
      <c r="E4852" s="642">
        <f t="shared" ref="E4852:F4852" si="239">SUM(E4844:E4851)</f>
        <v>0.69000000000000006</v>
      </c>
      <c r="F4852" s="642">
        <f t="shared" si="239"/>
        <v>0.64</v>
      </c>
    </row>
    <row r="4853" spans="3:6">
      <c r="C4853" s="643"/>
      <c r="D4853" s="642"/>
      <c r="E4853" s="642">
        <f>D4852-E4852</f>
        <v>0.30999999999999994</v>
      </c>
      <c r="F4853" s="184">
        <f>E4852-F4852</f>
        <v>5.0000000000000044E-2</v>
      </c>
    </row>
    <row r="4854" spans="3:6">
      <c r="C4854" s="594" t="s">
        <v>2436</v>
      </c>
      <c r="D4854" s="88">
        <v>240</v>
      </c>
      <c r="E4854" s="88"/>
      <c r="F4854" s="184"/>
    </row>
    <row r="4855" spans="3:6">
      <c r="C4855" s="87" t="s">
        <v>2530</v>
      </c>
      <c r="D4855" s="595">
        <v>722</v>
      </c>
      <c r="E4855" s="595"/>
      <c r="F4855" s="595"/>
    </row>
    <row r="4856" spans="3:6">
      <c r="C4856" s="87" t="s">
        <v>2437</v>
      </c>
      <c r="D4856" s="595"/>
      <c r="E4856" s="595"/>
      <c r="F4856" s="595"/>
    </row>
    <row r="4857" spans="3:6">
      <c r="C4857" s="87" t="s">
        <v>1446</v>
      </c>
      <c r="D4857" s="88"/>
      <c r="E4857" s="88"/>
      <c r="F4857" s="88"/>
    </row>
    <row r="4858" spans="3:6">
      <c r="C4858" s="87" t="s">
        <v>1447</v>
      </c>
      <c r="D4858" s="88">
        <v>8</v>
      </c>
      <c r="E4858" s="88">
        <v>22</v>
      </c>
      <c r="F4858" s="88"/>
    </row>
    <row r="4859" spans="3:6">
      <c r="C4859" s="87" t="s">
        <v>2438</v>
      </c>
      <c r="D4859" s="88"/>
      <c r="E4859" s="88"/>
      <c r="F4859" s="88"/>
    </row>
    <row r="4860" spans="3:6">
      <c r="C4860" s="87"/>
      <c r="D4860" s="87"/>
      <c r="E4860" s="87"/>
      <c r="F4860" s="87"/>
    </row>
    <row r="4861" spans="3:6">
      <c r="C4861" s="87"/>
      <c r="D4861" s="87"/>
      <c r="E4861" s="87"/>
      <c r="F4861" s="87"/>
    </row>
    <row r="4862" spans="3:6" ht="15.6">
      <c r="C4862" s="587" t="s">
        <v>115</v>
      </c>
      <c r="D4862" s="646" t="s">
        <v>353</v>
      </c>
      <c r="E4862" s="646" t="s">
        <v>354</v>
      </c>
      <c r="F4862" s="646" t="s">
        <v>355</v>
      </c>
    </row>
    <row r="4863" spans="3:6" ht="28.2">
      <c r="C4863" s="647" t="s">
        <v>2201</v>
      </c>
      <c r="D4863" s="650">
        <v>0</v>
      </c>
      <c r="E4863" s="650">
        <v>0</v>
      </c>
      <c r="F4863" s="650">
        <v>0</v>
      </c>
    </row>
    <row r="4864" spans="3:6" ht="27.6">
      <c r="C4864" s="649" t="s">
        <v>2202</v>
      </c>
      <c r="D4864" s="650">
        <v>0</v>
      </c>
      <c r="E4864" s="650">
        <v>0</v>
      </c>
      <c r="F4864" s="650">
        <v>0</v>
      </c>
    </row>
    <row r="4865" spans="3:6" ht="27.6">
      <c r="C4865" s="649" t="s">
        <v>2203</v>
      </c>
      <c r="D4865" s="650">
        <v>0.05</v>
      </c>
      <c r="E4865" s="650">
        <v>0.05</v>
      </c>
      <c r="F4865" s="650">
        <v>0.03</v>
      </c>
    </row>
    <row r="4866" spans="3:6">
      <c r="C4866" s="651" t="s">
        <v>2204</v>
      </c>
      <c r="D4866" s="650">
        <v>0.45</v>
      </c>
      <c r="E4866" s="650">
        <v>0.45</v>
      </c>
      <c r="F4866" s="650">
        <v>0.45</v>
      </c>
    </row>
    <row r="4867" spans="3:6">
      <c r="C4867" s="649" t="s">
        <v>2205</v>
      </c>
      <c r="D4867" s="650">
        <v>0.43</v>
      </c>
      <c r="E4867" s="650">
        <v>0.43</v>
      </c>
      <c r="F4867" s="650">
        <v>0.43</v>
      </c>
    </row>
    <row r="4868" spans="3:6">
      <c r="C4868" s="649" t="s">
        <v>2206</v>
      </c>
      <c r="D4868" s="650">
        <v>0.01</v>
      </c>
      <c r="E4868" s="650">
        <v>0.01</v>
      </c>
      <c r="F4868" s="650">
        <v>0.01</v>
      </c>
    </row>
    <row r="4869" spans="3:6" ht="27.6">
      <c r="C4869" s="649" t="s">
        <v>2207</v>
      </c>
      <c r="D4869" s="650">
        <v>0.05</v>
      </c>
      <c r="E4869" s="650">
        <v>0.05</v>
      </c>
      <c r="F4869" s="650">
        <v>0.03</v>
      </c>
    </row>
    <row r="4870" spans="3:6">
      <c r="C4870" s="649" t="s">
        <v>2208</v>
      </c>
      <c r="D4870" s="650">
        <v>0.01</v>
      </c>
      <c r="E4870" s="650">
        <v>0.01</v>
      </c>
      <c r="F4870" s="650">
        <v>0</v>
      </c>
    </row>
    <row r="4871" spans="3:6">
      <c r="C4871" s="87"/>
      <c r="D4871" s="642">
        <f>SUM(D4863:D4870)</f>
        <v>1</v>
      </c>
      <c r="E4871" s="642">
        <f t="shared" ref="E4871:F4871" si="240">SUM(E4863:E4870)</f>
        <v>1</v>
      </c>
      <c r="F4871" s="642">
        <f t="shared" si="240"/>
        <v>0.95</v>
      </c>
    </row>
    <row r="4872" spans="3:6">
      <c r="C4872" s="643"/>
      <c r="D4872" s="642"/>
      <c r="E4872" s="642">
        <f>D4871-E4871</f>
        <v>0</v>
      </c>
      <c r="F4872" s="184">
        <f>E4871-F4871</f>
        <v>5.0000000000000044E-2</v>
      </c>
    </row>
    <row r="4873" spans="3:6">
      <c r="C4873" s="594" t="s">
        <v>2436</v>
      </c>
      <c r="D4873" s="88">
        <v>240</v>
      </c>
      <c r="E4873" s="88"/>
      <c r="F4873" s="184"/>
    </row>
    <row r="4874" spans="3:6">
      <c r="C4874" s="87" t="s">
        <v>2531</v>
      </c>
      <c r="D4874" s="644">
        <v>2600</v>
      </c>
      <c r="E4874" s="595"/>
      <c r="F4874" s="595"/>
    </row>
    <row r="4875" spans="3:6">
      <c r="C4875" s="87" t="s">
        <v>2437</v>
      </c>
      <c r="D4875" s="595"/>
      <c r="E4875" s="595"/>
      <c r="F4875" s="595"/>
    </row>
    <row r="4876" spans="3:6">
      <c r="C4876" s="87" t="s">
        <v>1446</v>
      </c>
      <c r="D4876" s="88"/>
      <c r="E4876" s="88"/>
      <c r="F4876" s="88"/>
    </row>
    <row r="4877" spans="3:6">
      <c r="C4877" s="87" t="s">
        <v>1447</v>
      </c>
      <c r="D4877" s="88">
        <v>8</v>
      </c>
      <c r="E4877" s="88">
        <v>22</v>
      </c>
      <c r="F4877" s="88"/>
    </row>
    <row r="4878" spans="3:6">
      <c r="C4878" s="87" t="s">
        <v>2438</v>
      </c>
      <c r="D4878" s="88"/>
      <c r="E4878" s="88"/>
      <c r="F4878" s="88"/>
    </row>
    <row r="4879" spans="3:6">
      <c r="C4879" s="87"/>
      <c r="D4879" s="87"/>
      <c r="E4879" s="125"/>
      <c r="F4879" s="125"/>
    </row>
    <row r="4880" spans="3:6" ht="15.6">
      <c r="C4880" s="587" t="s">
        <v>114</v>
      </c>
      <c r="D4880" s="646" t="s">
        <v>353</v>
      </c>
      <c r="E4880" s="646" t="s">
        <v>354</v>
      </c>
      <c r="F4880" s="646" t="s">
        <v>355</v>
      </c>
    </row>
    <row r="4881" spans="3:6">
      <c r="C4881" s="191" t="s">
        <v>2209</v>
      </c>
      <c r="D4881" s="650">
        <v>0.01</v>
      </c>
      <c r="E4881" s="650">
        <v>0.01</v>
      </c>
      <c r="F4881" s="650">
        <v>0.01</v>
      </c>
    </row>
    <row r="4882" spans="3:6">
      <c r="C4882" s="191" t="s">
        <v>2210</v>
      </c>
      <c r="D4882" s="650">
        <v>0.05</v>
      </c>
      <c r="E4882" s="650">
        <v>0.05</v>
      </c>
      <c r="F4882" s="650">
        <v>0.05</v>
      </c>
    </row>
    <row r="4883" spans="3:6">
      <c r="C4883" s="191" t="s">
        <v>2211</v>
      </c>
      <c r="D4883" s="650">
        <v>0.01</v>
      </c>
      <c r="E4883" s="650">
        <v>0.01</v>
      </c>
      <c r="F4883" s="650">
        <v>0</v>
      </c>
    </row>
    <row r="4884" spans="3:6">
      <c r="C4884" s="191" t="s">
        <v>2212</v>
      </c>
      <c r="D4884" s="650">
        <v>0.01</v>
      </c>
      <c r="E4884" s="650">
        <v>0.01</v>
      </c>
      <c r="F4884" s="650">
        <v>0.01</v>
      </c>
    </row>
    <row r="4885" spans="3:6" ht="28.8">
      <c r="C4885" s="191" t="s">
        <v>2213</v>
      </c>
      <c r="D4885" s="650">
        <v>0.1</v>
      </c>
      <c r="E4885" s="650">
        <v>0.1</v>
      </c>
      <c r="F4885" s="650">
        <v>0.05</v>
      </c>
    </row>
    <row r="4886" spans="3:6">
      <c r="C4886" s="191" t="s">
        <v>2214</v>
      </c>
      <c r="D4886" s="650">
        <v>0.77</v>
      </c>
      <c r="E4886" s="650">
        <v>0.77</v>
      </c>
      <c r="F4886" s="650">
        <v>0.77</v>
      </c>
    </row>
    <row r="4887" spans="3:6">
      <c r="C4887" s="191" t="s">
        <v>2215</v>
      </c>
      <c r="D4887" s="650">
        <v>0.05</v>
      </c>
      <c r="E4887" s="650">
        <v>0.05</v>
      </c>
      <c r="F4887" s="650">
        <v>0.03</v>
      </c>
    </row>
    <row r="4888" spans="3:6">
      <c r="C4888" s="87"/>
      <c r="D4888" s="642">
        <f>SUM(D4881:D4887)</f>
        <v>1</v>
      </c>
      <c r="E4888" s="642">
        <f t="shared" ref="E4888:F4888" si="241">SUM(E4881:E4887)</f>
        <v>1</v>
      </c>
      <c r="F4888" s="642">
        <f t="shared" si="241"/>
        <v>0.92</v>
      </c>
    </row>
    <row r="4889" spans="3:6">
      <c r="C4889" s="643"/>
      <c r="D4889" s="642"/>
      <c r="E4889" s="642">
        <f>D4888-E4888</f>
        <v>0</v>
      </c>
      <c r="F4889" s="184">
        <f>E4888-F4888</f>
        <v>7.999999999999996E-2</v>
      </c>
    </row>
    <row r="4890" spans="3:6">
      <c r="C4890" s="594" t="s">
        <v>2436</v>
      </c>
      <c r="D4890" s="88">
        <v>240</v>
      </c>
      <c r="E4890" s="88"/>
      <c r="F4890" s="184"/>
    </row>
    <row r="4891" spans="3:6">
      <c r="C4891" s="87" t="s">
        <v>2532</v>
      </c>
      <c r="D4891" s="644">
        <v>2600</v>
      </c>
      <c r="E4891" s="595"/>
      <c r="F4891" s="595"/>
    </row>
    <row r="4892" spans="3:6">
      <c r="C4892" s="87" t="s">
        <v>2437</v>
      </c>
      <c r="D4892" s="595"/>
      <c r="E4892" s="595"/>
      <c r="F4892" s="595"/>
    </row>
    <row r="4893" spans="3:6">
      <c r="C4893" s="87" t="s">
        <v>1446</v>
      </c>
      <c r="D4893" s="88"/>
      <c r="E4893" s="88"/>
      <c r="F4893" s="88"/>
    </row>
    <row r="4894" spans="3:6">
      <c r="C4894" s="87" t="s">
        <v>1447</v>
      </c>
      <c r="D4894" s="88">
        <v>8</v>
      </c>
      <c r="E4894" s="88">
        <v>22</v>
      </c>
      <c r="F4894" s="88"/>
    </row>
    <row r="4895" spans="3:6">
      <c r="C4895" s="87" t="s">
        <v>2438</v>
      </c>
      <c r="D4895" s="88"/>
      <c r="E4895" s="88"/>
      <c r="F4895" s="88"/>
    </row>
    <row r="4896" spans="3:6">
      <c r="C4896" s="87"/>
      <c r="D4896" s="650"/>
      <c r="E4896" s="650"/>
      <c r="F4896" s="650"/>
    </row>
    <row r="4897" spans="3:6">
      <c r="C4897" s="87"/>
      <c r="D4897" s="650"/>
      <c r="E4897" s="650"/>
      <c r="F4897" s="650"/>
    </row>
    <row r="4898" spans="3:6">
      <c r="C4898" s="87"/>
      <c r="D4898" s="650"/>
      <c r="E4898" s="650"/>
      <c r="F4898" s="650"/>
    </row>
    <row r="4899" spans="3:6" ht="15.6">
      <c r="C4899" s="587" t="s">
        <v>2533</v>
      </c>
      <c r="D4899" s="646" t="s">
        <v>353</v>
      </c>
      <c r="E4899" s="646" t="s">
        <v>354</v>
      </c>
      <c r="F4899" s="646" t="s">
        <v>355</v>
      </c>
    </row>
    <row r="4900" spans="3:6">
      <c r="C4900" s="191" t="s">
        <v>2534</v>
      </c>
      <c r="D4900" s="125">
        <v>0.02</v>
      </c>
      <c r="E4900" s="125">
        <v>0.02</v>
      </c>
      <c r="F4900" s="125">
        <v>0.02</v>
      </c>
    </row>
    <row r="4901" spans="3:6" ht="28.8">
      <c r="C4901" s="191" t="s">
        <v>2535</v>
      </c>
      <c r="D4901" s="125">
        <v>0.1</v>
      </c>
      <c r="E4901" s="125">
        <v>0.1</v>
      </c>
      <c r="F4901" s="125">
        <v>0.1</v>
      </c>
    </row>
    <row r="4902" spans="3:6">
      <c r="C4902" s="191" t="s">
        <v>2536</v>
      </c>
      <c r="D4902" s="125">
        <v>0.05</v>
      </c>
      <c r="E4902" s="125">
        <v>0.05</v>
      </c>
      <c r="F4902" s="125">
        <v>0.05</v>
      </c>
    </row>
    <row r="4903" spans="3:6">
      <c r="C4903" s="191" t="s">
        <v>2537</v>
      </c>
      <c r="D4903" s="125">
        <v>0.1</v>
      </c>
      <c r="E4903" s="125">
        <v>0.1</v>
      </c>
      <c r="F4903" s="125">
        <v>0.1</v>
      </c>
    </row>
    <row r="4904" spans="3:6" ht="28.8">
      <c r="C4904" s="191" t="s">
        <v>2538</v>
      </c>
      <c r="D4904" s="125">
        <v>0.2</v>
      </c>
      <c r="E4904" s="125">
        <v>0.2</v>
      </c>
      <c r="F4904" s="125">
        <v>0.2</v>
      </c>
    </row>
    <row r="4905" spans="3:6">
      <c r="C4905" s="654" t="s">
        <v>2539</v>
      </c>
      <c r="D4905" s="125">
        <v>0.1</v>
      </c>
      <c r="E4905" s="125">
        <v>0.1</v>
      </c>
      <c r="F4905" s="125">
        <v>0.1</v>
      </c>
    </row>
    <row r="4906" spans="3:6">
      <c r="C4906" s="191" t="s">
        <v>2540</v>
      </c>
      <c r="D4906" s="125">
        <v>0.05</v>
      </c>
      <c r="E4906" s="125">
        <v>0.05</v>
      </c>
      <c r="F4906" s="125">
        <v>0.05</v>
      </c>
    </row>
    <row r="4907" spans="3:6">
      <c r="C4907" s="191" t="s">
        <v>2541</v>
      </c>
      <c r="D4907" s="125">
        <v>0.1</v>
      </c>
      <c r="E4907" s="125">
        <v>0.1</v>
      </c>
      <c r="F4907" s="125">
        <v>0.1</v>
      </c>
    </row>
    <row r="4908" spans="3:6">
      <c r="C4908" s="191" t="s">
        <v>2542</v>
      </c>
      <c r="D4908" s="125">
        <v>0.1</v>
      </c>
      <c r="E4908" s="125">
        <v>0.1</v>
      </c>
      <c r="F4908" s="125">
        <v>0.1</v>
      </c>
    </row>
    <row r="4909" spans="3:6">
      <c r="C4909" s="191" t="s">
        <v>2543</v>
      </c>
      <c r="D4909" s="125">
        <v>0.1</v>
      </c>
      <c r="E4909" s="125">
        <v>0.1</v>
      </c>
      <c r="F4909" s="125">
        <v>0.1</v>
      </c>
    </row>
    <row r="4910" spans="3:6">
      <c r="C4910" s="191" t="s">
        <v>2544</v>
      </c>
      <c r="D4910" s="125">
        <v>0.08</v>
      </c>
      <c r="E4910" s="125">
        <v>0.02</v>
      </c>
      <c r="F4910" s="125">
        <v>0.02</v>
      </c>
    </row>
    <row r="4911" spans="3:6">
      <c r="C4911" s="191"/>
      <c r="D4911" s="631">
        <f>SUM(D4900:D4910)</f>
        <v>1</v>
      </c>
      <c r="E4911" s="631">
        <f t="shared" ref="E4911:F4911" si="242">SUM(E4900:E4910)</f>
        <v>0.94000000000000006</v>
      </c>
      <c r="F4911" s="631">
        <f t="shared" si="242"/>
        <v>0.94000000000000006</v>
      </c>
    </row>
    <row r="4912" spans="3:6">
      <c r="C4912" s="87"/>
      <c r="D4912" s="87"/>
      <c r="E4912" s="631">
        <f>D4911-E4911</f>
        <v>5.9999999999999942E-2</v>
      </c>
      <c r="F4912" s="631">
        <f>E4911-F4911</f>
        <v>0</v>
      </c>
    </row>
    <row r="4913" spans="3:6">
      <c r="C4913" s="594" t="s">
        <v>2436</v>
      </c>
      <c r="D4913" s="88">
        <v>90</v>
      </c>
      <c r="E4913" s="88"/>
      <c r="F4913" s="184"/>
    </row>
    <row r="4914" spans="3:6">
      <c r="C4914" s="87" t="s">
        <v>2545</v>
      </c>
      <c r="D4914" s="595">
        <v>30</v>
      </c>
      <c r="E4914" s="595"/>
      <c r="F4914" s="595"/>
    </row>
    <row r="4915" spans="3:6">
      <c r="C4915" s="87" t="s">
        <v>2437</v>
      </c>
      <c r="D4915" s="595"/>
      <c r="E4915" s="595"/>
      <c r="F4915" s="595"/>
    </row>
    <row r="4916" spans="3:6">
      <c r="C4916" s="87" t="s">
        <v>1446</v>
      </c>
      <c r="D4916" s="88"/>
      <c r="E4916" s="88"/>
      <c r="F4916" s="88"/>
    </row>
    <row r="4917" spans="3:6">
      <c r="C4917" s="87" t="s">
        <v>1447</v>
      </c>
      <c r="D4917" s="88">
        <v>8</v>
      </c>
      <c r="E4917" s="88">
        <v>22</v>
      </c>
      <c r="F4917" s="88"/>
    </row>
    <row r="4918" spans="3:6">
      <c r="C4918" s="87" t="s">
        <v>2438</v>
      </c>
      <c r="D4918" s="88"/>
      <c r="E4918" s="88"/>
      <c r="F4918" s="88"/>
    </row>
    <row r="4919" spans="3:6">
      <c r="C4919" s="87"/>
      <c r="D4919" s="650"/>
      <c r="E4919" s="650"/>
      <c r="F4919" s="650"/>
    </row>
    <row r="4920" spans="3:6" ht="15.6">
      <c r="C4920" s="587" t="s">
        <v>2546</v>
      </c>
      <c r="D4920" s="646" t="s">
        <v>353</v>
      </c>
      <c r="E4920" s="646" t="s">
        <v>354</v>
      </c>
      <c r="F4920" s="646" t="s">
        <v>355</v>
      </c>
    </row>
    <row r="4921" spans="3:6">
      <c r="C4921" s="191" t="s">
        <v>2547</v>
      </c>
      <c r="D4921" s="125">
        <v>0.02</v>
      </c>
      <c r="E4921" s="125">
        <v>0.02</v>
      </c>
      <c r="F4921" s="125">
        <v>0.02</v>
      </c>
    </row>
    <row r="4922" spans="3:6">
      <c r="C4922" s="191" t="s">
        <v>2548</v>
      </c>
      <c r="D4922" s="125">
        <v>0.05</v>
      </c>
      <c r="E4922" s="125">
        <v>0.05</v>
      </c>
      <c r="F4922" s="125">
        <v>0.05</v>
      </c>
    </row>
    <row r="4923" spans="3:6">
      <c r="C4923" s="191" t="s">
        <v>2549</v>
      </c>
      <c r="D4923" s="125">
        <v>0.1</v>
      </c>
      <c r="E4923" s="125">
        <v>0.1</v>
      </c>
      <c r="F4923" s="125">
        <v>0.05</v>
      </c>
    </row>
    <row r="4924" spans="3:6">
      <c r="C4924" s="191" t="s">
        <v>2550</v>
      </c>
      <c r="D4924" s="125">
        <v>0.03</v>
      </c>
      <c r="E4924" s="125">
        <v>0.03</v>
      </c>
      <c r="F4924" s="125">
        <v>0.01</v>
      </c>
    </row>
    <row r="4925" spans="3:6" ht="28.8">
      <c r="C4925" s="191" t="s">
        <v>2551</v>
      </c>
      <c r="D4925" s="125">
        <v>0.02</v>
      </c>
      <c r="E4925" s="125">
        <v>0.02</v>
      </c>
      <c r="F4925" s="125">
        <v>0.02</v>
      </c>
    </row>
    <row r="4926" spans="3:6" ht="28.8">
      <c r="C4926" s="191" t="s">
        <v>2552</v>
      </c>
      <c r="D4926" s="125">
        <v>0.05</v>
      </c>
      <c r="E4926" s="125">
        <v>0.01</v>
      </c>
      <c r="F4926" s="125">
        <v>0.01</v>
      </c>
    </row>
    <row r="4927" spans="3:6" ht="28.8">
      <c r="C4927" s="655" t="s">
        <v>2553</v>
      </c>
      <c r="D4927" s="126">
        <v>0.1</v>
      </c>
      <c r="E4927" s="126">
        <v>0.02</v>
      </c>
      <c r="F4927" s="126">
        <v>0.02</v>
      </c>
    </row>
    <row r="4928" spans="3:6">
      <c r="C4928" s="633" t="s">
        <v>2554</v>
      </c>
      <c r="D4928" s="125">
        <v>0.05</v>
      </c>
      <c r="E4928" s="125">
        <v>0.01</v>
      </c>
      <c r="F4928" s="125">
        <v>0.01</v>
      </c>
    </row>
    <row r="4929" spans="3:6">
      <c r="C4929" s="633" t="s">
        <v>2555</v>
      </c>
      <c r="D4929" s="125">
        <v>0.1</v>
      </c>
      <c r="E4929" s="125">
        <v>0.1</v>
      </c>
      <c r="F4929" s="125">
        <v>0.1</v>
      </c>
    </row>
    <row r="4930" spans="3:6">
      <c r="C4930" s="633" t="s">
        <v>2556</v>
      </c>
      <c r="D4930" s="125">
        <v>0.04</v>
      </c>
      <c r="E4930" s="125">
        <v>0.04</v>
      </c>
      <c r="F4930" s="125">
        <v>0</v>
      </c>
    </row>
    <row r="4931" spans="3:6">
      <c r="C4931" s="654" t="s">
        <v>2557</v>
      </c>
      <c r="D4931" s="125">
        <v>0.1</v>
      </c>
      <c r="E4931" s="125">
        <v>0.1</v>
      </c>
      <c r="F4931" s="125">
        <v>0.1</v>
      </c>
    </row>
    <row r="4932" spans="3:6">
      <c r="C4932" s="191" t="s">
        <v>2558</v>
      </c>
      <c r="D4932" s="125">
        <v>0.1</v>
      </c>
      <c r="E4932" s="125">
        <v>0.1</v>
      </c>
      <c r="F4932" s="125">
        <v>0.1</v>
      </c>
    </row>
    <row r="4933" spans="3:6" ht="28.8">
      <c r="C4933" s="191" t="s">
        <v>2559</v>
      </c>
      <c r="D4933" s="125">
        <v>0.05</v>
      </c>
      <c r="E4933" s="125">
        <v>0.05</v>
      </c>
      <c r="F4933" s="125">
        <v>0.05</v>
      </c>
    </row>
    <row r="4934" spans="3:6">
      <c r="C4934" s="191" t="s">
        <v>2560</v>
      </c>
      <c r="D4934" s="125">
        <v>0.05</v>
      </c>
      <c r="E4934" s="125">
        <v>0.05</v>
      </c>
      <c r="F4934" s="125">
        <v>0.05</v>
      </c>
    </row>
    <row r="4935" spans="3:6" ht="28.8">
      <c r="C4935" s="191" t="s">
        <v>2561</v>
      </c>
      <c r="D4935" s="125">
        <v>0.02</v>
      </c>
      <c r="E4935" s="125">
        <v>0.02</v>
      </c>
      <c r="F4935" s="125">
        <v>0.02</v>
      </c>
    </row>
    <row r="4936" spans="3:6">
      <c r="C4936" s="191" t="s">
        <v>2562</v>
      </c>
      <c r="D4936" s="125">
        <v>0.1</v>
      </c>
      <c r="E4936" s="125">
        <v>0.1</v>
      </c>
      <c r="F4936" s="125">
        <v>0.1</v>
      </c>
    </row>
    <row r="4937" spans="3:6" ht="28.8">
      <c r="C4937" s="191" t="s">
        <v>2563</v>
      </c>
      <c r="D4937" s="125">
        <v>0.02</v>
      </c>
      <c r="E4937" s="125">
        <v>0.02</v>
      </c>
      <c r="F4937" s="125">
        <v>0.02</v>
      </c>
    </row>
    <row r="4938" spans="3:6">
      <c r="C4938" s="191"/>
      <c r="D4938" s="631">
        <f>SUM(D4921:D4937)</f>
        <v>1</v>
      </c>
      <c r="E4938" s="631">
        <f>SUM(E4921:E4937)</f>
        <v>0.84000000000000008</v>
      </c>
      <c r="F4938" s="631">
        <f t="shared" ref="F4938" si="243">SUM(F4921:F4937)</f>
        <v>0.73000000000000009</v>
      </c>
    </row>
    <row r="4939" spans="3:6">
      <c r="C4939" s="87"/>
      <c r="D4939" s="87"/>
      <c r="E4939" s="631">
        <f>D4938-E4938</f>
        <v>0.15999999999999992</v>
      </c>
      <c r="F4939" s="631">
        <f>E4938-F4938</f>
        <v>0.10999999999999999</v>
      </c>
    </row>
    <row r="4940" spans="3:6">
      <c r="C4940" s="594" t="s">
        <v>2436</v>
      </c>
      <c r="D4940" s="88">
        <v>60</v>
      </c>
      <c r="E4940" s="88"/>
      <c r="F4940" s="184"/>
    </row>
    <row r="4941" spans="3:6">
      <c r="C4941" s="87" t="s">
        <v>2564</v>
      </c>
      <c r="D4941" s="644">
        <v>10</v>
      </c>
      <c r="E4941" s="595"/>
      <c r="F4941" s="595"/>
    </row>
    <row r="4942" spans="3:6">
      <c r="C4942" s="87" t="s">
        <v>2437</v>
      </c>
      <c r="D4942" s="595"/>
      <c r="E4942" s="595"/>
      <c r="F4942" s="595"/>
    </row>
    <row r="4943" spans="3:6">
      <c r="C4943" s="87" t="s">
        <v>1446</v>
      </c>
      <c r="D4943" s="88"/>
      <c r="E4943" s="88"/>
      <c r="F4943" s="88"/>
    </row>
    <row r="4944" spans="3:6">
      <c r="C4944" s="87" t="s">
        <v>1447</v>
      </c>
      <c r="D4944" s="88">
        <v>8</v>
      </c>
      <c r="E4944" s="88">
        <v>22</v>
      </c>
      <c r="F4944" s="88"/>
    </row>
    <row r="4945" spans="3:6">
      <c r="C4945" s="87" t="s">
        <v>2438</v>
      </c>
      <c r="D4945" s="88"/>
      <c r="E4945" s="88"/>
      <c r="F4945" s="88"/>
    </row>
    <row r="4946" spans="3:6">
      <c r="C4946" s="87"/>
      <c r="D4946" s="87"/>
      <c r="E4946" s="87"/>
      <c r="F4946" s="87"/>
    </row>
    <row r="4947" spans="3:6">
      <c r="C4947" s="87"/>
      <c r="D4947" s="87"/>
      <c r="E4947" s="87"/>
      <c r="F4947" s="87"/>
    </row>
    <row r="4948" spans="3:6" ht="15.6">
      <c r="C4948" s="587" t="s">
        <v>2565</v>
      </c>
      <c r="D4948" s="646" t="s">
        <v>353</v>
      </c>
      <c r="E4948" s="646" t="s">
        <v>354</v>
      </c>
      <c r="F4948" s="646" t="s">
        <v>355</v>
      </c>
    </row>
    <row r="4949" spans="3:6">
      <c r="C4949" s="191" t="s">
        <v>2566</v>
      </c>
      <c r="D4949" s="125">
        <v>0.02</v>
      </c>
      <c r="E4949" s="125">
        <v>0.02</v>
      </c>
      <c r="F4949" s="125">
        <v>0.02</v>
      </c>
    </row>
    <row r="4950" spans="3:6">
      <c r="C4950" s="191" t="s">
        <v>2567</v>
      </c>
      <c r="D4950" s="125">
        <v>0.1</v>
      </c>
      <c r="E4950" s="125">
        <v>0.1</v>
      </c>
      <c r="F4950" s="125">
        <v>0.1</v>
      </c>
    </row>
    <row r="4951" spans="3:6">
      <c r="C4951" s="633" t="s">
        <v>2555</v>
      </c>
      <c r="D4951" s="125">
        <v>0.15</v>
      </c>
      <c r="E4951" s="125">
        <v>0.15</v>
      </c>
      <c r="F4951" s="125">
        <v>0.15</v>
      </c>
    </row>
    <row r="4952" spans="3:6">
      <c r="C4952" s="633" t="s">
        <v>2556</v>
      </c>
      <c r="D4952" s="125">
        <v>0.04</v>
      </c>
      <c r="E4952" s="125">
        <v>0.04</v>
      </c>
      <c r="F4952" s="125">
        <v>0</v>
      </c>
    </row>
    <row r="4953" spans="3:6">
      <c r="C4953" s="654" t="s">
        <v>2568</v>
      </c>
      <c r="D4953" s="125">
        <v>0.2</v>
      </c>
      <c r="E4953" s="125">
        <v>0.2</v>
      </c>
      <c r="F4953" s="125">
        <v>0.2</v>
      </c>
    </row>
    <row r="4954" spans="3:6">
      <c r="C4954" s="191" t="s">
        <v>2558</v>
      </c>
      <c r="D4954" s="125">
        <v>0.15</v>
      </c>
      <c r="E4954" s="125">
        <v>0.15</v>
      </c>
      <c r="F4954" s="125">
        <v>0.15</v>
      </c>
    </row>
    <row r="4955" spans="3:6" ht="28.8">
      <c r="C4955" s="191" t="s">
        <v>2559</v>
      </c>
      <c r="D4955" s="125">
        <v>0.05</v>
      </c>
      <c r="E4955" s="125">
        <v>0.02</v>
      </c>
      <c r="F4955" s="125">
        <v>0.02</v>
      </c>
    </row>
    <row r="4956" spans="3:6">
      <c r="C4956" s="191" t="s">
        <v>2560</v>
      </c>
      <c r="D4956" s="125">
        <v>0.05</v>
      </c>
      <c r="E4956" s="125">
        <v>0.02</v>
      </c>
      <c r="F4956" s="125">
        <v>0.02</v>
      </c>
    </row>
    <row r="4957" spans="3:6" ht="28.8">
      <c r="C4957" s="191" t="s">
        <v>2569</v>
      </c>
      <c r="D4957" s="125">
        <v>0.02</v>
      </c>
      <c r="E4957" s="125">
        <v>0.02</v>
      </c>
      <c r="F4957" s="125">
        <v>0.02</v>
      </c>
    </row>
    <row r="4958" spans="3:6">
      <c r="C4958" s="191" t="s">
        <v>2562</v>
      </c>
      <c r="D4958" s="125">
        <v>0.2</v>
      </c>
      <c r="E4958" s="125">
        <v>0.2</v>
      </c>
      <c r="F4958" s="125">
        <v>0.2</v>
      </c>
    </row>
    <row r="4959" spans="3:6" ht="28.8">
      <c r="C4959" s="191" t="s">
        <v>2570</v>
      </c>
      <c r="D4959" s="125">
        <v>0.02</v>
      </c>
      <c r="E4959" s="125">
        <v>0.02</v>
      </c>
      <c r="F4959" s="125">
        <v>0.02</v>
      </c>
    </row>
    <row r="4960" spans="3:6">
      <c r="C4960" s="191"/>
      <c r="D4960" s="631">
        <f>SUM(D4949:D4959)</f>
        <v>1.0000000000000002</v>
      </c>
      <c r="E4960" s="631">
        <f>SUM(E4949:E4959)</f>
        <v>0.94000000000000017</v>
      </c>
      <c r="F4960" s="631">
        <f t="shared" ref="F4960" si="244">SUM(F4949:F4959)</f>
        <v>0.90000000000000013</v>
      </c>
    </row>
    <row r="4961" spans="3:6">
      <c r="C4961" s="87"/>
      <c r="D4961" s="87"/>
      <c r="E4961" s="631">
        <f>D4960-E4960</f>
        <v>6.0000000000000053E-2</v>
      </c>
      <c r="F4961" s="631">
        <f>E4960-F4960</f>
        <v>4.0000000000000036E-2</v>
      </c>
    </row>
    <row r="4962" spans="3:6">
      <c r="C4962" s="594" t="s">
        <v>2436</v>
      </c>
      <c r="D4962" s="88">
        <v>120</v>
      </c>
      <c r="E4962" s="88"/>
      <c r="F4962" s="184"/>
    </row>
    <row r="4963" spans="3:6">
      <c r="C4963" s="87" t="s">
        <v>2571</v>
      </c>
      <c r="D4963" s="644">
        <v>10</v>
      </c>
      <c r="E4963" s="595"/>
      <c r="F4963" s="595"/>
    </row>
    <row r="4964" spans="3:6">
      <c r="C4964" s="87" t="s">
        <v>2437</v>
      </c>
      <c r="D4964" s="595"/>
      <c r="E4964" s="595"/>
      <c r="F4964" s="595"/>
    </row>
    <row r="4965" spans="3:6">
      <c r="C4965" s="87" t="s">
        <v>1446</v>
      </c>
      <c r="D4965" s="88"/>
      <c r="E4965" s="88"/>
      <c r="F4965" s="88"/>
    </row>
    <row r="4966" spans="3:6">
      <c r="C4966" s="87" t="s">
        <v>1447</v>
      </c>
      <c r="D4966" s="88">
        <v>8</v>
      </c>
      <c r="E4966" s="88">
        <v>22</v>
      </c>
      <c r="F4966" s="88"/>
    </row>
    <row r="4967" spans="3:6">
      <c r="C4967" s="87" t="s">
        <v>2438</v>
      </c>
      <c r="D4967" s="88"/>
      <c r="E4967" s="88"/>
      <c r="F4967" s="88"/>
    </row>
    <row r="4968" spans="3:6">
      <c r="C4968" s="87"/>
      <c r="D4968" s="87"/>
      <c r="E4968" s="87"/>
      <c r="F4968" s="87"/>
    </row>
    <row r="4969" spans="3:6">
      <c r="C4969" s="87"/>
      <c r="D4969" s="87"/>
      <c r="E4969" s="87"/>
      <c r="F4969" s="87"/>
    </row>
    <row r="4970" spans="3:6" ht="15.6">
      <c r="C4970" s="587" t="s">
        <v>2572</v>
      </c>
      <c r="D4970" s="646" t="s">
        <v>353</v>
      </c>
      <c r="E4970" s="646" t="s">
        <v>354</v>
      </c>
      <c r="F4970" s="646" t="s">
        <v>355</v>
      </c>
    </row>
    <row r="4971" spans="3:6">
      <c r="C4971" s="191" t="s">
        <v>2573</v>
      </c>
      <c r="D4971" s="125">
        <v>0.02</v>
      </c>
      <c r="E4971" s="125">
        <v>0.02</v>
      </c>
      <c r="F4971" s="125">
        <v>0.02</v>
      </c>
    </row>
    <row r="4972" spans="3:6" ht="28.8">
      <c r="C4972" s="191" t="s">
        <v>2574</v>
      </c>
      <c r="D4972" s="125">
        <v>0.15</v>
      </c>
      <c r="E4972" s="125">
        <v>0.15</v>
      </c>
      <c r="F4972" s="125">
        <v>0.15</v>
      </c>
    </row>
    <row r="4973" spans="3:6" ht="28.8">
      <c r="C4973" s="572" t="s">
        <v>2575</v>
      </c>
      <c r="D4973" s="125">
        <v>0.25</v>
      </c>
      <c r="E4973" s="125">
        <v>0.25</v>
      </c>
      <c r="F4973" s="125">
        <v>0.25</v>
      </c>
    </row>
    <row r="4974" spans="3:6" ht="28.8">
      <c r="C4974" s="572" t="s">
        <v>2576</v>
      </c>
      <c r="D4974" s="125">
        <v>0.4</v>
      </c>
      <c r="E4974" s="125">
        <v>0.4</v>
      </c>
      <c r="F4974" s="125">
        <v>0.4</v>
      </c>
    </row>
    <row r="4975" spans="3:6">
      <c r="C4975" s="191" t="s">
        <v>2577</v>
      </c>
      <c r="D4975" s="125">
        <v>0.15</v>
      </c>
      <c r="E4975" s="125">
        <v>0.15</v>
      </c>
      <c r="F4975" s="125">
        <v>0.15</v>
      </c>
    </row>
    <row r="4976" spans="3:6">
      <c r="C4976" s="633" t="s">
        <v>2578</v>
      </c>
      <c r="D4976" s="125">
        <v>0.03</v>
      </c>
      <c r="E4976" s="125">
        <v>0.03</v>
      </c>
      <c r="F4976" s="125">
        <v>0.03</v>
      </c>
    </row>
    <row r="4977" spans="3:6">
      <c r="C4977" s="191"/>
      <c r="D4977" s="631">
        <f>SUM(D4971:D4976)</f>
        <v>1</v>
      </c>
      <c r="E4977" s="631">
        <f>SUM(E4971:E4976)</f>
        <v>1</v>
      </c>
      <c r="F4977" s="631">
        <f t="shared" ref="F4977" si="245">SUM(F4971:F4976)</f>
        <v>1</v>
      </c>
    </row>
    <row r="4978" spans="3:6">
      <c r="C4978" s="87"/>
      <c r="D4978" s="87"/>
      <c r="E4978" s="631">
        <f>D4977-E4977</f>
        <v>0</v>
      </c>
      <c r="F4978" s="631">
        <f>E4977-F4977</f>
        <v>0</v>
      </c>
    </row>
    <row r="4979" spans="3:6">
      <c r="C4979" s="594" t="s">
        <v>2436</v>
      </c>
      <c r="D4979" s="88">
        <v>120</v>
      </c>
      <c r="E4979" s="88"/>
      <c r="F4979" s="184"/>
    </row>
    <row r="4980" spans="3:6">
      <c r="C4980" s="87" t="s">
        <v>2579</v>
      </c>
      <c r="D4980" s="644">
        <v>10</v>
      </c>
      <c r="E4980" s="595"/>
      <c r="F4980" s="595"/>
    </row>
    <row r="4981" spans="3:6">
      <c r="C4981" s="87" t="s">
        <v>2437</v>
      </c>
      <c r="D4981" s="595"/>
      <c r="E4981" s="595"/>
      <c r="F4981" s="595"/>
    </row>
    <row r="4982" spans="3:6">
      <c r="C4982" s="87" t="s">
        <v>1446</v>
      </c>
      <c r="D4982" s="88"/>
      <c r="E4982" s="88"/>
      <c r="F4982" s="88"/>
    </row>
    <row r="4983" spans="3:6">
      <c r="C4983" s="87" t="s">
        <v>1447</v>
      </c>
      <c r="D4983" s="88">
        <v>8</v>
      </c>
      <c r="E4983" s="88">
        <v>22</v>
      </c>
      <c r="F4983" s="88"/>
    </row>
    <row r="4984" spans="3:6">
      <c r="C4984" s="87" t="s">
        <v>2438</v>
      </c>
      <c r="D4984" s="88"/>
      <c r="E4984" s="88"/>
      <c r="F4984" s="88"/>
    </row>
    <row r="4985" spans="3:6">
      <c r="C4985" s="87"/>
      <c r="D4985" s="88"/>
      <c r="E4985" s="88"/>
      <c r="F4985" s="88"/>
    </row>
    <row r="4986" spans="3:6">
      <c r="C4986" s="87"/>
      <c r="D4986" s="87"/>
      <c r="E4986" s="87"/>
      <c r="F4986" s="87"/>
    </row>
    <row r="4987" spans="3:6">
      <c r="C4987" s="87"/>
      <c r="D4987" s="87"/>
      <c r="E4987" s="87"/>
      <c r="F4987" s="87"/>
    </row>
    <row r="4988" spans="3:6" ht="15.6">
      <c r="C4988" s="587" t="s">
        <v>2580</v>
      </c>
      <c r="D4988" s="646" t="s">
        <v>353</v>
      </c>
      <c r="E4988" s="646" t="s">
        <v>354</v>
      </c>
      <c r="F4988" s="646" t="s">
        <v>355</v>
      </c>
    </row>
    <row r="4989" spans="3:6">
      <c r="C4989" s="191" t="s">
        <v>2581</v>
      </c>
      <c r="D4989" s="125">
        <v>0.02</v>
      </c>
      <c r="E4989" s="125">
        <v>0.02</v>
      </c>
      <c r="F4989" s="125">
        <v>0.02</v>
      </c>
    </row>
    <row r="4990" spans="3:6">
      <c r="C4990" s="191" t="s">
        <v>2582</v>
      </c>
      <c r="D4990" s="125">
        <v>0.5</v>
      </c>
      <c r="E4990" s="125">
        <v>0.5</v>
      </c>
      <c r="F4990" s="125">
        <v>0.5</v>
      </c>
    </row>
    <row r="4991" spans="3:6">
      <c r="C4991" s="572" t="s">
        <v>2583</v>
      </c>
      <c r="D4991" s="125">
        <v>0.4</v>
      </c>
      <c r="E4991" s="125">
        <v>0.4</v>
      </c>
      <c r="F4991" s="125">
        <v>0.4</v>
      </c>
    </row>
    <row r="4992" spans="3:6">
      <c r="C4992" s="572" t="s">
        <v>2584</v>
      </c>
      <c r="D4992" s="125">
        <v>0.08</v>
      </c>
      <c r="E4992" s="125">
        <v>0.08</v>
      </c>
      <c r="F4992" s="125">
        <v>0.08</v>
      </c>
    </row>
    <row r="4993" spans="3:6">
      <c r="C4993" s="191"/>
      <c r="D4993" s="631">
        <f>SUM(D4989:D4992)</f>
        <v>1</v>
      </c>
      <c r="E4993" s="631">
        <f>SUM(E4989:E4992)</f>
        <v>1</v>
      </c>
      <c r="F4993" s="631">
        <f t="shared" ref="F4993" si="246">SUM(F4989:F4992)</f>
        <v>1</v>
      </c>
    </row>
    <row r="4994" spans="3:6">
      <c r="C4994" s="87"/>
      <c r="D4994" s="87"/>
      <c r="E4994" s="631">
        <f>D4993-E4993</f>
        <v>0</v>
      </c>
      <c r="F4994" s="631">
        <f>E4993-F4993</f>
        <v>0</v>
      </c>
    </row>
    <row r="4995" spans="3:6">
      <c r="C4995" s="594" t="s">
        <v>2436</v>
      </c>
      <c r="D4995" s="88">
        <v>120</v>
      </c>
      <c r="E4995" s="88"/>
      <c r="F4995" s="184"/>
    </row>
    <row r="4996" spans="3:6">
      <c r="C4996" s="87" t="s">
        <v>2579</v>
      </c>
      <c r="D4996" s="644">
        <v>10</v>
      </c>
      <c r="E4996" s="595"/>
      <c r="F4996" s="595"/>
    </row>
    <row r="4997" spans="3:6">
      <c r="C4997" s="87" t="s">
        <v>2437</v>
      </c>
      <c r="D4997" s="595"/>
      <c r="E4997" s="595"/>
      <c r="F4997" s="595"/>
    </row>
    <row r="4998" spans="3:6">
      <c r="C4998" s="87" t="s">
        <v>1446</v>
      </c>
      <c r="D4998" s="88"/>
      <c r="E4998" s="88"/>
      <c r="F4998" s="88"/>
    </row>
    <row r="4999" spans="3:6">
      <c r="C4999" s="87" t="s">
        <v>1447</v>
      </c>
      <c r="D4999" s="88">
        <v>8</v>
      </c>
      <c r="E4999" s="88">
        <v>22</v>
      </c>
      <c r="F4999" s="88"/>
    </row>
    <row r="5000" spans="3:6">
      <c r="C5000" s="87" t="s">
        <v>2438</v>
      </c>
      <c r="D5000" s="88"/>
      <c r="E5000" s="88"/>
      <c r="F5000" s="88"/>
    </row>
    <row r="5001" spans="3:6">
      <c r="C5001" s="87"/>
      <c r="D5001" s="88"/>
      <c r="E5001" s="88"/>
      <c r="F5001" s="88"/>
    </row>
    <row r="5002" spans="3:6">
      <c r="C5002" s="87"/>
      <c r="D5002" s="87"/>
      <c r="E5002" s="87"/>
      <c r="F5002" s="87"/>
    </row>
    <row r="5003" spans="3:6">
      <c r="C5003" s="87"/>
      <c r="D5003" s="87"/>
      <c r="E5003" s="87"/>
      <c r="F5003" s="87"/>
    </row>
    <row r="5004" spans="3:6" ht="15.6">
      <c r="C5004" s="587" t="s">
        <v>2585</v>
      </c>
      <c r="D5004" s="646" t="s">
        <v>353</v>
      </c>
      <c r="E5004" s="646" t="s">
        <v>354</v>
      </c>
      <c r="F5004" s="646" t="s">
        <v>355</v>
      </c>
    </row>
    <row r="5005" spans="3:6">
      <c r="C5005" s="191" t="s">
        <v>2586</v>
      </c>
      <c r="D5005" s="125">
        <v>0.15</v>
      </c>
      <c r="E5005" s="125">
        <v>0.15</v>
      </c>
      <c r="F5005" s="125">
        <v>0</v>
      </c>
    </row>
    <row r="5006" spans="3:6">
      <c r="C5006" s="191" t="s">
        <v>2587</v>
      </c>
      <c r="D5006" s="125">
        <v>0.1</v>
      </c>
      <c r="E5006" s="125">
        <v>0.1</v>
      </c>
      <c r="F5006" s="125">
        <v>0</v>
      </c>
    </row>
    <row r="5007" spans="3:6">
      <c r="C5007" s="572" t="s">
        <v>2588</v>
      </c>
      <c r="D5007" s="125">
        <v>0.1</v>
      </c>
      <c r="E5007" s="125">
        <v>0.1</v>
      </c>
      <c r="F5007" s="125">
        <v>0</v>
      </c>
    </row>
    <row r="5008" spans="3:6">
      <c r="C5008" s="572" t="s">
        <v>2589</v>
      </c>
      <c r="D5008" s="125">
        <v>0</v>
      </c>
      <c r="E5008" s="125">
        <v>0</v>
      </c>
      <c r="F5008" s="125">
        <v>0.05</v>
      </c>
    </row>
    <row r="5009" spans="3:6">
      <c r="C5009" s="572" t="s">
        <v>2590</v>
      </c>
      <c r="D5009" s="125">
        <v>0.05</v>
      </c>
      <c r="E5009" s="125">
        <v>0.05</v>
      </c>
      <c r="F5009" s="125">
        <v>0.05</v>
      </c>
    </row>
    <row r="5010" spans="3:6" ht="28.8">
      <c r="C5010" s="572" t="s">
        <v>2591</v>
      </c>
      <c r="D5010" s="125">
        <v>0.25</v>
      </c>
      <c r="E5010" s="125">
        <v>0.25</v>
      </c>
      <c r="F5010" s="125">
        <v>0.25</v>
      </c>
    </row>
    <row r="5011" spans="3:6" ht="28.8">
      <c r="C5011" s="572" t="s">
        <v>2592</v>
      </c>
      <c r="D5011" s="125">
        <v>0.15</v>
      </c>
      <c r="E5011" s="125">
        <v>0.15</v>
      </c>
      <c r="F5011" s="125">
        <v>0.15</v>
      </c>
    </row>
    <row r="5012" spans="3:6" ht="28.8">
      <c r="C5012" s="572" t="s">
        <v>2593</v>
      </c>
      <c r="D5012" s="125">
        <v>0.15</v>
      </c>
      <c r="E5012" s="125">
        <v>0.15</v>
      </c>
      <c r="F5012" s="125">
        <v>0.15</v>
      </c>
    </row>
    <row r="5013" spans="3:6">
      <c r="C5013" s="572" t="s">
        <v>2594</v>
      </c>
      <c r="D5013" s="125">
        <v>0.05</v>
      </c>
      <c r="E5013" s="125">
        <v>0.05</v>
      </c>
      <c r="F5013" s="125">
        <v>0.05</v>
      </c>
    </row>
    <row r="5014" spans="3:6">
      <c r="C5014" s="191"/>
      <c r="D5014" s="631">
        <f>SUM(D5005:D5013)</f>
        <v>1</v>
      </c>
      <c r="E5014" s="631">
        <f>SUM(E5005:E5013)</f>
        <v>1</v>
      </c>
      <c r="F5014" s="631">
        <f t="shared" ref="F5014" si="247">SUM(F5005:F5013)</f>
        <v>0.70000000000000007</v>
      </c>
    </row>
    <row r="5015" spans="3:6">
      <c r="C5015" s="87"/>
      <c r="D5015" s="87"/>
      <c r="E5015" s="631">
        <f>D5014-E5014</f>
        <v>0</v>
      </c>
      <c r="F5015" s="631">
        <f>E5014-F5014</f>
        <v>0.29999999999999993</v>
      </c>
    </row>
    <row r="5016" spans="3:6">
      <c r="C5016" s="594" t="s">
        <v>2436</v>
      </c>
      <c r="D5016" s="88">
        <v>60</v>
      </c>
      <c r="E5016" s="88"/>
      <c r="F5016" s="184"/>
    </row>
    <row r="5017" spans="3:6">
      <c r="C5017" s="87" t="s">
        <v>2595</v>
      </c>
      <c r="D5017" s="644">
        <v>10</v>
      </c>
      <c r="E5017" s="595"/>
      <c r="F5017" s="595"/>
    </row>
    <row r="5018" spans="3:6">
      <c r="C5018" s="87" t="s">
        <v>2437</v>
      </c>
      <c r="D5018" s="595"/>
      <c r="E5018" s="595"/>
      <c r="F5018" s="595"/>
    </row>
    <row r="5019" spans="3:6">
      <c r="C5019" s="87" t="s">
        <v>1446</v>
      </c>
      <c r="D5019" s="88"/>
      <c r="E5019" s="88"/>
      <c r="F5019" s="88"/>
    </row>
    <row r="5020" spans="3:6">
      <c r="C5020" s="87" t="s">
        <v>1447</v>
      </c>
      <c r="D5020" s="88">
        <v>8</v>
      </c>
      <c r="E5020" s="88">
        <v>22</v>
      </c>
      <c r="F5020" s="88"/>
    </row>
    <row r="5021" spans="3:6">
      <c r="C5021" s="87" t="s">
        <v>2438</v>
      </c>
      <c r="D5021" s="88"/>
      <c r="E5021" s="88"/>
      <c r="F5021" s="88"/>
    </row>
    <row r="5022" spans="3:6">
      <c r="C5022" s="87"/>
      <c r="D5022" s="88"/>
      <c r="E5022" s="88"/>
      <c r="F5022" s="88"/>
    </row>
    <row r="5023" spans="3:6">
      <c r="C5023" s="87"/>
      <c r="D5023" s="87"/>
      <c r="E5023" s="87"/>
      <c r="F5023" s="87"/>
    </row>
    <row r="5024" spans="3:6">
      <c r="C5024" s="87"/>
      <c r="D5024" s="87"/>
      <c r="E5024" s="87"/>
      <c r="F5024" s="87"/>
    </row>
    <row r="5025" spans="3:6">
      <c r="C5025" s="87"/>
      <c r="D5025" s="87"/>
      <c r="E5025" s="87"/>
      <c r="F5025" s="87"/>
    </row>
    <row r="5026" spans="3:6" ht="15.6">
      <c r="C5026" s="587" t="s">
        <v>2596</v>
      </c>
      <c r="D5026" s="646" t="s">
        <v>353</v>
      </c>
      <c r="E5026" s="646" t="s">
        <v>354</v>
      </c>
      <c r="F5026" s="646" t="s">
        <v>355</v>
      </c>
    </row>
    <row r="5027" spans="3:6">
      <c r="C5027" s="191" t="s">
        <v>2597</v>
      </c>
      <c r="D5027" s="125">
        <v>0.02</v>
      </c>
      <c r="E5027" s="125">
        <v>0.02</v>
      </c>
      <c r="F5027" s="125">
        <v>0.02</v>
      </c>
    </row>
    <row r="5028" spans="3:6">
      <c r="C5028" s="191" t="s">
        <v>2598</v>
      </c>
      <c r="D5028" s="125">
        <v>0.15</v>
      </c>
      <c r="E5028" s="125">
        <v>0.15</v>
      </c>
      <c r="F5028" s="125">
        <v>0.15</v>
      </c>
    </row>
    <row r="5029" spans="3:6">
      <c r="C5029" s="572" t="s">
        <v>2599</v>
      </c>
      <c r="D5029" s="125">
        <v>0.05</v>
      </c>
      <c r="E5029" s="125">
        <v>0.05</v>
      </c>
      <c r="F5029" s="125">
        <v>0.05</v>
      </c>
    </row>
    <row r="5030" spans="3:6">
      <c r="C5030" s="572" t="s">
        <v>2600</v>
      </c>
      <c r="D5030" s="125">
        <v>0.35</v>
      </c>
      <c r="E5030" s="125">
        <v>0.35</v>
      </c>
      <c r="F5030" s="125">
        <v>0.35</v>
      </c>
    </row>
    <row r="5031" spans="3:6">
      <c r="C5031" s="572" t="s">
        <v>2601</v>
      </c>
      <c r="D5031" s="125">
        <v>0.13</v>
      </c>
      <c r="E5031" s="125">
        <v>0.13</v>
      </c>
      <c r="F5031" s="125">
        <v>0.13</v>
      </c>
    </row>
    <row r="5032" spans="3:6">
      <c r="C5032" s="572" t="s">
        <v>2602</v>
      </c>
      <c r="D5032" s="125">
        <v>0.05</v>
      </c>
      <c r="E5032" s="125">
        <v>0.05</v>
      </c>
      <c r="F5032" s="125">
        <v>0.05</v>
      </c>
    </row>
    <row r="5033" spans="3:6" ht="28.8">
      <c r="C5033" s="572" t="s">
        <v>2603</v>
      </c>
      <c r="D5033" s="125">
        <v>0.05</v>
      </c>
      <c r="E5033" s="125">
        <v>0.05</v>
      </c>
      <c r="F5033" s="125">
        <v>0.05</v>
      </c>
    </row>
    <row r="5034" spans="3:6">
      <c r="C5034" s="572" t="s">
        <v>2604</v>
      </c>
      <c r="D5034" s="125">
        <v>0.05</v>
      </c>
      <c r="E5034" s="125">
        <v>0.05</v>
      </c>
      <c r="F5034" s="125">
        <v>0.05</v>
      </c>
    </row>
    <row r="5035" spans="3:6">
      <c r="C5035" s="572" t="s">
        <v>2605</v>
      </c>
      <c r="D5035" s="125">
        <v>0.15</v>
      </c>
      <c r="E5035" s="125">
        <v>0.15</v>
      </c>
      <c r="F5035" s="125">
        <v>0.15</v>
      </c>
    </row>
    <row r="5036" spans="3:6">
      <c r="C5036" s="191"/>
      <c r="D5036" s="631">
        <f>SUM(D5027:D5035)</f>
        <v>1</v>
      </c>
      <c r="E5036" s="631">
        <f>SUM(E5027:E5035)</f>
        <v>1</v>
      </c>
      <c r="F5036" s="631">
        <f t="shared" ref="F5036" si="248">SUM(F5027:F5035)</f>
        <v>1</v>
      </c>
    </row>
    <row r="5037" spans="3:6">
      <c r="C5037" s="87"/>
      <c r="D5037" s="87"/>
      <c r="E5037" s="631">
        <f>D5036-E5036</f>
        <v>0</v>
      </c>
      <c r="F5037" s="631">
        <f>E5036-F5036</f>
        <v>0</v>
      </c>
    </row>
    <row r="5038" spans="3:6">
      <c r="C5038" s="594" t="s">
        <v>2436</v>
      </c>
      <c r="D5038" s="88">
        <v>60</v>
      </c>
      <c r="E5038" s="88"/>
      <c r="F5038" s="184"/>
    </row>
    <row r="5039" spans="3:6">
      <c r="C5039" s="87" t="s">
        <v>2579</v>
      </c>
      <c r="D5039" s="644">
        <v>10</v>
      </c>
      <c r="E5039" s="595"/>
      <c r="F5039" s="595"/>
    </row>
    <row r="5040" spans="3:6">
      <c r="C5040" s="87" t="s">
        <v>2437</v>
      </c>
      <c r="D5040" s="595"/>
      <c r="E5040" s="595"/>
      <c r="F5040" s="595"/>
    </row>
    <row r="5041" spans="3:6">
      <c r="C5041" s="87" t="s">
        <v>1446</v>
      </c>
      <c r="D5041" s="88"/>
      <c r="E5041" s="88"/>
      <c r="F5041" s="88"/>
    </row>
    <row r="5042" spans="3:6">
      <c r="C5042" s="87" t="s">
        <v>1447</v>
      </c>
      <c r="D5042" s="88">
        <v>8</v>
      </c>
      <c r="E5042" s="88">
        <v>22</v>
      </c>
      <c r="F5042" s="88"/>
    </row>
    <row r="5043" spans="3:6">
      <c r="C5043" s="87" t="s">
        <v>2438</v>
      </c>
      <c r="D5043" s="88"/>
      <c r="E5043" s="88"/>
      <c r="F5043" s="88"/>
    </row>
    <row r="5044" spans="3:6">
      <c r="C5044" s="87"/>
      <c r="D5044" s="88"/>
      <c r="E5044" s="88"/>
      <c r="F5044" s="88"/>
    </row>
    <row r="5045" spans="3:6">
      <c r="C5045" s="87"/>
      <c r="D5045" s="87"/>
      <c r="E5045" s="87"/>
      <c r="F5045" s="87"/>
    </row>
    <row r="5046" spans="3:6">
      <c r="C5046" s="87"/>
      <c r="D5046" s="87"/>
      <c r="E5046" s="87"/>
      <c r="F5046" s="87"/>
    </row>
    <row r="5047" spans="3:6" ht="15.6">
      <c r="C5047" s="587" t="s">
        <v>2606</v>
      </c>
      <c r="D5047" s="646" t="s">
        <v>353</v>
      </c>
      <c r="E5047" s="646" t="s">
        <v>354</v>
      </c>
      <c r="F5047" s="646" t="s">
        <v>355</v>
      </c>
    </row>
    <row r="5048" spans="3:6">
      <c r="C5048" s="191" t="s">
        <v>2607</v>
      </c>
      <c r="D5048" s="125">
        <v>0.01</v>
      </c>
      <c r="E5048" s="125">
        <v>0.01</v>
      </c>
      <c r="F5048" s="125">
        <v>0.01</v>
      </c>
    </row>
    <row r="5049" spans="3:6">
      <c r="C5049" s="191" t="s">
        <v>2608</v>
      </c>
      <c r="D5049" s="125">
        <v>0.05</v>
      </c>
      <c r="E5049" s="125">
        <v>0.05</v>
      </c>
      <c r="F5049" s="125">
        <v>0.05</v>
      </c>
    </row>
    <row r="5050" spans="3:6" ht="28.8">
      <c r="C5050" s="572" t="s">
        <v>2609</v>
      </c>
      <c r="D5050" s="125">
        <v>0.05</v>
      </c>
      <c r="E5050" s="125">
        <v>0.05</v>
      </c>
      <c r="F5050" s="125">
        <v>0.05</v>
      </c>
    </row>
    <row r="5051" spans="3:6">
      <c r="C5051" s="572" t="s">
        <v>2610</v>
      </c>
      <c r="D5051" s="125">
        <v>0.02</v>
      </c>
      <c r="E5051" s="125">
        <v>0.02</v>
      </c>
      <c r="F5051" s="125">
        <v>0.02</v>
      </c>
    </row>
    <row r="5052" spans="3:6" ht="28.8">
      <c r="C5052" s="572" t="s">
        <v>2611</v>
      </c>
      <c r="D5052" s="125">
        <v>0.4</v>
      </c>
      <c r="E5052" s="125">
        <v>0.4</v>
      </c>
      <c r="F5052" s="125">
        <v>0.4</v>
      </c>
    </row>
    <row r="5053" spans="3:6">
      <c r="C5053" s="572" t="s">
        <v>2612</v>
      </c>
      <c r="D5053" s="125">
        <v>0.15</v>
      </c>
      <c r="E5053" s="125">
        <v>0.15</v>
      </c>
      <c r="F5053" s="125">
        <v>0.15</v>
      </c>
    </row>
    <row r="5054" spans="3:6">
      <c r="C5054" s="572" t="s">
        <v>2613</v>
      </c>
      <c r="D5054" s="125">
        <v>0.25</v>
      </c>
      <c r="E5054" s="125">
        <v>0.25</v>
      </c>
      <c r="F5054" s="125">
        <v>0.25</v>
      </c>
    </row>
    <row r="5055" spans="3:6">
      <c r="C5055" s="572" t="s">
        <v>2614</v>
      </c>
      <c r="D5055" s="125">
        <v>0.02</v>
      </c>
      <c r="E5055" s="125">
        <v>0.02</v>
      </c>
      <c r="F5055" s="125">
        <v>0.02</v>
      </c>
    </row>
    <row r="5056" spans="3:6" ht="28.8">
      <c r="C5056" s="572" t="s">
        <v>2615</v>
      </c>
      <c r="D5056" s="125">
        <v>0.05</v>
      </c>
      <c r="E5056" s="125">
        <v>0.05</v>
      </c>
      <c r="F5056" s="125">
        <v>0.05</v>
      </c>
    </row>
    <row r="5057" spans="3:6">
      <c r="C5057" s="572" t="s">
        <v>2616</v>
      </c>
      <c r="D5057" s="125">
        <v>0</v>
      </c>
      <c r="E5057" s="125">
        <v>0</v>
      </c>
      <c r="F5057" s="125">
        <v>0</v>
      </c>
    </row>
    <row r="5058" spans="3:6">
      <c r="C5058" s="191"/>
      <c r="D5058" s="631">
        <f>SUM(D5048:D5056)</f>
        <v>1</v>
      </c>
      <c r="E5058" s="631">
        <f>SUM(E5048:E5056)</f>
        <v>1</v>
      </c>
      <c r="F5058" s="631">
        <f t="shared" ref="F5058" si="249">SUM(F5048:F5056)</f>
        <v>1</v>
      </c>
    </row>
    <row r="5059" spans="3:6">
      <c r="C5059" s="87"/>
      <c r="D5059" s="87"/>
      <c r="E5059" s="631">
        <f>D5058-E5058</f>
        <v>0</v>
      </c>
      <c r="F5059" s="631">
        <f>E5058-F5058</f>
        <v>0</v>
      </c>
    </row>
    <row r="5060" spans="3:6">
      <c r="C5060" s="594" t="s">
        <v>2436</v>
      </c>
      <c r="D5060" s="88">
        <v>60</v>
      </c>
      <c r="E5060" s="88"/>
      <c r="F5060" s="184"/>
    </row>
    <row r="5061" spans="3:6">
      <c r="C5061" s="87" t="s">
        <v>2617</v>
      </c>
      <c r="D5061" s="644">
        <v>10</v>
      </c>
      <c r="E5061" s="595"/>
      <c r="F5061" s="595"/>
    </row>
    <row r="5062" spans="3:6">
      <c r="C5062" s="87" t="s">
        <v>2437</v>
      </c>
      <c r="D5062" s="595"/>
      <c r="E5062" s="595"/>
      <c r="F5062" s="595"/>
    </row>
    <row r="5063" spans="3:6">
      <c r="C5063" s="87" t="s">
        <v>1446</v>
      </c>
      <c r="D5063" s="88"/>
      <c r="E5063" s="88"/>
      <c r="F5063" s="88"/>
    </row>
    <row r="5064" spans="3:6">
      <c r="C5064" s="87" t="s">
        <v>1447</v>
      </c>
      <c r="D5064" s="88">
        <v>8</v>
      </c>
      <c r="E5064" s="88">
        <v>22</v>
      </c>
      <c r="F5064" s="88"/>
    </row>
    <row r="5065" spans="3:6">
      <c r="C5065" s="87" t="s">
        <v>2438</v>
      </c>
      <c r="D5065" s="88"/>
      <c r="E5065" s="88"/>
      <c r="F5065" s="88"/>
    </row>
    <row r="5066" spans="3:6">
      <c r="C5066" s="87"/>
      <c r="D5066" s="88"/>
      <c r="E5066" s="88"/>
      <c r="F5066" s="88"/>
    </row>
    <row r="5067" spans="3:6">
      <c r="C5067" s="87"/>
      <c r="D5067" s="87"/>
      <c r="E5067" s="87"/>
      <c r="F5067" s="87"/>
    </row>
    <row r="5068" spans="3:6">
      <c r="C5068" s="87"/>
      <c r="D5068" s="87"/>
      <c r="E5068" s="87"/>
      <c r="F5068" s="87"/>
    </row>
    <row r="5069" spans="3:6" ht="15.6">
      <c r="C5069" s="587" t="s">
        <v>2618</v>
      </c>
      <c r="D5069" s="646" t="s">
        <v>353</v>
      </c>
      <c r="E5069" s="646" t="s">
        <v>354</v>
      </c>
      <c r="F5069" s="646" t="s">
        <v>355</v>
      </c>
    </row>
    <row r="5070" spans="3:6">
      <c r="C5070" s="191" t="s">
        <v>2619</v>
      </c>
      <c r="D5070" s="125">
        <v>0.01</v>
      </c>
      <c r="E5070" s="125">
        <v>0.01</v>
      </c>
      <c r="F5070" s="125">
        <v>0.01</v>
      </c>
    </row>
    <row r="5071" spans="3:6">
      <c r="C5071" s="191" t="s">
        <v>2620</v>
      </c>
      <c r="D5071" s="125">
        <v>0.05</v>
      </c>
      <c r="E5071" s="125">
        <v>0.05</v>
      </c>
      <c r="F5071" s="125">
        <v>0.05</v>
      </c>
    </row>
    <row r="5072" spans="3:6" ht="28.8">
      <c r="C5072" s="572" t="s">
        <v>2609</v>
      </c>
      <c r="D5072" s="125">
        <v>0.05</v>
      </c>
      <c r="E5072" s="125">
        <v>0.05</v>
      </c>
      <c r="F5072" s="125">
        <v>0.05</v>
      </c>
    </row>
    <row r="5073" spans="3:6">
      <c r="C5073" s="572" t="s">
        <v>2610</v>
      </c>
      <c r="D5073" s="125">
        <v>0.02</v>
      </c>
      <c r="E5073" s="125">
        <v>0.02</v>
      </c>
      <c r="F5073" s="125">
        <v>0.02</v>
      </c>
    </row>
    <row r="5074" spans="3:6">
      <c r="C5074" s="572" t="s">
        <v>2621</v>
      </c>
      <c r="D5074" s="125">
        <v>0.3</v>
      </c>
      <c r="E5074" s="125">
        <v>0.3</v>
      </c>
      <c r="F5074" s="125">
        <v>0.3</v>
      </c>
    </row>
    <row r="5075" spans="3:6">
      <c r="C5075" s="572" t="s">
        <v>2622</v>
      </c>
      <c r="D5075" s="125">
        <v>0.15</v>
      </c>
      <c r="E5075" s="125">
        <v>0.15</v>
      </c>
      <c r="F5075" s="125">
        <v>0.15</v>
      </c>
    </row>
    <row r="5076" spans="3:6">
      <c r="C5076" s="572" t="s">
        <v>2613</v>
      </c>
      <c r="D5076" s="125">
        <v>0.25</v>
      </c>
      <c r="E5076" s="125">
        <v>0.25</v>
      </c>
      <c r="F5076" s="125">
        <v>0.25</v>
      </c>
    </row>
    <row r="5077" spans="3:6">
      <c r="C5077" s="572" t="s">
        <v>2614</v>
      </c>
      <c r="D5077" s="125">
        <v>0.02</v>
      </c>
      <c r="E5077" s="125">
        <v>0.02</v>
      </c>
      <c r="F5077" s="125">
        <v>0.02</v>
      </c>
    </row>
    <row r="5078" spans="3:6" ht="28.8">
      <c r="C5078" s="572" t="s">
        <v>2623</v>
      </c>
      <c r="D5078" s="125">
        <v>0.05</v>
      </c>
      <c r="E5078" s="125">
        <v>0.05</v>
      </c>
      <c r="F5078" s="125">
        <v>0.05</v>
      </c>
    </row>
    <row r="5079" spans="3:6">
      <c r="C5079" s="572" t="s">
        <v>2616</v>
      </c>
      <c r="D5079" s="125">
        <v>0</v>
      </c>
      <c r="E5079" s="125">
        <v>0</v>
      </c>
      <c r="F5079" s="125">
        <v>0</v>
      </c>
    </row>
    <row r="5080" spans="3:6">
      <c r="C5080" s="572" t="s">
        <v>2624</v>
      </c>
      <c r="D5080" s="125">
        <v>0.1</v>
      </c>
      <c r="E5080" s="125">
        <v>0.1</v>
      </c>
      <c r="F5080" s="125">
        <v>0.1</v>
      </c>
    </row>
    <row r="5081" spans="3:6">
      <c r="C5081" s="191"/>
      <c r="D5081" s="631">
        <f>SUM(D5070:D5080)</f>
        <v>1</v>
      </c>
      <c r="E5081" s="631">
        <f>SUM(E5070:E5080)</f>
        <v>1</v>
      </c>
      <c r="F5081" s="631">
        <f t="shared" ref="F5081" si="250">SUM(F5070:F5080)</f>
        <v>1</v>
      </c>
    </row>
    <row r="5082" spans="3:6">
      <c r="C5082" s="87"/>
      <c r="D5082" s="87"/>
      <c r="E5082" s="631">
        <f>D5081-E5081</f>
        <v>0</v>
      </c>
      <c r="F5082" s="631">
        <f>E5081-F5081</f>
        <v>0</v>
      </c>
    </row>
    <row r="5083" spans="3:6">
      <c r="C5083" s="594" t="s">
        <v>2436</v>
      </c>
      <c r="D5083" s="88">
        <v>60</v>
      </c>
      <c r="E5083" s="88"/>
      <c r="F5083" s="184"/>
    </row>
    <row r="5084" spans="3:6">
      <c r="C5084" s="87" t="s">
        <v>2625</v>
      </c>
      <c r="D5084" s="644">
        <v>10</v>
      </c>
      <c r="E5084" s="595"/>
      <c r="F5084" s="595"/>
    </row>
    <row r="5085" spans="3:6">
      <c r="C5085" s="87" t="s">
        <v>2437</v>
      </c>
      <c r="D5085" s="595"/>
      <c r="E5085" s="595"/>
      <c r="F5085" s="595"/>
    </row>
    <row r="5086" spans="3:6">
      <c r="C5086" s="87" t="s">
        <v>1446</v>
      </c>
      <c r="D5086" s="88"/>
      <c r="E5086" s="88"/>
      <c r="F5086" s="88"/>
    </row>
    <row r="5087" spans="3:6">
      <c r="C5087" s="87" t="s">
        <v>1447</v>
      </c>
      <c r="D5087" s="88">
        <v>8</v>
      </c>
      <c r="E5087" s="88">
        <v>22</v>
      </c>
      <c r="F5087" s="88"/>
    </row>
    <row r="5088" spans="3:6">
      <c r="C5088" s="87" t="s">
        <v>2438</v>
      </c>
      <c r="D5088" s="88"/>
      <c r="E5088" s="88"/>
      <c r="F5088" s="88"/>
    </row>
    <row r="5089" spans="3:6">
      <c r="C5089" s="87"/>
      <c r="D5089" s="88"/>
      <c r="E5089" s="88"/>
      <c r="F5089" s="88"/>
    </row>
    <row r="5090" spans="3:6">
      <c r="C5090" s="87"/>
      <c r="D5090" s="87"/>
      <c r="E5090" s="87"/>
      <c r="F5090" s="87"/>
    </row>
    <row r="5091" spans="3:6">
      <c r="C5091" s="87"/>
      <c r="D5091" s="87"/>
      <c r="E5091" s="87"/>
      <c r="F5091" s="87"/>
    </row>
    <row r="5092" spans="3:6" ht="15.6">
      <c r="C5092" s="587" t="s">
        <v>2626</v>
      </c>
      <c r="D5092" s="646" t="s">
        <v>353</v>
      </c>
      <c r="E5092" s="646" t="s">
        <v>354</v>
      </c>
      <c r="F5092" s="646" t="s">
        <v>355</v>
      </c>
    </row>
    <row r="5093" spans="3:6">
      <c r="C5093" s="191" t="s">
        <v>2627</v>
      </c>
      <c r="D5093" s="125">
        <v>0.01</v>
      </c>
      <c r="E5093" s="125">
        <v>0.01</v>
      </c>
      <c r="F5093" s="125">
        <v>0.01</v>
      </c>
    </row>
    <row r="5094" spans="3:6" ht="28.8">
      <c r="C5094" s="191" t="s">
        <v>2628</v>
      </c>
      <c r="D5094" s="125">
        <v>0.1</v>
      </c>
      <c r="E5094" s="125">
        <v>0.1</v>
      </c>
      <c r="F5094" s="125">
        <v>0.1</v>
      </c>
    </row>
    <row r="5095" spans="3:6">
      <c r="C5095" s="572" t="s">
        <v>2629</v>
      </c>
      <c r="D5095" s="125">
        <v>0.05</v>
      </c>
      <c r="E5095" s="125">
        <v>0.05</v>
      </c>
      <c r="F5095" s="125">
        <v>0.05</v>
      </c>
    </row>
    <row r="5096" spans="3:6">
      <c r="C5096" s="572" t="s">
        <v>2630</v>
      </c>
      <c r="D5096" s="125">
        <v>0.1</v>
      </c>
      <c r="E5096" s="125">
        <v>0.1</v>
      </c>
      <c r="F5096" s="125">
        <v>0.1</v>
      </c>
    </row>
    <row r="5097" spans="3:6">
      <c r="C5097" s="572" t="s">
        <v>2631</v>
      </c>
      <c r="D5097" s="125">
        <v>0.05</v>
      </c>
      <c r="E5097" s="125">
        <v>0.05</v>
      </c>
      <c r="F5097" s="125">
        <v>0.05</v>
      </c>
    </row>
    <row r="5098" spans="3:6">
      <c r="C5098" s="572" t="s">
        <v>2632</v>
      </c>
      <c r="D5098" s="125">
        <v>0.05</v>
      </c>
      <c r="E5098" s="125">
        <v>0.05</v>
      </c>
      <c r="F5098" s="125">
        <v>0.05</v>
      </c>
    </row>
    <row r="5099" spans="3:6">
      <c r="C5099" s="572" t="s">
        <v>2633</v>
      </c>
      <c r="D5099" s="125">
        <v>0.1</v>
      </c>
      <c r="E5099" s="125">
        <v>0.1</v>
      </c>
      <c r="F5099" s="125">
        <v>0.1</v>
      </c>
    </row>
    <row r="5100" spans="3:6">
      <c r="C5100" s="572" t="s">
        <v>2613</v>
      </c>
      <c r="D5100" s="125">
        <v>0.3</v>
      </c>
      <c r="E5100" s="125">
        <v>0.3</v>
      </c>
      <c r="F5100" s="125">
        <v>0.3</v>
      </c>
    </row>
    <row r="5101" spans="3:6">
      <c r="C5101" s="572" t="s">
        <v>2634</v>
      </c>
      <c r="D5101" s="125">
        <v>0.02</v>
      </c>
      <c r="E5101" s="125">
        <v>0.02</v>
      </c>
      <c r="F5101" s="125">
        <v>0.02</v>
      </c>
    </row>
    <row r="5102" spans="3:6">
      <c r="C5102" s="572" t="s">
        <v>2635</v>
      </c>
      <c r="D5102" s="125">
        <v>0.02</v>
      </c>
      <c r="E5102" s="125">
        <v>0.02</v>
      </c>
      <c r="F5102" s="125">
        <v>0.02</v>
      </c>
    </row>
    <row r="5103" spans="3:6" ht="28.8">
      <c r="C5103" s="572" t="s">
        <v>2636</v>
      </c>
      <c r="D5103" s="125">
        <v>0.05</v>
      </c>
      <c r="E5103" s="125">
        <v>0.05</v>
      </c>
      <c r="F5103" s="125">
        <v>0.05</v>
      </c>
    </row>
    <row r="5104" spans="3:6">
      <c r="C5104" s="572" t="s">
        <v>2637</v>
      </c>
      <c r="D5104" s="125">
        <v>0.1</v>
      </c>
      <c r="E5104" s="125">
        <v>0.1</v>
      </c>
      <c r="F5104" s="125">
        <v>0.1</v>
      </c>
    </row>
    <row r="5105" spans="3:6">
      <c r="C5105" s="572" t="s">
        <v>2616</v>
      </c>
      <c r="D5105" s="125">
        <v>0.05</v>
      </c>
      <c r="E5105" s="125">
        <v>0.05</v>
      </c>
      <c r="F5105" s="125">
        <v>0.05</v>
      </c>
    </row>
    <row r="5106" spans="3:6">
      <c r="C5106" s="191"/>
      <c r="D5106" s="631">
        <f>SUM(D5093:D5105)</f>
        <v>1</v>
      </c>
      <c r="E5106" s="631">
        <f>SUM(E5093:E5105)</f>
        <v>1</v>
      </c>
      <c r="F5106" s="631">
        <f>SUM(F5093:F5105)</f>
        <v>1</v>
      </c>
    </row>
    <row r="5107" spans="3:6">
      <c r="C5107" s="87"/>
      <c r="D5107" s="87"/>
      <c r="E5107" s="631">
        <f>D5106-E5106</f>
        <v>0</v>
      </c>
      <c r="F5107" s="631">
        <f>E5106-F5106</f>
        <v>0</v>
      </c>
    </row>
    <row r="5108" spans="3:6">
      <c r="C5108" s="594" t="s">
        <v>2436</v>
      </c>
      <c r="D5108" s="88">
        <v>60</v>
      </c>
      <c r="E5108" s="88"/>
      <c r="F5108" s="184"/>
    </row>
    <row r="5109" spans="3:6">
      <c r="C5109" s="87" t="s">
        <v>2638</v>
      </c>
      <c r="D5109" s="644">
        <v>10</v>
      </c>
      <c r="E5109" s="595"/>
      <c r="F5109" s="595"/>
    </row>
    <row r="5110" spans="3:6">
      <c r="C5110" s="87" t="s">
        <v>2437</v>
      </c>
      <c r="D5110" s="595"/>
      <c r="E5110" s="595"/>
      <c r="F5110" s="595"/>
    </row>
    <row r="5111" spans="3:6">
      <c r="C5111" s="87" t="s">
        <v>1446</v>
      </c>
      <c r="D5111" s="88"/>
      <c r="E5111" s="88"/>
      <c r="F5111" s="88"/>
    </row>
    <row r="5112" spans="3:6">
      <c r="C5112" s="87" t="s">
        <v>1447</v>
      </c>
      <c r="D5112" s="88">
        <v>8</v>
      </c>
      <c r="E5112" s="88">
        <v>22</v>
      </c>
      <c r="F5112" s="88"/>
    </row>
    <row r="5113" spans="3:6">
      <c r="C5113" s="87" t="s">
        <v>2438</v>
      </c>
      <c r="D5113" s="88"/>
      <c r="E5113" s="88"/>
      <c r="F5113" s="88"/>
    </row>
    <row r="5114" spans="3:6">
      <c r="C5114" s="87"/>
      <c r="D5114" s="88"/>
      <c r="E5114" s="88"/>
      <c r="F5114" s="88"/>
    </row>
    <row r="5115" spans="3:6">
      <c r="C5115" s="87"/>
      <c r="D5115" s="87"/>
      <c r="E5115" s="87"/>
      <c r="F5115" s="87"/>
    </row>
    <row r="5116" spans="3:6" ht="15.6">
      <c r="C5116" s="587" t="s">
        <v>2639</v>
      </c>
      <c r="D5116" s="646" t="s">
        <v>353</v>
      </c>
      <c r="E5116" s="646" t="s">
        <v>354</v>
      </c>
      <c r="F5116" s="646" t="s">
        <v>355</v>
      </c>
    </row>
    <row r="5117" spans="3:6">
      <c r="C5117" s="191" t="s">
        <v>2640</v>
      </c>
      <c r="D5117" s="125">
        <v>0.2</v>
      </c>
      <c r="E5117" s="125">
        <v>0.2</v>
      </c>
      <c r="F5117" s="125">
        <v>0</v>
      </c>
    </row>
    <row r="5118" spans="3:6" ht="28.8">
      <c r="C5118" s="191" t="s">
        <v>2641</v>
      </c>
      <c r="D5118" s="125">
        <v>0.2</v>
      </c>
      <c r="E5118" s="125">
        <v>0.2</v>
      </c>
      <c r="F5118" s="125">
        <v>0</v>
      </c>
    </row>
    <row r="5119" spans="3:6">
      <c r="C5119" s="572" t="s">
        <v>2642</v>
      </c>
      <c r="D5119" s="125">
        <v>0.1</v>
      </c>
      <c r="E5119" s="125">
        <v>0.1</v>
      </c>
      <c r="F5119" s="125">
        <v>0.1</v>
      </c>
    </row>
    <row r="5120" spans="3:6">
      <c r="C5120" s="572" t="s">
        <v>2643</v>
      </c>
      <c r="D5120" s="125">
        <v>0.2</v>
      </c>
      <c r="E5120" s="125">
        <v>0.2</v>
      </c>
      <c r="F5120" s="125">
        <v>0.2</v>
      </c>
    </row>
    <row r="5121" spans="3:6" ht="28.8">
      <c r="C5121" s="572" t="s">
        <v>2644</v>
      </c>
      <c r="D5121" s="125">
        <v>0.2</v>
      </c>
      <c r="E5121" s="125">
        <v>0.2</v>
      </c>
      <c r="F5121" s="125">
        <v>0.2</v>
      </c>
    </row>
    <row r="5122" spans="3:6">
      <c r="C5122" s="572" t="s">
        <v>2645</v>
      </c>
      <c r="D5122" s="125">
        <v>0.1</v>
      </c>
      <c r="E5122" s="125">
        <v>0.1</v>
      </c>
      <c r="F5122" s="125">
        <v>0.1</v>
      </c>
    </row>
    <row r="5123" spans="3:6">
      <c r="C5123" s="191"/>
      <c r="D5123" s="631">
        <f>SUM(D5117:D5122)</f>
        <v>0.99999999999999989</v>
      </c>
      <c r="E5123" s="631">
        <f>SUM(E5117:E5122)</f>
        <v>0.99999999999999989</v>
      </c>
      <c r="F5123" s="631">
        <f>SUM(F5117:F5122)</f>
        <v>0.6</v>
      </c>
    </row>
    <row r="5124" spans="3:6">
      <c r="C5124" s="87"/>
      <c r="D5124" s="87"/>
      <c r="E5124" s="631">
        <f>D5123-E5123</f>
        <v>0</v>
      </c>
      <c r="F5124" s="631">
        <f>E5123-F5123</f>
        <v>0.39999999999999991</v>
      </c>
    </row>
    <row r="5125" spans="3:6">
      <c r="C5125" s="594" t="s">
        <v>2436</v>
      </c>
      <c r="D5125" s="88">
        <v>60</v>
      </c>
      <c r="E5125" s="88"/>
      <c r="F5125" s="184"/>
    </row>
    <row r="5126" spans="3:6">
      <c r="C5126" s="87" t="s">
        <v>2379</v>
      </c>
      <c r="D5126" s="644">
        <v>10</v>
      </c>
      <c r="E5126" s="595"/>
      <c r="F5126" s="595"/>
    </row>
    <row r="5127" spans="3:6">
      <c r="C5127" s="87" t="s">
        <v>2437</v>
      </c>
      <c r="D5127" s="595"/>
      <c r="E5127" s="595"/>
      <c r="F5127" s="595"/>
    </row>
    <row r="5128" spans="3:6">
      <c r="C5128" s="87" t="s">
        <v>1446</v>
      </c>
      <c r="D5128" s="88"/>
      <c r="E5128" s="88"/>
      <c r="F5128" s="88"/>
    </row>
    <row r="5129" spans="3:6">
      <c r="C5129" s="87" t="s">
        <v>1447</v>
      </c>
      <c r="D5129" s="88">
        <v>8</v>
      </c>
      <c r="E5129" s="88">
        <v>22</v>
      </c>
      <c r="F5129" s="88"/>
    </row>
    <row r="5130" spans="3:6">
      <c r="C5130" s="87" t="s">
        <v>2438</v>
      </c>
      <c r="D5130" s="88"/>
      <c r="E5130" s="88"/>
      <c r="F5130" s="88"/>
    </row>
    <row r="5131" spans="3:6">
      <c r="C5131" s="87"/>
      <c r="D5131" s="88"/>
      <c r="E5131" s="88"/>
      <c r="F5131" s="88"/>
    </row>
    <row r="5132" spans="3:6">
      <c r="C5132" s="87"/>
      <c r="D5132" s="87"/>
      <c r="E5132" s="87"/>
      <c r="F5132" s="87"/>
    </row>
    <row r="5133" spans="3:6" ht="15.6">
      <c r="C5133" s="587" t="s">
        <v>2646</v>
      </c>
      <c r="D5133" s="646" t="s">
        <v>353</v>
      </c>
      <c r="E5133" s="646" t="s">
        <v>354</v>
      </c>
      <c r="F5133" s="646" t="s">
        <v>355</v>
      </c>
    </row>
    <row r="5134" spans="3:6" ht="28.8">
      <c r="C5134" s="191" t="s">
        <v>2647</v>
      </c>
      <c r="D5134" s="125">
        <v>0.15</v>
      </c>
      <c r="E5134" s="125">
        <v>0.15</v>
      </c>
      <c r="F5134" s="125">
        <v>0.15</v>
      </c>
    </row>
    <row r="5135" spans="3:6">
      <c r="C5135" s="654" t="s">
        <v>2648</v>
      </c>
      <c r="D5135" s="125">
        <v>0.1</v>
      </c>
      <c r="E5135" s="125">
        <v>0.1</v>
      </c>
      <c r="F5135" s="125">
        <v>0.1</v>
      </c>
    </row>
    <row r="5136" spans="3:6" ht="28.8">
      <c r="C5136" s="572" t="s">
        <v>2649</v>
      </c>
      <c r="D5136" s="125">
        <v>0.1</v>
      </c>
      <c r="E5136" s="125">
        <v>0.1</v>
      </c>
      <c r="F5136" s="125" t="s">
        <v>2650</v>
      </c>
    </row>
    <row r="5137" spans="3:6">
      <c r="C5137" s="572" t="s">
        <v>2651</v>
      </c>
      <c r="D5137" s="125">
        <v>0.2</v>
      </c>
      <c r="E5137" s="125">
        <v>0.2</v>
      </c>
      <c r="F5137" s="125">
        <v>0.2</v>
      </c>
    </row>
    <row r="5138" spans="3:6">
      <c r="C5138" s="572" t="s">
        <v>2652</v>
      </c>
      <c r="D5138" s="125">
        <v>0.2</v>
      </c>
      <c r="E5138" s="125">
        <v>0.2</v>
      </c>
      <c r="F5138" s="125">
        <v>0.2</v>
      </c>
    </row>
    <row r="5139" spans="3:6" ht="28.8">
      <c r="C5139" s="572" t="s">
        <v>2653</v>
      </c>
      <c r="D5139" s="125">
        <v>0.15</v>
      </c>
      <c r="E5139" s="125">
        <v>0.15</v>
      </c>
      <c r="F5139" s="125">
        <v>0</v>
      </c>
    </row>
    <row r="5140" spans="3:6" ht="28.8">
      <c r="C5140" s="572" t="s">
        <v>2654</v>
      </c>
      <c r="D5140" s="125">
        <v>0.1</v>
      </c>
      <c r="E5140" s="125">
        <v>0.1</v>
      </c>
      <c r="F5140" s="125">
        <v>0.1</v>
      </c>
    </row>
    <row r="5141" spans="3:6">
      <c r="C5141" s="191"/>
      <c r="D5141" s="631">
        <f>SUM(D5134:D5140)</f>
        <v>1</v>
      </c>
      <c r="E5141" s="631">
        <f>SUM(E5134:E5140)</f>
        <v>1</v>
      </c>
      <c r="F5141" s="631">
        <f>SUM(F5134:F5140)</f>
        <v>0.75</v>
      </c>
    </row>
    <row r="5142" spans="3:6">
      <c r="C5142" s="87"/>
      <c r="D5142" s="87"/>
      <c r="E5142" s="631">
        <f>D5141-E5141</f>
        <v>0</v>
      </c>
      <c r="F5142" s="631">
        <f>E5141-F5141</f>
        <v>0.25</v>
      </c>
    </row>
    <row r="5143" spans="3:6">
      <c r="C5143" s="594" t="s">
        <v>2436</v>
      </c>
      <c r="D5143" s="88">
        <v>60</v>
      </c>
      <c r="E5143" s="88"/>
      <c r="F5143" s="184"/>
    </row>
    <row r="5144" spans="3:6">
      <c r="C5144" s="87" t="s">
        <v>2379</v>
      </c>
      <c r="D5144" s="644">
        <v>10</v>
      </c>
      <c r="E5144" s="595"/>
      <c r="F5144" s="595"/>
    </row>
    <row r="5145" spans="3:6">
      <c r="C5145" s="87" t="s">
        <v>2437</v>
      </c>
      <c r="D5145" s="595"/>
      <c r="E5145" s="595"/>
      <c r="F5145" s="595"/>
    </row>
    <row r="5146" spans="3:6">
      <c r="C5146" s="87" t="s">
        <v>1446</v>
      </c>
      <c r="D5146" s="88"/>
      <c r="E5146" s="88"/>
      <c r="F5146" s="88"/>
    </row>
    <row r="5147" spans="3:6">
      <c r="C5147" s="87" t="s">
        <v>1447</v>
      </c>
      <c r="D5147" s="88">
        <v>8</v>
      </c>
      <c r="E5147" s="88">
        <v>22</v>
      </c>
      <c r="F5147" s="88"/>
    </row>
    <row r="5148" spans="3:6">
      <c r="C5148" s="87" t="s">
        <v>2438</v>
      </c>
      <c r="D5148" s="88"/>
      <c r="E5148" s="88"/>
      <c r="F5148" s="88"/>
    </row>
    <row r="5149" spans="3:6">
      <c r="C5149" s="87"/>
      <c r="D5149" s="88"/>
      <c r="E5149" s="88"/>
      <c r="F5149" s="88"/>
    </row>
    <row r="5150" spans="3:6">
      <c r="C5150" s="87"/>
      <c r="D5150" s="87"/>
      <c r="E5150" s="87"/>
      <c r="F5150" s="87"/>
    </row>
    <row r="5151" spans="3:6">
      <c r="C5151" s="87"/>
      <c r="D5151" s="87"/>
      <c r="E5151" s="87"/>
      <c r="F5151" s="87"/>
    </row>
    <row r="5152" spans="3:6" ht="15.6">
      <c r="C5152" s="587" t="s">
        <v>2655</v>
      </c>
      <c r="D5152" s="656" t="s">
        <v>353</v>
      </c>
      <c r="E5152" s="656" t="s">
        <v>354</v>
      </c>
      <c r="F5152" s="656" t="s">
        <v>355</v>
      </c>
    </row>
    <row r="5153" spans="3:6" ht="28.8">
      <c r="C5153" s="191" t="s">
        <v>2656</v>
      </c>
      <c r="D5153" s="125">
        <v>0.2</v>
      </c>
      <c r="E5153" s="125">
        <v>0.2</v>
      </c>
      <c r="F5153" s="125">
        <v>0</v>
      </c>
    </row>
    <row r="5154" spans="3:6">
      <c r="C5154" s="654" t="s">
        <v>2657</v>
      </c>
      <c r="D5154" s="125">
        <v>0.15</v>
      </c>
      <c r="E5154" s="125">
        <v>0.15</v>
      </c>
      <c r="F5154" s="125">
        <v>0</v>
      </c>
    </row>
    <row r="5155" spans="3:6">
      <c r="C5155" s="572" t="s">
        <v>2658</v>
      </c>
      <c r="D5155" s="125">
        <v>0.1</v>
      </c>
      <c r="E5155" s="125">
        <v>0.1</v>
      </c>
      <c r="F5155" s="125">
        <v>0.1</v>
      </c>
    </row>
    <row r="5156" spans="3:6" ht="28.8">
      <c r="C5156" s="572" t="s">
        <v>2659</v>
      </c>
      <c r="D5156" s="125">
        <v>0.15</v>
      </c>
      <c r="E5156" s="125">
        <v>0.15</v>
      </c>
      <c r="F5156" s="125">
        <v>0.15</v>
      </c>
    </row>
    <row r="5157" spans="3:6" ht="28.8">
      <c r="C5157" s="572" t="s">
        <v>2660</v>
      </c>
      <c r="D5157" s="125">
        <v>0.15</v>
      </c>
      <c r="E5157" s="125">
        <v>0.15</v>
      </c>
      <c r="F5157" s="125">
        <v>0.15</v>
      </c>
    </row>
    <row r="5158" spans="3:6" ht="28.8">
      <c r="C5158" s="572" t="s">
        <v>2661</v>
      </c>
      <c r="D5158" s="125">
        <v>0.1</v>
      </c>
      <c r="E5158" s="125">
        <v>0.1</v>
      </c>
      <c r="F5158" s="125">
        <v>0</v>
      </c>
    </row>
    <row r="5159" spans="3:6">
      <c r="C5159" s="572" t="s">
        <v>2662</v>
      </c>
      <c r="D5159" s="125">
        <v>0.15</v>
      </c>
      <c r="E5159" s="125">
        <v>0.15</v>
      </c>
      <c r="F5159" s="125">
        <v>0.05</v>
      </c>
    </row>
    <row r="5160" spans="3:6">
      <c r="C5160" s="191"/>
      <c r="D5160" s="631">
        <f>SUM(D5153:D5159)</f>
        <v>1</v>
      </c>
      <c r="E5160" s="631">
        <f>SUM(E5153:E5159)</f>
        <v>1</v>
      </c>
      <c r="F5160" s="631">
        <f>SUM(F5153:F5159)</f>
        <v>0.45</v>
      </c>
    </row>
    <row r="5161" spans="3:6">
      <c r="C5161" s="87"/>
      <c r="D5161" s="87"/>
      <c r="E5161" s="631">
        <f>D5160-E5160</f>
        <v>0</v>
      </c>
      <c r="F5161" s="631">
        <f>E5160-F5160</f>
        <v>0.55000000000000004</v>
      </c>
    </row>
    <row r="5162" spans="3:6">
      <c r="C5162" s="594" t="s">
        <v>2436</v>
      </c>
      <c r="D5162" s="88">
        <v>60</v>
      </c>
      <c r="E5162" s="88"/>
      <c r="F5162" s="184"/>
    </row>
    <row r="5163" spans="3:6">
      <c r="C5163" s="87" t="s">
        <v>2379</v>
      </c>
      <c r="D5163" s="644">
        <v>10</v>
      </c>
      <c r="E5163" s="595"/>
      <c r="F5163" s="595"/>
    </row>
    <row r="5164" spans="3:6">
      <c r="C5164" s="87" t="s">
        <v>2437</v>
      </c>
      <c r="D5164" s="595"/>
      <c r="E5164" s="595"/>
      <c r="F5164" s="595"/>
    </row>
    <row r="5165" spans="3:6">
      <c r="C5165" s="87" t="s">
        <v>1446</v>
      </c>
      <c r="D5165" s="88"/>
      <c r="E5165" s="88"/>
      <c r="F5165" s="88"/>
    </row>
    <row r="5166" spans="3:6">
      <c r="C5166" s="87" t="s">
        <v>1447</v>
      </c>
      <c r="D5166" s="88">
        <v>8</v>
      </c>
      <c r="E5166" s="88">
        <v>22</v>
      </c>
      <c r="F5166" s="88"/>
    </row>
    <row r="5167" spans="3:6">
      <c r="C5167" s="87" t="s">
        <v>2438</v>
      </c>
      <c r="D5167" s="88"/>
      <c r="E5167" s="88"/>
      <c r="F5167" s="88"/>
    </row>
    <row r="5168" spans="3:6">
      <c r="C5168" s="87"/>
      <c r="D5168" s="87"/>
      <c r="E5168" s="87"/>
      <c r="F5168" s="87"/>
    </row>
    <row r="5169" spans="3:6" ht="15.6">
      <c r="C5169" s="587" t="s">
        <v>2663</v>
      </c>
      <c r="D5169" s="656" t="s">
        <v>353</v>
      </c>
      <c r="E5169" s="656" t="s">
        <v>354</v>
      </c>
      <c r="F5169" s="656" t="s">
        <v>355</v>
      </c>
    </row>
    <row r="5170" spans="3:6">
      <c r="C5170" s="191" t="s">
        <v>2664</v>
      </c>
      <c r="D5170" s="125">
        <v>0.15</v>
      </c>
      <c r="E5170" s="125">
        <v>0.15</v>
      </c>
      <c r="F5170" s="125">
        <v>0.15</v>
      </c>
    </row>
    <row r="5171" spans="3:6">
      <c r="C5171" s="654" t="s">
        <v>2665</v>
      </c>
      <c r="D5171" s="125">
        <v>0.15</v>
      </c>
      <c r="E5171" s="125">
        <v>0.15</v>
      </c>
      <c r="F5171" s="125">
        <v>0.15</v>
      </c>
    </row>
    <row r="5172" spans="3:6">
      <c r="C5172" s="572" t="s">
        <v>2666</v>
      </c>
      <c r="D5172" s="125">
        <v>0.15</v>
      </c>
      <c r="E5172" s="125">
        <v>0.15</v>
      </c>
      <c r="F5172" s="125">
        <v>0.15</v>
      </c>
    </row>
    <row r="5173" spans="3:6">
      <c r="C5173" s="572" t="s">
        <v>2667</v>
      </c>
      <c r="D5173" s="125">
        <v>0.1</v>
      </c>
      <c r="E5173" s="125">
        <v>0.1</v>
      </c>
      <c r="F5173" s="125">
        <v>0.1</v>
      </c>
    </row>
    <row r="5174" spans="3:6">
      <c r="C5174" s="572" t="s">
        <v>2668</v>
      </c>
      <c r="D5174" s="125">
        <v>0.2</v>
      </c>
      <c r="E5174" s="125">
        <v>0.2</v>
      </c>
      <c r="F5174" s="125">
        <v>0.2</v>
      </c>
    </row>
    <row r="5175" spans="3:6">
      <c r="C5175" s="657" t="s">
        <v>2669</v>
      </c>
      <c r="D5175" s="125">
        <v>0.1</v>
      </c>
      <c r="E5175" s="125">
        <v>0.1</v>
      </c>
      <c r="F5175" s="125">
        <v>0.1</v>
      </c>
    </row>
    <row r="5176" spans="3:6" ht="28.8">
      <c r="C5176" s="657" t="s">
        <v>2670</v>
      </c>
      <c r="D5176" s="125">
        <v>0.15</v>
      </c>
      <c r="E5176" s="125">
        <v>0.15</v>
      </c>
      <c r="F5176" s="125">
        <v>0.15</v>
      </c>
    </row>
    <row r="5177" spans="3:6">
      <c r="C5177" s="191"/>
      <c r="D5177" s="631">
        <f>SUM(D5170:D5176)</f>
        <v>1</v>
      </c>
      <c r="E5177" s="631">
        <f>SUM(E5170:E5176)</f>
        <v>1</v>
      </c>
      <c r="F5177" s="631">
        <f>SUM(F5170:F5176)</f>
        <v>1</v>
      </c>
    </row>
    <row r="5178" spans="3:6">
      <c r="C5178" s="87"/>
      <c r="D5178" s="87"/>
      <c r="E5178" s="631">
        <f>D5177-E5177</f>
        <v>0</v>
      </c>
      <c r="F5178" s="631">
        <f>E5177-F5177</f>
        <v>0</v>
      </c>
    </row>
    <row r="5179" spans="3:6">
      <c r="C5179" s="594" t="s">
        <v>2436</v>
      </c>
      <c r="D5179" s="88">
        <v>60</v>
      </c>
      <c r="E5179" s="88"/>
      <c r="F5179" s="184"/>
    </row>
    <row r="5180" spans="3:6">
      <c r="C5180" s="87" t="s">
        <v>2671</v>
      </c>
      <c r="D5180" s="644">
        <v>10</v>
      </c>
      <c r="E5180" s="595"/>
      <c r="F5180" s="595"/>
    </row>
    <row r="5181" spans="3:6">
      <c r="C5181" s="87" t="s">
        <v>2437</v>
      </c>
      <c r="D5181" s="595"/>
      <c r="E5181" s="595"/>
      <c r="F5181" s="595"/>
    </row>
    <row r="5182" spans="3:6">
      <c r="C5182" s="87" t="s">
        <v>1446</v>
      </c>
      <c r="D5182" s="88"/>
      <c r="E5182" s="88"/>
      <c r="F5182" s="88"/>
    </row>
    <row r="5183" spans="3:6">
      <c r="C5183" s="87" t="s">
        <v>1447</v>
      </c>
      <c r="D5183" s="88">
        <v>8</v>
      </c>
      <c r="E5183" s="88">
        <v>22</v>
      </c>
      <c r="F5183" s="88"/>
    </row>
    <row r="5184" spans="3:6">
      <c r="C5184" s="87" t="s">
        <v>2438</v>
      </c>
      <c r="D5184" s="88"/>
      <c r="E5184" s="88"/>
      <c r="F5184" s="88"/>
    </row>
    <row r="5185" spans="3:6">
      <c r="C5185" s="87"/>
      <c r="D5185" s="87"/>
      <c r="E5185" s="87"/>
      <c r="F5185" s="87"/>
    </row>
    <row r="5186" spans="3:6" ht="15.6">
      <c r="C5186" s="587" t="s">
        <v>2663</v>
      </c>
      <c r="D5186" s="656" t="s">
        <v>353</v>
      </c>
      <c r="E5186" s="656" t="s">
        <v>354</v>
      </c>
      <c r="F5186" s="656" t="s">
        <v>355</v>
      </c>
    </row>
    <row r="5187" spans="3:6">
      <c r="C5187" s="191" t="s">
        <v>2664</v>
      </c>
      <c r="D5187" s="125">
        <v>0.15</v>
      </c>
      <c r="E5187" s="125">
        <v>0.15</v>
      </c>
      <c r="F5187" s="125">
        <v>0.15</v>
      </c>
    </row>
    <row r="5188" spans="3:6">
      <c r="C5188" s="654" t="s">
        <v>2665</v>
      </c>
      <c r="D5188" s="125">
        <v>0.15</v>
      </c>
      <c r="E5188" s="125">
        <v>0.15</v>
      </c>
      <c r="F5188" s="125">
        <v>0.15</v>
      </c>
    </row>
    <row r="5189" spans="3:6">
      <c r="C5189" s="572" t="s">
        <v>2666</v>
      </c>
      <c r="D5189" s="125">
        <v>0.15</v>
      </c>
      <c r="E5189" s="125">
        <v>0.15</v>
      </c>
      <c r="F5189" s="125">
        <v>0.15</v>
      </c>
    </row>
    <row r="5190" spans="3:6">
      <c r="C5190" s="572" t="s">
        <v>2667</v>
      </c>
      <c r="D5190" s="125">
        <v>0.1</v>
      </c>
      <c r="E5190" s="125">
        <v>0.1</v>
      </c>
      <c r="F5190" s="125">
        <v>0.1</v>
      </c>
    </row>
    <row r="5191" spans="3:6">
      <c r="C5191" s="572" t="s">
        <v>2668</v>
      </c>
      <c r="D5191" s="125">
        <v>0.2</v>
      </c>
      <c r="E5191" s="125">
        <v>0.2</v>
      </c>
      <c r="F5191" s="125">
        <v>0.2</v>
      </c>
    </row>
    <row r="5192" spans="3:6">
      <c r="C5192" s="657" t="s">
        <v>2669</v>
      </c>
      <c r="D5192" s="125">
        <v>0.1</v>
      </c>
      <c r="E5192" s="125">
        <v>0.1</v>
      </c>
      <c r="F5192" s="125">
        <v>0.1</v>
      </c>
    </row>
    <row r="5193" spans="3:6" ht="28.8">
      <c r="C5193" s="657" t="s">
        <v>2670</v>
      </c>
      <c r="D5193" s="125">
        <v>0.15</v>
      </c>
      <c r="E5193" s="125">
        <v>0.15</v>
      </c>
      <c r="F5193" s="125">
        <v>0.15</v>
      </c>
    </row>
    <row r="5194" spans="3:6">
      <c r="C5194" s="191"/>
      <c r="D5194" s="631">
        <f>SUM(D5187:D5193)</f>
        <v>1</v>
      </c>
      <c r="E5194" s="631">
        <f>SUM(E5187:E5193)</f>
        <v>1</v>
      </c>
      <c r="F5194" s="631">
        <f>SUM(F5187:F5193)</f>
        <v>1</v>
      </c>
    </row>
    <row r="5195" spans="3:6">
      <c r="C5195" s="87"/>
      <c r="D5195" s="87"/>
      <c r="E5195" s="631">
        <f>D5194-E5194</f>
        <v>0</v>
      </c>
      <c r="F5195" s="631">
        <f>E5194-F5194</f>
        <v>0</v>
      </c>
    </row>
    <row r="5196" spans="3:6">
      <c r="C5196" s="594" t="s">
        <v>2436</v>
      </c>
      <c r="D5196" s="88">
        <v>60</v>
      </c>
      <c r="E5196" s="88"/>
      <c r="F5196" s="184"/>
    </row>
    <row r="5197" spans="3:6">
      <c r="C5197" s="87" t="s">
        <v>2379</v>
      </c>
      <c r="D5197" s="644">
        <v>10</v>
      </c>
      <c r="E5197" s="595"/>
      <c r="F5197" s="595"/>
    </row>
    <row r="5198" spans="3:6">
      <c r="C5198" s="87" t="s">
        <v>2437</v>
      </c>
      <c r="D5198" s="595"/>
      <c r="E5198" s="595"/>
      <c r="F5198" s="595"/>
    </row>
    <row r="5199" spans="3:6">
      <c r="C5199" s="87" t="s">
        <v>1446</v>
      </c>
      <c r="D5199" s="88"/>
      <c r="E5199" s="88"/>
      <c r="F5199" s="88"/>
    </row>
    <row r="5200" spans="3:6">
      <c r="C5200" s="87" t="s">
        <v>1447</v>
      </c>
      <c r="D5200" s="88">
        <v>8</v>
      </c>
      <c r="E5200" s="88">
        <v>22</v>
      </c>
      <c r="F5200" s="88"/>
    </row>
    <row r="5201" spans="3:6">
      <c r="C5201" s="87" t="s">
        <v>2438</v>
      </c>
      <c r="D5201" s="88"/>
      <c r="E5201" s="88"/>
      <c r="F5201" s="88"/>
    </row>
    <row r="5202" spans="3:6">
      <c r="C5202" s="87"/>
      <c r="D5202" s="88"/>
      <c r="E5202" s="88"/>
      <c r="F5202" s="88"/>
    </row>
    <row r="5203" spans="3:6" ht="15.6">
      <c r="C5203" s="587" t="s">
        <v>2672</v>
      </c>
      <c r="D5203" s="656" t="s">
        <v>353</v>
      </c>
      <c r="E5203" s="656" t="s">
        <v>354</v>
      </c>
      <c r="F5203" s="656" t="s">
        <v>355</v>
      </c>
    </row>
    <row r="5204" spans="3:6" ht="28.8">
      <c r="C5204" s="191" t="s">
        <v>2673</v>
      </c>
      <c r="D5204" s="125">
        <v>0.1</v>
      </c>
      <c r="E5204" s="125">
        <v>0.1</v>
      </c>
      <c r="F5204" s="125">
        <v>0.1</v>
      </c>
    </row>
    <row r="5205" spans="3:6" ht="28.8">
      <c r="C5205" s="654" t="s">
        <v>2674</v>
      </c>
      <c r="D5205" s="125">
        <v>0.16</v>
      </c>
      <c r="E5205" s="125">
        <v>0.16</v>
      </c>
      <c r="F5205" s="125">
        <v>0.16</v>
      </c>
    </row>
    <row r="5206" spans="3:6" ht="28.8">
      <c r="C5206" s="572" t="s">
        <v>2675</v>
      </c>
      <c r="D5206" s="125">
        <v>0.15</v>
      </c>
      <c r="E5206" s="125">
        <v>0.15</v>
      </c>
      <c r="F5206" s="125">
        <v>0.15</v>
      </c>
    </row>
    <row r="5207" spans="3:6" ht="28.8">
      <c r="C5207" s="572" t="s">
        <v>2676</v>
      </c>
      <c r="D5207" s="125">
        <v>0.15</v>
      </c>
      <c r="E5207" s="125">
        <v>0.15</v>
      </c>
      <c r="F5207" s="125">
        <v>0.15</v>
      </c>
    </row>
    <row r="5208" spans="3:6">
      <c r="C5208" s="572" t="s">
        <v>2677</v>
      </c>
      <c r="D5208" s="125">
        <v>0.1</v>
      </c>
      <c r="E5208" s="125">
        <v>0.1</v>
      </c>
      <c r="F5208" s="125">
        <v>0.1</v>
      </c>
    </row>
    <row r="5209" spans="3:6" ht="28.8">
      <c r="C5209" s="657" t="s">
        <v>2678</v>
      </c>
      <c r="D5209" s="125">
        <v>0.1</v>
      </c>
      <c r="E5209" s="125">
        <v>0.1</v>
      </c>
      <c r="F5209" s="125">
        <v>0.1</v>
      </c>
    </row>
    <row r="5210" spans="3:6" ht="28.8">
      <c r="C5210" s="657" t="s">
        <v>2679</v>
      </c>
      <c r="D5210" s="125">
        <v>0.2</v>
      </c>
      <c r="E5210" s="125">
        <v>0.2</v>
      </c>
      <c r="F5210" s="125">
        <v>0.2</v>
      </c>
    </row>
    <row r="5211" spans="3:6" ht="28.8">
      <c r="C5211" s="191" t="s">
        <v>2680</v>
      </c>
      <c r="D5211" s="125">
        <v>0.02</v>
      </c>
      <c r="E5211" s="125">
        <v>0.02</v>
      </c>
      <c r="F5211" s="125">
        <v>0.02</v>
      </c>
    </row>
    <row r="5212" spans="3:6">
      <c r="C5212" s="191" t="s">
        <v>2681</v>
      </c>
      <c r="D5212" s="125">
        <v>0.02</v>
      </c>
      <c r="E5212" s="125">
        <v>0.02</v>
      </c>
      <c r="F5212" s="125">
        <v>0.02</v>
      </c>
    </row>
    <row r="5213" spans="3:6">
      <c r="C5213" s="191"/>
      <c r="D5213" s="631">
        <f>SUM(D5204:D5212)</f>
        <v>1</v>
      </c>
      <c r="E5213" s="631">
        <f>SUM(E5204:E5212)</f>
        <v>1</v>
      </c>
      <c r="F5213" s="631">
        <f>SUM(F5204:F5212)</f>
        <v>1</v>
      </c>
    </row>
    <row r="5214" spans="3:6">
      <c r="C5214" s="87"/>
      <c r="D5214" s="87"/>
      <c r="E5214" s="631">
        <f>D5211-E5211</f>
        <v>0</v>
      </c>
      <c r="F5214" s="631">
        <f>E5211-F5211</f>
        <v>0</v>
      </c>
    </row>
    <row r="5215" spans="3:6">
      <c r="C5215" s="594" t="s">
        <v>2436</v>
      </c>
      <c r="D5215" s="88">
        <v>60</v>
      </c>
      <c r="E5215" s="88"/>
      <c r="F5215" s="184"/>
    </row>
    <row r="5216" spans="3:6">
      <c r="C5216" s="87" t="s">
        <v>2379</v>
      </c>
      <c r="D5216" s="644">
        <v>10</v>
      </c>
      <c r="E5216" s="595"/>
      <c r="F5216" s="595"/>
    </row>
    <row r="5217" spans="3:6">
      <c r="C5217" s="87" t="s">
        <v>2437</v>
      </c>
      <c r="D5217" s="595"/>
      <c r="E5217" s="595"/>
      <c r="F5217" s="595"/>
    </row>
    <row r="5218" spans="3:6">
      <c r="C5218" s="87" t="s">
        <v>1446</v>
      </c>
      <c r="D5218" s="88"/>
      <c r="E5218" s="88"/>
      <c r="F5218" s="88"/>
    </row>
    <row r="5219" spans="3:6">
      <c r="C5219" s="87" t="s">
        <v>1447</v>
      </c>
      <c r="D5219" s="88">
        <v>8</v>
      </c>
      <c r="E5219" s="88">
        <v>22</v>
      </c>
      <c r="F5219" s="88"/>
    </row>
    <row r="5220" spans="3:6">
      <c r="C5220" s="87" t="s">
        <v>2438</v>
      </c>
      <c r="D5220" s="88"/>
      <c r="E5220" s="88"/>
      <c r="F5220" s="88"/>
    </row>
    <row r="5221" spans="3:6">
      <c r="C5221" s="87"/>
      <c r="D5221" s="87"/>
      <c r="E5221" s="87"/>
      <c r="F5221" s="87"/>
    </row>
    <row r="5222" spans="3:6" ht="15.6">
      <c r="C5222" s="587" t="s">
        <v>2682</v>
      </c>
      <c r="D5222" s="656" t="s">
        <v>353</v>
      </c>
      <c r="E5222" s="656" t="s">
        <v>354</v>
      </c>
      <c r="F5222" s="656" t="s">
        <v>355</v>
      </c>
    </row>
    <row r="5223" spans="3:6">
      <c r="C5223" s="191" t="s">
        <v>2683</v>
      </c>
      <c r="D5223" s="125">
        <v>0.05</v>
      </c>
      <c r="E5223" s="125">
        <v>0.05</v>
      </c>
      <c r="F5223" s="125">
        <v>0.05</v>
      </c>
    </row>
    <row r="5224" spans="3:6" ht="28.8">
      <c r="C5224" s="654" t="s">
        <v>2684</v>
      </c>
      <c r="D5224" s="125">
        <v>0.15</v>
      </c>
      <c r="E5224" s="125">
        <v>0.15</v>
      </c>
      <c r="F5224" s="125">
        <v>0.15</v>
      </c>
    </row>
    <row r="5225" spans="3:6">
      <c r="C5225" s="572" t="s">
        <v>2685</v>
      </c>
      <c r="D5225" s="125">
        <v>0.15</v>
      </c>
      <c r="E5225" s="125">
        <v>0.15</v>
      </c>
      <c r="F5225" s="125">
        <v>0.15</v>
      </c>
    </row>
    <row r="5226" spans="3:6">
      <c r="C5226" s="572" t="s">
        <v>2686</v>
      </c>
      <c r="D5226" s="125">
        <v>0.4</v>
      </c>
      <c r="E5226" s="125">
        <v>0.4</v>
      </c>
      <c r="F5226" s="125">
        <v>0.4</v>
      </c>
    </row>
    <row r="5227" spans="3:6">
      <c r="C5227" s="572" t="s">
        <v>2687</v>
      </c>
      <c r="D5227" s="125">
        <v>0.2</v>
      </c>
      <c r="E5227" s="125">
        <v>0.2</v>
      </c>
      <c r="F5227" s="125">
        <v>0.2</v>
      </c>
    </row>
    <row r="5228" spans="3:6">
      <c r="C5228" s="572" t="s">
        <v>2688</v>
      </c>
      <c r="D5228" s="125">
        <v>0.05</v>
      </c>
      <c r="E5228" s="125">
        <v>0.05</v>
      </c>
      <c r="F5228" s="125">
        <v>0.05</v>
      </c>
    </row>
    <row r="5229" spans="3:6">
      <c r="C5229" s="191"/>
      <c r="D5229" s="631">
        <f>SUM(D5223:D5228)</f>
        <v>1</v>
      </c>
      <c r="E5229" s="631">
        <f>SUM(E5223:E5228)</f>
        <v>1</v>
      </c>
      <c r="F5229" s="631">
        <f>SUM(F5223:F5228)</f>
        <v>1</v>
      </c>
    </row>
    <row r="5230" spans="3:6">
      <c r="C5230" s="87"/>
      <c r="D5230" s="87"/>
      <c r="E5230" s="631">
        <f>D5229-E5229</f>
        <v>0</v>
      </c>
      <c r="F5230" s="631">
        <f>E5229-F5229</f>
        <v>0</v>
      </c>
    </row>
    <row r="5231" spans="3:6">
      <c r="C5231" s="594" t="s">
        <v>2436</v>
      </c>
      <c r="D5231" s="88">
        <v>60</v>
      </c>
      <c r="E5231" s="88"/>
      <c r="F5231" s="184"/>
    </row>
    <row r="5232" spans="3:6">
      <c r="C5232" s="87" t="s">
        <v>2379</v>
      </c>
      <c r="D5232" s="644">
        <v>10</v>
      </c>
      <c r="E5232" s="595"/>
      <c r="F5232" s="595"/>
    </row>
    <row r="5233" spans="3:6">
      <c r="C5233" s="87" t="s">
        <v>2437</v>
      </c>
      <c r="D5233" s="595"/>
      <c r="E5233" s="595"/>
      <c r="F5233" s="595"/>
    </row>
    <row r="5234" spans="3:6">
      <c r="C5234" s="87" t="s">
        <v>1446</v>
      </c>
      <c r="D5234" s="88"/>
      <c r="E5234" s="88"/>
      <c r="F5234" s="88"/>
    </row>
    <row r="5235" spans="3:6">
      <c r="C5235" s="87" t="s">
        <v>1447</v>
      </c>
      <c r="D5235" s="88">
        <v>8</v>
      </c>
      <c r="E5235" s="88">
        <v>22</v>
      </c>
      <c r="F5235" s="88"/>
    </row>
    <row r="5236" spans="3:6">
      <c r="C5236" s="87" t="s">
        <v>2438</v>
      </c>
      <c r="D5236" s="88"/>
      <c r="E5236" s="88"/>
      <c r="F5236" s="88"/>
    </row>
    <row r="5237" spans="3:6">
      <c r="C5237" s="87"/>
      <c r="D5237" s="88"/>
      <c r="E5237" s="88"/>
      <c r="F5237" s="88"/>
    </row>
    <row r="5238" spans="3:6">
      <c r="C5238" s="87"/>
      <c r="D5238" s="88"/>
      <c r="E5238" s="88"/>
      <c r="F5238" s="88"/>
    </row>
    <row r="5239" spans="3:6" ht="15.6">
      <c r="C5239" s="587" t="s">
        <v>2689</v>
      </c>
      <c r="D5239" s="656" t="s">
        <v>353</v>
      </c>
      <c r="E5239" s="656" t="s">
        <v>354</v>
      </c>
      <c r="F5239" s="656" t="s">
        <v>355</v>
      </c>
    </row>
    <row r="5240" spans="3:6">
      <c r="C5240" s="191" t="s">
        <v>2690</v>
      </c>
      <c r="D5240" s="125">
        <v>0.05</v>
      </c>
      <c r="E5240" s="125">
        <v>0.05</v>
      </c>
      <c r="F5240" s="125">
        <v>0.05</v>
      </c>
    </row>
    <row r="5241" spans="3:6">
      <c r="C5241" s="654" t="s">
        <v>2691</v>
      </c>
      <c r="D5241" s="125">
        <v>0.6</v>
      </c>
      <c r="E5241" s="125">
        <v>0.6</v>
      </c>
      <c r="F5241" s="125">
        <v>0.6</v>
      </c>
    </row>
    <row r="5242" spans="3:6">
      <c r="C5242" s="572" t="s">
        <v>2692</v>
      </c>
      <c r="D5242" s="125">
        <v>0.3</v>
      </c>
      <c r="E5242" s="125">
        <v>0.3</v>
      </c>
      <c r="F5242" s="125">
        <v>0.3</v>
      </c>
    </row>
    <row r="5243" spans="3:6">
      <c r="C5243" s="572" t="s">
        <v>2688</v>
      </c>
      <c r="D5243" s="125">
        <v>0.05</v>
      </c>
      <c r="E5243" s="125">
        <v>0.05</v>
      </c>
      <c r="F5243" s="125">
        <v>0.05</v>
      </c>
    </row>
    <row r="5244" spans="3:6">
      <c r="C5244" s="191"/>
      <c r="D5244" s="631">
        <f>SUM(D5240:D5243)</f>
        <v>1</v>
      </c>
      <c r="E5244" s="631">
        <f>SUM(E5240:E5243)</f>
        <v>1</v>
      </c>
      <c r="F5244" s="631">
        <f>SUM(F5240:F5243)</f>
        <v>1</v>
      </c>
    </row>
    <row r="5245" spans="3:6">
      <c r="C5245" s="87"/>
      <c r="D5245" s="87"/>
      <c r="E5245" s="631">
        <f>D5244-E5244</f>
        <v>0</v>
      </c>
      <c r="F5245" s="631">
        <f>E5244-F5244</f>
        <v>0</v>
      </c>
    </row>
    <row r="5246" spans="3:6">
      <c r="C5246" s="594" t="s">
        <v>2436</v>
      </c>
      <c r="D5246" s="88">
        <v>10</v>
      </c>
      <c r="E5246" s="88"/>
      <c r="F5246" s="184"/>
    </row>
    <row r="5247" spans="3:6">
      <c r="C5247" s="87" t="s">
        <v>2693</v>
      </c>
      <c r="D5247" s="644">
        <v>10</v>
      </c>
      <c r="E5247" s="595"/>
      <c r="F5247" s="595"/>
    </row>
    <row r="5248" spans="3:6">
      <c r="C5248" s="87" t="s">
        <v>2437</v>
      </c>
      <c r="D5248" s="595"/>
      <c r="E5248" s="595"/>
      <c r="F5248" s="595"/>
    </row>
    <row r="5249" spans="3:6">
      <c r="C5249" s="87" t="s">
        <v>1446</v>
      </c>
      <c r="D5249" s="88"/>
      <c r="E5249" s="88"/>
      <c r="F5249" s="88"/>
    </row>
    <row r="5250" spans="3:6">
      <c r="C5250" s="87" t="s">
        <v>1447</v>
      </c>
      <c r="D5250" s="88">
        <v>8</v>
      </c>
      <c r="E5250" s="88">
        <v>22</v>
      </c>
      <c r="F5250" s="88"/>
    </row>
    <row r="5251" spans="3:6">
      <c r="C5251" s="87" t="s">
        <v>2438</v>
      </c>
      <c r="D5251" s="88"/>
      <c r="E5251" s="88"/>
      <c r="F5251" s="88"/>
    </row>
    <row r="5252" spans="3:6">
      <c r="C5252" s="87"/>
      <c r="D5252" s="88"/>
      <c r="E5252" s="88"/>
      <c r="F5252" s="88"/>
    </row>
    <row r="5253" spans="3:6" ht="15.6">
      <c r="C5253" s="587" t="s">
        <v>2694</v>
      </c>
      <c r="D5253" s="656" t="s">
        <v>353</v>
      </c>
      <c r="E5253" s="656" t="s">
        <v>354</v>
      </c>
      <c r="F5253" s="656" t="s">
        <v>355</v>
      </c>
    </row>
    <row r="5254" spans="3:6">
      <c r="C5254" s="191" t="s">
        <v>2695</v>
      </c>
      <c r="D5254" s="125">
        <v>0.35</v>
      </c>
      <c r="E5254" s="125">
        <v>0.35</v>
      </c>
      <c r="F5254" s="125">
        <v>0.35</v>
      </c>
    </row>
    <row r="5255" spans="3:6">
      <c r="C5255" s="654" t="s">
        <v>2696</v>
      </c>
      <c r="D5255" s="125">
        <v>0.35</v>
      </c>
      <c r="E5255" s="125">
        <v>0.35</v>
      </c>
      <c r="F5255" s="125">
        <v>0.35</v>
      </c>
    </row>
    <row r="5256" spans="3:6">
      <c r="C5256" s="572" t="s">
        <v>2697</v>
      </c>
      <c r="D5256" s="125">
        <v>0.15</v>
      </c>
      <c r="E5256" s="125">
        <v>0.15</v>
      </c>
      <c r="F5256" s="125">
        <v>0.15</v>
      </c>
    </row>
    <row r="5257" spans="3:6" ht="28.8">
      <c r="C5257" s="572" t="s">
        <v>2698</v>
      </c>
      <c r="D5257" s="125">
        <v>0.1</v>
      </c>
      <c r="E5257" s="125">
        <v>0.1</v>
      </c>
      <c r="F5257" s="125">
        <v>0.1</v>
      </c>
    </row>
    <row r="5258" spans="3:6">
      <c r="C5258" s="572" t="s">
        <v>2699</v>
      </c>
      <c r="D5258" s="125">
        <v>0.03</v>
      </c>
      <c r="E5258" s="125">
        <v>0.03</v>
      </c>
      <c r="F5258" s="125">
        <v>0</v>
      </c>
    </row>
    <row r="5259" spans="3:6">
      <c r="C5259" s="572" t="s">
        <v>2700</v>
      </c>
      <c r="D5259" s="125">
        <v>0.02</v>
      </c>
      <c r="E5259" s="125">
        <v>0.02</v>
      </c>
      <c r="F5259" s="125">
        <v>0.02</v>
      </c>
    </row>
    <row r="5260" spans="3:6">
      <c r="C5260" s="191"/>
      <c r="D5260" s="631">
        <f>SUM(D5254:D5259)</f>
        <v>1</v>
      </c>
      <c r="E5260" s="631">
        <f>SUM(E5254:E5259)</f>
        <v>1</v>
      </c>
      <c r="F5260" s="631">
        <f>SUM(F5254:F5259)</f>
        <v>0.97</v>
      </c>
    </row>
    <row r="5261" spans="3:6">
      <c r="C5261" s="87"/>
      <c r="D5261" s="87"/>
      <c r="E5261" s="631">
        <f>D5260-E5260</f>
        <v>0</v>
      </c>
      <c r="F5261" s="631">
        <f>E5260-F5260</f>
        <v>3.0000000000000027E-2</v>
      </c>
    </row>
    <row r="5262" spans="3:6">
      <c r="C5262" s="594" t="s">
        <v>2436</v>
      </c>
      <c r="D5262" s="88">
        <v>10</v>
      </c>
      <c r="E5262" s="88"/>
      <c r="F5262" s="184"/>
    </row>
    <row r="5263" spans="3:6">
      <c r="C5263" s="87" t="s">
        <v>2379</v>
      </c>
      <c r="D5263" s="644">
        <v>10</v>
      </c>
      <c r="E5263" s="595"/>
      <c r="F5263" s="595"/>
    </row>
    <row r="5264" spans="3:6">
      <c r="C5264" s="87" t="s">
        <v>2437</v>
      </c>
      <c r="D5264" s="595"/>
      <c r="E5264" s="595"/>
      <c r="F5264" s="595"/>
    </row>
    <row r="5265" spans="3:6">
      <c r="C5265" s="87" t="s">
        <v>1446</v>
      </c>
      <c r="D5265" s="88"/>
      <c r="E5265" s="88"/>
      <c r="F5265" s="88"/>
    </row>
    <row r="5266" spans="3:6">
      <c r="C5266" s="87" t="s">
        <v>1447</v>
      </c>
      <c r="D5266" s="88">
        <v>8</v>
      </c>
      <c r="E5266" s="88">
        <v>22</v>
      </c>
      <c r="F5266" s="88"/>
    </row>
    <row r="5267" spans="3:6">
      <c r="C5267" s="87" t="s">
        <v>2438</v>
      </c>
      <c r="D5267" s="88"/>
      <c r="E5267" s="88"/>
      <c r="F5267" s="88"/>
    </row>
    <row r="5268" spans="3:6">
      <c r="C5268" s="87"/>
      <c r="D5268" s="87"/>
      <c r="E5268" s="87"/>
      <c r="F5268" s="87"/>
    </row>
    <row r="5269" spans="3:6">
      <c r="C5269" s="87"/>
      <c r="D5269" s="87"/>
      <c r="E5269" s="87"/>
      <c r="F5269" s="87"/>
    </row>
    <row r="5270" spans="3:6" ht="15.6">
      <c r="C5270" s="587" t="s">
        <v>2701</v>
      </c>
      <c r="D5270" s="656" t="s">
        <v>353</v>
      </c>
      <c r="E5270" s="656" t="s">
        <v>354</v>
      </c>
      <c r="F5270" s="656" t="s">
        <v>355</v>
      </c>
    </row>
    <row r="5271" spans="3:6">
      <c r="C5271" s="191" t="s">
        <v>2702</v>
      </c>
      <c r="D5271" s="125">
        <v>0.3</v>
      </c>
      <c r="E5271" s="125">
        <v>0.3</v>
      </c>
      <c r="F5271" s="125">
        <v>0.3</v>
      </c>
    </row>
    <row r="5272" spans="3:6">
      <c r="C5272" s="654" t="s">
        <v>2703</v>
      </c>
      <c r="D5272" s="125">
        <v>0.35</v>
      </c>
      <c r="E5272" s="125">
        <v>0.35</v>
      </c>
      <c r="F5272" s="125">
        <v>0.35</v>
      </c>
    </row>
    <row r="5273" spans="3:6">
      <c r="C5273" s="572" t="s">
        <v>2704</v>
      </c>
      <c r="D5273" s="125">
        <v>0.12</v>
      </c>
      <c r="E5273" s="125">
        <v>0.12</v>
      </c>
      <c r="F5273" s="125">
        <v>0.12</v>
      </c>
    </row>
    <row r="5274" spans="3:6" ht="28.8">
      <c r="C5274" s="572" t="s">
        <v>2705</v>
      </c>
      <c r="D5274" s="125">
        <v>0.2</v>
      </c>
      <c r="E5274" s="125">
        <v>0.2</v>
      </c>
      <c r="F5274" s="125">
        <v>0.2</v>
      </c>
    </row>
    <row r="5275" spans="3:6">
      <c r="C5275" s="572" t="s">
        <v>2706</v>
      </c>
      <c r="D5275" s="125">
        <v>0.03</v>
      </c>
      <c r="E5275" s="125">
        <v>0.03</v>
      </c>
      <c r="F5275" s="125">
        <v>0.03</v>
      </c>
    </row>
    <row r="5276" spans="3:6">
      <c r="C5276" s="191"/>
      <c r="D5276" s="631">
        <f>SUM(D5271:D5275)</f>
        <v>1</v>
      </c>
      <c r="E5276" s="631">
        <f>SUM(E5271:E5275)</f>
        <v>1</v>
      </c>
      <c r="F5276" s="631">
        <f>SUM(F5271:F5275)</f>
        <v>1</v>
      </c>
    </row>
    <row r="5277" spans="3:6">
      <c r="C5277" s="87"/>
      <c r="D5277" s="87"/>
      <c r="E5277" s="631">
        <f>D5276-E5276</f>
        <v>0</v>
      </c>
      <c r="F5277" s="631">
        <f>E5276-F5276</f>
        <v>0</v>
      </c>
    </row>
    <row r="5278" spans="3:6">
      <c r="C5278" s="594" t="s">
        <v>2436</v>
      </c>
      <c r="D5278" s="88">
        <v>120</v>
      </c>
      <c r="E5278" s="88"/>
      <c r="F5278" s="184"/>
    </row>
    <row r="5279" spans="3:6">
      <c r="C5279" s="87" t="s">
        <v>2379</v>
      </c>
      <c r="D5279" s="644">
        <v>10</v>
      </c>
      <c r="E5279" s="595"/>
      <c r="F5279" s="595"/>
    </row>
    <row r="5280" spans="3:6">
      <c r="C5280" s="87" t="s">
        <v>2437</v>
      </c>
      <c r="D5280" s="595"/>
      <c r="E5280" s="595"/>
      <c r="F5280" s="595"/>
    </row>
    <row r="5281" spans="3:6">
      <c r="C5281" s="87" t="s">
        <v>1446</v>
      </c>
      <c r="D5281" s="88"/>
      <c r="E5281" s="88"/>
      <c r="F5281" s="88"/>
    </row>
    <row r="5282" spans="3:6">
      <c r="C5282" s="87" t="s">
        <v>1447</v>
      </c>
      <c r="D5282" s="88">
        <v>8</v>
      </c>
      <c r="E5282" s="88">
        <v>22</v>
      </c>
      <c r="F5282" s="88"/>
    </row>
    <row r="5283" spans="3:6">
      <c r="C5283" s="87" t="s">
        <v>2438</v>
      </c>
      <c r="D5283" s="88"/>
      <c r="E5283" s="88"/>
      <c r="F5283" s="88"/>
    </row>
    <row r="5284" spans="3:6">
      <c r="C5284" s="87"/>
      <c r="D5284" s="88"/>
      <c r="E5284" s="88"/>
      <c r="F5284" s="88"/>
    </row>
    <row r="5285" spans="3:6">
      <c r="C5285" s="87"/>
      <c r="D5285" s="88"/>
      <c r="E5285" s="88"/>
      <c r="F5285" s="88"/>
    </row>
    <row r="5286" spans="3:6" ht="15.6">
      <c r="C5286" s="587" t="s">
        <v>2707</v>
      </c>
      <c r="D5286" s="656" t="s">
        <v>353</v>
      </c>
      <c r="E5286" s="656" t="s">
        <v>354</v>
      </c>
      <c r="F5286" s="656" t="s">
        <v>355</v>
      </c>
    </row>
    <row r="5287" spans="3:6">
      <c r="C5287" s="191" t="s">
        <v>2708</v>
      </c>
      <c r="D5287" s="125">
        <v>0.35</v>
      </c>
      <c r="E5287" s="125">
        <v>0.35</v>
      </c>
      <c r="F5287" s="125">
        <v>0.35</v>
      </c>
    </row>
    <row r="5288" spans="3:6">
      <c r="C5288" s="654" t="s">
        <v>2709</v>
      </c>
      <c r="D5288" s="125">
        <v>0.35</v>
      </c>
      <c r="E5288" s="125">
        <v>0.35</v>
      </c>
      <c r="F5288" s="125">
        <v>0.35</v>
      </c>
    </row>
    <row r="5289" spans="3:6">
      <c r="C5289" s="572" t="s">
        <v>2710</v>
      </c>
      <c r="D5289" s="125">
        <v>0.25</v>
      </c>
      <c r="E5289" s="125">
        <v>0.25</v>
      </c>
      <c r="F5289" s="125">
        <v>0.25</v>
      </c>
    </row>
    <row r="5290" spans="3:6">
      <c r="C5290" s="572" t="s">
        <v>2711</v>
      </c>
      <c r="D5290" s="125">
        <v>0.02</v>
      </c>
      <c r="E5290" s="125">
        <v>0.02</v>
      </c>
      <c r="F5290" s="125">
        <v>0.02</v>
      </c>
    </row>
    <row r="5291" spans="3:6">
      <c r="C5291" s="572" t="s">
        <v>2712</v>
      </c>
      <c r="D5291" s="125">
        <v>0.03</v>
      </c>
      <c r="E5291" s="125">
        <v>0.03</v>
      </c>
      <c r="F5291" s="125">
        <v>0</v>
      </c>
    </row>
    <row r="5292" spans="3:6">
      <c r="C5292" s="191"/>
      <c r="D5292" s="631">
        <f>SUM(D5287:D5291)</f>
        <v>1</v>
      </c>
      <c r="E5292" s="631">
        <f>SUM(E5287:E5291)</f>
        <v>1</v>
      </c>
      <c r="F5292" s="631">
        <f>SUM(F5287:F5291)</f>
        <v>0.97</v>
      </c>
    </row>
    <row r="5293" spans="3:6">
      <c r="C5293" s="87"/>
      <c r="D5293" s="87"/>
      <c r="E5293" s="631">
        <f>D5292-E5292</f>
        <v>0</v>
      </c>
      <c r="F5293" s="631">
        <f>E5292-F5292</f>
        <v>3.0000000000000027E-2</v>
      </c>
    </row>
    <row r="5294" spans="3:6">
      <c r="C5294" s="658" t="s">
        <v>2713</v>
      </c>
      <c r="D5294" s="88">
        <v>60</v>
      </c>
      <c r="E5294" s="88"/>
      <c r="F5294" s="184"/>
    </row>
    <row r="5295" spans="3:6">
      <c r="C5295" s="87" t="s">
        <v>2379</v>
      </c>
      <c r="D5295" s="644">
        <v>2600</v>
      </c>
      <c r="E5295" s="595"/>
      <c r="F5295" s="595"/>
    </row>
    <row r="5296" spans="3:6">
      <c r="C5296" s="87" t="s">
        <v>2437</v>
      </c>
      <c r="D5296" s="595"/>
      <c r="E5296" s="595"/>
      <c r="F5296" s="595"/>
    </row>
    <row r="5297" spans="3:6">
      <c r="C5297" s="87" t="s">
        <v>1446</v>
      </c>
      <c r="D5297" s="88"/>
      <c r="E5297" s="88"/>
      <c r="F5297" s="88"/>
    </row>
    <row r="5298" spans="3:6">
      <c r="C5298" s="87" t="s">
        <v>1447</v>
      </c>
      <c r="D5298" s="88">
        <v>8</v>
      </c>
      <c r="E5298" s="88">
        <v>22</v>
      </c>
      <c r="F5298" s="88"/>
    </row>
    <row r="5299" spans="3:6">
      <c r="C5299" s="87" t="s">
        <v>2438</v>
      </c>
      <c r="D5299" s="88"/>
      <c r="E5299" s="88"/>
      <c r="F5299" s="88"/>
    </row>
    <row r="5300" spans="3:6">
      <c r="C5300" s="87"/>
      <c r="D5300" s="88"/>
      <c r="E5300" s="595"/>
      <c r="F5300" s="595"/>
    </row>
    <row r="5301" spans="3:6">
      <c r="C5301" s="87"/>
      <c r="D5301" s="595"/>
      <c r="E5301" s="595"/>
      <c r="F5301" s="595"/>
    </row>
    <row r="5302" spans="3:6">
      <c r="C5302" s="87"/>
      <c r="D5302" s="87"/>
      <c r="E5302" s="87"/>
      <c r="F5302" s="87"/>
    </row>
    <row r="5303" spans="3:6">
      <c r="C5303" s="87"/>
      <c r="D5303" s="87"/>
      <c r="E5303" s="87"/>
      <c r="F5303" s="87"/>
    </row>
    <row r="5304" spans="3:6" ht="15.6">
      <c r="C5304" s="587" t="s">
        <v>2714</v>
      </c>
      <c r="D5304" s="656" t="s">
        <v>353</v>
      </c>
      <c r="E5304" s="656" t="s">
        <v>354</v>
      </c>
      <c r="F5304" s="656" t="s">
        <v>355</v>
      </c>
    </row>
    <row r="5305" spans="3:6">
      <c r="C5305" s="191" t="s">
        <v>2715</v>
      </c>
      <c r="D5305" s="125">
        <v>0.35</v>
      </c>
      <c r="E5305" s="125">
        <v>0.35</v>
      </c>
      <c r="F5305" s="125">
        <v>0.35</v>
      </c>
    </row>
    <row r="5306" spans="3:6">
      <c r="C5306" s="654" t="s">
        <v>2716</v>
      </c>
      <c r="D5306" s="125">
        <v>0.35</v>
      </c>
      <c r="E5306" s="125">
        <v>0.35</v>
      </c>
      <c r="F5306" s="125">
        <v>0.35</v>
      </c>
    </row>
    <row r="5307" spans="3:6">
      <c r="C5307" s="572" t="s">
        <v>2717</v>
      </c>
      <c r="D5307" s="125">
        <v>0.2</v>
      </c>
      <c r="E5307" s="125">
        <v>0.2</v>
      </c>
      <c r="F5307" s="125">
        <v>0.2</v>
      </c>
    </row>
    <row r="5308" spans="3:6">
      <c r="C5308" s="572" t="s">
        <v>2718</v>
      </c>
      <c r="D5308" s="125">
        <v>7.0000000000000007E-2</v>
      </c>
      <c r="E5308" s="125">
        <v>7.0000000000000007E-2</v>
      </c>
      <c r="F5308" s="125">
        <v>7.0000000000000007E-2</v>
      </c>
    </row>
    <row r="5309" spans="3:6" ht="28.8">
      <c r="C5309" s="572" t="s">
        <v>2719</v>
      </c>
      <c r="D5309" s="125">
        <v>0.03</v>
      </c>
      <c r="E5309" s="125">
        <v>0.03</v>
      </c>
      <c r="F5309" s="125">
        <v>0.03</v>
      </c>
    </row>
    <row r="5310" spans="3:6">
      <c r="C5310" s="191"/>
      <c r="D5310" s="631">
        <f>SUM(D5305:D5309)</f>
        <v>1</v>
      </c>
      <c r="E5310" s="631">
        <f>SUM(E5305:E5309)</f>
        <v>1</v>
      </c>
      <c r="F5310" s="631">
        <f>SUM(F5305:F5309)</f>
        <v>1</v>
      </c>
    </row>
    <row r="5311" spans="3:6">
      <c r="C5311" s="87"/>
      <c r="D5311" s="87"/>
      <c r="E5311" s="631">
        <f>D5310-E5310</f>
        <v>0</v>
      </c>
      <c r="F5311" s="631">
        <f>E5310-F5310</f>
        <v>0</v>
      </c>
    </row>
    <row r="5312" spans="3:6">
      <c r="C5312" s="658" t="s">
        <v>2713</v>
      </c>
      <c r="D5312" s="88">
        <v>60</v>
      </c>
      <c r="E5312" s="88"/>
      <c r="F5312" s="184"/>
    </row>
    <row r="5313" spans="3:6">
      <c r="C5313" s="87" t="s">
        <v>2379</v>
      </c>
      <c r="D5313" s="644">
        <v>2600</v>
      </c>
      <c r="E5313" s="595"/>
      <c r="F5313" s="595"/>
    </row>
    <row r="5314" spans="3:6">
      <c r="C5314" s="87" t="s">
        <v>2437</v>
      </c>
      <c r="D5314" s="595"/>
      <c r="E5314" s="595"/>
      <c r="F5314" s="595"/>
    </row>
    <row r="5315" spans="3:6">
      <c r="C5315" s="87" t="s">
        <v>1446</v>
      </c>
      <c r="D5315" s="88"/>
      <c r="E5315" s="88"/>
      <c r="F5315" s="88"/>
    </row>
    <row r="5316" spans="3:6">
      <c r="C5316" s="87" t="s">
        <v>1447</v>
      </c>
      <c r="D5316" s="88">
        <v>8</v>
      </c>
      <c r="E5316" s="88">
        <v>22</v>
      </c>
      <c r="F5316" s="88"/>
    </row>
    <row r="5317" spans="3:6">
      <c r="C5317" s="87" t="s">
        <v>2438</v>
      </c>
      <c r="D5317" s="88"/>
      <c r="E5317" s="88"/>
      <c r="F5317" s="88"/>
    </row>
    <row r="5318" spans="3:6">
      <c r="C5318" s="87"/>
      <c r="D5318" s="88"/>
      <c r="E5318" s="595"/>
      <c r="F5318" s="595"/>
    </row>
    <row r="5319" spans="3:6">
      <c r="C5319" s="87"/>
      <c r="D5319" s="595"/>
      <c r="E5319" s="595"/>
      <c r="F5319" s="595"/>
    </row>
    <row r="5320" spans="3:6">
      <c r="C5320" s="87"/>
      <c r="D5320" s="87"/>
      <c r="E5320" s="87"/>
      <c r="F5320" s="87"/>
    </row>
    <row r="5321" spans="3:6" ht="15.6">
      <c r="C5321" s="587" t="s">
        <v>2720</v>
      </c>
      <c r="D5321" s="656" t="s">
        <v>353</v>
      </c>
      <c r="E5321" s="656" t="s">
        <v>354</v>
      </c>
      <c r="F5321" s="656" t="s">
        <v>355</v>
      </c>
    </row>
    <row r="5322" spans="3:6">
      <c r="C5322" s="191" t="s">
        <v>2721</v>
      </c>
      <c r="D5322" s="125">
        <v>0.35</v>
      </c>
      <c r="E5322" s="125">
        <v>0.35</v>
      </c>
      <c r="F5322" s="125">
        <v>0.35</v>
      </c>
    </row>
    <row r="5323" spans="3:6" ht="28.8">
      <c r="C5323" s="654" t="s">
        <v>2722</v>
      </c>
      <c r="D5323" s="125">
        <v>0.35</v>
      </c>
      <c r="E5323" s="125">
        <v>0.35</v>
      </c>
      <c r="F5323" s="125">
        <v>0.35</v>
      </c>
    </row>
    <row r="5324" spans="3:6">
      <c r="C5324" s="572" t="s">
        <v>2723</v>
      </c>
      <c r="D5324" s="125">
        <v>0.2</v>
      </c>
      <c r="E5324" s="125">
        <v>0.2</v>
      </c>
      <c r="F5324" s="125">
        <v>0.2</v>
      </c>
    </row>
    <row r="5325" spans="3:6">
      <c r="C5325" s="572" t="s">
        <v>2724</v>
      </c>
      <c r="D5325" s="125">
        <v>7.0000000000000007E-2</v>
      </c>
      <c r="E5325" s="125">
        <v>7.0000000000000007E-2</v>
      </c>
      <c r="F5325" s="125">
        <v>7.0000000000000007E-2</v>
      </c>
    </row>
    <row r="5326" spans="3:6">
      <c r="C5326" s="572" t="s">
        <v>2725</v>
      </c>
      <c r="D5326" s="125">
        <v>0.03</v>
      </c>
      <c r="E5326" s="125">
        <v>0.03</v>
      </c>
      <c r="F5326" s="125">
        <v>0.01</v>
      </c>
    </row>
    <row r="5327" spans="3:6">
      <c r="C5327" s="191"/>
      <c r="D5327" s="631">
        <f>SUM(D5322:D5326)</f>
        <v>1</v>
      </c>
      <c r="E5327" s="631">
        <f>SUM(E5322:E5326)</f>
        <v>1</v>
      </c>
      <c r="F5327" s="631">
        <f>SUM(F5322:F5326)</f>
        <v>0.98</v>
      </c>
    </row>
    <row r="5328" spans="3:6">
      <c r="C5328" s="87"/>
      <c r="D5328" s="87"/>
      <c r="E5328" s="631">
        <f>D5327-E5327</f>
        <v>0</v>
      </c>
      <c r="F5328" s="631">
        <f>E5327-F5327</f>
        <v>2.0000000000000018E-2</v>
      </c>
    </row>
    <row r="5329" spans="3:6">
      <c r="C5329" s="658" t="s">
        <v>2713</v>
      </c>
      <c r="D5329" s="88">
        <v>60</v>
      </c>
      <c r="E5329" s="88"/>
      <c r="F5329" s="184"/>
    </row>
    <row r="5330" spans="3:6">
      <c r="C5330" s="87" t="s">
        <v>2379</v>
      </c>
      <c r="D5330" s="644">
        <v>2600</v>
      </c>
      <c r="E5330" s="595"/>
      <c r="F5330" s="595"/>
    </row>
    <row r="5331" spans="3:6">
      <c r="C5331" s="87" t="s">
        <v>2437</v>
      </c>
      <c r="D5331" s="595"/>
      <c r="E5331" s="595"/>
      <c r="F5331" s="595"/>
    </row>
    <row r="5332" spans="3:6">
      <c r="C5332" s="87" t="s">
        <v>1446</v>
      </c>
      <c r="D5332" s="88"/>
      <c r="E5332" s="88"/>
      <c r="F5332" s="88"/>
    </row>
    <row r="5333" spans="3:6">
      <c r="C5333" s="87" t="s">
        <v>1447</v>
      </c>
      <c r="D5333" s="88">
        <v>8</v>
      </c>
      <c r="E5333" s="88">
        <v>22</v>
      </c>
      <c r="F5333" s="88"/>
    </row>
    <row r="5334" spans="3:6">
      <c r="C5334" s="87" t="s">
        <v>2438</v>
      </c>
      <c r="D5334" s="88"/>
      <c r="E5334" s="88"/>
      <c r="F5334" s="88"/>
    </row>
    <row r="5335" spans="3:6">
      <c r="C5335" s="87"/>
      <c r="D5335" s="88"/>
      <c r="E5335" s="595"/>
      <c r="F5335" s="595"/>
    </row>
    <row r="5336" spans="3:6">
      <c r="C5336" s="87"/>
      <c r="D5336" s="595"/>
      <c r="E5336" s="595"/>
      <c r="F5336" s="595"/>
    </row>
    <row r="5337" spans="3:6">
      <c r="C5337" s="87"/>
      <c r="D5337" s="87"/>
      <c r="E5337" s="87"/>
      <c r="F5337" s="87"/>
    </row>
    <row r="5338" spans="3:6" ht="15.6">
      <c r="C5338" s="587" t="s">
        <v>2726</v>
      </c>
      <c r="D5338" s="656" t="s">
        <v>353</v>
      </c>
      <c r="E5338" s="656" t="s">
        <v>354</v>
      </c>
      <c r="F5338" s="656" t="s">
        <v>355</v>
      </c>
    </row>
    <row r="5339" spans="3:6">
      <c r="C5339" s="191" t="s">
        <v>2727</v>
      </c>
      <c r="D5339" s="125">
        <v>0.35</v>
      </c>
      <c r="E5339" s="125">
        <v>0.35</v>
      </c>
      <c r="F5339" s="125">
        <v>0.35</v>
      </c>
    </row>
    <row r="5340" spans="3:6">
      <c r="C5340" s="654" t="s">
        <v>2728</v>
      </c>
      <c r="D5340" s="125">
        <v>0.35</v>
      </c>
      <c r="E5340" s="125">
        <v>0.35</v>
      </c>
      <c r="F5340" s="125">
        <v>0.35</v>
      </c>
    </row>
    <row r="5341" spans="3:6" ht="28.8">
      <c r="C5341" s="659" t="s">
        <v>2729</v>
      </c>
      <c r="D5341" s="125">
        <v>0.15</v>
      </c>
      <c r="E5341" s="125">
        <v>0.15</v>
      </c>
      <c r="F5341" s="125">
        <v>0.15</v>
      </c>
    </row>
    <row r="5342" spans="3:6">
      <c r="C5342" s="572" t="s">
        <v>2730</v>
      </c>
      <c r="D5342" s="125">
        <v>0.15</v>
      </c>
      <c r="E5342" s="125">
        <v>0.15</v>
      </c>
      <c r="F5342" s="125">
        <v>0.08</v>
      </c>
    </row>
    <row r="5343" spans="3:6">
      <c r="C5343" s="191"/>
      <c r="D5343" s="631">
        <f>SUM(D5339:D5342)</f>
        <v>1</v>
      </c>
      <c r="E5343" s="631">
        <f>SUM(E5339:E5342)</f>
        <v>1</v>
      </c>
      <c r="F5343" s="631">
        <f>SUM(F5339:F5342)</f>
        <v>0.92999999999999994</v>
      </c>
    </row>
    <row r="5344" spans="3:6">
      <c r="C5344" s="87"/>
      <c r="D5344" s="87"/>
      <c r="E5344" s="631">
        <f>D5343-E5343</f>
        <v>0</v>
      </c>
      <c r="F5344" s="631">
        <f>E5343-F5343</f>
        <v>7.0000000000000062E-2</v>
      </c>
    </row>
    <row r="5345" spans="3:6">
      <c r="C5345" s="658" t="s">
        <v>2713</v>
      </c>
      <c r="D5345" s="88">
        <v>90</v>
      </c>
      <c r="E5345" s="88"/>
      <c r="F5345" s="184"/>
    </row>
    <row r="5346" spans="3:6">
      <c r="C5346" s="660" t="s">
        <v>2379</v>
      </c>
      <c r="D5346" s="644">
        <v>2600</v>
      </c>
      <c r="E5346" s="595"/>
      <c r="F5346" s="595"/>
    </row>
    <row r="5347" spans="3:6">
      <c r="C5347" s="660" t="s">
        <v>2437</v>
      </c>
      <c r="D5347" s="595"/>
      <c r="E5347" s="595"/>
      <c r="F5347" s="595"/>
    </row>
    <row r="5348" spans="3:6">
      <c r="C5348" s="660" t="s">
        <v>1446</v>
      </c>
      <c r="D5348" s="88"/>
      <c r="E5348" s="88"/>
      <c r="F5348" s="88"/>
    </row>
    <row r="5349" spans="3:6">
      <c r="C5349" s="660" t="s">
        <v>1447</v>
      </c>
      <c r="D5349" s="88">
        <v>8</v>
      </c>
      <c r="E5349" s="88">
        <v>22</v>
      </c>
      <c r="F5349" s="88"/>
    </row>
    <row r="5350" spans="3:6">
      <c r="C5350" s="87" t="s">
        <v>2438</v>
      </c>
      <c r="D5350" s="88"/>
      <c r="E5350" s="88"/>
      <c r="F5350" s="88"/>
    </row>
    <row r="5351" spans="3:6">
      <c r="C5351" s="87"/>
      <c r="D5351" s="88"/>
      <c r="E5351" s="595"/>
      <c r="F5351" s="595"/>
    </row>
    <row r="5352" spans="3:6">
      <c r="C5352" s="87"/>
      <c r="D5352" s="595"/>
      <c r="E5352" s="595"/>
      <c r="F5352" s="595"/>
    </row>
    <row r="5353" spans="3:6">
      <c r="C5353" s="87"/>
      <c r="D5353" s="87"/>
      <c r="E5353" s="87"/>
      <c r="F5353" s="87"/>
    </row>
    <row r="5354" spans="3:6">
      <c r="C5354" s="87"/>
      <c r="D5354" s="87"/>
      <c r="E5354" s="87"/>
      <c r="F5354" s="87"/>
    </row>
    <row r="5355" spans="3:6" ht="15.6">
      <c r="C5355" s="587" t="s">
        <v>2731</v>
      </c>
      <c r="D5355" s="656" t="s">
        <v>353</v>
      </c>
      <c r="E5355" s="656" t="s">
        <v>354</v>
      </c>
      <c r="F5355" s="656" t="s">
        <v>355</v>
      </c>
    </row>
    <row r="5356" spans="3:6">
      <c r="C5356" s="191" t="s">
        <v>2732</v>
      </c>
      <c r="D5356" s="125">
        <v>0.1</v>
      </c>
      <c r="E5356" s="125">
        <v>0.1</v>
      </c>
      <c r="F5356" s="125">
        <v>0.1</v>
      </c>
    </row>
    <row r="5357" spans="3:6" ht="28.8">
      <c r="C5357" s="654" t="s">
        <v>2733</v>
      </c>
      <c r="D5357" s="125">
        <v>0.75</v>
      </c>
      <c r="E5357" s="125">
        <v>0.75</v>
      </c>
      <c r="F5357" s="125">
        <v>0.75</v>
      </c>
    </row>
    <row r="5358" spans="3:6">
      <c r="C5358" s="659" t="s">
        <v>2734</v>
      </c>
      <c r="D5358" s="125">
        <v>0.15</v>
      </c>
      <c r="E5358" s="125">
        <v>0.15</v>
      </c>
      <c r="F5358" s="125">
        <v>0.08</v>
      </c>
    </row>
    <row r="5359" spans="3:6">
      <c r="C5359" s="191"/>
      <c r="D5359" s="631">
        <f>SUM(D5356:D5358)</f>
        <v>1</v>
      </c>
      <c r="E5359" s="631">
        <f>SUM(E5356:E5358)</f>
        <v>1</v>
      </c>
      <c r="F5359" s="631">
        <f>SUM(F5356:F5358)</f>
        <v>0.92999999999999994</v>
      </c>
    </row>
    <row r="5360" spans="3:6">
      <c r="C5360" s="87"/>
      <c r="D5360" s="87"/>
      <c r="E5360" s="631">
        <f>D5359-E5359</f>
        <v>0</v>
      </c>
      <c r="F5360" s="631">
        <f>E5359-F5359</f>
        <v>7.0000000000000062E-2</v>
      </c>
    </row>
    <row r="5361" spans="3:6">
      <c r="C5361" s="658" t="s">
        <v>2713</v>
      </c>
      <c r="D5361" s="88">
        <v>480</v>
      </c>
      <c r="E5361" s="88"/>
      <c r="F5361" s="184"/>
    </row>
    <row r="5362" spans="3:6">
      <c r="C5362" s="87" t="s">
        <v>2379</v>
      </c>
      <c r="D5362" s="644">
        <v>1</v>
      </c>
      <c r="E5362" s="595"/>
      <c r="F5362" s="595"/>
    </row>
    <row r="5363" spans="3:6">
      <c r="C5363" s="87" t="s">
        <v>2437</v>
      </c>
      <c r="D5363" s="595"/>
      <c r="E5363" s="595"/>
      <c r="F5363" s="595"/>
    </row>
    <row r="5364" spans="3:6">
      <c r="C5364" s="87" t="s">
        <v>1446</v>
      </c>
      <c r="D5364" s="88"/>
      <c r="E5364" s="88"/>
      <c r="F5364" s="88"/>
    </row>
    <row r="5365" spans="3:6">
      <c r="C5365" s="87" t="s">
        <v>1447</v>
      </c>
      <c r="D5365" s="88">
        <v>8</v>
      </c>
      <c r="E5365" s="88">
        <v>22</v>
      </c>
      <c r="F5365" s="88"/>
    </row>
    <row r="5366" spans="3:6">
      <c r="C5366" s="87" t="s">
        <v>2438</v>
      </c>
      <c r="D5366" s="88"/>
      <c r="E5366" s="88"/>
      <c r="F5366" s="88"/>
    </row>
    <row r="5367" spans="3:6">
      <c r="C5367" s="87"/>
      <c r="D5367" s="88"/>
      <c r="E5367" s="595"/>
      <c r="F5367" s="595"/>
    </row>
    <row r="5368" spans="3:6">
      <c r="C5368" s="87"/>
      <c r="D5368" s="595"/>
      <c r="E5368" s="595"/>
      <c r="F5368" s="595"/>
    </row>
    <row r="5369" spans="3:6">
      <c r="C5369" s="87"/>
      <c r="D5369" s="87"/>
      <c r="E5369" s="87"/>
      <c r="F5369" s="87"/>
    </row>
    <row r="5370" spans="3:6">
      <c r="C5370" s="87"/>
      <c r="D5370" s="87"/>
      <c r="E5370" s="87"/>
      <c r="F5370" s="87"/>
    </row>
    <row r="5371" spans="3:6" ht="15.6">
      <c r="C5371" s="587" t="s">
        <v>2735</v>
      </c>
      <c r="D5371" s="656" t="s">
        <v>353</v>
      </c>
      <c r="E5371" s="656" t="s">
        <v>354</v>
      </c>
      <c r="F5371" s="656" t="s">
        <v>355</v>
      </c>
    </row>
    <row r="5372" spans="3:6">
      <c r="C5372" s="191" t="s">
        <v>2736</v>
      </c>
      <c r="D5372" s="125">
        <v>0.4</v>
      </c>
      <c r="E5372" s="125">
        <v>0.4</v>
      </c>
      <c r="F5372" s="125">
        <v>0.4</v>
      </c>
    </row>
    <row r="5373" spans="3:6">
      <c r="C5373" s="191" t="s">
        <v>2737</v>
      </c>
      <c r="D5373" s="125">
        <v>0.2</v>
      </c>
      <c r="E5373" s="125">
        <v>0.2</v>
      </c>
      <c r="F5373" s="125">
        <v>0.2</v>
      </c>
    </row>
    <row r="5374" spans="3:6">
      <c r="C5374" s="654" t="s">
        <v>2738</v>
      </c>
      <c r="D5374" s="125">
        <v>0.3</v>
      </c>
      <c r="E5374" s="125">
        <v>0.3</v>
      </c>
      <c r="F5374" s="125">
        <v>0.3</v>
      </c>
    </row>
    <row r="5375" spans="3:6">
      <c r="C5375" s="659" t="s">
        <v>2739</v>
      </c>
      <c r="D5375" s="125">
        <v>7.0000000000000007E-2</v>
      </c>
      <c r="E5375" s="125">
        <v>7.0000000000000007E-2</v>
      </c>
      <c r="F5375" s="125">
        <v>7.0000000000000007E-2</v>
      </c>
    </row>
    <row r="5376" spans="3:6">
      <c r="C5376" s="659" t="s">
        <v>2740</v>
      </c>
      <c r="D5376" s="125">
        <v>0.03</v>
      </c>
      <c r="E5376" s="125">
        <v>0.03</v>
      </c>
      <c r="F5376" s="125">
        <v>0.01</v>
      </c>
    </row>
    <row r="5377" spans="3:6">
      <c r="C5377" s="191"/>
      <c r="D5377" s="631">
        <f>SUM(D5372:D5376)</f>
        <v>1.0000000000000002</v>
      </c>
      <c r="E5377" s="631">
        <f>SUM(E5372:E5376)</f>
        <v>1.0000000000000002</v>
      </c>
      <c r="F5377" s="631">
        <f>SUM(F5372:F5376)</f>
        <v>0.9800000000000002</v>
      </c>
    </row>
    <row r="5378" spans="3:6">
      <c r="C5378" s="87"/>
      <c r="D5378" s="87"/>
      <c r="E5378" s="631">
        <f>D5377-E5377</f>
        <v>0</v>
      </c>
      <c r="F5378" s="631">
        <f>E5377-F5377</f>
        <v>2.0000000000000018E-2</v>
      </c>
    </row>
    <row r="5379" spans="3:6">
      <c r="C5379" s="658" t="s">
        <v>2713</v>
      </c>
      <c r="D5379" s="88">
        <v>120</v>
      </c>
      <c r="E5379" s="88"/>
      <c r="F5379" s="184"/>
    </row>
    <row r="5380" spans="3:6">
      <c r="C5380" s="87" t="s">
        <v>2379</v>
      </c>
      <c r="D5380" s="644">
        <v>1</v>
      </c>
      <c r="E5380" s="595"/>
      <c r="F5380" s="595"/>
    </row>
    <row r="5381" spans="3:6">
      <c r="C5381" s="87" t="s">
        <v>2437</v>
      </c>
      <c r="D5381" s="595"/>
      <c r="E5381" s="595"/>
      <c r="F5381" s="595"/>
    </row>
    <row r="5382" spans="3:6">
      <c r="C5382" s="87" t="s">
        <v>1446</v>
      </c>
      <c r="D5382" s="88"/>
      <c r="E5382" s="88"/>
      <c r="F5382" s="88"/>
    </row>
    <row r="5383" spans="3:6">
      <c r="C5383" s="87" t="s">
        <v>1447</v>
      </c>
      <c r="D5383" s="88">
        <v>8</v>
      </c>
      <c r="E5383" s="88">
        <v>22</v>
      </c>
      <c r="F5383" s="88"/>
    </row>
    <row r="5384" spans="3:6">
      <c r="C5384" s="87" t="s">
        <v>2438</v>
      </c>
      <c r="D5384" s="88"/>
      <c r="E5384" s="88"/>
      <c r="F5384" s="88"/>
    </row>
    <row r="5385" spans="3:6">
      <c r="C5385" s="87"/>
      <c r="D5385" s="88"/>
      <c r="E5385" s="595"/>
      <c r="F5385" s="595"/>
    </row>
    <row r="5386" spans="3:6">
      <c r="C5386" s="87"/>
      <c r="D5386" s="595"/>
      <c r="E5386" s="595"/>
      <c r="F5386" s="595"/>
    </row>
    <row r="5387" spans="3:6">
      <c r="C5387" s="87"/>
      <c r="D5387" s="87"/>
      <c r="E5387" s="87"/>
      <c r="F5387" s="87"/>
    </row>
    <row r="5388" spans="3:6" ht="15.6">
      <c r="C5388" s="587" t="s">
        <v>2741</v>
      </c>
      <c r="D5388" s="656" t="s">
        <v>353</v>
      </c>
      <c r="E5388" s="656" t="s">
        <v>354</v>
      </c>
      <c r="F5388" s="656" t="s">
        <v>355</v>
      </c>
    </row>
    <row r="5389" spans="3:6">
      <c r="C5389" s="191" t="s">
        <v>2742</v>
      </c>
      <c r="D5389" s="125">
        <v>0.2</v>
      </c>
      <c r="E5389" s="125">
        <v>0.2</v>
      </c>
      <c r="F5389" s="125">
        <v>0.2</v>
      </c>
    </row>
    <row r="5390" spans="3:6">
      <c r="C5390" s="191" t="s">
        <v>2743</v>
      </c>
      <c r="D5390" s="125">
        <v>0.3</v>
      </c>
      <c r="E5390" s="125">
        <v>0.3</v>
      </c>
      <c r="F5390" s="125">
        <v>0.3</v>
      </c>
    </row>
    <row r="5391" spans="3:6">
      <c r="C5391" s="654" t="s">
        <v>2744</v>
      </c>
      <c r="D5391" s="125">
        <v>0.2</v>
      </c>
      <c r="E5391" s="125">
        <v>0.2</v>
      </c>
      <c r="F5391" s="125">
        <v>0.1</v>
      </c>
    </row>
    <row r="5392" spans="3:6">
      <c r="C5392" s="659" t="s">
        <v>2745</v>
      </c>
      <c r="D5392" s="125">
        <v>0.3</v>
      </c>
      <c r="E5392" s="125">
        <v>0.3</v>
      </c>
      <c r="F5392" s="125">
        <v>0.3</v>
      </c>
    </row>
    <row r="5393" spans="3:6">
      <c r="C5393" s="191"/>
      <c r="D5393" s="631">
        <f>SUM(D5389:D5392)</f>
        <v>1</v>
      </c>
      <c r="E5393" s="631">
        <f>SUM(E5389:E5392)</f>
        <v>1</v>
      </c>
      <c r="F5393" s="631">
        <f>SUM(F5389:F5392)</f>
        <v>0.89999999999999991</v>
      </c>
    </row>
    <row r="5394" spans="3:6">
      <c r="C5394" s="87"/>
      <c r="D5394" s="87"/>
      <c r="E5394" s="631">
        <f>D5393-E5393</f>
        <v>0</v>
      </c>
      <c r="F5394" s="631">
        <f>E5393-F5393</f>
        <v>0.10000000000000009</v>
      </c>
    </row>
    <row r="5395" spans="3:6">
      <c r="C5395" s="658" t="s">
        <v>2713</v>
      </c>
      <c r="D5395" s="88">
        <v>120</v>
      </c>
      <c r="E5395" s="88"/>
      <c r="F5395" s="184"/>
    </row>
    <row r="5396" spans="3:6">
      <c r="C5396" s="87" t="s">
        <v>2379</v>
      </c>
      <c r="D5396" s="644">
        <v>1</v>
      </c>
      <c r="E5396" s="595"/>
      <c r="F5396" s="595"/>
    </row>
    <row r="5397" spans="3:6">
      <c r="C5397" s="87" t="s">
        <v>2437</v>
      </c>
      <c r="D5397" s="595"/>
      <c r="E5397" s="595"/>
      <c r="F5397" s="595"/>
    </row>
    <row r="5398" spans="3:6">
      <c r="C5398" s="87" t="s">
        <v>1446</v>
      </c>
      <c r="D5398" s="88"/>
      <c r="E5398" s="88"/>
      <c r="F5398" s="88"/>
    </row>
    <row r="5399" spans="3:6">
      <c r="C5399" s="87" t="s">
        <v>1447</v>
      </c>
      <c r="D5399" s="88">
        <v>8</v>
      </c>
      <c r="E5399" s="88">
        <v>22</v>
      </c>
      <c r="F5399" s="88"/>
    </row>
    <row r="5400" spans="3:6">
      <c r="C5400" s="87" t="s">
        <v>2438</v>
      </c>
      <c r="D5400" s="88"/>
      <c r="E5400" s="88"/>
      <c r="F5400" s="88"/>
    </row>
    <row r="5401" spans="3:6">
      <c r="C5401" s="87"/>
      <c r="D5401" s="88"/>
      <c r="E5401" s="595"/>
      <c r="F5401" s="595"/>
    </row>
    <row r="5402" spans="3:6">
      <c r="C5402" s="87"/>
      <c r="D5402" s="595"/>
      <c r="E5402" s="595"/>
      <c r="F5402" s="595"/>
    </row>
    <row r="5403" spans="3:6">
      <c r="C5403" s="87"/>
      <c r="D5403" s="87"/>
      <c r="E5403" s="87"/>
      <c r="F5403" s="87"/>
    </row>
    <row r="5404" spans="3:6" ht="31.2">
      <c r="C5404" s="661" t="s">
        <v>2746</v>
      </c>
      <c r="D5404" s="656" t="s">
        <v>353</v>
      </c>
      <c r="E5404" s="656" t="s">
        <v>354</v>
      </c>
      <c r="F5404" s="656" t="s">
        <v>355</v>
      </c>
    </row>
    <row r="5405" spans="3:6">
      <c r="C5405" s="662" t="s">
        <v>2747</v>
      </c>
      <c r="D5405" s="125">
        <v>0.2</v>
      </c>
      <c r="E5405" s="125">
        <v>0.2</v>
      </c>
      <c r="F5405" s="125">
        <v>0.2</v>
      </c>
    </row>
    <row r="5406" spans="3:6">
      <c r="C5406" s="663" t="s">
        <v>2748</v>
      </c>
      <c r="D5406" s="125">
        <v>0.3</v>
      </c>
      <c r="E5406" s="125">
        <v>0.3</v>
      </c>
      <c r="F5406" s="125">
        <v>0.3</v>
      </c>
    </row>
    <row r="5407" spans="3:6">
      <c r="C5407" s="664" t="s">
        <v>2749</v>
      </c>
      <c r="D5407" s="125">
        <v>0.2</v>
      </c>
      <c r="E5407" s="125">
        <v>0.2</v>
      </c>
      <c r="F5407" s="125">
        <v>0.2</v>
      </c>
    </row>
    <row r="5408" spans="3:6">
      <c r="C5408" s="663" t="s">
        <v>2750</v>
      </c>
      <c r="D5408" s="125">
        <v>0.1</v>
      </c>
      <c r="E5408" s="125">
        <v>0.1</v>
      </c>
      <c r="F5408" s="125">
        <v>0.1</v>
      </c>
    </row>
    <row r="5409" spans="3:6">
      <c r="C5409" s="663" t="s">
        <v>2751</v>
      </c>
      <c r="D5409" s="125">
        <v>0.2</v>
      </c>
      <c r="E5409" s="125">
        <v>0.2</v>
      </c>
      <c r="F5409" s="125">
        <v>0.2</v>
      </c>
    </row>
    <row r="5410" spans="3:6">
      <c r="C5410" s="191"/>
      <c r="D5410" s="631">
        <f>SUM(D5405:D5409)</f>
        <v>1</v>
      </c>
      <c r="E5410" s="631">
        <f>SUM(E5405:E5409)</f>
        <v>1</v>
      </c>
      <c r="F5410" s="631">
        <f>SUM(F5405:F5409)</f>
        <v>1</v>
      </c>
    </row>
    <row r="5411" spans="3:6">
      <c r="C5411" s="87"/>
      <c r="D5411" s="87"/>
      <c r="E5411" s="631">
        <f>D5410-E5410</f>
        <v>0</v>
      </c>
      <c r="F5411" s="631">
        <f>E5410-F5410</f>
        <v>0</v>
      </c>
    </row>
    <row r="5412" spans="3:6">
      <c r="C5412" s="658" t="s">
        <v>2713</v>
      </c>
      <c r="D5412" s="88">
        <v>120</v>
      </c>
      <c r="E5412" s="88"/>
      <c r="F5412" s="184"/>
    </row>
    <row r="5413" spans="3:6">
      <c r="C5413" s="87" t="s">
        <v>2379</v>
      </c>
      <c r="D5413" s="644">
        <v>1</v>
      </c>
      <c r="E5413" s="595"/>
      <c r="F5413" s="595"/>
    </row>
    <row r="5414" spans="3:6">
      <c r="C5414" s="87" t="s">
        <v>2437</v>
      </c>
      <c r="D5414" s="595"/>
      <c r="E5414" s="595"/>
      <c r="F5414" s="595"/>
    </row>
    <row r="5415" spans="3:6">
      <c r="C5415" s="87" t="s">
        <v>1446</v>
      </c>
      <c r="D5415" s="88"/>
      <c r="E5415" s="88"/>
      <c r="F5415" s="88"/>
    </row>
    <row r="5416" spans="3:6">
      <c r="C5416" s="87" t="s">
        <v>1447</v>
      </c>
      <c r="D5416" s="88">
        <v>8</v>
      </c>
      <c r="E5416" s="88">
        <v>22</v>
      </c>
      <c r="F5416" s="88"/>
    </row>
    <row r="5417" spans="3:6">
      <c r="C5417" s="87" t="s">
        <v>2438</v>
      </c>
      <c r="D5417" s="88"/>
      <c r="E5417" s="88"/>
      <c r="F5417" s="88"/>
    </row>
    <row r="5418" spans="3:6">
      <c r="C5418" s="87"/>
      <c r="D5418" s="88"/>
      <c r="E5418" s="595"/>
      <c r="F5418" s="595"/>
    </row>
    <row r="5419" spans="3:6">
      <c r="C5419" s="87"/>
      <c r="D5419" s="595"/>
      <c r="E5419" s="595"/>
      <c r="F5419" s="595"/>
    </row>
    <row r="5420" spans="3:6">
      <c r="C5420" s="87"/>
      <c r="D5420" s="595"/>
      <c r="E5420" s="595"/>
      <c r="F5420" s="595"/>
    </row>
    <row r="5421" spans="3:6">
      <c r="C5421" s="87"/>
      <c r="D5421" s="87"/>
      <c r="E5421" s="87"/>
      <c r="F5421" s="87"/>
    </row>
    <row r="5422" spans="3:6" ht="15.6">
      <c r="C5422" s="661" t="s">
        <v>2752</v>
      </c>
      <c r="D5422" s="656" t="s">
        <v>353</v>
      </c>
      <c r="E5422" s="656" t="s">
        <v>354</v>
      </c>
      <c r="F5422" s="656" t="s">
        <v>355</v>
      </c>
    </row>
    <row r="5423" spans="3:6" ht="28.8">
      <c r="C5423" s="662" t="s">
        <v>2753</v>
      </c>
      <c r="D5423" s="125">
        <v>0.2</v>
      </c>
      <c r="E5423" s="125">
        <v>0.2</v>
      </c>
      <c r="F5423" s="125">
        <v>0.2</v>
      </c>
    </row>
    <row r="5424" spans="3:6" ht="28.8">
      <c r="C5424" s="665" t="s">
        <v>2754</v>
      </c>
      <c r="D5424" s="125">
        <v>0.3</v>
      </c>
      <c r="E5424" s="125">
        <v>0.3</v>
      </c>
      <c r="F5424" s="125">
        <v>0.3</v>
      </c>
    </row>
    <row r="5425" spans="3:6" ht="28.8">
      <c r="C5425" s="662" t="s">
        <v>2755</v>
      </c>
      <c r="D5425" s="125">
        <v>0.2</v>
      </c>
      <c r="E5425" s="125">
        <v>0.2</v>
      </c>
      <c r="F5425" s="125">
        <v>0.2</v>
      </c>
    </row>
    <row r="5426" spans="3:6" ht="28.8">
      <c r="C5426" s="665" t="s">
        <v>2756</v>
      </c>
      <c r="D5426" s="125">
        <v>0.1</v>
      </c>
      <c r="E5426" s="125">
        <v>0.1</v>
      </c>
      <c r="F5426" s="125">
        <v>0.1</v>
      </c>
    </row>
    <row r="5427" spans="3:6" ht="28.8">
      <c r="C5427" s="665" t="s">
        <v>2757</v>
      </c>
      <c r="D5427" s="125">
        <v>0.2</v>
      </c>
      <c r="E5427" s="125">
        <v>0.2</v>
      </c>
      <c r="F5427" s="125">
        <v>0.2</v>
      </c>
    </row>
    <row r="5428" spans="3:6" ht="28.8">
      <c r="C5428" s="665" t="s">
        <v>2758</v>
      </c>
      <c r="D5428" s="125"/>
      <c r="E5428" s="125"/>
      <c r="F5428" s="125"/>
    </row>
    <row r="5429" spans="3:6">
      <c r="C5429" s="665" t="s">
        <v>2759</v>
      </c>
      <c r="D5429" s="125"/>
      <c r="E5429" s="125"/>
      <c r="F5429" s="125"/>
    </row>
    <row r="5430" spans="3:6" ht="28.8">
      <c r="C5430" s="665" t="s">
        <v>2760</v>
      </c>
      <c r="D5430" s="125"/>
      <c r="E5430" s="125"/>
      <c r="F5430" s="125"/>
    </row>
    <row r="5431" spans="3:6">
      <c r="C5431" s="191"/>
      <c r="D5431" s="631">
        <f>SUM(D5423:D5427)</f>
        <v>1</v>
      </c>
      <c r="E5431" s="631">
        <f>SUM(E5423:E5427)</f>
        <v>1</v>
      </c>
      <c r="F5431" s="631">
        <f>SUM(F5423:F5427)</f>
        <v>1</v>
      </c>
    </row>
    <row r="5432" spans="3:6">
      <c r="C5432" s="87"/>
      <c r="D5432" s="87"/>
      <c r="E5432" s="631">
        <f>D5431-E5431</f>
        <v>0</v>
      </c>
      <c r="F5432" s="631">
        <f>E5431-F5431</f>
        <v>0</v>
      </c>
    </row>
    <row r="5433" spans="3:6">
      <c r="C5433" s="658" t="s">
        <v>2713</v>
      </c>
      <c r="D5433" s="88">
        <v>120</v>
      </c>
      <c r="E5433" s="88"/>
      <c r="F5433" s="184"/>
    </row>
    <row r="5434" spans="3:6">
      <c r="C5434" s="87" t="s">
        <v>2379</v>
      </c>
      <c r="D5434" s="644">
        <v>1</v>
      </c>
      <c r="E5434" s="595"/>
      <c r="F5434" s="595"/>
    </row>
    <row r="5435" spans="3:6">
      <c r="C5435" s="87" t="s">
        <v>2437</v>
      </c>
      <c r="D5435" s="595"/>
      <c r="E5435" s="595"/>
      <c r="F5435" s="595"/>
    </row>
    <row r="5436" spans="3:6">
      <c r="C5436" s="87" t="s">
        <v>1446</v>
      </c>
      <c r="D5436" s="88"/>
      <c r="E5436" s="88"/>
      <c r="F5436" s="88"/>
    </row>
    <row r="5437" spans="3:6">
      <c r="C5437" s="87" t="s">
        <v>1447</v>
      </c>
      <c r="D5437" s="88">
        <v>8</v>
      </c>
      <c r="E5437" s="88">
        <v>22</v>
      </c>
      <c r="F5437" s="88"/>
    </row>
    <row r="5438" spans="3:6">
      <c r="C5438" s="87" t="s">
        <v>2438</v>
      </c>
      <c r="D5438" s="88"/>
      <c r="E5438" s="88"/>
      <c r="F5438" s="88"/>
    </row>
    <row r="5439" spans="3:6">
      <c r="C5439" s="87"/>
      <c r="D5439" s="88"/>
      <c r="E5439" s="88"/>
      <c r="F5439" s="88"/>
    </row>
    <row r="5440" spans="3:6">
      <c r="C5440" s="87"/>
      <c r="D5440" s="88"/>
      <c r="E5440" s="595"/>
      <c r="F5440" s="595"/>
    </row>
    <row r="5441" spans="3:6">
      <c r="C5441" s="87"/>
      <c r="D5441" s="595"/>
      <c r="E5441" s="595"/>
      <c r="F5441" s="595"/>
    </row>
    <row r="5442" spans="3:6">
      <c r="C5442" s="87"/>
      <c r="D5442" s="87"/>
      <c r="E5442" s="87"/>
      <c r="F5442" s="87"/>
    </row>
    <row r="5443" spans="3:6" ht="15.6">
      <c r="C5443" s="661" t="s">
        <v>2761</v>
      </c>
      <c r="D5443" s="656" t="s">
        <v>353</v>
      </c>
      <c r="E5443" s="656" t="s">
        <v>354</v>
      </c>
      <c r="F5443" s="656" t="s">
        <v>355</v>
      </c>
    </row>
    <row r="5444" spans="3:6" ht="28.2">
      <c r="C5444" s="666" t="s">
        <v>2762</v>
      </c>
      <c r="D5444" s="125">
        <v>0.2</v>
      </c>
      <c r="E5444" s="125">
        <v>0.2</v>
      </c>
      <c r="F5444" s="125">
        <v>0.2</v>
      </c>
    </row>
    <row r="5445" spans="3:6" ht="28.2">
      <c r="C5445" s="666" t="s">
        <v>2763</v>
      </c>
      <c r="D5445" s="125">
        <v>0.3</v>
      </c>
      <c r="E5445" s="125">
        <v>0.3</v>
      </c>
      <c r="F5445" s="125">
        <v>0.3</v>
      </c>
    </row>
    <row r="5446" spans="3:6" ht="28.2">
      <c r="C5446" s="666" t="s">
        <v>2764</v>
      </c>
      <c r="D5446" s="125">
        <v>0.2</v>
      </c>
      <c r="E5446" s="125">
        <v>0.2</v>
      </c>
      <c r="F5446" s="125">
        <v>0.2</v>
      </c>
    </row>
    <row r="5447" spans="3:6">
      <c r="C5447" s="666" t="s">
        <v>2765</v>
      </c>
      <c r="D5447" s="125">
        <v>0.1</v>
      </c>
      <c r="E5447" s="125">
        <v>0.1</v>
      </c>
      <c r="F5447" s="125">
        <v>0.1</v>
      </c>
    </row>
    <row r="5448" spans="3:6">
      <c r="C5448" s="666" t="s">
        <v>2766</v>
      </c>
      <c r="D5448" s="125">
        <v>0.2</v>
      </c>
      <c r="E5448" s="125">
        <v>0.2</v>
      </c>
      <c r="F5448" s="125">
        <v>0.2</v>
      </c>
    </row>
    <row r="5449" spans="3:6" ht="28.2">
      <c r="C5449" s="666" t="s">
        <v>2767</v>
      </c>
      <c r="D5449" s="125"/>
      <c r="E5449" s="125"/>
      <c r="F5449" s="125"/>
    </row>
    <row r="5450" spans="3:6" ht="28.2">
      <c r="C5450" s="666" t="s">
        <v>2768</v>
      </c>
      <c r="D5450" s="125"/>
      <c r="E5450" s="125"/>
      <c r="F5450" s="125"/>
    </row>
    <row r="5451" spans="3:6">
      <c r="C5451" s="191"/>
      <c r="D5451" s="631">
        <f>SUM(D5444:D5448)</f>
        <v>1</v>
      </c>
      <c r="E5451" s="631">
        <f>SUM(E5444:E5448)</f>
        <v>1</v>
      </c>
      <c r="F5451" s="631">
        <f>SUM(F5444:F5448)</f>
        <v>1</v>
      </c>
    </row>
    <row r="5452" spans="3:6">
      <c r="C5452" s="87"/>
      <c r="D5452" s="87"/>
      <c r="E5452" s="631">
        <f>D5451-E5451</f>
        <v>0</v>
      </c>
      <c r="F5452" s="631">
        <f>E5451-F5451</f>
        <v>0</v>
      </c>
    </row>
    <row r="5453" spans="3:6">
      <c r="C5453" s="658" t="s">
        <v>2713</v>
      </c>
      <c r="D5453" s="88">
        <v>120</v>
      </c>
      <c r="E5453" s="88"/>
      <c r="F5453" s="184"/>
    </row>
    <row r="5454" spans="3:6">
      <c r="C5454" s="87" t="s">
        <v>2379</v>
      </c>
      <c r="D5454" s="644">
        <v>1</v>
      </c>
      <c r="E5454" s="595"/>
      <c r="F5454" s="595"/>
    </row>
    <row r="5455" spans="3:6">
      <c r="C5455" s="87" t="s">
        <v>2437</v>
      </c>
      <c r="D5455" s="595"/>
      <c r="E5455" s="595"/>
      <c r="F5455" s="595"/>
    </row>
    <row r="5456" spans="3:6">
      <c r="C5456" s="87" t="s">
        <v>1446</v>
      </c>
      <c r="D5456" s="88"/>
      <c r="E5456" s="88"/>
      <c r="F5456" s="88"/>
    </row>
    <row r="5457" spans="3:6">
      <c r="C5457" s="87" t="s">
        <v>1447</v>
      </c>
      <c r="D5457" s="88">
        <v>8</v>
      </c>
      <c r="E5457" s="88">
        <v>22</v>
      </c>
      <c r="F5457" s="88"/>
    </row>
    <row r="5458" spans="3:6">
      <c r="C5458" s="87" t="s">
        <v>2438</v>
      </c>
      <c r="D5458" s="88"/>
      <c r="E5458" s="88"/>
      <c r="F5458" s="88"/>
    </row>
    <row r="5459" spans="3:6">
      <c r="C5459" s="87"/>
      <c r="D5459" s="88"/>
      <c r="E5459" s="595"/>
      <c r="F5459" s="595"/>
    </row>
    <row r="5460" spans="3:6">
      <c r="C5460" s="87"/>
      <c r="D5460" s="595"/>
      <c r="E5460" s="595"/>
      <c r="F5460" s="595"/>
    </row>
    <row r="5461" spans="3:6">
      <c r="C5461" s="87"/>
      <c r="D5461" s="87"/>
      <c r="E5461" s="87"/>
      <c r="F5461" s="87"/>
    </row>
    <row r="5462" spans="3:6" ht="15.6">
      <c r="C5462" s="661" t="s">
        <v>2769</v>
      </c>
      <c r="D5462" s="656" t="s">
        <v>353</v>
      </c>
      <c r="E5462" s="656" t="s">
        <v>354</v>
      </c>
      <c r="F5462" s="656" t="s">
        <v>355</v>
      </c>
    </row>
    <row r="5463" spans="3:6" ht="28.2">
      <c r="C5463" s="666" t="s">
        <v>2770</v>
      </c>
      <c r="D5463" s="125">
        <v>0.2</v>
      </c>
      <c r="E5463" s="125">
        <v>0.2</v>
      </c>
      <c r="F5463" s="125">
        <v>0.2</v>
      </c>
    </row>
    <row r="5464" spans="3:6" ht="28.2">
      <c r="C5464" s="666" t="s">
        <v>2771</v>
      </c>
      <c r="D5464" s="125">
        <v>0.3</v>
      </c>
      <c r="E5464" s="125">
        <v>0.3</v>
      </c>
      <c r="F5464" s="125">
        <v>0.3</v>
      </c>
    </row>
    <row r="5465" spans="3:6">
      <c r="C5465" s="666" t="s">
        <v>2772</v>
      </c>
      <c r="D5465" s="125">
        <v>0.2</v>
      </c>
      <c r="E5465" s="125">
        <v>0.2</v>
      </c>
      <c r="F5465" s="125">
        <v>0.2</v>
      </c>
    </row>
    <row r="5466" spans="3:6" ht="28.2">
      <c r="C5466" s="666" t="s">
        <v>2773</v>
      </c>
      <c r="D5466" s="125">
        <v>0.1</v>
      </c>
      <c r="E5466" s="125">
        <v>0.1</v>
      </c>
      <c r="F5466" s="125">
        <v>0.1</v>
      </c>
    </row>
    <row r="5467" spans="3:6">
      <c r="C5467" s="666" t="s">
        <v>2774</v>
      </c>
      <c r="D5467" s="125">
        <v>0.2</v>
      </c>
      <c r="E5467" s="125">
        <v>0.2</v>
      </c>
      <c r="F5467" s="125">
        <v>0.2</v>
      </c>
    </row>
    <row r="5468" spans="3:6">
      <c r="C5468" s="666" t="s">
        <v>2775</v>
      </c>
      <c r="D5468" s="125"/>
      <c r="E5468" s="125"/>
      <c r="F5468" s="125"/>
    </row>
    <row r="5469" spans="3:6">
      <c r="C5469" s="666" t="s">
        <v>2776</v>
      </c>
      <c r="D5469" s="125"/>
      <c r="E5469" s="125"/>
      <c r="F5469" s="125"/>
    </row>
    <row r="5470" spans="3:6" ht="28.2">
      <c r="C5470" s="666" t="s">
        <v>2777</v>
      </c>
      <c r="D5470" s="125"/>
      <c r="E5470" s="125"/>
      <c r="F5470" s="125"/>
    </row>
    <row r="5471" spans="3:6">
      <c r="C5471" s="666" t="s">
        <v>2778</v>
      </c>
      <c r="D5471" s="125"/>
      <c r="E5471" s="125"/>
      <c r="F5471" s="125"/>
    </row>
    <row r="5472" spans="3:6">
      <c r="C5472" s="666" t="s">
        <v>2779</v>
      </c>
      <c r="D5472" s="125"/>
      <c r="E5472" s="125"/>
      <c r="F5472" s="125"/>
    </row>
    <row r="5473" spans="3:6" ht="28.2">
      <c r="C5473" s="666" t="s">
        <v>2780</v>
      </c>
      <c r="D5473" s="125"/>
      <c r="E5473" s="125"/>
      <c r="F5473" s="125"/>
    </row>
    <row r="5474" spans="3:6">
      <c r="C5474" s="191"/>
      <c r="D5474" s="631">
        <f>SUM(D5463:D5467)</f>
        <v>1</v>
      </c>
      <c r="E5474" s="631">
        <f>SUM(E5463:E5467)</f>
        <v>1</v>
      </c>
      <c r="F5474" s="631">
        <f>SUM(F5463:F5467)</f>
        <v>1</v>
      </c>
    </row>
    <row r="5475" spans="3:6">
      <c r="C5475" s="87"/>
      <c r="D5475" s="87"/>
      <c r="E5475" s="631">
        <f>D5474-E5474</f>
        <v>0</v>
      </c>
      <c r="F5475" s="631">
        <f>E5474-F5474</f>
        <v>0</v>
      </c>
    </row>
    <row r="5476" spans="3:6">
      <c r="C5476" s="658" t="s">
        <v>2713</v>
      </c>
      <c r="D5476" s="88">
        <v>120</v>
      </c>
      <c r="E5476" s="88"/>
      <c r="F5476" s="184"/>
    </row>
    <row r="5477" spans="3:6">
      <c r="C5477" s="87" t="s">
        <v>2781</v>
      </c>
      <c r="D5477" s="644">
        <v>1</v>
      </c>
      <c r="E5477" s="595"/>
      <c r="F5477" s="595"/>
    </row>
    <row r="5478" spans="3:6">
      <c r="C5478" s="87" t="s">
        <v>2437</v>
      </c>
      <c r="D5478" s="595"/>
      <c r="E5478" s="595"/>
      <c r="F5478" s="595"/>
    </row>
    <row r="5479" spans="3:6">
      <c r="C5479" s="87" t="s">
        <v>1446</v>
      </c>
      <c r="D5479" s="88"/>
      <c r="E5479" s="88"/>
      <c r="F5479" s="88"/>
    </row>
    <row r="5480" spans="3:6">
      <c r="C5480" s="87" t="s">
        <v>1447</v>
      </c>
      <c r="D5480" s="88">
        <v>8</v>
      </c>
      <c r="E5480" s="88">
        <v>22</v>
      </c>
      <c r="F5480" s="88"/>
    </row>
    <row r="5481" spans="3:6">
      <c r="C5481" s="87" t="s">
        <v>2438</v>
      </c>
      <c r="D5481" s="88"/>
      <c r="E5481" s="88"/>
      <c r="F5481" s="88"/>
    </row>
    <row r="5482" spans="3:6">
      <c r="C5482" s="87"/>
      <c r="D5482" s="88"/>
      <c r="E5482" s="595"/>
      <c r="F5482" s="595"/>
    </row>
    <row r="5483" spans="3:6">
      <c r="C5483" s="87"/>
      <c r="D5483" s="595"/>
      <c r="E5483" s="595"/>
      <c r="F5483" s="595"/>
    </row>
    <row r="5484" spans="3:6">
      <c r="C5484" s="87"/>
      <c r="D5484" s="87"/>
      <c r="E5484" s="87"/>
      <c r="F5484" s="87"/>
    </row>
    <row r="5485" spans="3:6">
      <c r="C5485" s="667" t="s">
        <v>2782</v>
      </c>
      <c r="D5485" s="656" t="s">
        <v>353</v>
      </c>
      <c r="E5485" s="656" t="s">
        <v>354</v>
      </c>
      <c r="F5485" s="656" t="s">
        <v>355</v>
      </c>
    </row>
    <row r="5486" spans="3:6">
      <c r="C5486" s="666" t="s">
        <v>2783</v>
      </c>
      <c r="D5486" s="125">
        <v>0.2</v>
      </c>
      <c r="E5486" s="125">
        <v>0.2</v>
      </c>
      <c r="F5486" s="125">
        <v>0.2</v>
      </c>
    </row>
    <row r="5487" spans="3:6">
      <c r="C5487" s="666" t="s">
        <v>2784</v>
      </c>
      <c r="D5487" s="125">
        <v>0.24</v>
      </c>
      <c r="E5487" s="125">
        <v>0.24</v>
      </c>
      <c r="F5487" s="125">
        <v>0.24</v>
      </c>
    </row>
    <row r="5488" spans="3:6" ht="28.2">
      <c r="C5488" s="666" t="s">
        <v>2785</v>
      </c>
      <c r="D5488" s="125">
        <v>0.2</v>
      </c>
      <c r="E5488" s="125">
        <v>0.2</v>
      </c>
      <c r="F5488" s="125">
        <v>0.2</v>
      </c>
    </row>
    <row r="5489" spans="3:6">
      <c r="C5489" s="666" t="s">
        <v>2786</v>
      </c>
      <c r="D5489" s="125">
        <v>0.1</v>
      </c>
      <c r="E5489" s="125">
        <v>0.1</v>
      </c>
      <c r="F5489" s="125">
        <v>0.1</v>
      </c>
    </row>
    <row r="5490" spans="3:6">
      <c r="C5490" s="666" t="s">
        <v>2787</v>
      </c>
      <c r="D5490" s="125">
        <v>0.2</v>
      </c>
      <c r="E5490" s="125">
        <v>0.2</v>
      </c>
      <c r="F5490" s="125">
        <v>0.2</v>
      </c>
    </row>
    <row r="5491" spans="3:6">
      <c r="C5491" s="666" t="s">
        <v>2788</v>
      </c>
      <c r="D5491" s="125">
        <v>0.01</v>
      </c>
      <c r="E5491" s="125">
        <v>0.02</v>
      </c>
      <c r="F5491" s="125">
        <v>0.01</v>
      </c>
    </row>
    <row r="5492" spans="3:6" ht="28.2">
      <c r="C5492" s="666" t="s">
        <v>2789</v>
      </c>
      <c r="D5492" s="125">
        <v>0.05</v>
      </c>
      <c r="E5492" s="125">
        <v>0.05</v>
      </c>
      <c r="F5492" s="125">
        <v>0.05</v>
      </c>
    </row>
    <row r="5493" spans="3:6">
      <c r="C5493" s="191"/>
      <c r="D5493" s="631">
        <f>SUM(D5486:D5492)</f>
        <v>1</v>
      </c>
      <c r="E5493" s="631">
        <f>SUM(E5486:E5490)</f>
        <v>0.94</v>
      </c>
      <c r="F5493" s="631">
        <f>SUM(F5486:F5490)</f>
        <v>0.94</v>
      </c>
    </row>
    <row r="5494" spans="3:6">
      <c r="C5494" s="87"/>
      <c r="D5494" s="87"/>
      <c r="E5494" s="631">
        <f>D5493-E5493</f>
        <v>6.0000000000000053E-2</v>
      </c>
      <c r="F5494" s="631">
        <f>E5493-F5493</f>
        <v>0</v>
      </c>
    </row>
    <row r="5495" spans="3:6">
      <c r="C5495" s="658" t="s">
        <v>2713</v>
      </c>
      <c r="D5495" s="88">
        <v>120</v>
      </c>
      <c r="E5495" s="88"/>
      <c r="F5495" s="184"/>
    </row>
    <row r="5496" spans="3:6">
      <c r="C5496" s="87" t="s">
        <v>2379</v>
      </c>
      <c r="D5496" s="644">
        <v>1</v>
      </c>
      <c r="E5496" s="595"/>
      <c r="F5496" s="595"/>
    </row>
    <row r="5497" spans="3:6">
      <c r="C5497" s="87" t="s">
        <v>2437</v>
      </c>
      <c r="D5497" s="595"/>
      <c r="E5497" s="595"/>
      <c r="F5497" s="595"/>
    </row>
    <row r="5498" spans="3:6">
      <c r="C5498" s="87" t="s">
        <v>1446</v>
      </c>
      <c r="D5498" s="88"/>
      <c r="E5498" s="88"/>
      <c r="F5498" s="88"/>
    </row>
    <row r="5499" spans="3:6">
      <c r="C5499" s="87" t="s">
        <v>1447</v>
      </c>
      <c r="D5499" s="88">
        <v>8</v>
      </c>
      <c r="E5499" s="88">
        <v>22</v>
      </c>
      <c r="F5499" s="88"/>
    </row>
    <row r="5500" spans="3:6">
      <c r="C5500" s="87" t="s">
        <v>2438</v>
      </c>
      <c r="D5500" s="88"/>
      <c r="E5500" s="88"/>
      <c r="F5500" s="88"/>
    </row>
    <row r="5501" spans="3:6">
      <c r="C5501" s="87"/>
      <c r="D5501" s="88"/>
      <c r="E5501" s="595"/>
      <c r="F5501" s="595"/>
    </row>
    <row r="5502" spans="3:6">
      <c r="C5502" s="87"/>
      <c r="D5502" s="595"/>
      <c r="E5502" s="595"/>
      <c r="F5502" s="595"/>
    </row>
    <row r="5503" spans="3:6">
      <c r="C5503" s="87"/>
      <c r="D5503" s="87"/>
      <c r="E5503" s="87"/>
      <c r="F5503" s="87"/>
    </row>
    <row r="5504" spans="3:6">
      <c r="C5504" s="667" t="s">
        <v>2790</v>
      </c>
      <c r="D5504" s="656" t="s">
        <v>353</v>
      </c>
      <c r="E5504" s="656" t="s">
        <v>354</v>
      </c>
      <c r="F5504" s="656" t="s">
        <v>355</v>
      </c>
    </row>
    <row r="5505" spans="3:6" ht="28.2">
      <c r="C5505" s="666" t="s">
        <v>2791</v>
      </c>
      <c r="D5505" s="125">
        <v>0.2</v>
      </c>
      <c r="E5505" s="125">
        <v>0.2</v>
      </c>
      <c r="F5505" s="125">
        <v>0.2</v>
      </c>
    </row>
    <row r="5506" spans="3:6">
      <c r="C5506" s="666" t="s">
        <v>2792</v>
      </c>
      <c r="D5506" s="125">
        <v>0.3</v>
      </c>
      <c r="E5506" s="125">
        <v>0.3</v>
      </c>
      <c r="F5506" s="125">
        <v>0.3</v>
      </c>
    </row>
    <row r="5507" spans="3:6">
      <c r="C5507" s="666" t="s">
        <v>2793</v>
      </c>
      <c r="D5507" s="125">
        <v>0.2</v>
      </c>
      <c r="E5507" s="125">
        <v>0.2</v>
      </c>
      <c r="F5507" s="125">
        <v>0.2</v>
      </c>
    </row>
    <row r="5508" spans="3:6">
      <c r="C5508" s="666" t="s">
        <v>2794</v>
      </c>
      <c r="D5508" s="125">
        <v>0.1</v>
      </c>
      <c r="E5508" s="125">
        <v>0.1</v>
      </c>
      <c r="F5508" s="125">
        <v>0.1</v>
      </c>
    </row>
    <row r="5509" spans="3:6">
      <c r="C5509" s="666" t="s">
        <v>2795</v>
      </c>
      <c r="D5509" s="125">
        <v>0.15</v>
      </c>
      <c r="E5509" s="125">
        <v>0.15</v>
      </c>
      <c r="F5509" s="125">
        <v>0.15</v>
      </c>
    </row>
    <row r="5510" spans="3:6">
      <c r="C5510" s="666" t="s">
        <v>2796</v>
      </c>
      <c r="D5510" s="125">
        <v>0.05</v>
      </c>
      <c r="E5510" s="125">
        <v>0.05</v>
      </c>
      <c r="F5510" s="125">
        <v>0.05</v>
      </c>
    </row>
    <row r="5511" spans="3:6">
      <c r="C5511" s="191"/>
      <c r="D5511" s="631">
        <f>SUM(D5505:D5509)</f>
        <v>0.95</v>
      </c>
      <c r="E5511" s="631">
        <f>SUM(E5505:E5509)</f>
        <v>0.95</v>
      </c>
      <c r="F5511" s="631">
        <f>SUM(F5505:F5509)</f>
        <v>0.95</v>
      </c>
    </row>
    <row r="5512" spans="3:6">
      <c r="C5512" s="87"/>
      <c r="D5512" s="87"/>
      <c r="E5512" s="631">
        <f>D5511-E5511</f>
        <v>0</v>
      </c>
      <c r="F5512" s="631">
        <f>E5511-F5511</f>
        <v>0</v>
      </c>
    </row>
    <row r="5513" spans="3:6">
      <c r="C5513" s="658" t="s">
        <v>2713</v>
      </c>
      <c r="D5513" s="88">
        <v>120</v>
      </c>
      <c r="E5513" s="88"/>
      <c r="F5513" s="184"/>
    </row>
    <row r="5514" spans="3:6">
      <c r="C5514" s="87" t="s">
        <v>2797</v>
      </c>
      <c r="D5514" s="644">
        <v>1</v>
      </c>
      <c r="E5514" s="595"/>
      <c r="F5514" s="595"/>
    </row>
    <row r="5515" spans="3:6">
      <c r="C5515" s="87" t="s">
        <v>2437</v>
      </c>
      <c r="D5515" s="595"/>
      <c r="E5515" s="595"/>
      <c r="F5515" s="595"/>
    </row>
    <row r="5516" spans="3:6">
      <c r="C5516" s="87" t="s">
        <v>1446</v>
      </c>
      <c r="D5516" s="88"/>
      <c r="E5516" s="88"/>
      <c r="F5516" s="88"/>
    </row>
    <row r="5517" spans="3:6">
      <c r="C5517" s="87" t="s">
        <v>1447</v>
      </c>
      <c r="D5517" s="88">
        <v>8</v>
      </c>
      <c r="E5517" s="88">
        <v>22</v>
      </c>
      <c r="F5517" s="88"/>
    </row>
    <row r="5518" spans="3:6">
      <c r="C5518" s="87" t="s">
        <v>2438</v>
      </c>
      <c r="D5518" s="88"/>
      <c r="E5518" s="88"/>
      <c r="F5518" s="88"/>
    </row>
    <row r="5519" spans="3:6">
      <c r="C5519" s="87"/>
      <c r="D5519" s="88"/>
      <c r="E5519" s="88"/>
      <c r="F5519" s="88"/>
    </row>
    <row r="5520" spans="3:6">
      <c r="C5520" s="87"/>
      <c r="D5520" s="87"/>
      <c r="E5520" s="87"/>
      <c r="F5520" s="87"/>
    </row>
    <row r="5521" spans="3:6">
      <c r="C5521" s="87"/>
      <c r="D5521" s="87"/>
      <c r="E5521" s="87"/>
      <c r="F5521" s="87"/>
    </row>
    <row r="5522" spans="3:6" ht="15.6">
      <c r="C5522" s="668" t="s">
        <v>2798</v>
      </c>
      <c r="D5522" s="94" t="s">
        <v>353</v>
      </c>
      <c r="E5522" s="94" t="s">
        <v>354</v>
      </c>
      <c r="F5522" s="94" t="s">
        <v>355</v>
      </c>
    </row>
    <row r="5523" spans="3:6">
      <c r="C5523" s="669" t="s">
        <v>2799</v>
      </c>
      <c r="D5523" s="670">
        <v>0.3</v>
      </c>
      <c r="E5523" s="670">
        <v>0.1</v>
      </c>
      <c r="F5523" s="670">
        <v>0.1</v>
      </c>
    </row>
    <row r="5524" spans="3:6">
      <c r="C5524" s="671" t="s">
        <v>2800</v>
      </c>
      <c r="D5524" s="672">
        <v>0.1</v>
      </c>
      <c r="E5524" s="672">
        <v>0.1</v>
      </c>
      <c r="F5524" s="672">
        <v>0.1</v>
      </c>
    </row>
    <row r="5525" spans="3:6">
      <c r="C5525" s="673" t="s">
        <v>2801</v>
      </c>
      <c r="D5525" s="672">
        <v>0.2</v>
      </c>
      <c r="E5525" s="672">
        <v>0.2</v>
      </c>
      <c r="F5525" s="672">
        <v>0.2</v>
      </c>
    </row>
    <row r="5526" spans="3:6">
      <c r="C5526" s="671" t="s">
        <v>2802</v>
      </c>
      <c r="D5526" s="672">
        <v>0.2</v>
      </c>
      <c r="E5526" s="672">
        <v>0.2</v>
      </c>
      <c r="F5526" s="672">
        <v>0.2</v>
      </c>
    </row>
    <row r="5527" spans="3:6">
      <c r="C5527" s="671" t="s">
        <v>2803</v>
      </c>
      <c r="D5527" s="672">
        <v>0.2</v>
      </c>
      <c r="E5527" s="672">
        <v>0.2</v>
      </c>
      <c r="F5527" s="672">
        <v>0.2</v>
      </c>
    </row>
    <row r="5528" spans="3:6">
      <c r="C5528" s="553"/>
      <c r="D5528" s="510">
        <v>1</v>
      </c>
      <c r="E5528" s="510">
        <v>0.8</v>
      </c>
      <c r="F5528" s="510">
        <v>0.8</v>
      </c>
    </row>
    <row r="5529" spans="3:6">
      <c r="C5529" s="87"/>
      <c r="D5529" s="87"/>
      <c r="E5529" s="125">
        <f>D5528-E5528</f>
        <v>0.19999999999999996</v>
      </c>
      <c r="F5529" s="125">
        <f>E5528-F5528</f>
        <v>0</v>
      </c>
    </row>
    <row r="5530" spans="3:6">
      <c r="C5530" s="658" t="s">
        <v>2713</v>
      </c>
      <c r="D5530" s="88">
        <v>120</v>
      </c>
      <c r="E5530" s="88"/>
      <c r="F5530" s="184"/>
    </row>
    <row r="5531" spans="3:6">
      <c r="C5531" s="87" t="s">
        <v>2379</v>
      </c>
      <c r="D5531" s="644">
        <v>1</v>
      </c>
      <c r="E5531" s="595"/>
      <c r="F5531" s="595"/>
    </row>
    <row r="5532" spans="3:6">
      <c r="C5532" s="87" t="s">
        <v>2437</v>
      </c>
      <c r="D5532" s="595"/>
      <c r="E5532" s="595"/>
      <c r="F5532" s="595"/>
    </row>
    <row r="5533" spans="3:6">
      <c r="C5533" s="87" t="s">
        <v>1446</v>
      </c>
      <c r="D5533" s="88"/>
      <c r="E5533" s="88"/>
      <c r="F5533" s="88"/>
    </row>
    <row r="5534" spans="3:6">
      <c r="C5534" s="87" t="s">
        <v>1447</v>
      </c>
      <c r="D5534" s="88">
        <v>8</v>
      </c>
      <c r="E5534" s="88">
        <v>22</v>
      </c>
      <c r="F5534" s="88"/>
    </row>
    <row r="5535" spans="3:6">
      <c r="C5535" s="87" t="s">
        <v>2438</v>
      </c>
      <c r="D5535" s="88"/>
      <c r="E5535" s="88"/>
      <c r="F5535" s="88"/>
    </row>
    <row r="5536" spans="3:6">
      <c r="C5536" s="87"/>
      <c r="D5536" s="87"/>
      <c r="E5536" s="87"/>
      <c r="F5536" s="87"/>
    </row>
    <row r="5537" spans="3:6" ht="15.6">
      <c r="C5537" s="668" t="s">
        <v>2804</v>
      </c>
      <c r="D5537" s="94" t="s">
        <v>353</v>
      </c>
      <c r="E5537" s="94" t="s">
        <v>354</v>
      </c>
      <c r="F5537" s="94" t="s">
        <v>355</v>
      </c>
    </row>
    <row r="5538" spans="3:6">
      <c r="C5538" s="669" t="s">
        <v>2805</v>
      </c>
      <c r="D5538" s="670">
        <v>0.3</v>
      </c>
      <c r="E5538" s="670">
        <v>0.3</v>
      </c>
      <c r="F5538" s="670">
        <v>0.3</v>
      </c>
    </row>
    <row r="5539" spans="3:6">
      <c r="C5539" s="671" t="s">
        <v>2806</v>
      </c>
      <c r="D5539" s="672">
        <v>0.2</v>
      </c>
      <c r="E5539" s="672">
        <v>0.2</v>
      </c>
      <c r="F5539" s="672">
        <v>0.2</v>
      </c>
    </row>
    <row r="5540" spans="3:6">
      <c r="C5540" s="673" t="s">
        <v>2807</v>
      </c>
      <c r="D5540" s="672">
        <v>0.2</v>
      </c>
      <c r="E5540" s="672">
        <v>0.2</v>
      </c>
      <c r="F5540" s="672">
        <v>0.2</v>
      </c>
    </row>
    <row r="5541" spans="3:6">
      <c r="C5541" s="671" t="s">
        <v>2808</v>
      </c>
      <c r="D5541" s="672">
        <v>0.1</v>
      </c>
      <c r="E5541" s="672">
        <v>0.1</v>
      </c>
      <c r="F5541" s="672">
        <v>0.1</v>
      </c>
    </row>
    <row r="5542" spans="3:6">
      <c r="C5542" s="671" t="s">
        <v>2809</v>
      </c>
      <c r="D5542" s="672">
        <v>0.2</v>
      </c>
      <c r="E5542" s="672">
        <v>0.2</v>
      </c>
      <c r="F5542" s="672">
        <v>0.2</v>
      </c>
    </row>
    <row r="5543" spans="3:6">
      <c r="C5543" s="553"/>
      <c r="D5543" s="510">
        <f>SUM(D5538:D5542)</f>
        <v>1</v>
      </c>
      <c r="E5543" s="510">
        <f>SUM(E5538:E5542)</f>
        <v>1</v>
      </c>
      <c r="F5543" s="510">
        <f>SUM(F5538:F5542)</f>
        <v>1</v>
      </c>
    </row>
    <row r="5544" spans="3:6">
      <c r="C5544" s="87"/>
      <c r="D5544" s="87"/>
      <c r="E5544" s="631">
        <f>D5543-E5543</f>
        <v>0</v>
      </c>
      <c r="F5544" s="631">
        <f>E5543-F5543</f>
        <v>0</v>
      </c>
    </row>
    <row r="5545" spans="3:6">
      <c r="C5545" s="658" t="s">
        <v>2713</v>
      </c>
      <c r="D5545" s="88">
        <v>120</v>
      </c>
      <c r="E5545" s="88"/>
      <c r="F5545" s="184"/>
    </row>
    <row r="5546" spans="3:6">
      <c r="C5546" s="87" t="s">
        <v>2379</v>
      </c>
      <c r="D5546" s="644">
        <v>1</v>
      </c>
      <c r="E5546" s="595"/>
      <c r="F5546" s="595"/>
    </row>
    <row r="5547" spans="3:6">
      <c r="C5547" s="87" t="s">
        <v>2437</v>
      </c>
      <c r="D5547" s="595"/>
      <c r="E5547" s="595"/>
      <c r="F5547" s="595"/>
    </row>
    <row r="5548" spans="3:6">
      <c r="C5548" s="87" t="s">
        <v>1446</v>
      </c>
      <c r="D5548" s="88"/>
      <c r="E5548" s="88"/>
      <c r="F5548" s="88"/>
    </row>
    <row r="5549" spans="3:6">
      <c r="C5549" s="87" t="s">
        <v>1447</v>
      </c>
      <c r="D5549" s="88">
        <v>8</v>
      </c>
      <c r="E5549" s="88">
        <v>22</v>
      </c>
      <c r="F5549" s="88"/>
    </row>
    <row r="5550" spans="3:6">
      <c r="C5550" s="87" t="s">
        <v>2438</v>
      </c>
      <c r="D5550" s="88"/>
      <c r="E5550" s="88"/>
      <c r="F5550" s="88"/>
    </row>
    <row r="5551" spans="3:6">
      <c r="C5551" s="87"/>
      <c r="D5551" s="88"/>
      <c r="E5551" s="88"/>
      <c r="F5551" s="88"/>
    </row>
    <row r="5552" spans="3:6">
      <c r="C5552" s="87"/>
      <c r="D5552" s="87"/>
      <c r="E5552" s="87"/>
      <c r="F5552" s="87"/>
    </row>
    <row r="5553" spans="3:6" ht="15.6">
      <c r="C5553" s="668" t="s">
        <v>2810</v>
      </c>
      <c r="D5553" s="94" t="s">
        <v>353</v>
      </c>
      <c r="E5553" s="94" t="s">
        <v>354</v>
      </c>
      <c r="F5553" s="94" t="s">
        <v>355</v>
      </c>
    </row>
    <row r="5554" spans="3:6">
      <c r="C5554" s="669" t="s">
        <v>2811</v>
      </c>
      <c r="D5554" s="670">
        <v>0.2</v>
      </c>
      <c r="E5554" s="670">
        <v>0.2</v>
      </c>
      <c r="F5554" s="670">
        <v>0.2</v>
      </c>
    </row>
    <row r="5555" spans="3:6">
      <c r="C5555" s="671" t="s">
        <v>2812</v>
      </c>
      <c r="D5555" s="672">
        <v>0.3</v>
      </c>
      <c r="E5555" s="672">
        <v>0.3</v>
      </c>
      <c r="F5555" s="672">
        <v>0.3</v>
      </c>
    </row>
    <row r="5556" spans="3:6">
      <c r="C5556" s="673" t="s">
        <v>2813</v>
      </c>
      <c r="D5556" s="672">
        <v>0.1</v>
      </c>
      <c r="E5556" s="672">
        <v>0.1</v>
      </c>
      <c r="F5556" s="672">
        <v>0.1</v>
      </c>
    </row>
    <row r="5557" spans="3:6">
      <c r="C5557" s="671" t="s">
        <v>2814</v>
      </c>
      <c r="D5557" s="672">
        <v>0.2</v>
      </c>
      <c r="E5557" s="672">
        <v>0.2</v>
      </c>
      <c r="F5557" s="672">
        <v>0.2</v>
      </c>
    </row>
    <row r="5558" spans="3:6">
      <c r="C5558" s="671" t="s">
        <v>2815</v>
      </c>
      <c r="D5558" s="672">
        <v>0.2</v>
      </c>
      <c r="E5558" s="672">
        <v>0.2</v>
      </c>
      <c r="F5558" s="672">
        <v>0.2</v>
      </c>
    </row>
    <row r="5559" spans="3:6">
      <c r="C5559" s="553"/>
      <c r="D5559" s="510">
        <f>SUM(D5554:D5558)</f>
        <v>1</v>
      </c>
      <c r="E5559" s="510">
        <f>SUM(E5554:E5558)</f>
        <v>1</v>
      </c>
      <c r="F5559" s="510">
        <f>SUM(F5554:F5558)</f>
        <v>1</v>
      </c>
    </row>
    <row r="5560" spans="3:6">
      <c r="C5560" s="87"/>
      <c r="D5560" s="87"/>
      <c r="E5560" s="631">
        <f>D5559-E5559</f>
        <v>0</v>
      </c>
      <c r="F5560" s="631">
        <f>E5559-F5559</f>
        <v>0</v>
      </c>
    </row>
    <row r="5561" spans="3:6">
      <c r="C5561" s="658" t="s">
        <v>2713</v>
      </c>
      <c r="D5561" s="88">
        <v>120</v>
      </c>
      <c r="E5561" s="88"/>
      <c r="F5561" s="184"/>
    </row>
    <row r="5562" spans="3:6">
      <c r="C5562" s="87" t="s">
        <v>2379</v>
      </c>
      <c r="D5562" s="644">
        <v>1</v>
      </c>
      <c r="E5562" s="595"/>
      <c r="F5562" s="595"/>
    </row>
    <row r="5563" spans="3:6">
      <c r="C5563" s="87" t="s">
        <v>2437</v>
      </c>
      <c r="D5563" s="595"/>
      <c r="E5563" s="595"/>
      <c r="F5563" s="595"/>
    </row>
    <row r="5564" spans="3:6">
      <c r="C5564" s="87" t="s">
        <v>1446</v>
      </c>
      <c r="D5564" s="88"/>
      <c r="E5564" s="88"/>
      <c r="F5564" s="88"/>
    </row>
    <row r="5565" spans="3:6">
      <c r="C5565" s="87" t="s">
        <v>1447</v>
      </c>
      <c r="D5565" s="88">
        <v>8</v>
      </c>
      <c r="E5565" s="88">
        <v>22</v>
      </c>
      <c r="F5565" s="88"/>
    </row>
    <row r="5566" spans="3:6">
      <c r="C5566" s="87" t="s">
        <v>2438</v>
      </c>
      <c r="D5566" s="88"/>
      <c r="E5566" s="88"/>
      <c r="F5566" s="88"/>
    </row>
    <row r="5567" spans="3:6">
      <c r="C5567" s="87"/>
      <c r="D5567" s="88"/>
      <c r="E5567" s="88"/>
      <c r="F5567" s="88"/>
    </row>
    <row r="5568" spans="3:6">
      <c r="C5568" s="87"/>
      <c r="D5568" s="87"/>
      <c r="E5568" s="87"/>
      <c r="F5568" s="87"/>
    </row>
    <row r="5569" spans="3:6" ht="15.6">
      <c r="C5569" s="668" t="s">
        <v>2816</v>
      </c>
      <c r="D5569" s="94" t="s">
        <v>353</v>
      </c>
      <c r="E5569" s="94" t="s">
        <v>354</v>
      </c>
      <c r="F5569" s="94" t="s">
        <v>355</v>
      </c>
    </row>
    <row r="5570" spans="3:6">
      <c r="C5570" s="669" t="s">
        <v>2817</v>
      </c>
      <c r="D5570" s="670">
        <v>0.2</v>
      </c>
      <c r="E5570" s="670">
        <v>0.2</v>
      </c>
      <c r="F5570" s="670">
        <v>0.2</v>
      </c>
    </row>
    <row r="5571" spans="3:6">
      <c r="C5571" s="671" t="s">
        <v>2818</v>
      </c>
      <c r="D5571" s="672">
        <v>0.3</v>
      </c>
      <c r="E5571" s="672">
        <v>0.3</v>
      </c>
      <c r="F5571" s="672">
        <v>0.3</v>
      </c>
    </row>
    <row r="5572" spans="3:6">
      <c r="C5572" s="673" t="s">
        <v>2819</v>
      </c>
      <c r="D5572" s="672">
        <v>0.3</v>
      </c>
      <c r="E5572" s="672">
        <v>0.3</v>
      </c>
      <c r="F5572" s="672">
        <v>0.3</v>
      </c>
    </row>
    <row r="5573" spans="3:6">
      <c r="C5573" s="671" t="s">
        <v>2820</v>
      </c>
      <c r="D5573" s="672">
        <v>0.2</v>
      </c>
      <c r="E5573" s="672">
        <v>0.2</v>
      </c>
      <c r="F5573" s="672">
        <v>0.2</v>
      </c>
    </row>
    <row r="5574" spans="3:6">
      <c r="C5574" s="553"/>
      <c r="D5574" s="510">
        <f>SUM(D5570:D5573)</f>
        <v>1</v>
      </c>
      <c r="E5574" s="510">
        <f>SUM(E5570:E5573)</f>
        <v>1</v>
      </c>
      <c r="F5574" s="510">
        <f>SUM(F5570:F5573)</f>
        <v>1</v>
      </c>
    </row>
    <row r="5575" spans="3:6">
      <c r="C5575" s="87"/>
      <c r="D5575" s="87"/>
      <c r="E5575" s="631">
        <f>D5574-E5574</f>
        <v>0</v>
      </c>
      <c r="F5575" s="631">
        <f>E5574-F5574</f>
        <v>0</v>
      </c>
    </row>
    <row r="5576" spans="3:6">
      <c r="C5576" s="658" t="s">
        <v>2713</v>
      </c>
      <c r="D5576" s="88">
        <v>120</v>
      </c>
      <c r="E5576" s="88"/>
      <c r="F5576" s="184"/>
    </row>
    <row r="5577" spans="3:6">
      <c r="C5577" s="87" t="s">
        <v>2821</v>
      </c>
      <c r="D5577" s="644">
        <v>1</v>
      </c>
      <c r="E5577" s="595"/>
      <c r="F5577" s="595"/>
    </row>
    <row r="5578" spans="3:6">
      <c r="C5578" s="87" t="s">
        <v>2437</v>
      </c>
      <c r="D5578" s="595"/>
      <c r="E5578" s="595"/>
      <c r="F5578" s="595"/>
    </row>
    <row r="5579" spans="3:6">
      <c r="C5579" s="87" t="s">
        <v>1446</v>
      </c>
      <c r="D5579" s="88"/>
      <c r="E5579" s="88"/>
      <c r="F5579" s="88"/>
    </row>
    <row r="5580" spans="3:6">
      <c r="C5580" s="87" t="s">
        <v>1447</v>
      </c>
      <c r="D5580" s="88">
        <v>8</v>
      </c>
      <c r="E5580" s="88">
        <v>22</v>
      </c>
      <c r="F5580" s="88"/>
    </row>
    <row r="5581" spans="3:6">
      <c r="C5581" s="87" t="s">
        <v>2438</v>
      </c>
      <c r="D5581" s="88"/>
      <c r="E5581" s="88"/>
      <c r="F5581" s="88"/>
    </row>
    <row r="5582" spans="3:6">
      <c r="C5582" s="87"/>
      <c r="D5582" s="87"/>
      <c r="E5582" s="87"/>
      <c r="F5582" s="87"/>
    </row>
    <row r="5583" spans="3:6" ht="15.6">
      <c r="C5583" s="668" t="s">
        <v>2822</v>
      </c>
      <c r="D5583" s="94" t="s">
        <v>353</v>
      </c>
      <c r="E5583" s="94" t="s">
        <v>354</v>
      </c>
      <c r="F5583" s="94" t="s">
        <v>355</v>
      </c>
    </row>
    <row r="5584" spans="3:6">
      <c r="C5584" s="669" t="s">
        <v>2823</v>
      </c>
      <c r="D5584" s="670">
        <v>0.2</v>
      </c>
      <c r="E5584" s="670">
        <v>0.1</v>
      </c>
      <c r="F5584" s="670">
        <v>0.1</v>
      </c>
    </row>
    <row r="5585" spans="3:6">
      <c r="C5585" s="671" t="s">
        <v>2824</v>
      </c>
      <c r="D5585" s="672">
        <v>0.3</v>
      </c>
      <c r="E5585" s="672">
        <v>0.3</v>
      </c>
      <c r="F5585" s="672">
        <v>0.3</v>
      </c>
    </row>
    <row r="5586" spans="3:6">
      <c r="C5586" s="673" t="s">
        <v>2825</v>
      </c>
      <c r="D5586" s="672">
        <v>0.2</v>
      </c>
      <c r="E5586" s="672">
        <v>0.2</v>
      </c>
      <c r="F5586" s="672">
        <v>0.2</v>
      </c>
    </row>
    <row r="5587" spans="3:6">
      <c r="C5587" s="671" t="s">
        <v>2826</v>
      </c>
      <c r="D5587" s="672">
        <v>0.2</v>
      </c>
      <c r="E5587" s="672">
        <v>0.2</v>
      </c>
      <c r="F5587" s="672">
        <v>0.2</v>
      </c>
    </row>
    <row r="5588" spans="3:6">
      <c r="C5588" s="671" t="s">
        <v>2827</v>
      </c>
      <c r="D5588" s="672">
        <v>0.1</v>
      </c>
      <c r="E5588" s="672">
        <v>0.1</v>
      </c>
      <c r="F5588" s="672">
        <v>0.1</v>
      </c>
    </row>
    <row r="5589" spans="3:6">
      <c r="C5589" s="553"/>
      <c r="D5589" s="510">
        <f>SUM(D5584:D5588)</f>
        <v>0.99999999999999989</v>
      </c>
      <c r="E5589" s="510">
        <f>SUM(E5584:E5588)</f>
        <v>0.9</v>
      </c>
      <c r="F5589" s="510">
        <f>SUM(F5584:F5588)</f>
        <v>0.9</v>
      </c>
    </row>
    <row r="5590" spans="3:6">
      <c r="C5590" s="87"/>
      <c r="D5590" s="87"/>
      <c r="E5590" s="631">
        <f>D5589-E5589</f>
        <v>9.9999999999999867E-2</v>
      </c>
      <c r="F5590" s="631">
        <f>E5589-F5589</f>
        <v>0</v>
      </c>
    </row>
    <row r="5591" spans="3:6">
      <c r="C5591" s="658" t="s">
        <v>2713</v>
      </c>
      <c r="D5591" s="88">
        <v>120</v>
      </c>
      <c r="E5591" s="88"/>
      <c r="F5591" s="184"/>
    </row>
    <row r="5592" spans="3:6">
      <c r="C5592" s="87" t="s">
        <v>2379</v>
      </c>
      <c r="D5592" s="644">
        <v>1</v>
      </c>
      <c r="E5592" s="595"/>
      <c r="F5592" s="595"/>
    </row>
    <row r="5593" spans="3:6">
      <c r="C5593" s="87" t="s">
        <v>2437</v>
      </c>
      <c r="D5593" s="595"/>
      <c r="E5593" s="595"/>
      <c r="F5593" s="595"/>
    </row>
    <row r="5594" spans="3:6">
      <c r="C5594" s="87" t="s">
        <v>1446</v>
      </c>
      <c r="D5594" s="88"/>
      <c r="E5594" s="88"/>
      <c r="F5594" s="88"/>
    </row>
    <row r="5595" spans="3:6">
      <c r="C5595" s="87" t="s">
        <v>1447</v>
      </c>
      <c r="D5595" s="88">
        <v>8</v>
      </c>
      <c r="E5595" s="88">
        <v>22</v>
      </c>
      <c r="F5595" s="88"/>
    </row>
    <row r="5596" spans="3:6">
      <c r="C5596" s="87" t="s">
        <v>2438</v>
      </c>
      <c r="D5596" s="88"/>
      <c r="E5596" s="88"/>
      <c r="F5596" s="88"/>
    </row>
    <row r="5597" spans="3:6">
      <c r="C5597" s="87"/>
      <c r="D5597" s="87"/>
      <c r="E5597" s="87"/>
      <c r="F5597" s="87"/>
    </row>
    <row r="5598" spans="3:6" ht="15.6">
      <c r="C5598" s="668" t="s">
        <v>2828</v>
      </c>
      <c r="D5598" s="94" t="s">
        <v>353</v>
      </c>
      <c r="E5598" s="94" t="s">
        <v>354</v>
      </c>
      <c r="F5598" s="94" t="s">
        <v>355</v>
      </c>
    </row>
    <row r="5599" spans="3:6">
      <c r="C5599" s="669" t="s">
        <v>2829</v>
      </c>
      <c r="D5599" s="670">
        <v>0.3</v>
      </c>
      <c r="E5599" s="670">
        <v>0.3</v>
      </c>
      <c r="F5599" s="670">
        <v>0.3</v>
      </c>
    </row>
    <row r="5600" spans="3:6">
      <c r="C5600" s="671" t="s">
        <v>2830</v>
      </c>
      <c r="D5600" s="672">
        <v>0.2</v>
      </c>
      <c r="E5600" s="672">
        <v>0.2</v>
      </c>
      <c r="F5600" s="672">
        <v>0.2</v>
      </c>
    </row>
    <row r="5601" spans="3:6">
      <c r="C5601" s="673" t="s">
        <v>2831</v>
      </c>
      <c r="D5601" s="672">
        <v>0.3</v>
      </c>
      <c r="E5601" s="672">
        <v>0.3</v>
      </c>
      <c r="F5601" s="672">
        <v>0.3</v>
      </c>
    </row>
    <row r="5602" spans="3:6">
      <c r="C5602" s="671" t="s">
        <v>2832</v>
      </c>
      <c r="D5602" s="672">
        <v>0.2</v>
      </c>
      <c r="E5602" s="672">
        <v>0.2</v>
      </c>
      <c r="F5602" s="672">
        <v>0.2</v>
      </c>
    </row>
    <row r="5603" spans="3:6">
      <c r="C5603" s="553"/>
      <c r="D5603" s="510">
        <f>SUM(D5599:D5602)</f>
        <v>1</v>
      </c>
      <c r="E5603" s="510">
        <f>SUM(E5599:E5602)</f>
        <v>1</v>
      </c>
      <c r="F5603" s="510">
        <f>SUM(F5599:F5602)</f>
        <v>1</v>
      </c>
    </row>
    <row r="5604" spans="3:6">
      <c r="C5604" s="87"/>
      <c r="D5604" s="87"/>
      <c r="E5604" s="631">
        <f>D5603-E5603</f>
        <v>0</v>
      </c>
      <c r="F5604" s="631">
        <f>E5603-F5603</f>
        <v>0</v>
      </c>
    </row>
    <row r="5605" spans="3:6">
      <c r="C5605" s="658" t="s">
        <v>2713</v>
      </c>
      <c r="D5605" s="88">
        <v>120</v>
      </c>
      <c r="E5605" s="88"/>
      <c r="F5605" s="184"/>
    </row>
    <row r="5606" spans="3:6">
      <c r="C5606" s="87" t="s">
        <v>2379</v>
      </c>
      <c r="D5606" s="644">
        <v>1</v>
      </c>
      <c r="E5606" s="595"/>
      <c r="F5606" s="595"/>
    </row>
    <row r="5607" spans="3:6">
      <c r="C5607" s="87" t="s">
        <v>2437</v>
      </c>
      <c r="D5607" s="595"/>
      <c r="E5607" s="595"/>
      <c r="F5607" s="595"/>
    </row>
    <row r="5608" spans="3:6">
      <c r="C5608" s="87" t="s">
        <v>1446</v>
      </c>
      <c r="D5608" s="88"/>
      <c r="E5608" s="88"/>
      <c r="F5608" s="88"/>
    </row>
    <row r="5609" spans="3:6">
      <c r="C5609" s="87" t="s">
        <v>1447</v>
      </c>
      <c r="D5609" s="88">
        <v>8</v>
      </c>
      <c r="E5609" s="88">
        <v>22</v>
      </c>
      <c r="F5609" s="88"/>
    </row>
    <row r="5610" spans="3:6">
      <c r="C5610" s="87" t="s">
        <v>2438</v>
      </c>
      <c r="D5610" s="88"/>
      <c r="E5610" s="88"/>
      <c r="F5610" s="88"/>
    </row>
    <row r="5611" spans="3:6">
      <c r="C5611" s="87"/>
      <c r="D5611" s="87"/>
      <c r="E5611" s="87"/>
      <c r="F5611" s="87"/>
    </row>
    <row r="5612" spans="3:6" ht="15.6">
      <c r="C5612" s="668" t="s">
        <v>2833</v>
      </c>
      <c r="D5612" s="94" t="s">
        <v>353</v>
      </c>
      <c r="E5612" s="94" t="s">
        <v>354</v>
      </c>
      <c r="F5612" s="94" t="s">
        <v>355</v>
      </c>
    </row>
    <row r="5613" spans="3:6" ht="43.2">
      <c r="C5613" s="669" t="s">
        <v>2834</v>
      </c>
      <c r="D5613" s="670">
        <v>0.3</v>
      </c>
      <c r="E5613" s="670">
        <v>0.3</v>
      </c>
      <c r="F5613" s="670">
        <v>0.3</v>
      </c>
    </row>
    <row r="5614" spans="3:6" ht="28.8">
      <c r="C5614" s="659" t="s">
        <v>2835</v>
      </c>
      <c r="D5614" s="672">
        <v>0.2</v>
      </c>
      <c r="E5614" s="672">
        <v>0.2</v>
      </c>
      <c r="F5614" s="672">
        <v>0.2</v>
      </c>
    </row>
    <row r="5615" spans="3:6" ht="28.8">
      <c r="C5615" s="669" t="s">
        <v>2836</v>
      </c>
      <c r="D5615" s="672">
        <v>0.15</v>
      </c>
      <c r="E5615" s="672">
        <v>0.15</v>
      </c>
      <c r="F5615" s="672">
        <v>0.15</v>
      </c>
    </row>
    <row r="5616" spans="3:6" ht="28.8">
      <c r="C5616" s="659" t="s">
        <v>2837</v>
      </c>
      <c r="D5616" s="672">
        <v>0.2</v>
      </c>
      <c r="E5616" s="672">
        <v>0.2</v>
      </c>
      <c r="F5616" s="672">
        <v>0.2</v>
      </c>
    </row>
    <row r="5617" spans="3:6" ht="28.8">
      <c r="C5617" s="659" t="s">
        <v>2838</v>
      </c>
      <c r="D5617" s="672">
        <v>0.1</v>
      </c>
      <c r="E5617" s="672">
        <v>0.1</v>
      </c>
      <c r="F5617" s="672">
        <v>0.1</v>
      </c>
    </row>
    <row r="5618" spans="3:6" ht="43.2">
      <c r="C5618" s="659" t="s">
        <v>2839</v>
      </c>
      <c r="D5618" s="672">
        <v>0.05</v>
      </c>
      <c r="E5618" s="672">
        <v>0.05</v>
      </c>
      <c r="F5618" s="672">
        <v>0.05</v>
      </c>
    </row>
    <row r="5619" spans="3:6">
      <c r="C5619" s="553"/>
      <c r="D5619" s="510">
        <f>SUM(D5613:D5618)</f>
        <v>1</v>
      </c>
      <c r="E5619" s="510">
        <f>SUM(E5613:E5618)</f>
        <v>1</v>
      </c>
      <c r="F5619" s="510">
        <f>SUM(F5613:F5618)</f>
        <v>1</v>
      </c>
    </row>
    <row r="5620" spans="3:6">
      <c r="C5620" s="87"/>
      <c r="D5620" s="87"/>
      <c r="E5620" s="631">
        <f>D5619-E5619</f>
        <v>0</v>
      </c>
      <c r="F5620" s="631">
        <f>E5619-F5619</f>
        <v>0</v>
      </c>
    </row>
    <row r="5621" spans="3:6">
      <c r="C5621" s="658" t="s">
        <v>2713</v>
      </c>
      <c r="D5621" s="88">
        <v>120</v>
      </c>
      <c r="E5621" s="88"/>
      <c r="F5621" s="184"/>
    </row>
    <row r="5622" spans="3:6">
      <c r="C5622" s="87" t="s">
        <v>2379</v>
      </c>
      <c r="D5622" s="644">
        <v>1</v>
      </c>
      <c r="E5622" s="595"/>
      <c r="F5622" s="595"/>
    </row>
    <row r="5623" spans="3:6">
      <c r="C5623" s="87" t="s">
        <v>2437</v>
      </c>
      <c r="D5623" s="595"/>
      <c r="E5623" s="595"/>
      <c r="F5623" s="595"/>
    </row>
    <row r="5624" spans="3:6">
      <c r="C5624" s="87" t="s">
        <v>1446</v>
      </c>
      <c r="D5624" s="88"/>
      <c r="E5624" s="88"/>
      <c r="F5624" s="88"/>
    </row>
    <row r="5625" spans="3:6">
      <c r="C5625" s="87" t="s">
        <v>1447</v>
      </c>
      <c r="D5625" s="88">
        <v>8</v>
      </c>
      <c r="E5625" s="88">
        <v>22</v>
      </c>
      <c r="F5625" s="88"/>
    </row>
    <row r="5626" spans="3:6">
      <c r="C5626" s="87" t="s">
        <v>2438</v>
      </c>
      <c r="D5626" s="88"/>
      <c r="E5626" s="88"/>
      <c r="F5626" s="88"/>
    </row>
    <row r="5627" spans="3:6">
      <c r="C5627" s="87"/>
      <c r="D5627" s="87"/>
      <c r="E5627" s="87"/>
      <c r="F5627" s="87"/>
    </row>
    <row r="5628" spans="3:6" ht="15.6">
      <c r="C5628" s="668" t="s">
        <v>2840</v>
      </c>
      <c r="D5628" s="94" t="s">
        <v>353</v>
      </c>
      <c r="E5628" s="94" t="s">
        <v>354</v>
      </c>
      <c r="F5628" s="94" t="s">
        <v>355</v>
      </c>
    </row>
    <row r="5629" spans="3:6" ht="28.8">
      <c r="C5629" s="669" t="s">
        <v>2841</v>
      </c>
      <c r="D5629" s="670">
        <v>0.25</v>
      </c>
      <c r="E5629" s="670">
        <v>0.15</v>
      </c>
      <c r="F5629" s="670">
        <v>0.15</v>
      </c>
    </row>
    <row r="5630" spans="3:6" ht="28.8">
      <c r="C5630" s="659" t="s">
        <v>2842</v>
      </c>
      <c r="D5630" s="672">
        <v>0.2</v>
      </c>
      <c r="E5630" s="672">
        <v>0.2</v>
      </c>
      <c r="F5630" s="672">
        <v>0</v>
      </c>
    </row>
    <row r="5631" spans="3:6" ht="28.8">
      <c r="C5631" s="669" t="s">
        <v>2843</v>
      </c>
      <c r="D5631" s="672">
        <v>0.2</v>
      </c>
      <c r="E5631" s="672">
        <v>0.2</v>
      </c>
      <c r="F5631" s="672">
        <v>0.2</v>
      </c>
    </row>
    <row r="5632" spans="3:6" ht="28.8">
      <c r="C5632" s="659" t="s">
        <v>2844</v>
      </c>
      <c r="D5632" s="672">
        <v>0.15</v>
      </c>
      <c r="E5632" s="672">
        <v>0.15</v>
      </c>
      <c r="F5632" s="672">
        <v>0.15</v>
      </c>
    </row>
    <row r="5633" spans="3:6" ht="28.8">
      <c r="C5633" s="659" t="s">
        <v>2845</v>
      </c>
      <c r="D5633" s="672">
        <v>0.2</v>
      </c>
      <c r="E5633" s="672">
        <v>0.2</v>
      </c>
      <c r="F5633" s="672">
        <v>0.15</v>
      </c>
    </row>
    <row r="5634" spans="3:6">
      <c r="C5634" s="553"/>
      <c r="D5634" s="510">
        <f>SUM(D5629:D5633)</f>
        <v>1</v>
      </c>
      <c r="E5634" s="510">
        <f>SUM(E5629:E5633)</f>
        <v>0.90000000000000013</v>
      </c>
      <c r="F5634" s="510">
        <f>SUM(F5629:F5633)</f>
        <v>0.65</v>
      </c>
    </row>
    <row r="5635" spans="3:6">
      <c r="C5635" s="87"/>
      <c r="D5635" s="87"/>
      <c r="E5635" s="631">
        <f>D5634-E5634</f>
        <v>9.9999999999999867E-2</v>
      </c>
      <c r="F5635" s="631">
        <f>E5634-F5634</f>
        <v>0.25000000000000011</v>
      </c>
    </row>
    <row r="5636" spans="3:6">
      <c r="C5636" s="658" t="s">
        <v>2713</v>
      </c>
      <c r="D5636" s="88">
        <v>120</v>
      </c>
      <c r="E5636" s="88"/>
      <c r="F5636" s="184"/>
    </row>
    <row r="5637" spans="3:6">
      <c r="C5637" s="87" t="s">
        <v>2379</v>
      </c>
      <c r="D5637" s="644">
        <v>1</v>
      </c>
      <c r="E5637" s="595"/>
      <c r="F5637" s="595"/>
    </row>
    <row r="5638" spans="3:6">
      <c r="C5638" s="87" t="s">
        <v>2437</v>
      </c>
      <c r="D5638" s="595"/>
      <c r="E5638" s="595"/>
      <c r="F5638" s="595"/>
    </row>
    <row r="5639" spans="3:6">
      <c r="C5639" s="87" t="s">
        <v>1446</v>
      </c>
      <c r="D5639" s="88"/>
      <c r="E5639" s="88"/>
      <c r="F5639" s="88"/>
    </row>
    <row r="5640" spans="3:6">
      <c r="C5640" s="87" t="s">
        <v>1447</v>
      </c>
      <c r="D5640" s="88">
        <v>8</v>
      </c>
      <c r="E5640" s="88">
        <v>22</v>
      </c>
      <c r="F5640" s="88"/>
    </row>
    <row r="5641" spans="3:6">
      <c r="C5641" s="87" t="s">
        <v>2438</v>
      </c>
      <c r="D5641" s="88"/>
      <c r="E5641" s="88"/>
      <c r="F5641" s="88"/>
    </row>
    <row r="5642" spans="3:6">
      <c r="C5642" s="87"/>
      <c r="D5642" s="88"/>
      <c r="E5642" s="88"/>
      <c r="F5642" s="88"/>
    </row>
    <row r="5643" spans="3:6">
      <c r="C5643" s="87"/>
      <c r="D5643" s="87"/>
      <c r="E5643" s="87"/>
      <c r="F5643" s="87"/>
    </row>
    <row r="5644" spans="3:6" ht="15.6">
      <c r="C5644" s="668" t="s">
        <v>2846</v>
      </c>
      <c r="D5644" s="94" t="s">
        <v>353</v>
      </c>
      <c r="E5644" s="94" t="s">
        <v>354</v>
      </c>
      <c r="F5644" s="94" t="s">
        <v>355</v>
      </c>
    </row>
    <row r="5645" spans="3:6" ht="28.8">
      <c r="C5645" s="669" t="s">
        <v>2847</v>
      </c>
      <c r="D5645" s="670">
        <v>0.1</v>
      </c>
      <c r="E5645" s="670">
        <v>0.1</v>
      </c>
      <c r="F5645" s="670">
        <v>0.1</v>
      </c>
    </row>
    <row r="5646" spans="3:6" ht="28.8">
      <c r="C5646" s="659" t="s">
        <v>2848</v>
      </c>
      <c r="D5646" s="672">
        <v>0.2</v>
      </c>
      <c r="E5646" s="672">
        <v>0.2</v>
      </c>
      <c r="F5646" s="672">
        <v>0.2</v>
      </c>
    </row>
    <row r="5647" spans="3:6" ht="28.8">
      <c r="C5647" s="669" t="s">
        <v>2849</v>
      </c>
      <c r="D5647" s="672">
        <v>0.15</v>
      </c>
      <c r="E5647" s="672">
        <v>0.15</v>
      </c>
      <c r="F5647" s="672">
        <v>0.15</v>
      </c>
    </row>
    <row r="5648" spans="3:6" ht="28.8">
      <c r="C5648" s="659" t="s">
        <v>2850</v>
      </c>
      <c r="D5648" s="672">
        <v>0.2</v>
      </c>
      <c r="E5648" s="672">
        <v>0.2</v>
      </c>
      <c r="F5648" s="672">
        <v>0.2</v>
      </c>
    </row>
    <row r="5649" spans="3:6" ht="28.8">
      <c r="C5649" s="659" t="s">
        <v>2851</v>
      </c>
      <c r="D5649" s="672">
        <v>0.1</v>
      </c>
      <c r="E5649" s="672">
        <v>0.1</v>
      </c>
      <c r="F5649" s="672">
        <v>0.02</v>
      </c>
    </row>
    <row r="5650" spans="3:6" ht="28.8">
      <c r="C5650" s="659" t="s">
        <v>2852</v>
      </c>
      <c r="D5650" s="672">
        <v>0.1</v>
      </c>
      <c r="E5650" s="672">
        <v>0.1</v>
      </c>
      <c r="F5650" s="672">
        <v>0.1</v>
      </c>
    </row>
    <row r="5651" spans="3:6" ht="28.8">
      <c r="C5651" s="659" t="s">
        <v>2853</v>
      </c>
      <c r="D5651" s="672">
        <v>0.05</v>
      </c>
      <c r="E5651" s="672">
        <v>0.05</v>
      </c>
      <c r="F5651" s="672">
        <v>0.01</v>
      </c>
    </row>
    <row r="5652" spans="3:6" ht="28.8">
      <c r="C5652" s="659" t="s">
        <v>2854</v>
      </c>
      <c r="D5652" s="672">
        <v>0.1</v>
      </c>
      <c r="E5652" s="672">
        <v>0.1</v>
      </c>
      <c r="F5652" s="672">
        <v>0.1</v>
      </c>
    </row>
    <row r="5653" spans="3:6">
      <c r="C5653" s="553"/>
      <c r="D5653" s="510">
        <f>SUM(D5645:D5652)</f>
        <v>1.0000000000000002</v>
      </c>
      <c r="E5653" s="510">
        <f>SUM(E5645:E5652)</f>
        <v>1.0000000000000002</v>
      </c>
      <c r="F5653" s="510">
        <f>SUM(F5645:F5652)</f>
        <v>0.88000000000000012</v>
      </c>
    </row>
    <row r="5654" spans="3:6">
      <c r="C5654" s="87"/>
      <c r="D5654" s="87"/>
      <c r="E5654" s="631">
        <f>D5653-E5653</f>
        <v>0</v>
      </c>
      <c r="F5654" s="631">
        <f>E5653-F5653</f>
        <v>0.12000000000000011</v>
      </c>
    </row>
    <row r="5655" spans="3:6">
      <c r="C5655" s="658" t="s">
        <v>2713</v>
      </c>
      <c r="D5655" s="88">
        <v>120</v>
      </c>
      <c r="E5655" s="88"/>
      <c r="F5655" s="184"/>
    </row>
    <row r="5656" spans="3:6">
      <c r="C5656" s="87" t="s">
        <v>2379</v>
      </c>
      <c r="D5656" s="644">
        <v>1</v>
      </c>
      <c r="E5656" s="595"/>
      <c r="F5656" s="595"/>
    </row>
    <row r="5657" spans="3:6">
      <c r="C5657" s="87" t="s">
        <v>2437</v>
      </c>
      <c r="D5657" s="595"/>
      <c r="E5657" s="595"/>
      <c r="F5657" s="595"/>
    </row>
    <row r="5658" spans="3:6">
      <c r="C5658" s="87" t="s">
        <v>1446</v>
      </c>
      <c r="D5658" s="88"/>
      <c r="E5658" s="88"/>
      <c r="F5658" s="88"/>
    </row>
    <row r="5659" spans="3:6">
      <c r="C5659" s="87" t="s">
        <v>1447</v>
      </c>
      <c r="D5659" s="88">
        <v>8</v>
      </c>
      <c r="E5659" s="88">
        <v>22</v>
      </c>
      <c r="F5659" s="88"/>
    </row>
    <row r="5660" spans="3:6">
      <c r="C5660" s="87" t="s">
        <v>2438</v>
      </c>
      <c r="D5660" s="88"/>
      <c r="E5660" s="88"/>
      <c r="F5660" s="88"/>
    </row>
    <row r="5661" spans="3:6">
      <c r="C5661" s="87"/>
      <c r="D5661" s="88"/>
      <c r="E5661" s="88"/>
      <c r="F5661" s="88"/>
    </row>
    <row r="5662" spans="3:6">
      <c r="C5662" s="87"/>
      <c r="D5662" s="87"/>
      <c r="E5662" s="87"/>
      <c r="F5662" s="87"/>
    </row>
    <row r="5663" spans="3:6">
      <c r="C5663" s="87"/>
      <c r="D5663" s="87"/>
      <c r="E5663" s="87"/>
      <c r="F5663" s="87"/>
    </row>
    <row r="5664" spans="3:6" ht="15.6">
      <c r="C5664" s="668" t="s">
        <v>2855</v>
      </c>
      <c r="D5664" s="94" t="s">
        <v>353</v>
      </c>
      <c r="E5664" s="94" t="s">
        <v>354</v>
      </c>
      <c r="F5664" s="94" t="s">
        <v>355</v>
      </c>
    </row>
    <row r="5665" spans="3:7" ht="43.2">
      <c r="C5665" s="669" t="s">
        <v>2856</v>
      </c>
      <c r="D5665" s="670">
        <v>0.2</v>
      </c>
      <c r="E5665" s="670">
        <v>0.2</v>
      </c>
      <c r="F5665" s="670">
        <v>0.1</v>
      </c>
    </row>
    <row r="5666" spans="3:7" ht="43.2">
      <c r="C5666" s="659" t="s">
        <v>2857</v>
      </c>
      <c r="D5666" s="672">
        <v>0.2</v>
      </c>
      <c r="E5666" s="672">
        <v>0.2</v>
      </c>
      <c r="F5666" s="672">
        <v>0.2</v>
      </c>
    </row>
    <row r="5667" spans="3:7" ht="28.8">
      <c r="C5667" s="669" t="s">
        <v>2858</v>
      </c>
      <c r="D5667" s="672">
        <v>0.15</v>
      </c>
      <c r="E5667" s="672">
        <v>0.15</v>
      </c>
      <c r="F5667" s="672">
        <v>0.15</v>
      </c>
    </row>
    <row r="5668" spans="3:7">
      <c r="C5668" s="659" t="s">
        <v>2859</v>
      </c>
      <c r="D5668" s="672">
        <v>0.15</v>
      </c>
      <c r="E5668" s="672">
        <v>0.15</v>
      </c>
      <c r="F5668" s="672">
        <v>7.0000000000000007E-2</v>
      </c>
    </row>
    <row r="5669" spans="3:7" ht="43.2">
      <c r="C5669" s="659" t="s">
        <v>2860</v>
      </c>
      <c r="D5669" s="672">
        <v>0.3</v>
      </c>
      <c r="E5669" s="672">
        <v>0.3</v>
      </c>
      <c r="F5669" s="672">
        <v>0.15</v>
      </c>
    </row>
    <row r="5670" spans="3:7">
      <c r="C5670" s="553"/>
      <c r="D5670" s="510">
        <f>SUM(D5665:D5669)</f>
        <v>1</v>
      </c>
      <c r="E5670" s="510">
        <f>SUM(E5665:E5669)</f>
        <v>1</v>
      </c>
      <c r="F5670" s="510">
        <f>SUM(F5665:F5669)</f>
        <v>0.67</v>
      </c>
    </row>
    <row r="5671" spans="3:7">
      <c r="C5671" s="87"/>
      <c r="D5671" s="87"/>
      <c r="E5671" s="631">
        <f>D5670-E5670</f>
        <v>0</v>
      </c>
      <c r="F5671" s="631">
        <f>E5670-F5670</f>
        <v>0.32999999999999996</v>
      </c>
    </row>
    <row r="5672" spans="3:7">
      <c r="C5672" s="658" t="s">
        <v>2713</v>
      </c>
      <c r="D5672" s="88">
        <v>120</v>
      </c>
      <c r="E5672" s="88"/>
      <c r="F5672" s="184"/>
    </row>
    <row r="5673" spans="3:7">
      <c r="C5673" s="87" t="s">
        <v>2379</v>
      </c>
      <c r="D5673" s="644">
        <v>1</v>
      </c>
      <c r="E5673" s="595"/>
      <c r="F5673" s="595"/>
    </row>
    <row r="5674" spans="3:7">
      <c r="C5674" s="87" t="s">
        <v>2437</v>
      </c>
      <c r="D5674" s="595"/>
      <c r="E5674" s="595"/>
      <c r="F5674" s="595"/>
    </row>
    <row r="5675" spans="3:7">
      <c r="C5675" s="87" t="s">
        <v>1446</v>
      </c>
      <c r="D5675" s="88"/>
      <c r="E5675" s="88"/>
      <c r="F5675" s="88"/>
    </row>
    <row r="5676" spans="3:7">
      <c r="C5676" s="87" t="s">
        <v>1447</v>
      </c>
      <c r="D5676" s="88">
        <v>8</v>
      </c>
      <c r="E5676" s="88">
        <v>22</v>
      </c>
      <c r="F5676" s="88"/>
    </row>
    <row r="5677" spans="3:7">
      <c r="C5677" s="87" t="s">
        <v>2438</v>
      </c>
      <c r="D5677" s="88"/>
      <c r="E5677" s="88"/>
      <c r="F5677" s="88"/>
    </row>
    <row r="5678" spans="3:7">
      <c r="C5678" s="87"/>
      <c r="D5678" s="88"/>
      <c r="E5678" s="88"/>
      <c r="F5678" s="88"/>
    </row>
    <row r="5679" spans="3:7">
      <c r="C5679" s="87"/>
      <c r="D5679" s="87"/>
      <c r="E5679" s="87"/>
      <c r="F5679" s="87"/>
    </row>
    <row r="5680" spans="3:7" ht="15.6">
      <c r="C5680" s="668" t="s">
        <v>2861</v>
      </c>
      <c r="D5680" s="94" t="s">
        <v>353</v>
      </c>
      <c r="E5680" s="94" t="s">
        <v>354</v>
      </c>
      <c r="F5680" s="94" t="s">
        <v>355</v>
      </c>
      <c r="G5680" t="s">
        <v>2862</v>
      </c>
    </row>
    <row r="5681" spans="2:6" ht="28.8">
      <c r="C5681" s="669" t="s">
        <v>2863</v>
      </c>
      <c r="D5681" s="670">
        <v>0.3</v>
      </c>
      <c r="E5681" s="670">
        <v>0.3</v>
      </c>
      <c r="F5681" s="670">
        <v>0.3</v>
      </c>
    </row>
    <row r="5682" spans="2:6" ht="28.8">
      <c r="C5682" s="659" t="s">
        <v>2864</v>
      </c>
      <c r="D5682" s="672">
        <v>0.25</v>
      </c>
      <c r="E5682" s="672">
        <v>0.25</v>
      </c>
      <c r="F5682" s="672">
        <v>0.1</v>
      </c>
    </row>
    <row r="5683" spans="2:6" ht="28.8">
      <c r="C5683" s="669" t="s">
        <v>2865</v>
      </c>
      <c r="D5683" s="672">
        <v>0.25</v>
      </c>
      <c r="E5683" s="672">
        <v>0.25</v>
      </c>
      <c r="F5683" s="672">
        <v>0.25</v>
      </c>
    </row>
    <row r="5684" spans="2:6" ht="28.8">
      <c r="C5684" s="659" t="s">
        <v>2866</v>
      </c>
      <c r="D5684" s="672">
        <v>0.2</v>
      </c>
      <c r="E5684" s="672">
        <v>0.1</v>
      </c>
      <c r="F5684" s="672">
        <v>0.1</v>
      </c>
    </row>
    <row r="5685" spans="2:6">
      <c r="C5685" s="553"/>
      <c r="D5685" s="510">
        <f>SUM(D5681:D5684)</f>
        <v>1</v>
      </c>
      <c r="E5685" s="510">
        <f>SUM(E5681:E5684)</f>
        <v>0.9</v>
      </c>
      <c r="F5685" s="510">
        <f>SUM(F5681:F5684)</f>
        <v>0.75</v>
      </c>
    </row>
    <row r="5686" spans="2:6">
      <c r="C5686" s="87"/>
      <c r="D5686" s="87"/>
      <c r="E5686" s="631">
        <f>D5685-E5685</f>
        <v>9.9999999999999978E-2</v>
      </c>
      <c r="F5686" s="631">
        <f>E5685-F5685</f>
        <v>0.15000000000000002</v>
      </c>
    </row>
    <row r="5687" spans="2:6">
      <c r="C5687" s="658" t="s">
        <v>2713</v>
      </c>
      <c r="D5687" s="88">
        <v>120</v>
      </c>
      <c r="E5687" s="88"/>
      <c r="F5687" s="184"/>
    </row>
    <row r="5688" spans="2:6">
      <c r="C5688" s="87" t="s">
        <v>2379</v>
      </c>
      <c r="D5688" s="644">
        <v>1</v>
      </c>
      <c r="E5688" s="595"/>
      <c r="F5688" s="595"/>
    </row>
    <row r="5689" spans="2:6">
      <c r="C5689" s="87" t="s">
        <v>2437</v>
      </c>
      <c r="D5689" s="595"/>
      <c r="E5689" s="595"/>
      <c r="F5689" s="595"/>
    </row>
    <row r="5690" spans="2:6">
      <c r="C5690" s="87" t="s">
        <v>1446</v>
      </c>
      <c r="D5690" s="88"/>
      <c r="E5690" s="88"/>
      <c r="F5690" s="88"/>
    </row>
    <row r="5691" spans="2:6">
      <c r="C5691" s="87" t="s">
        <v>1447</v>
      </c>
      <c r="D5691" s="88">
        <v>8</v>
      </c>
      <c r="E5691" s="88">
        <v>22</v>
      </c>
      <c r="F5691" s="88"/>
    </row>
    <row r="5692" spans="2:6">
      <c r="C5692" s="87" t="s">
        <v>2438</v>
      </c>
      <c r="D5692" s="88"/>
      <c r="E5692" s="88"/>
      <c r="F5692" s="88"/>
    </row>
    <row r="5693" spans="2:6">
      <c r="C5693" s="87"/>
      <c r="D5693" s="88"/>
      <c r="E5693" s="88"/>
      <c r="F5693" s="88"/>
    </row>
    <row r="5694" spans="2:6">
      <c r="C5694" s="87"/>
      <c r="D5694" s="87"/>
      <c r="E5694" s="87"/>
      <c r="F5694" s="87"/>
    </row>
    <row r="5695" spans="2:6" ht="15.6">
      <c r="B5695" s="708" t="s">
        <v>1202</v>
      </c>
      <c r="C5695" s="668" t="s">
        <v>2867</v>
      </c>
      <c r="D5695" s="94" t="s">
        <v>353</v>
      </c>
      <c r="E5695" s="94" t="s">
        <v>354</v>
      </c>
      <c r="F5695" s="94" t="s">
        <v>355</v>
      </c>
    </row>
    <row r="5696" spans="2:6" ht="28.8">
      <c r="C5696" s="669" t="s">
        <v>2868</v>
      </c>
      <c r="D5696" s="670">
        <v>0.4</v>
      </c>
      <c r="E5696" s="670">
        <v>0.4</v>
      </c>
      <c r="F5696" s="670">
        <v>0.4</v>
      </c>
    </row>
    <row r="5697" spans="2:6" ht="28.8">
      <c r="C5697" s="659" t="s">
        <v>2869</v>
      </c>
      <c r="D5697" s="672">
        <v>0.2</v>
      </c>
      <c r="E5697" s="672">
        <v>0.2</v>
      </c>
      <c r="F5697" s="672">
        <v>0.2</v>
      </c>
    </row>
    <row r="5698" spans="2:6" ht="28.8">
      <c r="C5698" s="669" t="s">
        <v>2870</v>
      </c>
      <c r="D5698" s="672">
        <v>0.4</v>
      </c>
      <c r="E5698" s="672">
        <v>0.4</v>
      </c>
      <c r="F5698" s="672">
        <v>0.4</v>
      </c>
    </row>
    <row r="5699" spans="2:6">
      <c r="C5699" s="553"/>
      <c r="D5699" s="510">
        <f>SUM(D5696:D5698)</f>
        <v>1</v>
      </c>
      <c r="E5699" s="510">
        <f>SUM(E5696:E5698)</f>
        <v>1</v>
      </c>
      <c r="F5699" s="510">
        <f>SUM(F5696:F5698)</f>
        <v>1</v>
      </c>
    </row>
    <row r="5700" spans="2:6">
      <c r="C5700" s="87"/>
      <c r="D5700" s="87"/>
      <c r="E5700" s="631">
        <f>D5699-E5699</f>
        <v>0</v>
      </c>
      <c r="F5700" s="631">
        <f>E5699-F5699</f>
        <v>0</v>
      </c>
    </row>
    <row r="5701" spans="2:6">
      <c r="C5701" s="658" t="s">
        <v>2713</v>
      </c>
      <c r="D5701" s="88">
        <v>120</v>
      </c>
      <c r="E5701" s="88"/>
      <c r="F5701" s="184"/>
    </row>
    <row r="5702" spans="2:6">
      <c r="C5702" s="87" t="s">
        <v>2379</v>
      </c>
      <c r="D5702" s="644">
        <v>1</v>
      </c>
      <c r="E5702" s="595"/>
      <c r="F5702" s="595"/>
    </row>
    <row r="5703" spans="2:6">
      <c r="C5703" s="87" t="s">
        <v>2437</v>
      </c>
      <c r="D5703" s="595"/>
      <c r="E5703" s="595"/>
      <c r="F5703" s="595"/>
    </row>
    <row r="5704" spans="2:6">
      <c r="C5704" s="87" t="s">
        <v>1446</v>
      </c>
      <c r="D5704" s="88"/>
      <c r="E5704" s="88"/>
      <c r="F5704" s="88"/>
    </row>
    <row r="5705" spans="2:6">
      <c r="C5705" s="87" t="s">
        <v>1447</v>
      </c>
      <c r="D5705" s="88">
        <v>8</v>
      </c>
      <c r="E5705" s="88">
        <v>22</v>
      </c>
      <c r="F5705" s="88"/>
    </row>
    <row r="5706" spans="2:6">
      <c r="C5706" s="87" t="s">
        <v>2438</v>
      </c>
      <c r="D5706" s="88"/>
      <c r="E5706" s="88"/>
      <c r="F5706" s="88"/>
    </row>
    <row r="5707" spans="2:6">
      <c r="C5707" s="87"/>
      <c r="D5707" s="88"/>
      <c r="E5707" s="88"/>
      <c r="F5707" s="88"/>
    </row>
    <row r="5708" spans="2:6">
      <c r="C5708" s="87"/>
      <c r="D5708" s="87"/>
      <c r="E5708" s="87"/>
      <c r="F5708" s="87"/>
    </row>
    <row r="5709" spans="2:6" ht="15.6">
      <c r="B5709" s="519" t="s">
        <v>1079</v>
      </c>
      <c r="C5709" s="668" t="s">
        <v>2871</v>
      </c>
      <c r="D5709" s="94" t="s">
        <v>353</v>
      </c>
      <c r="E5709" s="94" t="s">
        <v>354</v>
      </c>
      <c r="F5709" s="94" t="s">
        <v>355</v>
      </c>
    </row>
    <row r="5710" spans="2:6" ht="43.2">
      <c r="C5710" s="191" t="s">
        <v>2872</v>
      </c>
      <c r="D5710" s="125">
        <v>0.02</v>
      </c>
      <c r="E5710" s="125">
        <v>0.02</v>
      </c>
      <c r="F5710" s="125">
        <v>0.01</v>
      </c>
    </row>
    <row r="5711" spans="2:6" ht="43.2">
      <c r="C5711" s="191" t="s">
        <v>2873</v>
      </c>
      <c r="D5711" s="125"/>
      <c r="E5711" s="125"/>
      <c r="F5711" s="125"/>
    </row>
    <row r="5712" spans="2:6" ht="28.8">
      <c r="C5712" s="572" t="s">
        <v>2874</v>
      </c>
      <c r="D5712" s="125">
        <v>0.2</v>
      </c>
      <c r="E5712" s="125">
        <v>0.2</v>
      </c>
      <c r="F5712" s="125">
        <v>0.2</v>
      </c>
    </row>
    <row r="5713" spans="3:6" ht="43.2">
      <c r="C5713" s="191" t="s">
        <v>2875</v>
      </c>
      <c r="D5713" s="125">
        <v>0.1</v>
      </c>
      <c r="E5713" s="125">
        <v>0.1</v>
      </c>
      <c r="F5713" s="125">
        <v>0.1</v>
      </c>
    </row>
    <row r="5714" spans="3:6" ht="28.8">
      <c r="C5714" s="572" t="s">
        <v>2876</v>
      </c>
      <c r="D5714" s="125">
        <v>0.02</v>
      </c>
      <c r="E5714" s="125">
        <v>0.02</v>
      </c>
      <c r="F5714" s="125">
        <v>0.01</v>
      </c>
    </row>
    <row r="5715" spans="3:6">
      <c r="C5715" s="191" t="s">
        <v>2877</v>
      </c>
      <c r="D5715" s="125">
        <v>0.01</v>
      </c>
      <c r="E5715" s="125">
        <v>0.01</v>
      </c>
      <c r="F5715" s="125">
        <v>0</v>
      </c>
    </row>
    <row r="5716" spans="3:6" ht="28.8">
      <c r="C5716" s="191" t="s">
        <v>2878</v>
      </c>
      <c r="D5716" s="125">
        <v>0.1</v>
      </c>
      <c r="E5716" s="125">
        <v>0.1</v>
      </c>
      <c r="F5716" s="125">
        <v>0.1</v>
      </c>
    </row>
    <row r="5717" spans="3:6">
      <c r="C5717" s="191" t="s">
        <v>2879</v>
      </c>
      <c r="D5717" s="125">
        <v>0.1</v>
      </c>
      <c r="E5717" s="125">
        <v>0.1</v>
      </c>
      <c r="F5717" s="125">
        <v>0.1</v>
      </c>
    </row>
    <row r="5718" spans="3:6" ht="28.8">
      <c r="C5718" s="191" t="s">
        <v>2880</v>
      </c>
      <c r="D5718" s="125">
        <v>0.1</v>
      </c>
      <c r="E5718" s="125">
        <v>0.1</v>
      </c>
      <c r="F5718" s="125">
        <v>0.1</v>
      </c>
    </row>
    <row r="5719" spans="3:6" ht="28.8">
      <c r="C5719" s="191" t="s">
        <v>2881</v>
      </c>
      <c r="D5719" s="125">
        <v>0.32</v>
      </c>
      <c r="E5719" s="125">
        <v>0.32</v>
      </c>
      <c r="F5719" s="125">
        <v>0.32</v>
      </c>
    </row>
    <row r="5720" spans="3:6">
      <c r="C5720" s="87" t="s">
        <v>2882</v>
      </c>
      <c r="D5720" s="125">
        <v>0.02</v>
      </c>
      <c r="E5720" s="125">
        <v>0.02</v>
      </c>
      <c r="F5720" s="125">
        <v>0.02</v>
      </c>
    </row>
    <row r="5721" spans="3:6">
      <c r="C5721" s="641"/>
      <c r="D5721" s="631">
        <f>SUM(D5710:D5720)</f>
        <v>0.99</v>
      </c>
      <c r="E5721" s="631">
        <f>SUM(E5710:E5720)</f>
        <v>0.99</v>
      </c>
      <c r="F5721" s="631">
        <f>SUM(F5710:F5720)</f>
        <v>0.96</v>
      </c>
    </row>
    <row r="5722" spans="3:6">
      <c r="C5722" s="87"/>
      <c r="D5722" s="87"/>
      <c r="E5722" s="125">
        <f>D5721-E5721</f>
        <v>0</v>
      </c>
      <c r="F5722" s="125">
        <f>D5721-F5721</f>
        <v>3.0000000000000027E-2</v>
      </c>
    </row>
    <row r="5723" spans="3:6">
      <c r="C5723" s="658" t="s">
        <v>2713</v>
      </c>
      <c r="D5723" s="88">
        <v>120</v>
      </c>
      <c r="E5723" s="88"/>
      <c r="F5723" s="184"/>
    </row>
    <row r="5724" spans="3:6">
      <c r="C5724" s="87" t="s">
        <v>2379</v>
      </c>
      <c r="D5724" s="644">
        <v>1</v>
      </c>
      <c r="E5724" s="595"/>
      <c r="F5724" s="595"/>
    </row>
    <row r="5725" spans="3:6">
      <c r="C5725" s="87" t="s">
        <v>2437</v>
      </c>
      <c r="D5725" s="595"/>
      <c r="E5725" s="595"/>
      <c r="F5725" s="595"/>
    </row>
    <row r="5726" spans="3:6">
      <c r="C5726" s="87" t="s">
        <v>1446</v>
      </c>
      <c r="D5726" s="88"/>
      <c r="E5726" s="88"/>
      <c r="F5726" s="88"/>
    </row>
    <row r="5727" spans="3:6">
      <c r="C5727" s="87" t="s">
        <v>1447</v>
      </c>
      <c r="D5727" s="88">
        <v>8</v>
      </c>
      <c r="E5727" s="88">
        <v>22</v>
      </c>
      <c r="F5727" s="88"/>
    </row>
    <row r="5728" spans="3:6">
      <c r="C5728" s="87" t="s">
        <v>2438</v>
      </c>
      <c r="D5728" s="88"/>
      <c r="E5728" s="88"/>
      <c r="F5728" s="88"/>
    </row>
    <row r="5729" spans="3:7">
      <c r="C5729" s="87"/>
      <c r="D5729" s="87"/>
      <c r="E5729" s="87"/>
      <c r="F5729" s="87"/>
    </row>
    <row r="5730" spans="3:7" ht="28.8">
      <c r="C5730" s="668" t="s">
        <v>2883</v>
      </c>
      <c r="D5730" s="94" t="s">
        <v>353</v>
      </c>
      <c r="E5730" s="94" t="s">
        <v>354</v>
      </c>
      <c r="F5730" s="94" t="s">
        <v>355</v>
      </c>
      <c r="G5730" s="706" t="s">
        <v>2884</v>
      </c>
    </row>
    <row r="5731" spans="3:7" ht="28.8">
      <c r="C5731" s="191" t="s">
        <v>2885</v>
      </c>
      <c r="D5731" s="125">
        <v>0.02</v>
      </c>
      <c r="E5731" s="125">
        <v>0.02</v>
      </c>
      <c r="F5731" s="125">
        <v>0.01</v>
      </c>
    </row>
    <row r="5732" spans="3:7" ht="28.8">
      <c r="C5732" s="572" t="s">
        <v>2874</v>
      </c>
      <c r="D5732" s="125">
        <v>0.4</v>
      </c>
      <c r="E5732" s="125">
        <v>0.4</v>
      </c>
      <c r="F5732" s="125">
        <v>0.4</v>
      </c>
    </row>
    <row r="5733" spans="3:7" ht="43.2">
      <c r="C5733" s="707" t="s">
        <v>2886</v>
      </c>
      <c r="D5733" s="125">
        <v>0.28000000000000003</v>
      </c>
      <c r="E5733" s="125">
        <v>0.28000000000000003</v>
      </c>
      <c r="F5733" s="125">
        <v>0.28000000000000003</v>
      </c>
    </row>
    <row r="5734" spans="3:7" ht="43.2">
      <c r="C5734" s="572" t="s">
        <v>2887</v>
      </c>
      <c r="D5734" s="125">
        <v>0.02</v>
      </c>
      <c r="E5734" s="125">
        <v>0.02</v>
      </c>
      <c r="F5734" s="125">
        <v>0.01</v>
      </c>
    </row>
    <row r="5735" spans="3:7">
      <c r="C5735" s="191" t="s">
        <v>2888</v>
      </c>
      <c r="D5735" s="125">
        <v>0.01</v>
      </c>
      <c r="E5735" s="125">
        <v>0.01</v>
      </c>
      <c r="F5735" s="125">
        <v>0</v>
      </c>
    </row>
    <row r="5736" spans="3:7" ht="28.8">
      <c r="C5736" s="191" t="s">
        <v>2889</v>
      </c>
      <c r="D5736" s="125">
        <v>0.15</v>
      </c>
      <c r="E5736" s="125">
        <v>0.15</v>
      </c>
      <c r="F5736" s="125">
        <v>0.1</v>
      </c>
    </row>
    <row r="5737" spans="3:7">
      <c r="C5737" s="191" t="s">
        <v>2890</v>
      </c>
      <c r="D5737" s="125">
        <v>0.1</v>
      </c>
      <c r="E5737" s="125">
        <v>0.1</v>
      </c>
      <c r="F5737" s="125">
        <v>0.1</v>
      </c>
    </row>
    <row r="5738" spans="3:7" ht="28.8">
      <c r="C5738" s="191" t="s">
        <v>2891</v>
      </c>
      <c r="D5738" s="125">
        <v>0.01</v>
      </c>
      <c r="E5738" s="125">
        <v>0.01</v>
      </c>
      <c r="F5738" s="125">
        <v>0</v>
      </c>
    </row>
    <row r="5739" spans="3:7">
      <c r="C5739" s="191" t="s">
        <v>2892</v>
      </c>
      <c r="D5739" s="125">
        <v>0.01</v>
      </c>
      <c r="E5739" s="125">
        <v>0.01</v>
      </c>
      <c r="F5739" s="125">
        <v>0.01</v>
      </c>
    </row>
    <row r="5740" spans="3:7">
      <c r="C5740" s="87"/>
      <c r="D5740" s="125">
        <f>SUM(D5731:D5739)</f>
        <v>1</v>
      </c>
      <c r="E5740" s="125">
        <f>SUM(E5731:E5739)</f>
        <v>1</v>
      </c>
      <c r="F5740" s="125">
        <f>SUM(F5731:F5739)</f>
        <v>0.91</v>
      </c>
    </row>
    <row r="5741" spans="3:7">
      <c r="C5741" s="87"/>
      <c r="D5741" s="125"/>
      <c r="E5741" s="125">
        <f>D5740-E5740</f>
        <v>0</v>
      </c>
      <c r="F5741" s="125">
        <f>D5740-F5740</f>
        <v>8.9999999999999969E-2</v>
      </c>
    </row>
    <row r="5742" spans="3:7">
      <c r="C5742" s="658" t="s">
        <v>2713</v>
      </c>
      <c r="D5742" s="88">
        <v>120</v>
      </c>
      <c r="E5742" s="88"/>
      <c r="F5742" s="184"/>
    </row>
    <row r="5743" spans="3:7">
      <c r="C5743" s="87" t="s">
        <v>2379</v>
      </c>
      <c r="D5743" s="644">
        <v>1</v>
      </c>
      <c r="E5743" s="595"/>
      <c r="F5743" s="595"/>
    </row>
    <row r="5744" spans="3:7">
      <c r="C5744" s="87" t="s">
        <v>2437</v>
      </c>
      <c r="D5744" s="595"/>
      <c r="E5744" s="595"/>
      <c r="F5744" s="595"/>
    </row>
    <row r="5745" spans="2:6">
      <c r="C5745" s="87" t="s">
        <v>1446</v>
      </c>
      <c r="D5745" s="88"/>
      <c r="E5745" s="88"/>
      <c r="F5745" s="88"/>
    </row>
    <row r="5746" spans="2:6">
      <c r="C5746" s="87" t="s">
        <v>1447</v>
      </c>
      <c r="D5746" s="88">
        <v>8</v>
      </c>
      <c r="E5746" s="88">
        <v>22</v>
      </c>
      <c r="F5746" s="88"/>
    </row>
    <row r="5747" spans="2:6">
      <c r="C5747" s="87" t="s">
        <v>2438</v>
      </c>
      <c r="D5747" s="88"/>
      <c r="E5747" s="88"/>
      <c r="F5747" s="88"/>
    </row>
    <row r="5748" spans="2:6">
      <c r="C5748" s="87"/>
      <c r="D5748" s="87"/>
      <c r="E5748" s="87"/>
      <c r="F5748" s="87"/>
    </row>
    <row r="5749" spans="2:6" ht="15.6">
      <c r="B5749" s="519" t="s">
        <v>1079</v>
      </c>
      <c r="C5749" s="668" t="s">
        <v>2893</v>
      </c>
      <c r="D5749" s="94" t="s">
        <v>353</v>
      </c>
      <c r="E5749" s="94" t="s">
        <v>354</v>
      </c>
      <c r="F5749" s="94" t="s">
        <v>355</v>
      </c>
    </row>
    <row r="5750" spans="2:6" ht="28.8">
      <c r="C5750" s="191" t="s">
        <v>2894</v>
      </c>
      <c r="D5750" s="125">
        <v>0.02</v>
      </c>
      <c r="E5750" s="125">
        <v>0.02</v>
      </c>
      <c r="F5750" s="125">
        <v>0.01</v>
      </c>
    </row>
    <row r="5751" spans="2:6" ht="28.8">
      <c r="C5751" s="572" t="s">
        <v>2895</v>
      </c>
      <c r="D5751" s="125">
        <v>0.27</v>
      </c>
      <c r="E5751" s="125">
        <v>0.27</v>
      </c>
      <c r="F5751" s="125">
        <v>0.2</v>
      </c>
    </row>
    <row r="5752" spans="2:6" ht="28.8">
      <c r="C5752" s="191" t="s">
        <v>2896</v>
      </c>
      <c r="D5752" s="125">
        <v>0.1</v>
      </c>
      <c r="E5752" s="125">
        <v>0.1</v>
      </c>
      <c r="F5752" s="125">
        <v>0.1</v>
      </c>
    </row>
    <row r="5753" spans="2:6" ht="28.8">
      <c r="C5753" s="572" t="s">
        <v>2897</v>
      </c>
      <c r="D5753" s="125">
        <v>0.02</v>
      </c>
      <c r="E5753" s="125">
        <v>0.02</v>
      </c>
      <c r="F5753" s="125">
        <v>0.01</v>
      </c>
    </row>
    <row r="5754" spans="2:6">
      <c r="C5754" s="191" t="s">
        <v>2898</v>
      </c>
      <c r="D5754" s="125">
        <v>0.01</v>
      </c>
      <c r="E5754" s="125">
        <v>0.01</v>
      </c>
      <c r="F5754" s="125">
        <v>0</v>
      </c>
    </row>
    <row r="5755" spans="2:6" ht="28.8">
      <c r="C5755" s="191" t="s">
        <v>2899</v>
      </c>
      <c r="D5755" s="125">
        <v>0.1</v>
      </c>
      <c r="E5755" s="125">
        <v>0.1</v>
      </c>
      <c r="F5755" s="125">
        <v>0.1</v>
      </c>
    </row>
    <row r="5756" spans="2:6">
      <c r="C5756" s="191" t="s">
        <v>2900</v>
      </c>
      <c r="D5756" s="125">
        <v>0.1</v>
      </c>
      <c r="E5756" s="125">
        <v>0.1</v>
      </c>
      <c r="F5756" s="125">
        <v>0.1</v>
      </c>
    </row>
    <row r="5757" spans="2:6" ht="28.8">
      <c r="C5757" s="191" t="s">
        <v>2901</v>
      </c>
      <c r="D5757" s="125">
        <v>0.01</v>
      </c>
      <c r="E5757" s="125">
        <v>0.01</v>
      </c>
      <c r="F5757" s="125">
        <v>0.01</v>
      </c>
    </row>
    <row r="5758" spans="2:6" ht="28.8">
      <c r="C5758" s="191" t="s">
        <v>2902</v>
      </c>
      <c r="D5758" s="125">
        <v>0.01</v>
      </c>
      <c r="E5758" s="125">
        <v>0.01</v>
      </c>
      <c r="F5758" s="125">
        <v>0.01</v>
      </c>
    </row>
    <row r="5759" spans="2:6" ht="28.8">
      <c r="C5759" s="191" t="s">
        <v>2903</v>
      </c>
      <c r="D5759" s="125">
        <v>0.02</v>
      </c>
      <c r="E5759" s="125">
        <v>0.02</v>
      </c>
      <c r="F5759" s="125">
        <v>0.02</v>
      </c>
    </row>
    <row r="5760" spans="2:6" ht="28.8">
      <c r="C5760" s="191" t="s">
        <v>2904</v>
      </c>
      <c r="D5760" s="125">
        <v>0.3</v>
      </c>
      <c r="E5760" s="125">
        <v>0.3</v>
      </c>
      <c r="F5760" s="125">
        <v>0.3</v>
      </c>
    </row>
    <row r="5761" spans="2:6">
      <c r="C5761" s="685" t="s">
        <v>2905</v>
      </c>
      <c r="D5761" s="674">
        <v>0.02</v>
      </c>
      <c r="E5761" s="674">
        <v>0.02</v>
      </c>
      <c r="F5761" s="674">
        <v>0.1</v>
      </c>
    </row>
    <row r="5762" spans="2:6">
      <c r="C5762" s="191" t="s">
        <v>2906</v>
      </c>
      <c r="D5762" s="125">
        <v>0.01</v>
      </c>
      <c r="E5762" s="125">
        <v>0.01</v>
      </c>
      <c r="F5762" s="125">
        <v>0.01</v>
      </c>
    </row>
    <row r="5763" spans="2:6">
      <c r="C5763" s="87"/>
      <c r="D5763" s="125">
        <f>SUM(D5750:D5762)</f>
        <v>0.99</v>
      </c>
      <c r="E5763" s="125">
        <f>SUM(E5750:E5762)</f>
        <v>0.99</v>
      </c>
      <c r="F5763" s="125">
        <f>SUM(F5750:F5762)</f>
        <v>0.97000000000000008</v>
      </c>
    </row>
    <row r="5764" spans="2:6">
      <c r="C5764" s="87"/>
      <c r="D5764" s="87"/>
      <c r="E5764" s="125">
        <f>D5763-E5763</f>
        <v>0</v>
      </c>
      <c r="F5764" s="125">
        <f>D5763-F5763</f>
        <v>1.9999999999999907E-2</v>
      </c>
    </row>
    <row r="5765" spans="2:6">
      <c r="C5765" s="658" t="s">
        <v>2713</v>
      </c>
      <c r="D5765" s="88">
        <v>120</v>
      </c>
      <c r="E5765" s="88"/>
      <c r="F5765" s="184"/>
    </row>
    <row r="5766" spans="2:6">
      <c r="C5766" s="87" t="s">
        <v>2379</v>
      </c>
      <c r="D5766" s="644">
        <v>1</v>
      </c>
      <c r="E5766" s="595"/>
      <c r="F5766" s="595"/>
    </row>
    <row r="5767" spans="2:6">
      <c r="C5767" s="87" t="s">
        <v>2437</v>
      </c>
      <c r="D5767" s="595"/>
      <c r="E5767" s="595"/>
      <c r="F5767" s="595"/>
    </row>
    <row r="5768" spans="2:6">
      <c r="C5768" s="87" t="s">
        <v>1446</v>
      </c>
      <c r="D5768" s="88"/>
      <c r="E5768" s="88"/>
      <c r="F5768" s="88"/>
    </row>
    <row r="5769" spans="2:6">
      <c r="C5769" s="87" t="s">
        <v>1447</v>
      </c>
      <c r="D5769" s="88">
        <v>8</v>
      </c>
      <c r="E5769" s="88">
        <v>22</v>
      </c>
      <c r="F5769" s="88"/>
    </row>
    <row r="5770" spans="2:6">
      <c r="C5770" s="87" t="s">
        <v>2438</v>
      </c>
      <c r="D5770" s="88"/>
      <c r="E5770" s="88"/>
      <c r="F5770" s="88"/>
    </row>
    <row r="5771" spans="2:6">
      <c r="C5771" s="87"/>
      <c r="D5771" s="87"/>
      <c r="E5771" s="87"/>
      <c r="F5771" s="87"/>
    </row>
    <row r="5772" spans="2:6">
      <c r="C5772" s="87"/>
      <c r="D5772" s="87"/>
      <c r="E5772" s="87"/>
      <c r="F5772" s="87"/>
    </row>
    <row r="5773" spans="2:6">
      <c r="B5773" s="704" t="s">
        <v>1202</v>
      </c>
      <c r="C5773" s="705" t="s">
        <v>2907</v>
      </c>
      <c r="D5773" s="639" t="s">
        <v>353</v>
      </c>
      <c r="E5773" s="640" t="s">
        <v>354</v>
      </c>
      <c r="F5773" s="639" t="s">
        <v>355</v>
      </c>
    </row>
    <row r="5774" spans="2:6" ht="43.2">
      <c r="C5774" s="191" t="s">
        <v>2908</v>
      </c>
      <c r="D5774" s="125">
        <v>0.3</v>
      </c>
      <c r="E5774" s="125">
        <v>0.3</v>
      </c>
      <c r="F5774" s="125">
        <v>0.3</v>
      </c>
    </row>
    <row r="5775" spans="2:6" ht="28.8">
      <c r="C5775" s="191" t="s">
        <v>2909</v>
      </c>
      <c r="D5775" s="125">
        <v>0.3</v>
      </c>
      <c r="E5775" s="125">
        <v>0.3</v>
      </c>
      <c r="F5775" s="125">
        <v>0.3</v>
      </c>
    </row>
    <row r="5776" spans="2:6" ht="28.8">
      <c r="C5776" s="191" t="s">
        <v>2910</v>
      </c>
      <c r="D5776" s="125">
        <v>0.05</v>
      </c>
      <c r="E5776" s="125">
        <v>0.05</v>
      </c>
      <c r="F5776" s="125">
        <v>0.05</v>
      </c>
    </row>
    <row r="5777" spans="3:6" ht="28.8">
      <c r="C5777" s="685" t="s">
        <v>2911</v>
      </c>
      <c r="D5777" s="674">
        <v>0.1</v>
      </c>
      <c r="E5777" s="674">
        <v>0.1</v>
      </c>
      <c r="F5777" s="674">
        <v>0.1</v>
      </c>
    </row>
    <row r="5778" spans="3:6">
      <c r="C5778" s="191" t="s">
        <v>2912</v>
      </c>
      <c r="D5778" s="125">
        <v>0.05</v>
      </c>
      <c r="E5778" s="125">
        <v>0.05</v>
      </c>
      <c r="F5778" s="125">
        <v>0.05</v>
      </c>
    </row>
    <row r="5779" spans="3:6" ht="28.8">
      <c r="C5779" s="191" t="s">
        <v>2913</v>
      </c>
      <c r="D5779" s="125">
        <v>0.2</v>
      </c>
      <c r="E5779" s="125">
        <v>0.2</v>
      </c>
      <c r="F5779" s="125">
        <v>0.2</v>
      </c>
    </row>
    <row r="5780" spans="3:6">
      <c r="C5780" s="87"/>
      <c r="D5780" s="125">
        <f>SUM(D5774:D5779)</f>
        <v>1</v>
      </c>
      <c r="E5780" s="125">
        <f>SUM(E5774:E5779)</f>
        <v>1</v>
      </c>
      <c r="F5780" s="125">
        <f>SUM(F5774:F5779)</f>
        <v>1</v>
      </c>
    </row>
    <row r="5781" spans="3:6">
      <c r="C5781" s="87"/>
      <c r="D5781" s="87"/>
      <c r="E5781" s="125">
        <f>D5780-E5780</f>
        <v>0</v>
      </c>
      <c r="F5781" s="125">
        <f>D5780-F5780</f>
        <v>0</v>
      </c>
    </row>
    <row r="5782" spans="3:6">
      <c r="C5782" s="658" t="s">
        <v>2713</v>
      </c>
      <c r="D5782" s="88">
        <v>120</v>
      </c>
      <c r="E5782" s="88"/>
      <c r="F5782" s="184"/>
    </row>
    <row r="5783" spans="3:6">
      <c r="C5783" s="87" t="s">
        <v>2379</v>
      </c>
      <c r="D5783" s="644">
        <v>1</v>
      </c>
      <c r="E5783" s="595"/>
      <c r="F5783" s="595"/>
    </row>
    <row r="5784" spans="3:6">
      <c r="C5784" s="87" t="s">
        <v>2437</v>
      </c>
      <c r="D5784" s="595"/>
      <c r="E5784" s="595"/>
      <c r="F5784" s="595"/>
    </row>
    <row r="5785" spans="3:6">
      <c r="C5785" s="87" t="s">
        <v>1446</v>
      </c>
      <c r="D5785" s="88"/>
      <c r="E5785" s="88"/>
      <c r="F5785" s="88"/>
    </row>
    <row r="5786" spans="3:6">
      <c r="C5786" s="87" t="s">
        <v>1447</v>
      </c>
      <c r="D5786" s="88">
        <v>8</v>
      </c>
      <c r="E5786" s="88">
        <v>22</v>
      </c>
      <c r="F5786" s="88"/>
    </row>
    <row r="5787" spans="3:6">
      <c r="C5787" s="87" t="s">
        <v>2438</v>
      </c>
      <c r="D5787" s="88"/>
      <c r="E5787" s="88"/>
      <c r="F5787" s="88"/>
    </row>
    <row r="5788" spans="3:6">
      <c r="C5788" s="87"/>
      <c r="D5788" s="87"/>
      <c r="E5788" s="87"/>
      <c r="F5788" s="87"/>
    </row>
    <row r="5789" spans="3:6" ht="15.6">
      <c r="C5789" s="668" t="s">
        <v>2914</v>
      </c>
      <c r="D5789" s="94" t="s">
        <v>353</v>
      </c>
      <c r="E5789" s="94" t="s">
        <v>354</v>
      </c>
      <c r="F5789" s="94" t="s">
        <v>355</v>
      </c>
    </row>
    <row r="5790" spans="3:6">
      <c r="C5790" s="191" t="s">
        <v>2915</v>
      </c>
      <c r="D5790" s="125">
        <v>0.05</v>
      </c>
      <c r="E5790" s="125">
        <v>0.05</v>
      </c>
      <c r="F5790" s="125">
        <v>0.05</v>
      </c>
    </row>
    <row r="5791" spans="3:6">
      <c r="C5791" s="191" t="s">
        <v>2916</v>
      </c>
      <c r="D5791" s="125">
        <v>0.05</v>
      </c>
      <c r="E5791" s="125">
        <v>0.05</v>
      </c>
      <c r="F5791" s="125">
        <v>0.05</v>
      </c>
    </row>
    <row r="5792" spans="3:6">
      <c r="C5792" s="191" t="s">
        <v>2917</v>
      </c>
      <c r="D5792" s="125">
        <v>0.05</v>
      </c>
      <c r="E5792" s="125">
        <v>0.03</v>
      </c>
      <c r="F5792" s="125">
        <v>0.02</v>
      </c>
    </row>
    <row r="5793" spans="3:6" ht="28.8">
      <c r="C5793" s="191" t="s">
        <v>2918</v>
      </c>
      <c r="D5793" s="125">
        <v>0.03</v>
      </c>
      <c r="E5793" s="125">
        <v>0.03</v>
      </c>
      <c r="F5793" s="125">
        <v>0.03</v>
      </c>
    </row>
    <row r="5794" spans="3:6" ht="28.8">
      <c r="C5794" s="191" t="s">
        <v>2919</v>
      </c>
      <c r="D5794" s="125">
        <v>0.05</v>
      </c>
      <c r="E5794" s="125">
        <v>0.05</v>
      </c>
      <c r="F5794" s="125">
        <v>0.02</v>
      </c>
    </row>
    <row r="5795" spans="3:6">
      <c r="C5795" s="191" t="s">
        <v>2920</v>
      </c>
      <c r="D5795" s="125">
        <v>0.03</v>
      </c>
      <c r="E5795" s="125">
        <v>0.03</v>
      </c>
      <c r="F5795" s="125">
        <v>0</v>
      </c>
    </row>
    <row r="5796" spans="3:6">
      <c r="C5796" s="191" t="s">
        <v>2921</v>
      </c>
      <c r="D5796" s="125">
        <v>0.03</v>
      </c>
      <c r="E5796" s="125">
        <v>0.03</v>
      </c>
      <c r="F5796" s="125">
        <v>0</v>
      </c>
    </row>
    <row r="5797" spans="3:6">
      <c r="C5797" s="191" t="s">
        <v>2922</v>
      </c>
      <c r="D5797" s="125">
        <v>0.02</v>
      </c>
      <c r="E5797" s="125">
        <v>0.02</v>
      </c>
      <c r="F5797" s="125">
        <v>0</v>
      </c>
    </row>
    <row r="5798" spans="3:6">
      <c r="C5798" s="191" t="s">
        <v>2923</v>
      </c>
      <c r="D5798" s="125">
        <v>0.01</v>
      </c>
      <c r="E5798" s="125">
        <v>0.01</v>
      </c>
      <c r="F5798" s="125">
        <v>0.01</v>
      </c>
    </row>
    <row r="5799" spans="3:6">
      <c r="C5799" s="191" t="s">
        <v>2924</v>
      </c>
      <c r="D5799" s="125">
        <v>0.03</v>
      </c>
      <c r="E5799" s="125">
        <v>0.03</v>
      </c>
      <c r="F5799" s="125">
        <v>0.03</v>
      </c>
    </row>
    <row r="5800" spans="3:6">
      <c r="C5800" s="191" t="s">
        <v>2925</v>
      </c>
      <c r="D5800" s="125">
        <v>0.02</v>
      </c>
      <c r="E5800" s="125">
        <v>0.01</v>
      </c>
      <c r="F5800" s="125">
        <v>0.01</v>
      </c>
    </row>
    <row r="5801" spans="3:6">
      <c r="C5801" s="191" t="s">
        <v>2926</v>
      </c>
      <c r="D5801" s="125">
        <v>0.02</v>
      </c>
      <c r="E5801" s="125">
        <v>0.01</v>
      </c>
      <c r="F5801" s="125">
        <v>0.01</v>
      </c>
    </row>
    <row r="5802" spans="3:6">
      <c r="C5802" s="191" t="s">
        <v>2927</v>
      </c>
      <c r="D5802" s="125">
        <v>0.03</v>
      </c>
      <c r="E5802" s="125">
        <v>0</v>
      </c>
      <c r="F5802" s="125">
        <v>0</v>
      </c>
    </row>
    <row r="5803" spans="3:6">
      <c r="C5803" s="191" t="s">
        <v>2928</v>
      </c>
      <c r="D5803" s="125">
        <v>0.03</v>
      </c>
      <c r="E5803" s="125">
        <v>0.03</v>
      </c>
      <c r="F5803" s="125">
        <v>0.03</v>
      </c>
    </row>
    <row r="5804" spans="3:6">
      <c r="C5804" s="191" t="s">
        <v>2929</v>
      </c>
      <c r="D5804" s="125">
        <v>7.0000000000000007E-2</v>
      </c>
      <c r="E5804" s="125">
        <v>7.0000000000000007E-2</v>
      </c>
      <c r="F5804" s="125">
        <v>7.0000000000000007E-2</v>
      </c>
    </row>
    <row r="5805" spans="3:6">
      <c r="C5805" s="191" t="s">
        <v>2930</v>
      </c>
      <c r="D5805" s="125">
        <v>0.02</v>
      </c>
      <c r="E5805" s="125">
        <v>0.02</v>
      </c>
      <c r="F5805" s="125">
        <v>0.02</v>
      </c>
    </row>
    <row r="5806" spans="3:6" ht="28.8">
      <c r="C5806" s="191" t="s">
        <v>2931</v>
      </c>
      <c r="D5806" s="125">
        <v>0.02</v>
      </c>
      <c r="E5806" s="125">
        <v>0.02</v>
      </c>
      <c r="F5806" s="125">
        <v>0.02</v>
      </c>
    </row>
    <row r="5807" spans="3:6">
      <c r="C5807" s="191" t="s">
        <v>2932</v>
      </c>
      <c r="D5807" s="125">
        <v>0.03</v>
      </c>
      <c r="E5807" s="125">
        <v>0.03</v>
      </c>
      <c r="F5807" s="125">
        <v>0.03</v>
      </c>
    </row>
    <row r="5808" spans="3:6" ht="28.8">
      <c r="C5808" s="191" t="s">
        <v>2933</v>
      </c>
      <c r="D5808" s="125">
        <v>0.03</v>
      </c>
      <c r="E5808" s="125">
        <v>0.03</v>
      </c>
      <c r="F5808" s="125">
        <v>0.03</v>
      </c>
    </row>
    <row r="5809" spans="3:6" ht="28.8">
      <c r="C5809" s="191" t="s">
        <v>2934</v>
      </c>
      <c r="D5809" s="125">
        <v>0.1</v>
      </c>
      <c r="E5809" s="125">
        <v>0.1</v>
      </c>
      <c r="F5809" s="125">
        <v>0.1</v>
      </c>
    </row>
    <row r="5810" spans="3:6" ht="28.8">
      <c r="C5810" s="191" t="s">
        <v>2935</v>
      </c>
      <c r="D5810" s="125">
        <v>0.02</v>
      </c>
      <c r="E5810" s="125">
        <v>0.02</v>
      </c>
      <c r="F5810" s="125">
        <v>0.02</v>
      </c>
    </row>
    <row r="5811" spans="3:6">
      <c r="C5811" s="191" t="s">
        <v>2936</v>
      </c>
      <c r="D5811" s="125">
        <v>0.03</v>
      </c>
      <c r="E5811" s="125">
        <v>0.03</v>
      </c>
      <c r="F5811" s="125">
        <v>0.03</v>
      </c>
    </row>
    <row r="5812" spans="3:6">
      <c r="C5812" s="191" t="s">
        <v>2937</v>
      </c>
      <c r="D5812" s="125">
        <v>0.05</v>
      </c>
      <c r="E5812" s="125">
        <v>0.05</v>
      </c>
      <c r="F5812" s="125">
        <v>0.05</v>
      </c>
    </row>
    <row r="5813" spans="3:6" ht="28.8">
      <c r="C5813" s="191" t="s">
        <v>2938</v>
      </c>
      <c r="D5813" s="125">
        <v>0.06</v>
      </c>
      <c r="E5813" s="125">
        <v>0.06</v>
      </c>
      <c r="F5813" s="125">
        <v>0.06</v>
      </c>
    </row>
    <row r="5814" spans="3:6" ht="28.8">
      <c r="C5814" s="191" t="s">
        <v>2939</v>
      </c>
      <c r="D5814" s="125">
        <v>0.03</v>
      </c>
      <c r="E5814" s="125">
        <v>0.03</v>
      </c>
      <c r="F5814" s="125">
        <v>0.03</v>
      </c>
    </row>
    <row r="5815" spans="3:6">
      <c r="C5815" s="191" t="s">
        <v>2940</v>
      </c>
      <c r="D5815" s="125">
        <v>0.02</v>
      </c>
      <c r="E5815" s="125">
        <v>0.02</v>
      </c>
      <c r="F5815" s="125">
        <v>0.02</v>
      </c>
    </row>
    <row r="5816" spans="3:6">
      <c r="C5816" s="191" t="s">
        <v>2941</v>
      </c>
      <c r="D5816" s="125">
        <v>0.02</v>
      </c>
      <c r="E5816" s="125">
        <v>0.02</v>
      </c>
      <c r="F5816" s="125">
        <v>0.02</v>
      </c>
    </row>
    <row r="5817" spans="3:6" ht="28.8">
      <c r="C5817" s="191" t="s">
        <v>2942</v>
      </c>
      <c r="D5817" s="125">
        <v>0.05</v>
      </c>
      <c r="E5817" s="125">
        <v>0.05</v>
      </c>
      <c r="F5817" s="125">
        <v>0.05</v>
      </c>
    </row>
    <row r="5818" spans="3:6">
      <c r="C5818" s="641"/>
      <c r="D5818" s="631">
        <f>SUM(D5790:D5817)</f>
        <v>1.0000000000000004</v>
      </c>
      <c r="E5818" s="631">
        <f>SUM(E5790:E5817)</f>
        <v>0.93000000000000038</v>
      </c>
      <c r="F5818" s="631">
        <f>SUM(F5790:F5817)</f>
        <v>0.81000000000000028</v>
      </c>
    </row>
    <row r="5819" spans="3:6">
      <c r="C5819" s="641"/>
      <c r="D5819" s="631"/>
      <c r="E5819" s="631">
        <f>D5818-E5818</f>
        <v>7.0000000000000062E-2</v>
      </c>
      <c r="F5819" s="631">
        <f>E5818-F5818</f>
        <v>0.12000000000000011</v>
      </c>
    </row>
    <row r="5820" spans="3:6">
      <c r="C5820" s="658" t="s">
        <v>2713</v>
      </c>
      <c r="D5820" s="88">
        <v>120</v>
      </c>
      <c r="E5820" s="88"/>
      <c r="F5820" s="184"/>
    </row>
    <row r="5821" spans="3:6">
      <c r="C5821" s="675" t="s">
        <v>2943</v>
      </c>
      <c r="D5821" s="676">
        <v>2</v>
      </c>
      <c r="E5821" s="677"/>
      <c r="F5821" s="677"/>
    </row>
    <row r="5822" spans="3:6">
      <c r="C5822" s="87" t="s">
        <v>2437</v>
      </c>
      <c r="D5822" s="595"/>
      <c r="E5822" s="595"/>
      <c r="F5822" s="595"/>
    </row>
    <row r="5823" spans="3:6">
      <c r="C5823" s="87" t="s">
        <v>1446</v>
      </c>
      <c r="D5823" s="88"/>
      <c r="E5823" s="88"/>
      <c r="F5823" s="88"/>
    </row>
    <row r="5824" spans="3:6">
      <c r="C5824" s="87" t="s">
        <v>1447</v>
      </c>
      <c r="D5824" s="88">
        <v>8</v>
      </c>
      <c r="E5824" s="88">
        <v>22</v>
      </c>
      <c r="F5824" s="88"/>
    </row>
    <row r="5825" spans="2:6">
      <c r="C5825" s="87" t="s">
        <v>2438</v>
      </c>
      <c r="D5825" s="88"/>
      <c r="E5825" s="88"/>
      <c r="F5825" s="88"/>
    </row>
    <row r="5826" spans="2:6">
      <c r="D5826" s="84"/>
      <c r="E5826" s="84"/>
      <c r="F5826" s="84"/>
    </row>
    <row r="5830" spans="2:6" ht="15.6">
      <c r="B5830" s="519" t="s">
        <v>1079</v>
      </c>
      <c r="C5830" s="681" t="s">
        <v>2944</v>
      </c>
      <c r="D5830" s="507" t="s">
        <v>353</v>
      </c>
      <c r="E5830" s="507" t="s">
        <v>354</v>
      </c>
      <c r="F5830" s="507" t="s">
        <v>355</v>
      </c>
    </row>
    <row r="5831" spans="2:6" ht="28.8">
      <c r="C5831" s="553" t="s">
        <v>2945</v>
      </c>
      <c r="D5831" s="672">
        <v>0.05</v>
      </c>
      <c r="E5831" s="672">
        <v>0.05</v>
      </c>
      <c r="F5831" s="672">
        <v>0</v>
      </c>
    </row>
    <row r="5832" spans="2:6">
      <c r="C5832" s="507" t="s">
        <v>2946</v>
      </c>
      <c r="D5832" s="672">
        <v>0.2</v>
      </c>
      <c r="E5832" s="672">
        <v>0.2</v>
      </c>
      <c r="F5832" s="672">
        <v>0.2</v>
      </c>
    </row>
    <row r="5833" spans="2:6" ht="28.8">
      <c r="C5833" s="553" t="s">
        <v>2947</v>
      </c>
      <c r="D5833" s="672">
        <v>0.2</v>
      </c>
      <c r="E5833" s="672">
        <v>0.1</v>
      </c>
      <c r="F5833" s="672">
        <v>0.1</v>
      </c>
    </row>
    <row r="5834" spans="2:6">
      <c r="C5834" s="507" t="s">
        <v>2948</v>
      </c>
      <c r="D5834" s="672">
        <v>0.15</v>
      </c>
      <c r="E5834" s="672">
        <v>0</v>
      </c>
      <c r="F5834" s="672">
        <v>0</v>
      </c>
    </row>
    <row r="5835" spans="2:6">
      <c r="C5835" s="507"/>
      <c r="D5835" s="510">
        <f>SUM(D5831:D5834)</f>
        <v>0.6</v>
      </c>
      <c r="E5835" s="510">
        <f>SUM(E5831:E5834)</f>
        <v>0.35</v>
      </c>
      <c r="F5835" s="510">
        <f>SUM(F5831:F5834)</f>
        <v>0.30000000000000004</v>
      </c>
    </row>
    <row r="5836" spans="2:6">
      <c r="C5836" s="507"/>
      <c r="D5836" s="507"/>
      <c r="E5836" s="672">
        <v>0.25</v>
      </c>
      <c r="F5836" s="672">
        <v>0.05</v>
      </c>
    </row>
    <row r="5837" spans="2:6">
      <c r="C5837" s="594" t="s">
        <v>2436</v>
      </c>
      <c r="D5837" s="88">
        <v>7</v>
      </c>
      <c r="E5837" s="88"/>
      <c r="F5837" s="184"/>
    </row>
    <row r="5838" spans="2:6">
      <c r="C5838" s="87" t="s">
        <v>2949</v>
      </c>
      <c r="D5838" s="644">
        <v>1</v>
      </c>
      <c r="E5838" s="595"/>
      <c r="F5838" s="595"/>
    </row>
    <row r="5839" spans="2:6">
      <c r="C5839" s="87" t="s">
        <v>2437</v>
      </c>
      <c r="D5839" s="595"/>
      <c r="E5839" s="595"/>
      <c r="F5839" s="595"/>
    </row>
    <row r="5840" spans="2:6">
      <c r="C5840" s="87" t="s">
        <v>1446</v>
      </c>
      <c r="D5840" s="88"/>
      <c r="E5840" s="88"/>
      <c r="F5840" s="88"/>
    </row>
    <row r="5841" spans="2:6">
      <c r="C5841" s="87" t="s">
        <v>1447</v>
      </c>
      <c r="D5841" s="88">
        <v>8</v>
      </c>
      <c r="E5841" s="88">
        <v>22</v>
      </c>
      <c r="F5841" s="88"/>
    </row>
    <row r="5842" spans="2:6">
      <c r="C5842" s="87" t="s">
        <v>2438</v>
      </c>
      <c r="D5842" s="88"/>
      <c r="E5842" s="88"/>
      <c r="F5842" s="88"/>
    </row>
    <row r="5843" spans="2:6">
      <c r="C5843" s="507"/>
      <c r="D5843" s="507"/>
      <c r="E5843" s="507"/>
      <c r="F5843" s="507"/>
    </row>
    <row r="5844" spans="2:6">
      <c r="C5844" s="507"/>
      <c r="D5844" s="507"/>
      <c r="E5844" s="507"/>
      <c r="F5844" s="507"/>
    </row>
    <row r="5845" spans="2:6" ht="15.6">
      <c r="B5845" s="519" t="s">
        <v>1079</v>
      </c>
      <c r="C5845" s="681" t="s">
        <v>2950</v>
      </c>
      <c r="D5845" s="507" t="s">
        <v>353</v>
      </c>
      <c r="E5845" s="507" t="s">
        <v>354</v>
      </c>
      <c r="F5845" s="507" t="s">
        <v>355</v>
      </c>
    </row>
    <row r="5846" spans="2:6">
      <c r="C5846" s="507" t="s">
        <v>2951</v>
      </c>
      <c r="D5846" s="507"/>
      <c r="E5846" s="507"/>
      <c r="F5846" s="507"/>
    </row>
    <row r="5847" spans="2:6">
      <c r="C5847" s="507" t="s">
        <v>2952</v>
      </c>
      <c r="D5847" s="507"/>
      <c r="E5847" s="507"/>
      <c r="F5847" s="507"/>
    </row>
    <row r="5848" spans="2:6" ht="28.8">
      <c r="C5848" s="553" t="s">
        <v>2953</v>
      </c>
      <c r="D5848" s="507"/>
      <c r="E5848" s="507"/>
      <c r="F5848" s="507"/>
    </row>
    <row r="5849" spans="2:6" ht="28.8">
      <c r="C5849" s="553" t="s">
        <v>2954</v>
      </c>
      <c r="D5849" s="507"/>
      <c r="E5849" s="507"/>
      <c r="F5849" s="507"/>
    </row>
    <row r="5850" spans="2:6">
      <c r="C5850" s="507" t="s">
        <v>2955</v>
      </c>
      <c r="D5850" s="507"/>
      <c r="E5850" s="507"/>
      <c r="F5850" s="507"/>
    </row>
    <row r="5851" spans="2:6">
      <c r="C5851" s="507"/>
      <c r="D5851" s="507"/>
      <c r="E5851" s="507"/>
      <c r="F5851" s="507"/>
    </row>
    <row r="5852" spans="2:6">
      <c r="C5852" s="507"/>
      <c r="D5852" s="510" t="e">
        <f>SUM(#REF!)</f>
        <v>#REF!</v>
      </c>
      <c r="E5852" s="510" t="e">
        <f>SUM(#REF!)</f>
        <v>#REF!</v>
      </c>
      <c r="F5852" s="510" t="e">
        <f>SUM(#REF!)</f>
        <v>#REF!</v>
      </c>
    </row>
    <row r="5853" spans="2:6">
      <c r="C5853" s="507"/>
      <c r="D5853" s="507"/>
      <c r="E5853" s="672" t="e">
        <f>+D5852-E5852</f>
        <v>#REF!</v>
      </c>
      <c r="F5853" s="672" t="e">
        <f>+E5852-F5852</f>
        <v>#REF!</v>
      </c>
    </row>
    <row r="5854" spans="2:6">
      <c r="C5854" s="594" t="s">
        <v>2436</v>
      </c>
      <c r="D5854" s="88">
        <v>5</v>
      </c>
      <c r="E5854" s="88"/>
      <c r="F5854" s="184"/>
    </row>
    <row r="5855" spans="2:6">
      <c r="C5855" s="87" t="s">
        <v>2949</v>
      </c>
      <c r="D5855" s="644">
        <v>1</v>
      </c>
      <c r="E5855" s="595"/>
      <c r="F5855" s="595"/>
    </row>
    <row r="5856" spans="2:6">
      <c r="C5856" s="87" t="s">
        <v>2437</v>
      </c>
      <c r="D5856" s="595"/>
      <c r="E5856" s="595"/>
      <c r="F5856" s="595"/>
    </row>
    <row r="5857" spans="2:6">
      <c r="C5857" s="87" t="s">
        <v>1446</v>
      </c>
      <c r="D5857" s="88"/>
      <c r="E5857" s="88"/>
      <c r="F5857" s="88"/>
    </row>
    <row r="5858" spans="2:6">
      <c r="C5858" s="87" t="s">
        <v>1447</v>
      </c>
      <c r="D5858" s="88">
        <v>8</v>
      </c>
      <c r="E5858" s="88">
        <v>22</v>
      </c>
      <c r="F5858" s="88"/>
    </row>
    <row r="5859" spans="2:6">
      <c r="C5859" s="87" t="s">
        <v>2438</v>
      </c>
      <c r="D5859" s="88"/>
      <c r="E5859" s="88"/>
      <c r="F5859" s="88"/>
    </row>
    <row r="5860" spans="2:6">
      <c r="C5860" s="507"/>
      <c r="D5860" s="507"/>
      <c r="E5860" s="507"/>
      <c r="F5860" s="507"/>
    </row>
    <row r="5861" spans="2:6">
      <c r="C5861" s="507"/>
      <c r="D5861" s="507"/>
      <c r="E5861" s="507"/>
      <c r="F5861" s="507"/>
    </row>
    <row r="5862" spans="2:6">
      <c r="C5862" s="507"/>
      <c r="D5862" s="507"/>
      <c r="E5862" s="507"/>
      <c r="F5862" s="507"/>
    </row>
    <row r="5863" spans="2:6" ht="15.6">
      <c r="B5863" s="519" t="s">
        <v>1079</v>
      </c>
      <c r="C5863" s="682" t="s">
        <v>2956</v>
      </c>
      <c r="D5863" s="683" t="s">
        <v>353</v>
      </c>
      <c r="E5863" s="683" t="s">
        <v>354</v>
      </c>
      <c r="F5863" s="683" t="s">
        <v>355</v>
      </c>
    </row>
    <row r="5864" spans="2:6">
      <c r="C5864" s="87" t="s">
        <v>2957</v>
      </c>
      <c r="D5864" s="87"/>
      <c r="E5864" s="87"/>
      <c r="F5864" s="87"/>
    </row>
    <row r="5865" spans="2:6">
      <c r="C5865" s="531" t="s">
        <v>2958</v>
      </c>
      <c r="D5865" s="684"/>
      <c r="E5865" s="684"/>
      <c r="F5865" s="684"/>
    </row>
    <row r="5866" spans="2:6">
      <c r="C5866" s="507" t="s">
        <v>2959</v>
      </c>
      <c r="D5866" s="672"/>
      <c r="E5866" s="672"/>
      <c r="F5866" s="672"/>
    </row>
    <row r="5867" spans="2:6">
      <c r="C5867" s="507" t="s">
        <v>2960</v>
      </c>
      <c r="D5867" s="672"/>
      <c r="E5867" s="672"/>
      <c r="F5867" s="672"/>
    </row>
    <row r="5868" spans="2:6">
      <c r="C5868" s="507" t="s">
        <v>2961</v>
      </c>
      <c r="D5868" s="672"/>
      <c r="E5868" s="672"/>
      <c r="F5868" s="672"/>
    </row>
    <row r="5869" spans="2:6">
      <c r="C5869" s="507" t="s">
        <v>2962</v>
      </c>
      <c r="D5869" s="672"/>
      <c r="E5869" s="672"/>
      <c r="F5869" s="672"/>
    </row>
    <row r="5870" spans="2:6">
      <c r="C5870" s="507"/>
      <c r="D5870" s="672"/>
      <c r="E5870" s="672"/>
      <c r="F5870" s="672"/>
    </row>
    <row r="5871" spans="2:6">
      <c r="C5871" s="507"/>
      <c r="D5871" s="510">
        <f>SUM(D5865:D5870)</f>
        <v>0</v>
      </c>
      <c r="E5871" s="510">
        <f>SUM(E5865:E5870)</f>
        <v>0</v>
      </c>
      <c r="F5871" s="510">
        <f>SUM(F5865:F5870)</f>
        <v>0</v>
      </c>
    </row>
    <row r="5872" spans="2:6">
      <c r="C5872" s="507"/>
      <c r="D5872" s="507"/>
      <c r="E5872" s="672">
        <f>+D5871-E5871</f>
        <v>0</v>
      </c>
      <c r="F5872" s="672">
        <f>+E5871-F5871</f>
        <v>0</v>
      </c>
    </row>
    <row r="5873" spans="2:6">
      <c r="C5873" s="594" t="s">
        <v>2436</v>
      </c>
      <c r="D5873" s="88">
        <v>3</v>
      </c>
      <c r="E5873" s="88"/>
      <c r="F5873" s="184"/>
    </row>
    <row r="5874" spans="2:6">
      <c r="C5874" s="87" t="s">
        <v>2379</v>
      </c>
      <c r="D5874" s="644">
        <v>1</v>
      </c>
      <c r="E5874" s="595"/>
      <c r="F5874" s="595"/>
    </row>
    <row r="5875" spans="2:6">
      <c r="C5875" s="87" t="s">
        <v>2437</v>
      </c>
      <c r="D5875" s="595"/>
      <c r="E5875" s="595"/>
      <c r="F5875" s="595"/>
    </row>
    <row r="5876" spans="2:6">
      <c r="C5876" s="87" t="s">
        <v>1446</v>
      </c>
      <c r="D5876" s="88"/>
      <c r="E5876" s="88"/>
      <c r="F5876" s="88"/>
    </row>
    <row r="5877" spans="2:6">
      <c r="C5877" s="87" t="s">
        <v>1447</v>
      </c>
      <c r="D5877" s="88">
        <v>8</v>
      </c>
      <c r="E5877" s="88">
        <v>22</v>
      </c>
      <c r="F5877" s="88"/>
    </row>
    <row r="5878" spans="2:6">
      <c r="C5878" s="87" t="s">
        <v>2438</v>
      </c>
      <c r="D5878" s="88"/>
      <c r="E5878" s="88"/>
      <c r="F5878" s="88"/>
    </row>
    <row r="5882" spans="2:6">
      <c r="C5882" s="926" t="s">
        <v>2963</v>
      </c>
      <c r="D5882" s="927"/>
      <c r="E5882" s="927"/>
      <c r="F5882" s="927"/>
    </row>
    <row r="5883" spans="2:6">
      <c r="C5883" s="6"/>
      <c r="D5883" s="6"/>
      <c r="E5883" s="6"/>
      <c r="F5883" s="6"/>
    </row>
    <row r="5884" spans="2:6">
      <c r="C5884" s="926" t="s">
        <v>2964</v>
      </c>
      <c r="D5884" s="927"/>
      <c r="E5884" s="927"/>
      <c r="F5884" s="927"/>
    </row>
    <row r="5886" spans="2:6" ht="15.6">
      <c r="B5886" s="519" t="s">
        <v>1079</v>
      </c>
      <c r="C5886" s="661" t="s">
        <v>2965</v>
      </c>
      <c r="D5886" s="687" t="s">
        <v>353</v>
      </c>
      <c r="E5886" s="688" t="s">
        <v>354</v>
      </c>
      <c r="F5886" s="687" t="s">
        <v>355</v>
      </c>
    </row>
    <row r="5887" spans="2:6">
      <c r="C5887" s="191" t="s">
        <v>2966</v>
      </c>
      <c r="D5887" s="689">
        <v>0.01</v>
      </c>
      <c r="E5887" s="689">
        <v>0.01</v>
      </c>
      <c r="F5887" s="689">
        <v>0</v>
      </c>
    </row>
    <row r="5888" spans="2:6">
      <c r="C5888" s="191" t="s">
        <v>2967</v>
      </c>
      <c r="D5888" s="689">
        <v>0.01</v>
      </c>
      <c r="E5888" s="689">
        <v>0.01</v>
      </c>
      <c r="F5888" s="689">
        <v>5.0000000000000001E-3</v>
      </c>
    </row>
    <row r="5889" spans="3:6">
      <c r="C5889" s="191" t="s">
        <v>2968</v>
      </c>
      <c r="D5889" s="689">
        <v>0.05</v>
      </c>
      <c r="E5889" s="689">
        <v>0.05</v>
      </c>
      <c r="F5889" s="689">
        <v>0.05</v>
      </c>
    </row>
    <row r="5890" spans="3:6">
      <c r="C5890" s="191" t="s">
        <v>2969</v>
      </c>
      <c r="D5890" s="689">
        <v>0.1</v>
      </c>
      <c r="E5890" s="689">
        <v>0.05</v>
      </c>
      <c r="F5890" s="689">
        <v>0.05</v>
      </c>
    </row>
    <row r="5891" spans="3:6" ht="28.8">
      <c r="C5891" s="191" t="s">
        <v>2970</v>
      </c>
      <c r="D5891" s="689">
        <v>0.05</v>
      </c>
      <c r="E5891" s="689">
        <v>2.5000000000000001E-2</v>
      </c>
      <c r="F5891" s="689">
        <v>2.5000000000000001E-2</v>
      </c>
    </row>
    <row r="5892" spans="3:6">
      <c r="C5892" s="191" t="s">
        <v>2971</v>
      </c>
      <c r="D5892" s="689">
        <v>0.1</v>
      </c>
      <c r="E5892" s="689">
        <v>0.05</v>
      </c>
      <c r="F5892" s="689">
        <v>0.05</v>
      </c>
    </row>
    <row r="5893" spans="3:6" ht="28.8">
      <c r="C5893" s="191" t="s">
        <v>2972</v>
      </c>
      <c r="D5893" s="689">
        <v>0.05</v>
      </c>
      <c r="E5893" s="689">
        <v>2.5000000000000001E-2</v>
      </c>
      <c r="F5893" s="689">
        <v>2.5000000000000001E-2</v>
      </c>
    </row>
    <row r="5894" spans="3:6">
      <c r="C5894" s="191" t="s">
        <v>2973</v>
      </c>
      <c r="D5894" s="689">
        <v>0.02</v>
      </c>
      <c r="E5894" s="689">
        <v>0.01</v>
      </c>
      <c r="F5894" s="689">
        <v>0.01</v>
      </c>
    </row>
    <row r="5895" spans="3:6">
      <c r="C5895" s="191" t="s">
        <v>2974</v>
      </c>
      <c r="D5895" s="689">
        <v>0.01</v>
      </c>
      <c r="E5895" s="689">
        <v>0.01</v>
      </c>
      <c r="F5895" s="689">
        <v>0.01</v>
      </c>
    </row>
    <row r="5896" spans="3:6">
      <c r="C5896" s="191" t="s">
        <v>2975</v>
      </c>
      <c r="D5896" s="689">
        <v>0.01</v>
      </c>
      <c r="E5896" s="689">
        <v>0.01</v>
      </c>
      <c r="F5896" s="689">
        <v>0</v>
      </c>
    </row>
    <row r="5897" spans="3:6">
      <c r="C5897" s="191" t="s">
        <v>2976</v>
      </c>
      <c r="D5897" s="689">
        <v>0.2</v>
      </c>
      <c r="E5897" s="689">
        <v>0.2</v>
      </c>
      <c r="F5897" s="689">
        <v>0.2</v>
      </c>
    </row>
    <row r="5898" spans="3:6">
      <c r="C5898" s="191" t="s">
        <v>2977</v>
      </c>
      <c r="D5898" s="689">
        <v>0.15</v>
      </c>
      <c r="E5898" s="689">
        <v>0.15</v>
      </c>
      <c r="F5898" s="689">
        <v>0.05</v>
      </c>
    </row>
    <row r="5899" spans="3:6">
      <c r="C5899" s="191" t="s">
        <v>2978</v>
      </c>
      <c r="D5899" s="689">
        <v>0.05</v>
      </c>
      <c r="E5899" s="689">
        <v>0.05</v>
      </c>
      <c r="F5899" s="689">
        <v>0.05</v>
      </c>
    </row>
    <row r="5900" spans="3:6">
      <c r="C5900" s="191" t="s">
        <v>2979</v>
      </c>
      <c r="D5900" s="689">
        <v>0.01</v>
      </c>
      <c r="E5900" s="689">
        <v>0.01</v>
      </c>
      <c r="F5900" s="689">
        <v>0.01</v>
      </c>
    </row>
    <row r="5901" spans="3:6" ht="28.8">
      <c r="C5901" s="191" t="s">
        <v>2980</v>
      </c>
      <c r="D5901" s="689">
        <v>0.01</v>
      </c>
      <c r="E5901" s="689">
        <v>0.01</v>
      </c>
      <c r="F5901" s="689">
        <v>5.0000000000000001E-3</v>
      </c>
    </row>
    <row r="5902" spans="3:6" ht="28.8">
      <c r="C5902" s="191" t="s">
        <v>2981</v>
      </c>
      <c r="D5902" s="689">
        <v>0.1</v>
      </c>
      <c r="E5902" s="689">
        <v>0.1</v>
      </c>
      <c r="F5902" s="689">
        <v>0.05</v>
      </c>
    </row>
    <row r="5903" spans="3:6" ht="28.8">
      <c r="C5903" s="191" t="s">
        <v>2982</v>
      </c>
      <c r="D5903" s="689">
        <v>0.02</v>
      </c>
      <c r="E5903" s="689">
        <v>0.02</v>
      </c>
      <c r="F5903" s="689">
        <v>0</v>
      </c>
    </row>
    <row r="5904" spans="3:6" ht="28.8">
      <c r="C5904" s="191" t="s">
        <v>2983</v>
      </c>
      <c r="D5904" s="689">
        <v>0.01</v>
      </c>
      <c r="E5904" s="689">
        <v>0.01</v>
      </c>
      <c r="F5904" s="689">
        <v>5.0000000000000001E-3</v>
      </c>
    </row>
    <row r="5905" spans="2:6">
      <c r="C5905" s="191"/>
      <c r="D5905" s="689"/>
      <c r="E5905" s="689"/>
      <c r="F5905" s="689"/>
    </row>
    <row r="5906" spans="2:6">
      <c r="C5906" s="191"/>
      <c r="D5906" s="689"/>
      <c r="E5906" s="689"/>
      <c r="F5906" s="689"/>
    </row>
    <row r="5907" spans="2:6">
      <c r="C5907" s="191"/>
      <c r="D5907" s="689"/>
      <c r="E5907" s="689"/>
      <c r="F5907" s="689"/>
    </row>
    <row r="5908" spans="2:6">
      <c r="C5908" s="191"/>
      <c r="D5908" s="690">
        <f>SUM(D5887:D5907)</f>
        <v>0.96000000000000019</v>
      </c>
      <c r="E5908" s="691">
        <f>SUM(E5887:E5907)</f>
        <v>0.8</v>
      </c>
      <c r="F5908" s="691">
        <f>SUM(F5887:F5907)</f>
        <v>0.59500000000000008</v>
      </c>
    </row>
    <row r="5909" spans="2:6">
      <c r="C5909" s="643"/>
      <c r="D5909" s="690"/>
      <c r="E5909" s="692">
        <f>D5908-E5908</f>
        <v>0.16000000000000014</v>
      </c>
      <c r="F5909" s="692">
        <f>E5908-F5908</f>
        <v>0.20499999999999996</v>
      </c>
    </row>
    <row r="5910" spans="2:6">
      <c r="C5910" s="594" t="s">
        <v>2436</v>
      </c>
      <c r="D5910" s="693">
        <v>25</v>
      </c>
      <c r="E5910" s="694"/>
      <c r="F5910" s="695"/>
    </row>
    <row r="5911" spans="2:6">
      <c r="C5911" s="660" t="s">
        <v>2984</v>
      </c>
      <c r="D5911" s="696">
        <v>23</v>
      </c>
      <c r="E5911" s="697"/>
      <c r="F5911" s="696"/>
    </row>
    <row r="5912" spans="2:6">
      <c r="C5912" s="660" t="s">
        <v>2437</v>
      </c>
      <c r="D5912" s="696"/>
      <c r="E5912" s="697"/>
      <c r="F5912" s="696"/>
    </row>
    <row r="5913" spans="2:6">
      <c r="C5913" s="660" t="s">
        <v>1446</v>
      </c>
      <c r="D5913" s="693"/>
      <c r="E5913" s="694"/>
      <c r="F5913" s="693"/>
    </row>
    <row r="5914" spans="2:6">
      <c r="C5914" s="87" t="s">
        <v>1447</v>
      </c>
      <c r="D5914" s="693">
        <v>8</v>
      </c>
      <c r="E5914" s="693">
        <v>22</v>
      </c>
      <c r="F5914" s="693"/>
    </row>
    <row r="5915" spans="2:6">
      <c r="C5915" s="87" t="s">
        <v>2438</v>
      </c>
      <c r="D5915" s="693"/>
      <c r="E5915" s="693"/>
      <c r="F5915" s="693"/>
    </row>
    <row r="5918" spans="2:6" ht="15.6">
      <c r="B5918" s="519" t="s">
        <v>1079</v>
      </c>
      <c r="C5918" s="661" t="s">
        <v>2985</v>
      </c>
      <c r="D5918" s="687" t="s">
        <v>353</v>
      </c>
      <c r="E5918" s="688" t="s">
        <v>354</v>
      </c>
      <c r="F5918" s="687" t="s">
        <v>355</v>
      </c>
    </row>
    <row r="5919" spans="2:6">
      <c r="C5919" s="191" t="s">
        <v>2966</v>
      </c>
      <c r="D5919" s="689">
        <v>0.01</v>
      </c>
      <c r="E5919" s="689">
        <v>0.01</v>
      </c>
      <c r="F5919" s="689">
        <v>0</v>
      </c>
    </row>
    <row r="5920" spans="2:6">
      <c r="C5920" s="191" t="s">
        <v>2967</v>
      </c>
      <c r="D5920" s="689">
        <v>0.01</v>
      </c>
      <c r="E5920" s="689">
        <v>0.01</v>
      </c>
      <c r="F5920" s="689">
        <v>5.0000000000000001E-3</v>
      </c>
    </row>
    <row r="5921" spans="3:6">
      <c r="C5921" s="191" t="s">
        <v>2968</v>
      </c>
      <c r="D5921" s="689">
        <v>0.01</v>
      </c>
      <c r="E5921" s="689">
        <v>0.01</v>
      </c>
      <c r="F5921" s="689">
        <v>0</v>
      </c>
    </row>
    <row r="5922" spans="3:6">
      <c r="C5922" s="191" t="s">
        <v>2969</v>
      </c>
      <c r="D5922" s="689">
        <v>0.05</v>
      </c>
      <c r="E5922" s="689">
        <v>0.05</v>
      </c>
      <c r="F5922" s="689">
        <v>0.05</v>
      </c>
    </row>
    <row r="5923" spans="3:6" ht="28.8">
      <c r="C5923" s="191" t="s">
        <v>2970</v>
      </c>
      <c r="D5923" s="689">
        <v>0.1</v>
      </c>
      <c r="E5923" s="689">
        <v>0.05</v>
      </c>
      <c r="F5923" s="689">
        <v>0.05</v>
      </c>
    </row>
    <row r="5924" spans="3:6">
      <c r="C5924" s="191" t="s">
        <v>2971</v>
      </c>
      <c r="D5924" s="689">
        <v>0.05</v>
      </c>
      <c r="E5924" s="689">
        <v>2.5000000000000001E-2</v>
      </c>
      <c r="F5924" s="689">
        <v>2.5000000000000001E-2</v>
      </c>
    </row>
    <row r="5925" spans="3:6" ht="28.8">
      <c r="C5925" s="191" t="s">
        <v>2972</v>
      </c>
      <c r="D5925" s="689">
        <v>0.1</v>
      </c>
      <c r="E5925" s="689">
        <v>0.05</v>
      </c>
      <c r="F5925" s="689">
        <v>0.05</v>
      </c>
    </row>
    <row r="5926" spans="3:6">
      <c r="C5926" s="191" t="s">
        <v>2973</v>
      </c>
      <c r="D5926" s="689">
        <v>0.05</v>
      </c>
      <c r="E5926" s="689">
        <v>2.5000000000000001E-2</v>
      </c>
      <c r="F5926" s="689">
        <v>2.5000000000000001E-2</v>
      </c>
    </row>
    <row r="5927" spans="3:6">
      <c r="C5927" s="191" t="s">
        <v>2974</v>
      </c>
      <c r="D5927" s="689">
        <v>0.02</v>
      </c>
      <c r="E5927" s="689">
        <v>0.01</v>
      </c>
      <c r="F5927" s="689">
        <v>0.01</v>
      </c>
    </row>
    <row r="5928" spans="3:6">
      <c r="C5928" s="191" t="s">
        <v>2975</v>
      </c>
      <c r="D5928" s="689">
        <v>0.01</v>
      </c>
      <c r="E5928" s="689">
        <v>0.01</v>
      </c>
      <c r="F5928" s="689">
        <v>0.01</v>
      </c>
    </row>
    <row r="5929" spans="3:6">
      <c r="C5929" s="191" t="s">
        <v>2976</v>
      </c>
      <c r="D5929" s="689">
        <v>0.01</v>
      </c>
      <c r="E5929" s="689">
        <v>0.01</v>
      </c>
      <c r="F5929" s="689">
        <v>0</v>
      </c>
    </row>
    <row r="5930" spans="3:6">
      <c r="C5930" s="191" t="s">
        <v>2977</v>
      </c>
      <c r="D5930" s="689">
        <v>0.2</v>
      </c>
      <c r="E5930" s="689">
        <v>0.2</v>
      </c>
      <c r="F5930" s="689">
        <v>0.2</v>
      </c>
    </row>
    <row r="5931" spans="3:6">
      <c r="C5931" s="191" t="s">
        <v>2978</v>
      </c>
      <c r="D5931" s="689">
        <v>0.15</v>
      </c>
      <c r="E5931" s="689">
        <v>0.15</v>
      </c>
      <c r="F5931" s="689">
        <v>0.05</v>
      </c>
    </row>
    <row r="5932" spans="3:6">
      <c r="C5932" s="191" t="s">
        <v>2979</v>
      </c>
      <c r="D5932" s="689">
        <v>0.05</v>
      </c>
      <c r="E5932" s="689">
        <v>0.05</v>
      </c>
      <c r="F5932" s="689">
        <v>0.05</v>
      </c>
    </row>
    <row r="5933" spans="3:6" ht="43.2">
      <c r="C5933" s="698" t="s">
        <v>2986</v>
      </c>
      <c r="D5933" s="689">
        <v>0.01</v>
      </c>
      <c r="E5933" s="689">
        <v>0.01</v>
      </c>
      <c r="F5933" s="689">
        <v>0.01</v>
      </c>
    </row>
    <row r="5934" spans="3:6" ht="43.2">
      <c r="C5934" s="191" t="s">
        <v>2987</v>
      </c>
      <c r="D5934" s="689">
        <v>0.01</v>
      </c>
      <c r="E5934" s="689">
        <v>0.01</v>
      </c>
      <c r="F5934" s="689">
        <v>5.0000000000000001E-3</v>
      </c>
    </row>
    <row r="5935" spans="3:6" ht="28.8">
      <c r="C5935" s="191" t="s">
        <v>2982</v>
      </c>
      <c r="D5935" s="689">
        <v>0.1</v>
      </c>
      <c r="E5935" s="689">
        <v>0.1</v>
      </c>
      <c r="F5935" s="689">
        <v>0.05</v>
      </c>
    </row>
    <row r="5936" spans="3:6" ht="28.8">
      <c r="C5936" s="191" t="s">
        <v>2983</v>
      </c>
      <c r="D5936" s="689">
        <v>0.02</v>
      </c>
      <c r="E5936" s="689">
        <v>0.02</v>
      </c>
      <c r="F5936" s="689">
        <v>0</v>
      </c>
    </row>
    <row r="5937" spans="2:6" ht="28.8">
      <c r="C5937" s="191" t="s">
        <v>2988</v>
      </c>
      <c r="D5937" s="689">
        <v>0.01</v>
      </c>
      <c r="E5937" s="689">
        <v>0.01</v>
      </c>
      <c r="F5937" s="689">
        <v>5.0000000000000001E-3</v>
      </c>
    </row>
    <row r="5938" spans="2:6" ht="28.8">
      <c r="C5938" s="191" t="s">
        <v>2983</v>
      </c>
      <c r="D5938" s="689">
        <v>0.01</v>
      </c>
      <c r="E5938" s="689">
        <v>0.01</v>
      </c>
      <c r="F5938" s="689">
        <v>0.01</v>
      </c>
    </row>
    <row r="5939" spans="2:6">
      <c r="C5939" s="191" t="s">
        <v>2989</v>
      </c>
      <c r="D5939" s="689">
        <v>0.01</v>
      </c>
      <c r="E5939" s="689">
        <v>0.01</v>
      </c>
      <c r="F5939" s="689">
        <v>0</v>
      </c>
    </row>
    <row r="5940" spans="2:6">
      <c r="C5940" s="191" t="s">
        <v>2990</v>
      </c>
      <c r="D5940" s="689">
        <v>0.01</v>
      </c>
      <c r="E5940" s="689">
        <v>0.01</v>
      </c>
      <c r="F5940" s="689">
        <v>0</v>
      </c>
    </row>
    <row r="5941" spans="2:6">
      <c r="C5941" s="191"/>
      <c r="D5941" s="690">
        <f>SUM(D5919:D5940)</f>
        <v>1</v>
      </c>
      <c r="E5941" s="691">
        <f>SUM(E5919:E5940)</f>
        <v>0.84000000000000008</v>
      </c>
      <c r="F5941" s="691">
        <f>SUM(F5919:F5940)</f>
        <v>0.60500000000000009</v>
      </c>
    </row>
    <row r="5942" spans="2:6">
      <c r="C5942" s="643"/>
      <c r="D5942" s="690"/>
      <c r="E5942" s="692">
        <f>D5941-E5941</f>
        <v>0.15999999999999992</v>
      </c>
      <c r="F5942" s="692">
        <f>E5941-F5941</f>
        <v>0.23499999999999999</v>
      </c>
    </row>
    <row r="5943" spans="2:6">
      <c r="C5943" s="594" t="s">
        <v>2436</v>
      </c>
      <c r="D5943" s="693">
        <v>1080</v>
      </c>
      <c r="E5943" s="694"/>
      <c r="F5943" s="695"/>
    </row>
    <row r="5944" spans="2:6">
      <c r="C5944" s="660" t="s">
        <v>2991</v>
      </c>
      <c r="D5944" s="696">
        <v>70</v>
      </c>
      <c r="E5944" s="697"/>
      <c r="F5944" s="696"/>
    </row>
    <row r="5945" spans="2:6">
      <c r="C5945" s="660" t="s">
        <v>2437</v>
      </c>
      <c r="D5945" s="696"/>
      <c r="E5945" s="697"/>
      <c r="F5945" s="696"/>
    </row>
    <row r="5946" spans="2:6">
      <c r="C5946" s="660" t="s">
        <v>1446</v>
      </c>
      <c r="D5946" s="693"/>
      <c r="E5946" s="694"/>
      <c r="F5946" s="693"/>
    </row>
    <row r="5947" spans="2:6">
      <c r="C5947" s="87" t="s">
        <v>1447</v>
      </c>
      <c r="D5947" s="693">
        <v>8</v>
      </c>
      <c r="E5947" s="693">
        <v>22</v>
      </c>
      <c r="F5947" s="693"/>
    </row>
    <row r="5948" spans="2:6">
      <c r="C5948" s="87" t="s">
        <v>2438</v>
      </c>
      <c r="D5948" s="693"/>
      <c r="E5948" s="693"/>
      <c r="F5948" s="693"/>
    </row>
    <row r="5950" spans="2:6" ht="15.6">
      <c r="B5950" s="519" t="s">
        <v>1079</v>
      </c>
      <c r="C5950" s="661" t="s">
        <v>2992</v>
      </c>
      <c r="D5950" s="687" t="s">
        <v>353</v>
      </c>
      <c r="E5950" s="688" t="s">
        <v>354</v>
      </c>
      <c r="F5950" s="687" t="s">
        <v>355</v>
      </c>
    </row>
    <row r="5951" spans="2:6">
      <c r="C5951" s="191" t="s">
        <v>2966</v>
      </c>
      <c r="D5951" s="689">
        <v>0.01</v>
      </c>
      <c r="E5951" s="689">
        <v>0.01</v>
      </c>
      <c r="F5951" s="689">
        <v>0</v>
      </c>
    </row>
    <row r="5952" spans="2:6">
      <c r="C5952" s="191" t="s">
        <v>2967</v>
      </c>
      <c r="D5952" s="689">
        <v>0.01</v>
      </c>
      <c r="E5952" s="689">
        <v>0.01</v>
      </c>
      <c r="F5952" s="689">
        <v>0</v>
      </c>
    </row>
    <row r="5953" spans="3:6" ht="28.8">
      <c r="C5953" s="191" t="s">
        <v>2993</v>
      </c>
      <c r="D5953" s="689">
        <v>0.03</v>
      </c>
      <c r="E5953" s="689">
        <v>0.03</v>
      </c>
      <c r="F5953" s="689">
        <v>0.03</v>
      </c>
    </row>
    <row r="5954" spans="3:6">
      <c r="C5954" s="191" t="s">
        <v>2994</v>
      </c>
      <c r="D5954" s="689">
        <v>0.05</v>
      </c>
      <c r="E5954" s="689">
        <v>0.05</v>
      </c>
      <c r="F5954" s="689">
        <v>0.05</v>
      </c>
    </row>
    <row r="5955" spans="3:6" ht="28.8">
      <c r="C5955" s="191" t="s">
        <v>2995</v>
      </c>
      <c r="D5955" s="689">
        <v>0.03</v>
      </c>
      <c r="E5955" s="689">
        <v>0.03</v>
      </c>
      <c r="F5955" s="689">
        <v>0.03</v>
      </c>
    </row>
    <row r="5956" spans="3:6">
      <c r="C5956" s="191" t="s">
        <v>2996</v>
      </c>
      <c r="D5956" s="689">
        <v>0.01</v>
      </c>
      <c r="E5956" s="689">
        <v>0.01</v>
      </c>
      <c r="F5956" s="689">
        <v>0.01</v>
      </c>
    </row>
    <row r="5957" spans="3:6">
      <c r="C5957" s="191" t="s">
        <v>2969</v>
      </c>
      <c r="D5957" s="689">
        <v>0.08</v>
      </c>
      <c r="E5957" s="689">
        <v>0.04</v>
      </c>
      <c r="F5957" s="689">
        <v>0.04</v>
      </c>
    </row>
    <row r="5958" spans="3:6" ht="28.8">
      <c r="C5958" s="191" t="s">
        <v>2970</v>
      </c>
      <c r="D5958" s="689">
        <v>0.05</v>
      </c>
      <c r="E5958" s="689">
        <v>2.5000000000000001E-2</v>
      </c>
      <c r="F5958" s="689">
        <v>2.5000000000000001E-2</v>
      </c>
    </row>
    <row r="5959" spans="3:6">
      <c r="C5959" s="191" t="s">
        <v>2971</v>
      </c>
      <c r="D5959" s="689">
        <v>0.08</v>
      </c>
      <c r="E5959" s="689">
        <v>0.04</v>
      </c>
      <c r="F5959" s="689">
        <v>0.04</v>
      </c>
    </row>
    <row r="5960" spans="3:6" ht="28.8">
      <c r="C5960" s="191" t="s">
        <v>2972</v>
      </c>
      <c r="D5960" s="689">
        <v>0.05</v>
      </c>
      <c r="E5960" s="689">
        <v>2.5000000000000001E-2</v>
      </c>
      <c r="F5960" s="689">
        <v>2.5000000000000001E-2</v>
      </c>
    </row>
    <row r="5961" spans="3:6">
      <c r="C5961" s="191" t="s">
        <v>2997</v>
      </c>
      <c r="D5961" s="689">
        <v>0.02</v>
      </c>
      <c r="E5961" s="689">
        <v>0.02</v>
      </c>
      <c r="F5961" s="689">
        <v>0.02</v>
      </c>
    </row>
    <row r="5962" spans="3:6">
      <c r="C5962" s="191" t="s">
        <v>2998</v>
      </c>
      <c r="D5962" s="689">
        <v>0.02</v>
      </c>
      <c r="E5962" s="689">
        <v>0.01</v>
      </c>
      <c r="F5962" s="689">
        <v>0.01</v>
      </c>
    </row>
    <row r="5963" spans="3:6">
      <c r="C5963" s="191" t="s">
        <v>2974</v>
      </c>
      <c r="D5963" s="689">
        <v>0.01</v>
      </c>
      <c r="E5963" s="689">
        <v>5.0000000000000001E-3</v>
      </c>
      <c r="F5963" s="689">
        <v>5.0000000000000001E-3</v>
      </c>
    </row>
    <row r="5964" spans="3:6">
      <c r="C5964" s="191" t="s">
        <v>2999</v>
      </c>
      <c r="D5964" s="689">
        <v>0.01</v>
      </c>
      <c r="E5964" s="689">
        <v>0.01</v>
      </c>
      <c r="F5964" s="689">
        <v>5.0000000000000001E-3</v>
      </c>
    </row>
    <row r="5965" spans="3:6" ht="28.8">
      <c r="C5965" s="191" t="s">
        <v>3000</v>
      </c>
      <c r="D5965" s="689">
        <v>0.02</v>
      </c>
      <c r="E5965" s="689">
        <v>0.02</v>
      </c>
      <c r="F5965" s="689">
        <v>0.02</v>
      </c>
    </row>
    <row r="5966" spans="3:6" ht="28.8">
      <c r="C5966" s="191" t="s">
        <v>3001</v>
      </c>
      <c r="D5966" s="689">
        <v>0.02</v>
      </c>
      <c r="E5966" s="689">
        <v>0.02</v>
      </c>
      <c r="F5966" s="689">
        <v>0.02</v>
      </c>
    </row>
    <row r="5967" spans="3:6" ht="28.8">
      <c r="C5967" s="191" t="s">
        <v>3002</v>
      </c>
      <c r="D5967" s="689">
        <v>0.18</v>
      </c>
      <c r="E5967" s="689">
        <v>0.18</v>
      </c>
      <c r="F5967" s="689">
        <v>0.18</v>
      </c>
    </row>
    <row r="5968" spans="3:6" ht="28.8">
      <c r="C5968" s="191" t="s">
        <v>3003</v>
      </c>
      <c r="D5968" s="689">
        <v>0.1</v>
      </c>
      <c r="E5968" s="689">
        <v>0.1</v>
      </c>
      <c r="F5968" s="689">
        <v>0.1</v>
      </c>
    </row>
    <row r="5969" spans="3:6" ht="28.8">
      <c r="C5969" s="191" t="s">
        <v>3004</v>
      </c>
      <c r="D5969" s="689">
        <v>0.01</v>
      </c>
      <c r="E5969" s="689">
        <v>0.01</v>
      </c>
      <c r="F5969" s="689">
        <v>0.01</v>
      </c>
    </row>
    <row r="5970" spans="3:6">
      <c r="C5970" s="191" t="s">
        <v>3005</v>
      </c>
      <c r="D5970" s="689">
        <v>0.01</v>
      </c>
      <c r="E5970" s="689">
        <v>0.01</v>
      </c>
      <c r="F5970" s="689">
        <v>0.01</v>
      </c>
    </row>
    <row r="5971" spans="3:6" ht="28.8">
      <c r="C5971" s="191" t="s">
        <v>3006</v>
      </c>
      <c r="D5971" s="689">
        <v>0.01</v>
      </c>
      <c r="E5971" s="689">
        <v>0.01</v>
      </c>
      <c r="F5971" s="689">
        <v>0.01</v>
      </c>
    </row>
    <row r="5972" spans="3:6">
      <c r="C5972" s="191" t="s">
        <v>3007</v>
      </c>
      <c r="D5972" s="689">
        <v>0.05</v>
      </c>
      <c r="E5972" s="689">
        <v>0.05</v>
      </c>
      <c r="F5972" s="689">
        <v>0.05</v>
      </c>
    </row>
    <row r="5973" spans="3:6">
      <c r="C5973" s="191" t="s">
        <v>3008</v>
      </c>
      <c r="D5973" s="689">
        <v>0.01</v>
      </c>
      <c r="E5973" s="689">
        <v>0.01</v>
      </c>
      <c r="F5973" s="689">
        <v>0.01</v>
      </c>
    </row>
    <row r="5974" spans="3:6" ht="28.8">
      <c r="C5974" s="191" t="s">
        <v>3009</v>
      </c>
      <c r="D5974" s="689">
        <v>0.05</v>
      </c>
      <c r="E5974" s="689">
        <v>0.05</v>
      </c>
      <c r="F5974" s="689">
        <v>0.05</v>
      </c>
    </row>
    <row r="5975" spans="3:6" ht="28.8">
      <c r="C5975" s="191" t="s">
        <v>3010</v>
      </c>
      <c r="D5975" s="689">
        <v>0.01</v>
      </c>
      <c r="E5975" s="689">
        <v>0.01</v>
      </c>
      <c r="F5975" s="689">
        <v>0.01</v>
      </c>
    </row>
    <row r="5976" spans="3:6">
      <c r="C5976" s="191" t="s">
        <v>3011</v>
      </c>
      <c r="D5976" s="689">
        <v>0.01</v>
      </c>
      <c r="E5976" s="689">
        <v>0.01</v>
      </c>
      <c r="F5976" s="689">
        <v>0.01</v>
      </c>
    </row>
    <row r="5977" spans="3:6">
      <c r="C5977" s="191" t="s">
        <v>3012</v>
      </c>
      <c r="D5977" s="689">
        <v>0.01</v>
      </c>
      <c r="E5977" s="689">
        <v>0.01</v>
      </c>
      <c r="F5977" s="689">
        <v>0.01</v>
      </c>
    </row>
    <row r="5978" spans="3:6" ht="28.8">
      <c r="C5978" s="191" t="s">
        <v>3013</v>
      </c>
      <c r="D5978" s="689">
        <v>0.01</v>
      </c>
      <c r="E5978" s="689">
        <v>0.01</v>
      </c>
      <c r="F5978" s="689">
        <v>0.01</v>
      </c>
    </row>
    <row r="5979" spans="3:6" ht="28.8">
      <c r="C5979" s="191" t="s">
        <v>3014</v>
      </c>
      <c r="D5979" s="689">
        <v>0.01</v>
      </c>
      <c r="E5979" s="689">
        <v>0.01</v>
      </c>
      <c r="F5979" s="689">
        <v>5.0000000000000001E-3</v>
      </c>
    </row>
    <row r="5980" spans="3:6">
      <c r="C5980" s="191"/>
      <c r="D5980" s="689">
        <v>0.01</v>
      </c>
      <c r="E5980" s="689">
        <v>0.01</v>
      </c>
      <c r="F5980" s="689">
        <v>0</v>
      </c>
    </row>
    <row r="5981" spans="3:6">
      <c r="C5981" s="191"/>
      <c r="D5981" s="689">
        <v>0.01</v>
      </c>
      <c r="E5981" s="689">
        <v>0.01</v>
      </c>
      <c r="F5981" s="689">
        <v>0</v>
      </c>
    </row>
    <row r="5982" spans="3:6">
      <c r="C5982" s="191"/>
      <c r="D5982" s="690">
        <f>SUM(D5951:D5981)</f>
        <v>0.99000000000000032</v>
      </c>
      <c r="E5982" s="691">
        <f>SUM(E5951:E5981)</f>
        <v>0.84500000000000031</v>
      </c>
      <c r="F5982" s="691">
        <f>SUM(F5951:F5981)</f>
        <v>0.79500000000000015</v>
      </c>
    </row>
    <row r="5983" spans="3:6">
      <c r="C5983" s="643"/>
      <c r="D5983" s="690"/>
      <c r="E5983" s="692">
        <f>D5982-E5982</f>
        <v>0.14500000000000002</v>
      </c>
      <c r="F5983" s="692">
        <f>E5982-F5982</f>
        <v>5.0000000000000155E-2</v>
      </c>
    </row>
    <row r="5984" spans="3:6">
      <c r="C5984" s="594" t="s">
        <v>2436</v>
      </c>
      <c r="D5984" s="693">
        <v>27360</v>
      </c>
      <c r="E5984" s="694"/>
      <c r="F5984" s="695"/>
    </row>
    <row r="5985" spans="2:6">
      <c r="C5985" s="660" t="s">
        <v>2991</v>
      </c>
      <c r="D5985" s="696">
        <v>2</v>
      </c>
      <c r="E5985" s="697"/>
      <c r="F5985" s="696"/>
    </row>
    <row r="5986" spans="2:6">
      <c r="C5986" s="660" t="s">
        <v>2437</v>
      </c>
      <c r="D5986" s="696"/>
      <c r="E5986" s="697"/>
      <c r="F5986" s="696"/>
    </row>
    <row r="5987" spans="2:6">
      <c r="C5987" s="660" t="s">
        <v>1446</v>
      </c>
      <c r="D5987" s="693"/>
      <c r="E5987" s="694"/>
      <c r="F5987" s="693"/>
    </row>
    <row r="5988" spans="2:6">
      <c r="C5988" s="87" t="s">
        <v>1447</v>
      </c>
      <c r="D5988" s="693">
        <v>8</v>
      </c>
      <c r="E5988" s="693">
        <v>22</v>
      </c>
      <c r="F5988" s="693"/>
    </row>
    <row r="5990" spans="2:6">
      <c r="B5990" s="519" t="s">
        <v>1079</v>
      </c>
      <c r="C5990" s="699" t="s">
        <v>3015</v>
      </c>
      <c r="D5990" s="687" t="s">
        <v>353</v>
      </c>
      <c r="E5990" s="688" t="s">
        <v>354</v>
      </c>
      <c r="F5990" s="687" t="s">
        <v>355</v>
      </c>
    </row>
    <row r="5991" spans="2:6">
      <c r="C5991" s="191" t="s">
        <v>2966</v>
      </c>
      <c r="D5991" s="689">
        <v>0.01</v>
      </c>
      <c r="E5991" s="689">
        <v>0.01</v>
      </c>
      <c r="F5991" s="689">
        <v>0</v>
      </c>
    </row>
    <row r="5992" spans="2:6">
      <c r="C5992" s="191" t="s">
        <v>2967</v>
      </c>
      <c r="D5992" s="689">
        <v>0.01</v>
      </c>
      <c r="E5992" s="689">
        <v>0.01</v>
      </c>
      <c r="F5992" s="689">
        <v>0</v>
      </c>
    </row>
    <row r="5993" spans="2:6" ht="28.8">
      <c r="C5993" s="191" t="s">
        <v>2993</v>
      </c>
      <c r="D5993" s="689">
        <v>0.03</v>
      </c>
      <c r="E5993" s="689">
        <v>0.03</v>
      </c>
      <c r="F5993" s="689">
        <v>0.03</v>
      </c>
    </row>
    <row r="5994" spans="2:6">
      <c r="C5994" s="191" t="s">
        <v>2994</v>
      </c>
      <c r="D5994" s="689">
        <v>0.05</v>
      </c>
      <c r="E5994" s="689">
        <v>0.05</v>
      </c>
      <c r="F5994" s="689">
        <v>0.05</v>
      </c>
    </row>
    <row r="5995" spans="2:6" ht="28.8">
      <c r="C5995" s="191" t="s">
        <v>2995</v>
      </c>
      <c r="D5995" s="689">
        <v>0.03</v>
      </c>
      <c r="E5995" s="689">
        <v>0.03</v>
      </c>
      <c r="F5995" s="689">
        <v>0.03</v>
      </c>
    </row>
    <row r="5996" spans="2:6">
      <c r="C5996" s="191" t="s">
        <v>2996</v>
      </c>
      <c r="D5996" s="689">
        <v>0.01</v>
      </c>
      <c r="E5996" s="689">
        <v>0.01</v>
      </c>
      <c r="F5996" s="689">
        <v>0.01</v>
      </c>
    </row>
    <row r="5997" spans="2:6">
      <c r="C5997" s="191" t="s">
        <v>2969</v>
      </c>
      <c r="D5997" s="689">
        <v>0.08</v>
      </c>
      <c r="E5997" s="689">
        <v>0.04</v>
      </c>
      <c r="F5997" s="689">
        <v>0.04</v>
      </c>
    </row>
    <row r="5998" spans="2:6" ht="28.8">
      <c r="C5998" s="191" t="s">
        <v>2970</v>
      </c>
      <c r="D5998" s="689">
        <v>0.05</v>
      </c>
      <c r="E5998" s="689">
        <v>2.5000000000000001E-2</v>
      </c>
      <c r="F5998" s="689">
        <v>2.5000000000000001E-2</v>
      </c>
    </row>
    <row r="5999" spans="2:6">
      <c r="C5999" s="191" t="s">
        <v>2971</v>
      </c>
      <c r="D5999" s="689">
        <v>0.08</v>
      </c>
      <c r="E5999" s="689">
        <v>0.04</v>
      </c>
      <c r="F5999" s="689">
        <v>0.04</v>
      </c>
    </row>
    <row r="6000" spans="2:6" ht="28.8">
      <c r="C6000" s="191" t="s">
        <v>2972</v>
      </c>
      <c r="D6000" s="689">
        <v>0.05</v>
      </c>
      <c r="E6000" s="689">
        <v>2.5000000000000001E-2</v>
      </c>
      <c r="F6000" s="689">
        <v>2.5000000000000001E-2</v>
      </c>
    </row>
    <row r="6001" spans="3:6">
      <c r="C6001" s="191" t="s">
        <v>2997</v>
      </c>
      <c r="D6001" s="689">
        <v>0.02</v>
      </c>
      <c r="E6001" s="689">
        <v>0.02</v>
      </c>
      <c r="F6001" s="689">
        <v>0.02</v>
      </c>
    </row>
    <row r="6002" spans="3:6">
      <c r="C6002" s="191" t="s">
        <v>2998</v>
      </c>
      <c r="D6002" s="689">
        <v>0.02</v>
      </c>
      <c r="E6002" s="689">
        <v>0.01</v>
      </c>
      <c r="F6002" s="689">
        <v>0.01</v>
      </c>
    </row>
    <row r="6003" spans="3:6">
      <c r="C6003" s="191" t="s">
        <v>2974</v>
      </c>
      <c r="D6003" s="689">
        <v>0.01</v>
      </c>
      <c r="E6003" s="689">
        <v>5.0000000000000001E-3</v>
      </c>
      <c r="F6003" s="689">
        <v>5.0000000000000001E-3</v>
      </c>
    </row>
    <row r="6004" spans="3:6">
      <c r="C6004" s="191" t="s">
        <v>2999</v>
      </c>
      <c r="D6004" s="689">
        <v>0.01</v>
      </c>
      <c r="E6004" s="689">
        <v>0.01</v>
      </c>
      <c r="F6004" s="689">
        <v>5.0000000000000001E-3</v>
      </c>
    </row>
    <row r="6005" spans="3:6" ht="28.8">
      <c r="C6005" s="191" t="s">
        <v>3000</v>
      </c>
      <c r="D6005" s="689">
        <v>0.02</v>
      </c>
      <c r="E6005" s="689">
        <v>0.02</v>
      </c>
      <c r="F6005" s="689">
        <v>0.02</v>
      </c>
    </row>
    <row r="6006" spans="3:6" ht="28.8">
      <c r="C6006" s="191" t="s">
        <v>3001</v>
      </c>
      <c r="D6006" s="689">
        <v>0.02</v>
      </c>
      <c r="E6006" s="689">
        <v>0.02</v>
      </c>
      <c r="F6006" s="689">
        <v>0.02</v>
      </c>
    </row>
    <row r="6007" spans="3:6" ht="28.8">
      <c r="C6007" s="191" t="s">
        <v>3002</v>
      </c>
      <c r="D6007" s="689">
        <v>0.18</v>
      </c>
      <c r="E6007" s="689">
        <v>0.18</v>
      </c>
      <c r="F6007" s="689">
        <v>0.18</v>
      </c>
    </row>
    <row r="6008" spans="3:6" ht="28.8">
      <c r="C6008" s="191" t="s">
        <v>3003</v>
      </c>
      <c r="D6008" s="689">
        <v>0.1</v>
      </c>
      <c r="E6008" s="689">
        <v>0.1</v>
      </c>
      <c r="F6008" s="689">
        <v>0.1</v>
      </c>
    </row>
    <row r="6009" spans="3:6" ht="28.8">
      <c r="C6009" s="191" t="s">
        <v>3004</v>
      </c>
      <c r="D6009" s="689">
        <v>0.01</v>
      </c>
      <c r="E6009" s="689">
        <v>0.01</v>
      </c>
      <c r="F6009" s="689">
        <v>0.01</v>
      </c>
    </row>
    <row r="6010" spans="3:6">
      <c r="C6010" s="191" t="s">
        <v>3005</v>
      </c>
      <c r="D6010" s="689">
        <v>0.01</v>
      </c>
      <c r="E6010" s="689">
        <v>0.01</v>
      </c>
      <c r="F6010" s="689">
        <v>0.01</v>
      </c>
    </row>
    <row r="6011" spans="3:6" ht="28.8">
      <c r="C6011" s="191" t="s">
        <v>3006</v>
      </c>
      <c r="D6011" s="689">
        <v>0.01</v>
      </c>
      <c r="E6011" s="689">
        <v>0.01</v>
      </c>
      <c r="F6011" s="689">
        <v>0.01</v>
      </c>
    </row>
    <row r="6012" spans="3:6">
      <c r="C6012" s="191" t="s">
        <v>3007</v>
      </c>
      <c r="D6012" s="689">
        <v>0.05</v>
      </c>
      <c r="E6012" s="689">
        <v>0.05</v>
      </c>
      <c r="F6012" s="689">
        <v>0.05</v>
      </c>
    </row>
    <row r="6013" spans="3:6">
      <c r="C6013" s="191" t="s">
        <v>3008</v>
      </c>
      <c r="D6013" s="689">
        <v>0.01</v>
      </c>
      <c r="E6013" s="689">
        <v>0.01</v>
      </c>
      <c r="F6013" s="689">
        <v>0.01</v>
      </c>
    </row>
    <row r="6014" spans="3:6" ht="28.8">
      <c r="C6014" s="191" t="s">
        <v>3009</v>
      </c>
      <c r="D6014" s="689">
        <v>0.05</v>
      </c>
      <c r="E6014" s="689">
        <v>0.05</v>
      </c>
      <c r="F6014" s="689">
        <v>0.05</v>
      </c>
    </row>
    <row r="6015" spans="3:6" ht="28.8">
      <c r="C6015" s="191" t="s">
        <v>3010</v>
      </c>
      <c r="D6015" s="689">
        <v>0.01</v>
      </c>
      <c r="E6015" s="689">
        <v>0.01</v>
      </c>
      <c r="F6015" s="689">
        <v>0.01</v>
      </c>
    </row>
    <row r="6016" spans="3:6">
      <c r="C6016" s="191" t="s">
        <v>3011</v>
      </c>
      <c r="D6016" s="689">
        <v>0.01</v>
      </c>
      <c r="E6016" s="689">
        <v>0.01</v>
      </c>
      <c r="F6016" s="689">
        <v>0.01</v>
      </c>
    </row>
    <row r="6017" spans="2:6">
      <c r="C6017" s="191" t="s">
        <v>3012</v>
      </c>
      <c r="D6017" s="689">
        <v>0.01</v>
      </c>
      <c r="E6017" s="689">
        <v>0.01</v>
      </c>
      <c r="F6017" s="689">
        <v>0.01</v>
      </c>
    </row>
    <row r="6018" spans="2:6" ht="28.8">
      <c r="C6018" s="191" t="s">
        <v>3013</v>
      </c>
      <c r="D6018" s="689">
        <v>0.01</v>
      </c>
      <c r="E6018" s="689">
        <v>0.01</v>
      </c>
      <c r="F6018" s="689">
        <v>0.01</v>
      </c>
    </row>
    <row r="6019" spans="2:6" ht="28.8">
      <c r="C6019" s="191" t="s">
        <v>3014</v>
      </c>
      <c r="D6019" s="689">
        <v>0.01</v>
      </c>
      <c r="E6019" s="689">
        <v>0.01</v>
      </c>
      <c r="F6019" s="689">
        <v>5.0000000000000001E-3</v>
      </c>
    </row>
    <row r="6020" spans="2:6">
      <c r="C6020" s="191"/>
      <c r="D6020" s="689">
        <v>0.01</v>
      </c>
      <c r="E6020" s="689">
        <v>0.01</v>
      </c>
      <c r="F6020" s="689">
        <v>0</v>
      </c>
    </row>
    <row r="6021" spans="2:6">
      <c r="C6021" s="191"/>
      <c r="D6021" s="689">
        <v>0.01</v>
      </c>
      <c r="E6021" s="689">
        <v>0.01</v>
      </c>
      <c r="F6021" s="689">
        <v>0</v>
      </c>
    </row>
    <row r="6022" spans="2:6">
      <c r="C6022" s="191"/>
      <c r="D6022" s="690">
        <f>SUM(D5991:D6021)</f>
        <v>0.99000000000000032</v>
      </c>
      <c r="E6022" s="691">
        <f>SUM(E5991:E6021)</f>
        <v>0.84500000000000031</v>
      </c>
      <c r="F6022" s="691">
        <f>SUM(F5991:F6021)</f>
        <v>0.79500000000000015</v>
      </c>
    </row>
    <row r="6023" spans="2:6">
      <c r="C6023" s="643"/>
      <c r="D6023" s="690"/>
      <c r="E6023" s="692">
        <f>D6022-E6022</f>
        <v>0.14500000000000002</v>
      </c>
      <c r="F6023" s="692">
        <f>E6022-F6022</f>
        <v>5.0000000000000155E-2</v>
      </c>
    </row>
    <row r="6024" spans="2:6">
      <c r="C6024" s="594" t="s">
        <v>2436</v>
      </c>
      <c r="D6024" s="693">
        <v>27360</v>
      </c>
      <c r="E6024" s="694"/>
      <c r="F6024" s="695"/>
    </row>
    <row r="6025" spans="2:6">
      <c r="C6025" s="660" t="s">
        <v>2991</v>
      </c>
      <c r="D6025" s="696">
        <v>2</v>
      </c>
      <c r="E6025" s="697"/>
      <c r="F6025" s="696"/>
    </row>
    <row r="6026" spans="2:6">
      <c r="C6026" s="660" t="s">
        <v>2437</v>
      </c>
      <c r="D6026" s="696"/>
      <c r="E6026" s="697"/>
      <c r="F6026" s="696"/>
    </row>
    <row r="6027" spans="2:6">
      <c r="C6027" s="660" t="s">
        <v>1446</v>
      </c>
      <c r="D6027" s="693"/>
      <c r="E6027" s="694"/>
      <c r="F6027" s="693"/>
    </row>
    <row r="6028" spans="2:6">
      <c r="C6028" s="87" t="s">
        <v>1447</v>
      </c>
      <c r="D6028" s="693">
        <v>8</v>
      </c>
      <c r="E6028" s="693">
        <v>22</v>
      </c>
      <c r="F6028" s="693"/>
    </row>
    <row r="6031" spans="2:6" ht="15.6">
      <c r="B6031" s="519" t="s">
        <v>1079</v>
      </c>
      <c r="C6031" s="661" t="s">
        <v>3016</v>
      </c>
      <c r="D6031" s="687" t="s">
        <v>353</v>
      </c>
      <c r="E6031" s="688" t="s">
        <v>354</v>
      </c>
      <c r="F6031" s="687" t="s">
        <v>355</v>
      </c>
    </row>
    <row r="6032" spans="2:6">
      <c r="C6032" s="191" t="s">
        <v>2966</v>
      </c>
      <c r="D6032" s="689">
        <v>0.01</v>
      </c>
      <c r="E6032" s="689">
        <v>0.01</v>
      </c>
      <c r="F6032" s="689">
        <v>0</v>
      </c>
    </row>
    <row r="6033" spans="3:6">
      <c r="C6033" s="191" t="s">
        <v>2967</v>
      </c>
      <c r="D6033" s="689">
        <v>0.01</v>
      </c>
      <c r="E6033" s="689">
        <v>0.01</v>
      </c>
      <c r="F6033" s="689">
        <v>0</v>
      </c>
    </row>
    <row r="6034" spans="3:6" ht="28.8">
      <c r="C6034" s="191" t="s">
        <v>2993</v>
      </c>
      <c r="D6034" s="689">
        <v>0.03</v>
      </c>
      <c r="E6034" s="689">
        <v>0.03</v>
      </c>
      <c r="F6034" s="689">
        <v>0.03</v>
      </c>
    </row>
    <row r="6035" spans="3:6">
      <c r="C6035" s="191" t="s">
        <v>3017</v>
      </c>
      <c r="D6035" s="689">
        <v>0.05</v>
      </c>
      <c r="E6035" s="689">
        <v>0.05</v>
      </c>
      <c r="F6035" s="689">
        <v>0.05</v>
      </c>
    </row>
    <row r="6036" spans="3:6">
      <c r="C6036" s="191" t="s">
        <v>2969</v>
      </c>
      <c r="D6036" s="689">
        <v>0.1</v>
      </c>
      <c r="E6036" s="689">
        <v>0.05</v>
      </c>
      <c r="F6036" s="689">
        <v>0.05</v>
      </c>
    </row>
    <row r="6037" spans="3:6" ht="28.8">
      <c r="C6037" s="191" t="s">
        <v>2970</v>
      </c>
      <c r="D6037" s="689">
        <v>0.05</v>
      </c>
      <c r="E6037" s="689">
        <v>2.5000000000000001E-2</v>
      </c>
      <c r="F6037" s="689">
        <v>2.5000000000000001E-2</v>
      </c>
    </row>
    <row r="6038" spans="3:6">
      <c r="C6038" s="191" t="s">
        <v>2971</v>
      </c>
      <c r="D6038" s="689">
        <v>0.1</v>
      </c>
      <c r="E6038" s="689">
        <v>0.05</v>
      </c>
      <c r="F6038" s="689">
        <v>0.05</v>
      </c>
    </row>
    <row r="6039" spans="3:6" ht="28.8">
      <c r="C6039" s="191" t="s">
        <v>2972</v>
      </c>
      <c r="D6039" s="689">
        <v>0.05</v>
      </c>
      <c r="E6039" s="689">
        <v>2.5000000000000001E-2</v>
      </c>
      <c r="F6039" s="689">
        <v>2.5000000000000001E-2</v>
      </c>
    </row>
    <row r="6040" spans="3:6">
      <c r="C6040" s="191" t="s">
        <v>2997</v>
      </c>
      <c r="D6040" s="689">
        <v>0.02</v>
      </c>
      <c r="E6040" s="689">
        <v>0.02</v>
      </c>
      <c r="F6040" s="689">
        <v>0.02</v>
      </c>
    </row>
    <row r="6041" spans="3:6">
      <c r="C6041" s="191" t="s">
        <v>2998</v>
      </c>
      <c r="D6041" s="689">
        <v>0.02</v>
      </c>
      <c r="E6041" s="689">
        <v>0.01</v>
      </c>
      <c r="F6041" s="689">
        <v>0.01</v>
      </c>
    </row>
    <row r="6042" spans="3:6">
      <c r="C6042" s="191" t="s">
        <v>2974</v>
      </c>
      <c r="D6042" s="689">
        <v>0.01</v>
      </c>
      <c r="E6042" s="689">
        <v>5.0000000000000001E-3</v>
      </c>
      <c r="F6042" s="689">
        <v>5.0000000000000001E-3</v>
      </c>
    </row>
    <row r="6043" spans="3:6">
      <c r="C6043" s="191" t="s">
        <v>3018</v>
      </c>
      <c r="D6043" s="689">
        <v>0.01</v>
      </c>
      <c r="E6043" s="689">
        <v>0.01</v>
      </c>
      <c r="F6043" s="689">
        <v>5.0000000000000001E-3</v>
      </c>
    </row>
    <row r="6044" spans="3:6" ht="28.8">
      <c r="C6044" s="191" t="s">
        <v>3019</v>
      </c>
      <c r="D6044" s="689">
        <v>0.02</v>
      </c>
      <c r="E6044" s="689">
        <v>0.02</v>
      </c>
      <c r="F6044" s="689">
        <v>0.02</v>
      </c>
    </row>
    <row r="6045" spans="3:6" ht="28.8">
      <c r="C6045" s="191" t="s">
        <v>3020</v>
      </c>
      <c r="D6045" s="689">
        <v>0.02</v>
      </c>
      <c r="E6045" s="689">
        <v>0.02</v>
      </c>
      <c r="F6045" s="689">
        <v>0.02</v>
      </c>
    </row>
    <row r="6046" spans="3:6" ht="28.8">
      <c r="C6046" s="191" t="s">
        <v>3021</v>
      </c>
      <c r="D6046" s="689">
        <v>0.18</v>
      </c>
      <c r="E6046" s="689">
        <v>0.18</v>
      </c>
      <c r="F6046" s="689">
        <v>0.18</v>
      </c>
    </row>
    <row r="6047" spans="3:6" ht="43.2">
      <c r="C6047" s="191" t="s">
        <v>3022</v>
      </c>
      <c r="D6047" s="689">
        <v>0.1</v>
      </c>
      <c r="E6047" s="689">
        <v>0.1</v>
      </c>
      <c r="F6047" s="689">
        <v>0.1</v>
      </c>
    </row>
    <row r="6048" spans="3:6" ht="28.8">
      <c r="C6048" s="191" t="s">
        <v>3023</v>
      </c>
      <c r="D6048" s="689">
        <v>0.01</v>
      </c>
      <c r="E6048" s="689">
        <v>0.01</v>
      </c>
      <c r="F6048" s="689">
        <v>0.01</v>
      </c>
    </row>
    <row r="6049" spans="3:6">
      <c r="C6049" s="191" t="s">
        <v>3005</v>
      </c>
      <c r="D6049" s="689">
        <v>0.01</v>
      </c>
      <c r="E6049" s="689">
        <v>0.01</v>
      </c>
      <c r="F6049" s="689">
        <v>0.01</v>
      </c>
    </row>
    <row r="6050" spans="3:6" ht="28.8">
      <c r="C6050" s="191" t="s">
        <v>3006</v>
      </c>
      <c r="D6050" s="689">
        <v>0.01</v>
      </c>
      <c r="E6050" s="689">
        <v>0.01</v>
      </c>
      <c r="F6050" s="689">
        <v>0.01</v>
      </c>
    </row>
    <row r="6051" spans="3:6">
      <c r="C6051" s="191" t="s">
        <v>3007</v>
      </c>
      <c r="D6051" s="689">
        <v>0.05</v>
      </c>
      <c r="E6051" s="689">
        <v>0.05</v>
      </c>
      <c r="F6051" s="689">
        <v>0.05</v>
      </c>
    </row>
    <row r="6052" spans="3:6">
      <c r="C6052" s="191" t="s">
        <v>3024</v>
      </c>
      <c r="D6052" s="689">
        <v>0.01</v>
      </c>
      <c r="E6052" s="689">
        <v>0.01</v>
      </c>
      <c r="F6052" s="689">
        <v>0.01</v>
      </c>
    </row>
    <row r="6053" spans="3:6" ht="28.8">
      <c r="C6053" s="191" t="s">
        <v>3009</v>
      </c>
      <c r="D6053" s="689">
        <v>0.05</v>
      </c>
      <c r="E6053" s="689">
        <v>0.05</v>
      </c>
      <c r="F6053" s="689">
        <v>0.05</v>
      </c>
    </row>
    <row r="6054" spans="3:6" ht="28.8">
      <c r="C6054" s="191" t="s">
        <v>3010</v>
      </c>
      <c r="D6054" s="689">
        <v>0.01</v>
      </c>
      <c r="E6054" s="689">
        <v>0.01</v>
      </c>
      <c r="F6054" s="689">
        <v>0.01</v>
      </c>
    </row>
    <row r="6055" spans="3:6">
      <c r="C6055" s="191" t="s">
        <v>3011</v>
      </c>
      <c r="D6055" s="689">
        <v>0.01</v>
      </c>
      <c r="E6055" s="689">
        <v>0.01</v>
      </c>
      <c r="F6055" s="689">
        <v>0.01</v>
      </c>
    </row>
    <row r="6056" spans="3:6">
      <c r="C6056" s="191" t="s">
        <v>3025</v>
      </c>
      <c r="D6056" s="689">
        <v>0.01</v>
      </c>
      <c r="E6056" s="689">
        <v>0.01</v>
      </c>
      <c r="F6056" s="689">
        <v>0.01</v>
      </c>
    </row>
    <row r="6057" spans="3:6" ht="28.8">
      <c r="C6057" s="191" t="s">
        <v>3013</v>
      </c>
      <c r="D6057" s="689">
        <v>0.01</v>
      </c>
      <c r="E6057" s="689">
        <v>0.01</v>
      </c>
      <c r="F6057" s="689">
        <v>0.01</v>
      </c>
    </row>
    <row r="6058" spans="3:6" ht="28.8">
      <c r="C6058" s="191" t="s">
        <v>3014</v>
      </c>
      <c r="D6058" s="689">
        <v>0.01</v>
      </c>
      <c r="E6058" s="689">
        <v>0.01</v>
      </c>
      <c r="F6058" s="689">
        <v>5.0000000000000001E-3</v>
      </c>
    </row>
    <row r="6059" spans="3:6">
      <c r="C6059" s="191"/>
      <c r="D6059" s="690">
        <f>SUM(D6032:D6058)</f>
        <v>0.97000000000000008</v>
      </c>
      <c r="E6059" s="691">
        <f>SUM(E6032:E6058)</f>
        <v>0.80500000000000027</v>
      </c>
      <c r="F6059" s="691">
        <f>SUM(F6032:F6058)</f>
        <v>0.77500000000000024</v>
      </c>
    </row>
    <row r="6060" spans="3:6">
      <c r="C6060" s="643"/>
      <c r="D6060" s="690"/>
      <c r="E6060" s="692">
        <f>D6059-E6059</f>
        <v>0.16499999999999981</v>
      </c>
      <c r="F6060" s="692">
        <f>E6059-F6059</f>
        <v>3.0000000000000027E-2</v>
      </c>
    </row>
    <row r="6061" spans="3:6">
      <c r="C6061" s="594" t="s">
        <v>2436</v>
      </c>
      <c r="D6061" s="693">
        <v>8160</v>
      </c>
      <c r="E6061" s="694"/>
      <c r="F6061" s="695"/>
    </row>
    <row r="6062" spans="3:6">
      <c r="C6062" s="660" t="s">
        <v>2991</v>
      </c>
      <c r="D6062" s="696">
        <v>1</v>
      </c>
      <c r="E6062" s="697"/>
      <c r="F6062" s="696"/>
    </row>
    <row r="6063" spans="3:6">
      <c r="C6063" s="660" t="s">
        <v>2437</v>
      </c>
      <c r="D6063" s="696"/>
      <c r="E6063" s="697"/>
      <c r="F6063" s="696"/>
    </row>
    <row r="6064" spans="3:6">
      <c r="C6064" s="660" t="s">
        <v>1446</v>
      </c>
      <c r="D6064" s="693"/>
      <c r="E6064" s="694"/>
      <c r="F6064" s="693"/>
    </row>
    <row r="6065" spans="2:6">
      <c r="C6065" s="87" t="s">
        <v>1447</v>
      </c>
      <c r="D6065" s="693">
        <v>8</v>
      </c>
      <c r="E6065" s="693">
        <v>22</v>
      </c>
      <c r="F6065" s="693"/>
    </row>
    <row r="6066" spans="2:6">
      <c r="C6066" s="87" t="s">
        <v>2438</v>
      </c>
      <c r="D6066" s="693"/>
      <c r="E6066" s="693"/>
      <c r="F6066" s="693"/>
    </row>
    <row r="6069" spans="2:6" ht="15.6">
      <c r="B6069" s="519" t="s">
        <v>1079</v>
      </c>
      <c r="C6069" s="661" t="s">
        <v>3026</v>
      </c>
      <c r="D6069" s="687" t="s">
        <v>353</v>
      </c>
      <c r="E6069" s="688" t="s">
        <v>354</v>
      </c>
      <c r="F6069" s="687" t="s">
        <v>355</v>
      </c>
    </row>
    <row r="6070" spans="2:6">
      <c r="C6070" s="191" t="s">
        <v>2966</v>
      </c>
      <c r="D6070" s="689">
        <v>0.01</v>
      </c>
      <c r="E6070" s="689">
        <v>0.01</v>
      </c>
      <c r="F6070" s="689">
        <v>0</v>
      </c>
    </row>
    <row r="6071" spans="2:6">
      <c r="C6071" s="191" t="s">
        <v>2967</v>
      </c>
      <c r="D6071" s="689">
        <v>0.01</v>
      </c>
      <c r="E6071" s="689">
        <v>0.01</v>
      </c>
      <c r="F6071" s="689">
        <v>0</v>
      </c>
    </row>
    <row r="6072" spans="2:6">
      <c r="C6072" s="191" t="s">
        <v>2994</v>
      </c>
      <c r="D6072" s="689">
        <v>0.05</v>
      </c>
      <c r="E6072" s="689">
        <v>0.05</v>
      </c>
      <c r="F6072" s="689">
        <v>0.05</v>
      </c>
    </row>
    <row r="6073" spans="2:6" ht="28.8">
      <c r="C6073" s="191" t="s">
        <v>2995</v>
      </c>
      <c r="D6073" s="689">
        <v>0.03</v>
      </c>
      <c r="E6073" s="689">
        <v>0.03</v>
      </c>
      <c r="F6073" s="689">
        <v>0.03</v>
      </c>
    </row>
    <row r="6074" spans="2:6">
      <c r="C6074" s="191" t="s">
        <v>2996</v>
      </c>
      <c r="D6074" s="689">
        <v>0.01</v>
      </c>
      <c r="E6074" s="689">
        <v>0.01</v>
      </c>
      <c r="F6074" s="689">
        <v>0.01</v>
      </c>
    </row>
    <row r="6075" spans="2:6">
      <c r="C6075" s="191" t="s">
        <v>2969</v>
      </c>
      <c r="D6075" s="689">
        <v>0.1</v>
      </c>
      <c r="E6075" s="689">
        <v>0.05</v>
      </c>
      <c r="F6075" s="689">
        <v>0.05</v>
      </c>
    </row>
    <row r="6076" spans="2:6" ht="28.8">
      <c r="C6076" s="191" t="s">
        <v>2970</v>
      </c>
      <c r="D6076" s="689">
        <v>0.05</v>
      </c>
      <c r="E6076" s="689">
        <v>2.5000000000000001E-2</v>
      </c>
      <c r="F6076" s="689">
        <v>2.5000000000000001E-2</v>
      </c>
    </row>
    <row r="6077" spans="2:6">
      <c r="C6077" s="191" t="s">
        <v>2971</v>
      </c>
      <c r="D6077" s="689">
        <v>0.1</v>
      </c>
      <c r="E6077" s="689">
        <v>0.05</v>
      </c>
      <c r="F6077" s="689">
        <v>0.05</v>
      </c>
    </row>
    <row r="6078" spans="2:6" ht="28.8">
      <c r="C6078" s="191" t="s">
        <v>2972</v>
      </c>
      <c r="D6078" s="689">
        <v>0.05</v>
      </c>
      <c r="E6078" s="689">
        <v>2.5000000000000001E-2</v>
      </c>
      <c r="F6078" s="689">
        <v>2.5000000000000001E-2</v>
      </c>
    </row>
    <row r="6079" spans="2:6">
      <c r="C6079" s="191" t="s">
        <v>2998</v>
      </c>
      <c r="D6079" s="689">
        <v>0.02</v>
      </c>
      <c r="E6079" s="689">
        <v>0.01</v>
      </c>
      <c r="F6079" s="689">
        <v>0.01</v>
      </c>
    </row>
    <row r="6080" spans="2:6">
      <c r="C6080" s="191" t="s">
        <v>2974</v>
      </c>
      <c r="D6080" s="689">
        <v>0.01</v>
      </c>
      <c r="E6080" s="689">
        <v>5.0000000000000001E-3</v>
      </c>
      <c r="F6080" s="689">
        <v>5.0000000000000001E-3</v>
      </c>
    </row>
    <row r="6081" spans="3:6">
      <c r="C6081" s="191" t="s">
        <v>3018</v>
      </c>
      <c r="D6081" s="689">
        <v>0.01</v>
      </c>
      <c r="E6081" s="689">
        <v>0.01</v>
      </c>
      <c r="F6081" s="689">
        <v>5.0000000000000001E-3</v>
      </c>
    </row>
    <row r="6082" spans="3:6" ht="28.8">
      <c r="C6082" s="191" t="s">
        <v>3000</v>
      </c>
      <c r="D6082" s="689">
        <v>0.02</v>
      </c>
      <c r="E6082" s="689">
        <v>0.02</v>
      </c>
      <c r="F6082" s="689">
        <v>0.02</v>
      </c>
    </row>
    <row r="6083" spans="3:6" ht="28.8">
      <c r="C6083" s="191" t="s">
        <v>3001</v>
      </c>
      <c r="D6083" s="689">
        <v>0.02</v>
      </c>
      <c r="E6083" s="689">
        <v>0.02</v>
      </c>
      <c r="F6083" s="689">
        <v>0.02</v>
      </c>
    </row>
    <row r="6084" spans="3:6" ht="28.8">
      <c r="C6084" s="191" t="s">
        <v>3021</v>
      </c>
      <c r="D6084" s="689">
        <v>0.2</v>
      </c>
      <c r="E6084" s="689">
        <v>0.2</v>
      </c>
      <c r="F6084" s="689">
        <v>0.2</v>
      </c>
    </row>
    <row r="6085" spans="3:6" ht="28.8">
      <c r="C6085" s="191" t="s">
        <v>3003</v>
      </c>
      <c r="D6085" s="689">
        <v>0.1</v>
      </c>
      <c r="E6085" s="689">
        <v>0.1</v>
      </c>
      <c r="F6085" s="689">
        <v>0.1</v>
      </c>
    </row>
    <row r="6086" spans="3:6" ht="28.8">
      <c r="C6086" s="191" t="s">
        <v>3027</v>
      </c>
      <c r="D6086" s="689">
        <v>0.02</v>
      </c>
      <c r="E6086" s="689">
        <v>0.02</v>
      </c>
      <c r="F6086" s="689">
        <v>0.02</v>
      </c>
    </row>
    <row r="6087" spans="3:6">
      <c r="C6087" s="191" t="s">
        <v>3005</v>
      </c>
      <c r="D6087" s="689">
        <v>0.02</v>
      </c>
      <c r="E6087" s="689">
        <v>0.02</v>
      </c>
      <c r="F6087" s="689">
        <v>0.02</v>
      </c>
    </row>
    <row r="6088" spans="3:6" ht="28.8">
      <c r="C6088" s="191" t="s">
        <v>3006</v>
      </c>
      <c r="D6088" s="689">
        <v>0.02</v>
      </c>
      <c r="E6088" s="689">
        <v>0.02</v>
      </c>
      <c r="F6088" s="689">
        <v>0.02</v>
      </c>
    </row>
    <row r="6089" spans="3:6">
      <c r="C6089" s="191" t="s">
        <v>3007</v>
      </c>
      <c r="D6089" s="689">
        <v>0.05</v>
      </c>
      <c r="E6089" s="689">
        <v>0.05</v>
      </c>
      <c r="F6089" s="689">
        <v>0.05</v>
      </c>
    </row>
    <row r="6090" spans="3:6">
      <c r="C6090" s="191" t="s">
        <v>3028</v>
      </c>
      <c r="D6090" s="689">
        <v>0.05</v>
      </c>
      <c r="E6090" s="689">
        <v>0.05</v>
      </c>
      <c r="F6090" s="689">
        <v>0.05</v>
      </c>
    </row>
    <row r="6091" spans="3:6" ht="28.8">
      <c r="C6091" s="191" t="s">
        <v>3029</v>
      </c>
      <c r="D6091" s="689">
        <v>0.01</v>
      </c>
      <c r="E6091" s="689">
        <v>0.01</v>
      </c>
      <c r="F6091" s="689">
        <v>0.01</v>
      </c>
    </row>
    <row r="6092" spans="3:6">
      <c r="C6092" s="191" t="s">
        <v>3030</v>
      </c>
      <c r="D6092" s="689">
        <v>0.01</v>
      </c>
      <c r="E6092" s="689">
        <v>0.01</v>
      </c>
      <c r="F6092" s="689">
        <v>0.01</v>
      </c>
    </row>
    <row r="6093" spans="3:6">
      <c r="C6093" s="191" t="s">
        <v>3031</v>
      </c>
      <c r="D6093" s="689">
        <v>0.01</v>
      </c>
      <c r="E6093" s="689">
        <v>0.01</v>
      </c>
      <c r="F6093" s="689">
        <v>0.01</v>
      </c>
    </row>
    <row r="6094" spans="3:6">
      <c r="C6094" s="191" t="s">
        <v>3008</v>
      </c>
      <c r="D6094" s="689">
        <v>0.01</v>
      </c>
      <c r="E6094" s="689">
        <v>0.01</v>
      </c>
      <c r="F6094" s="689">
        <v>0.01</v>
      </c>
    </row>
    <row r="6095" spans="3:6">
      <c r="C6095" s="191"/>
      <c r="D6095" s="690">
        <f>SUM(D6070:D6094)</f>
        <v>0.99000000000000021</v>
      </c>
      <c r="E6095" s="691">
        <f>SUM(E6070:E6094)</f>
        <v>0.82500000000000029</v>
      </c>
      <c r="F6095" s="691">
        <f>SUM(F6070:F6094)</f>
        <v>0.80000000000000016</v>
      </c>
    </row>
    <row r="6096" spans="3:6">
      <c r="C6096" s="643"/>
      <c r="D6096" s="690"/>
      <c r="E6096" s="692">
        <f>D6095-E6095</f>
        <v>0.16499999999999992</v>
      </c>
      <c r="F6096" s="692">
        <f>E6095-F6095</f>
        <v>2.5000000000000133E-2</v>
      </c>
    </row>
    <row r="6097" spans="2:6">
      <c r="C6097" s="594" t="s">
        <v>2436</v>
      </c>
      <c r="D6097" s="693">
        <v>26880</v>
      </c>
      <c r="E6097" s="694"/>
      <c r="F6097" s="695"/>
    </row>
    <row r="6098" spans="2:6">
      <c r="C6098" s="660" t="s">
        <v>2991</v>
      </c>
      <c r="D6098" s="696">
        <v>1</v>
      </c>
      <c r="E6098" s="697"/>
      <c r="F6098" s="696"/>
    </row>
    <row r="6099" spans="2:6">
      <c r="C6099" s="660" t="s">
        <v>2437</v>
      </c>
      <c r="D6099" s="696"/>
      <c r="E6099" s="697"/>
      <c r="F6099" s="696"/>
    </row>
    <row r="6100" spans="2:6">
      <c r="C6100" s="660" t="s">
        <v>1446</v>
      </c>
      <c r="D6100" s="693"/>
      <c r="E6100" s="694"/>
      <c r="F6100" s="693"/>
    </row>
    <row r="6101" spans="2:6">
      <c r="C6101" s="87" t="s">
        <v>1447</v>
      </c>
      <c r="D6101" s="693">
        <v>8</v>
      </c>
      <c r="E6101" s="693">
        <v>22</v>
      </c>
      <c r="F6101" s="693"/>
    </row>
    <row r="6102" spans="2:6">
      <c r="C6102" s="87" t="s">
        <v>2438</v>
      </c>
      <c r="D6102" s="693"/>
      <c r="E6102" s="693"/>
      <c r="F6102" s="693"/>
    </row>
    <row r="6105" spans="2:6" ht="15.6">
      <c r="B6105" s="700" t="s">
        <v>1202</v>
      </c>
      <c r="C6105" s="661" t="s">
        <v>3032</v>
      </c>
      <c r="D6105" s="687" t="s">
        <v>353</v>
      </c>
      <c r="E6105" s="688" t="s">
        <v>354</v>
      </c>
      <c r="F6105" s="687" t="s">
        <v>355</v>
      </c>
    </row>
    <row r="6106" spans="2:6">
      <c r="C6106" s="191" t="s">
        <v>3033</v>
      </c>
      <c r="D6106" s="689">
        <v>0.01</v>
      </c>
      <c r="E6106" s="689">
        <v>0.01</v>
      </c>
      <c r="F6106" s="689">
        <v>0.01</v>
      </c>
    </row>
    <row r="6107" spans="2:6">
      <c r="C6107" s="191" t="s">
        <v>3034</v>
      </c>
      <c r="D6107" s="689">
        <v>0.35</v>
      </c>
      <c r="E6107" s="689">
        <v>0.35</v>
      </c>
      <c r="F6107" s="689">
        <v>0.35</v>
      </c>
    </row>
    <row r="6108" spans="2:6" ht="28.8">
      <c r="C6108" s="191" t="s">
        <v>3035</v>
      </c>
      <c r="D6108" s="689">
        <v>0.44</v>
      </c>
      <c r="E6108" s="689">
        <v>0.44</v>
      </c>
      <c r="F6108" s="689">
        <v>0.44</v>
      </c>
    </row>
    <row r="6109" spans="2:6">
      <c r="C6109" s="191" t="s">
        <v>3036</v>
      </c>
      <c r="D6109" s="689">
        <v>0.1</v>
      </c>
      <c r="E6109" s="689">
        <v>0.1</v>
      </c>
      <c r="F6109" s="689">
        <v>0.1</v>
      </c>
    </row>
    <row r="6110" spans="2:6">
      <c r="C6110" s="191" t="s">
        <v>3037</v>
      </c>
      <c r="D6110" s="689">
        <v>0.05</v>
      </c>
      <c r="E6110" s="689">
        <v>0.05</v>
      </c>
      <c r="F6110" s="689">
        <v>0.05</v>
      </c>
    </row>
    <row r="6111" spans="2:6" ht="28.8">
      <c r="C6111" s="191" t="s">
        <v>3038</v>
      </c>
      <c r="D6111" s="689">
        <v>0.05</v>
      </c>
      <c r="E6111" s="689">
        <v>2.5000000000000001E-2</v>
      </c>
      <c r="F6111" s="689">
        <v>2.5000000000000001E-2</v>
      </c>
    </row>
    <row r="6112" spans="2:6">
      <c r="C6112" s="191"/>
      <c r="D6112" s="690">
        <f>SUM(D6106:D6111)</f>
        <v>1</v>
      </c>
      <c r="E6112" s="690">
        <f>SUM(E6106:E6111)</f>
        <v>0.97500000000000009</v>
      </c>
      <c r="F6112" s="690">
        <f>SUM(F6106:F6111)</f>
        <v>0.97500000000000009</v>
      </c>
    </row>
    <row r="6113" spans="2:6">
      <c r="C6113" s="643"/>
      <c r="D6113" s="690"/>
      <c r="E6113" s="692">
        <f>D6112-E6112</f>
        <v>2.4999999999999911E-2</v>
      </c>
      <c r="F6113" s="692">
        <f>E6112-F6112</f>
        <v>0</v>
      </c>
    </row>
    <row r="6114" spans="2:6">
      <c r="C6114" s="594" t="s">
        <v>2436</v>
      </c>
      <c r="D6114" s="693">
        <v>14400</v>
      </c>
      <c r="E6114" s="694"/>
      <c r="F6114" s="695"/>
    </row>
    <row r="6115" spans="2:6">
      <c r="C6115" s="660" t="s">
        <v>3039</v>
      </c>
      <c r="D6115" s="696">
        <v>1</v>
      </c>
      <c r="E6115" s="697"/>
      <c r="F6115" s="696"/>
    </row>
    <row r="6116" spans="2:6">
      <c r="C6116" s="660" t="s">
        <v>2437</v>
      </c>
      <c r="D6116" s="696"/>
      <c r="E6116" s="697"/>
      <c r="F6116" s="696"/>
    </row>
    <row r="6117" spans="2:6">
      <c r="C6117" s="660" t="s">
        <v>1446</v>
      </c>
      <c r="D6117" s="693"/>
      <c r="E6117" s="694"/>
      <c r="F6117" s="693"/>
    </row>
    <row r="6118" spans="2:6">
      <c r="C6118" s="87" t="s">
        <v>1447</v>
      </c>
      <c r="D6118" s="693">
        <v>8</v>
      </c>
      <c r="E6118" s="693">
        <v>22</v>
      </c>
      <c r="F6118" s="693"/>
    </row>
    <row r="6119" spans="2:6">
      <c r="C6119" s="87" t="s">
        <v>2438</v>
      </c>
      <c r="D6119" s="693"/>
      <c r="E6119" s="693"/>
      <c r="F6119" s="693"/>
    </row>
    <row r="6122" spans="2:6" ht="15.6">
      <c r="B6122" s="519" t="s">
        <v>1079</v>
      </c>
      <c r="C6122" s="661" t="s">
        <v>3040</v>
      </c>
      <c r="D6122" s="687" t="s">
        <v>353</v>
      </c>
      <c r="E6122" s="688" t="s">
        <v>354</v>
      </c>
      <c r="F6122" s="687" t="s">
        <v>355</v>
      </c>
    </row>
    <row r="6123" spans="2:6">
      <c r="C6123" s="191" t="s">
        <v>2966</v>
      </c>
      <c r="D6123" s="689">
        <v>0.01</v>
      </c>
      <c r="E6123" s="689">
        <v>0.01</v>
      </c>
      <c r="F6123" s="689">
        <v>0</v>
      </c>
    </row>
    <row r="6124" spans="2:6">
      <c r="C6124" s="191" t="s">
        <v>2967</v>
      </c>
      <c r="D6124" s="689">
        <v>0.01</v>
      </c>
      <c r="E6124" s="689">
        <v>0.01</v>
      </c>
      <c r="F6124" s="689">
        <v>5.0000000000000001E-3</v>
      </c>
    </row>
    <row r="6125" spans="2:6">
      <c r="C6125" s="191" t="s">
        <v>3041</v>
      </c>
      <c r="D6125" s="689">
        <v>0.05</v>
      </c>
      <c r="E6125" s="689">
        <v>0.05</v>
      </c>
      <c r="F6125" s="689">
        <v>0.05</v>
      </c>
    </row>
    <row r="6126" spans="2:6">
      <c r="C6126" s="654" t="s">
        <v>3042</v>
      </c>
      <c r="D6126" s="689">
        <v>0.14000000000000001</v>
      </c>
      <c r="E6126" s="689">
        <v>7.0000000000000007E-2</v>
      </c>
      <c r="F6126" s="689">
        <v>7.0000000000000007E-2</v>
      </c>
    </row>
    <row r="6127" spans="2:6">
      <c r="C6127" s="191" t="s">
        <v>3043</v>
      </c>
      <c r="D6127" s="689">
        <v>0.05</v>
      </c>
      <c r="E6127" s="689">
        <v>2.5000000000000001E-2</v>
      </c>
      <c r="F6127" s="689">
        <v>2.5000000000000001E-2</v>
      </c>
    </row>
    <row r="6128" spans="2:6">
      <c r="C6128" s="191" t="s">
        <v>3044</v>
      </c>
      <c r="D6128" s="689">
        <v>0.1</v>
      </c>
      <c r="E6128" s="689">
        <v>0.05</v>
      </c>
      <c r="F6128" s="689">
        <v>0.05</v>
      </c>
    </row>
    <row r="6129" spans="3:6">
      <c r="C6129" s="191" t="s">
        <v>2976</v>
      </c>
      <c r="D6129" s="689">
        <v>0.05</v>
      </c>
      <c r="E6129" s="689">
        <v>2.5000000000000001E-2</v>
      </c>
      <c r="F6129" s="689">
        <v>2.5000000000000001E-2</v>
      </c>
    </row>
    <row r="6130" spans="3:6">
      <c r="C6130" s="191" t="s">
        <v>2977</v>
      </c>
      <c r="D6130" s="689">
        <v>0.02</v>
      </c>
      <c r="E6130" s="689">
        <v>0.01</v>
      </c>
      <c r="F6130" s="689">
        <v>0.01</v>
      </c>
    </row>
    <row r="6131" spans="3:6">
      <c r="C6131" s="191" t="s">
        <v>2978</v>
      </c>
      <c r="D6131" s="689">
        <v>0.01</v>
      </c>
      <c r="E6131" s="689">
        <v>0.01</v>
      </c>
      <c r="F6131" s="689">
        <v>0.01</v>
      </c>
    </row>
    <row r="6132" spans="3:6">
      <c r="C6132" s="191" t="s">
        <v>2979</v>
      </c>
      <c r="D6132" s="689">
        <v>0.01</v>
      </c>
      <c r="E6132" s="689">
        <v>0.01</v>
      </c>
      <c r="F6132" s="689">
        <v>0</v>
      </c>
    </row>
    <row r="6133" spans="3:6" ht="28.8">
      <c r="C6133" s="191" t="s">
        <v>3045</v>
      </c>
      <c r="D6133" s="689">
        <v>0.2</v>
      </c>
      <c r="E6133" s="689">
        <v>0.2</v>
      </c>
      <c r="F6133" s="689">
        <v>0.2</v>
      </c>
    </row>
    <row r="6134" spans="3:6" ht="28.8">
      <c r="C6134" s="191" t="s">
        <v>3046</v>
      </c>
      <c r="D6134" s="689">
        <v>0.15</v>
      </c>
      <c r="E6134" s="689">
        <v>0.15</v>
      </c>
      <c r="F6134" s="689">
        <v>0.05</v>
      </c>
    </row>
    <row r="6135" spans="3:6">
      <c r="C6135" s="191" t="s">
        <v>3047</v>
      </c>
      <c r="D6135" s="689">
        <v>0.05</v>
      </c>
      <c r="E6135" s="689">
        <v>0.05</v>
      </c>
      <c r="F6135" s="689">
        <v>0.05</v>
      </c>
    </row>
    <row r="6136" spans="3:6" ht="28.8">
      <c r="C6136" s="191" t="s">
        <v>2983</v>
      </c>
      <c r="D6136" s="689">
        <v>0.01</v>
      </c>
      <c r="E6136" s="689">
        <v>0.01</v>
      </c>
      <c r="F6136" s="689">
        <v>5.0000000000000001E-3</v>
      </c>
    </row>
    <row r="6137" spans="3:6">
      <c r="C6137" s="643"/>
      <c r="D6137" s="701">
        <f>SUM(D6123:D6136)</f>
        <v>0.8600000000000001</v>
      </c>
      <c r="E6137" s="701">
        <f>SUM(E6123:E6136)</f>
        <v>0.68</v>
      </c>
      <c r="F6137" s="701">
        <f>SUM(F6123:F6136)</f>
        <v>0.55000000000000004</v>
      </c>
    </row>
    <row r="6138" spans="3:6">
      <c r="C6138" s="643"/>
      <c r="D6138" s="689"/>
      <c r="E6138" s="702">
        <f>D6137-E6137</f>
        <v>0.18000000000000005</v>
      </c>
      <c r="F6138" s="701">
        <f>E6137-F6137</f>
        <v>0.13</v>
      </c>
    </row>
    <row r="6139" spans="3:6">
      <c r="C6139" s="643"/>
      <c r="D6139" s="689"/>
      <c r="E6139" s="703"/>
      <c r="F6139" s="689"/>
    </row>
    <row r="6140" spans="3:6">
      <c r="C6140" s="594" t="s">
        <v>2436</v>
      </c>
      <c r="D6140" s="693">
        <v>4800</v>
      </c>
      <c r="E6140" s="694"/>
      <c r="F6140" s="695"/>
    </row>
    <row r="6141" spans="3:6">
      <c r="C6141" s="660" t="s">
        <v>3039</v>
      </c>
      <c r="D6141" s="696">
        <v>2</v>
      </c>
      <c r="E6141" s="697"/>
      <c r="F6141" s="696"/>
    </row>
    <row r="6142" spans="3:6">
      <c r="C6142" s="660" t="s">
        <v>2437</v>
      </c>
      <c r="D6142" s="696"/>
      <c r="E6142" s="697"/>
      <c r="F6142" s="696"/>
    </row>
    <row r="6143" spans="3:6">
      <c r="C6143" s="660" t="s">
        <v>1446</v>
      </c>
      <c r="D6143" s="693"/>
      <c r="E6143" s="694"/>
      <c r="F6143" s="693"/>
    </row>
    <row r="6144" spans="3:6">
      <c r="C6144" s="87" t="s">
        <v>1447</v>
      </c>
      <c r="D6144" s="693">
        <v>8</v>
      </c>
      <c r="E6144" s="693">
        <v>22</v>
      </c>
      <c r="F6144" s="693"/>
    </row>
    <row r="6145" spans="2:6">
      <c r="C6145" s="87" t="s">
        <v>2438</v>
      </c>
      <c r="D6145" s="693"/>
      <c r="E6145" s="693"/>
      <c r="F6145" s="693"/>
    </row>
    <row r="6148" spans="2:6" ht="15.6">
      <c r="B6148" s="519" t="s">
        <v>1079</v>
      </c>
      <c r="C6148" s="587" t="s">
        <v>3048</v>
      </c>
      <c r="D6148" s="588" t="s">
        <v>353</v>
      </c>
      <c r="E6148" s="588" t="s">
        <v>354</v>
      </c>
      <c r="F6148" s="588" t="s">
        <v>355</v>
      </c>
    </row>
    <row r="6149" spans="2:6" ht="28.8">
      <c r="C6149" s="497" t="s">
        <v>1082</v>
      </c>
    </row>
    <row r="6150" spans="2:6" ht="28.8">
      <c r="C6150" s="497" t="s">
        <v>1083</v>
      </c>
      <c r="D6150" s="710"/>
      <c r="E6150" s="710"/>
      <c r="F6150" s="710"/>
    </row>
    <row r="6151" spans="2:6" ht="28.8">
      <c r="C6151" s="497" t="s">
        <v>1084</v>
      </c>
      <c r="D6151" s="710"/>
      <c r="E6151" s="710"/>
      <c r="F6151" s="710"/>
    </row>
    <row r="6152" spans="2:6" ht="28.8">
      <c r="C6152" s="497" t="s">
        <v>1085</v>
      </c>
      <c r="D6152" s="710"/>
      <c r="E6152" s="710"/>
      <c r="F6152" s="710"/>
    </row>
    <row r="6153" spans="2:6">
      <c r="C6153" s="497" t="s">
        <v>1086</v>
      </c>
      <c r="D6153" s="710"/>
      <c r="E6153" s="710"/>
      <c r="F6153" s="710"/>
    </row>
    <row r="6154" spans="2:6">
      <c r="C6154" s="498" t="s">
        <v>357</v>
      </c>
      <c r="D6154" s="710"/>
      <c r="E6154" s="710"/>
      <c r="F6154" s="710"/>
    </row>
    <row r="6155" spans="2:6">
      <c r="C6155" s="497" t="s">
        <v>358</v>
      </c>
      <c r="D6155" s="710"/>
      <c r="E6155" s="710"/>
      <c r="F6155" s="710"/>
    </row>
    <row r="6156" spans="2:6">
      <c r="C6156" s="497" t="s">
        <v>1087</v>
      </c>
      <c r="D6156" s="710"/>
      <c r="E6156" s="710"/>
      <c r="F6156" s="710"/>
    </row>
    <row r="6157" spans="2:6">
      <c r="C6157" s="497" t="s">
        <v>1088</v>
      </c>
      <c r="D6157" s="710"/>
      <c r="E6157" s="710"/>
      <c r="F6157" s="710"/>
    </row>
    <row r="6159" spans="2:6">
      <c r="C6159" s="594" t="s">
        <v>2436</v>
      </c>
      <c r="D6159" s="88">
        <v>30</v>
      </c>
      <c r="E6159" s="88"/>
      <c r="F6159" s="184"/>
    </row>
    <row r="6160" spans="2:6">
      <c r="C6160" s="660" t="s">
        <v>361</v>
      </c>
      <c r="D6160" s="595">
        <v>8</v>
      </c>
      <c r="E6160" s="595"/>
      <c r="F6160" s="595"/>
    </row>
    <row r="6161" spans="2:6">
      <c r="C6161" s="660" t="s">
        <v>2437</v>
      </c>
      <c r="D6161" s="595"/>
      <c r="E6161" s="595"/>
      <c r="F6161" s="595"/>
    </row>
    <row r="6162" spans="2:6">
      <c r="C6162" s="660" t="s">
        <v>1446</v>
      </c>
      <c r="D6162" s="88"/>
      <c r="E6162" s="88"/>
      <c r="F6162" s="88"/>
    </row>
    <row r="6163" spans="2:6">
      <c r="C6163" s="660" t="s">
        <v>1447</v>
      </c>
      <c r="D6163" s="88">
        <v>8</v>
      </c>
      <c r="E6163" s="88">
        <v>22</v>
      </c>
      <c r="F6163" s="88"/>
    </row>
    <row r="6164" spans="2:6">
      <c r="C6164" s="87" t="s">
        <v>2438</v>
      </c>
      <c r="D6164" s="88"/>
      <c r="E6164" s="88"/>
      <c r="F6164" s="88"/>
    </row>
    <row r="6167" spans="2:6" ht="15.6">
      <c r="B6167" s="519" t="s">
        <v>1079</v>
      </c>
      <c r="C6167" s="587" t="s">
        <v>3049</v>
      </c>
      <c r="D6167" s="599" t="s">
        <v>353</v>
      </c>
      <c r="E6167" s="599" t="s">
        <v>354</v>
      </c>
      <c r="F6167" s="599" t="s">
        <v>355</v>
      </c>
    </row>
    <row r="6168" spans="2:6" ht="28.8">
      <c r="C6168" s="724" t="s">
        <v>1082</v>
      </c>
      <c r="D6168" s="87"/>
      <c r="E6168" s="87"/>
      <c r="F6168" s="87"/>
    </row>
    <row r="6169" spans="2:6" ht="28.8">
      <c r="C6169" s="724" t="s">
        <v>1083</v>
      </c>
      <c r="D6169" s="711"/>
      <c r="E6169" s="711"/>
      <c r="F6169" s="711"/>
    </row>
    <row r="6170" spans="2:6" ht="28.8">
      <c r="C6170" s="497" t="s">
        <v>1084</v>
      </c>
      <c r="D6170" s="710"/>
      <c r="E6170" s="710"/>
      <c r="F6170" s="710"/>
    </row>
    <row r="6171" spans="2:6" ht="28.8">
      <c r="C6171" s="497" t="s">
        <v>1085</v>
      </c>
      <c r="D6171" s="710"/>
      <c r="E6171" s="710"/>
      <c r="F6171" s="710"/>
    </row>
    <row r="6172" spans="2:6">
      <c r="C6172" s="497" t="s">
        <v>1086</v>
      </c>
      <c r="D6172" s="710"/>
      <c r="E6172" s="710"/>
      <c r="F6172" s="710"/>
    </row>
    <row r="6173" spans="2:6">
      <c r="C6173" s="498" t="s">
        <v>357</v>
      </c>
      <c r="D6173" s="710"/>
      <c r="E6173" s="710"/>
      <c r="F6173" s="710"/>
    </row>
    <row r="6174" spans="2:6">
      <c r="C6174" s="497" t="s">
        <v>358</v>
      </c>
      <c r="D6174" s="710"/>
      <c r="E6174" s="710"/>
      <c r="F6174" s="710"/>
    </row>
    <row r="6175" spans="2:6">
      <c r="C6175" s="497" t="s">
        <v>1087</v>
      </c>
      <c r="D6175" s="710"/>
      <c r="E6175" s="710"/>
      <c r="F6175" s="710"/>
    </row>
    <row r="6176" spans="2:6">
      <c r="C6176" s="497" t="s">
        <v>1088</v>
      </c>
      <c r="D6176" s="710"/>
      <c r="E6176" s="710"/>
      <c r="F6176" s="710"/>
    </row>
    <row r="6177" spans="2:6">
      <c r="C6177" s="709"/>
      <c r="D6177" s="710"/>
      <c r="E6177" s="710"/>
      <c r="F6177" s="710"/>
    </row>
    <row r="6178" spans="2:6">
      <c r="C6178" s="49"/>
      <c r="D6178" s="137">
        <f>SUM(D6169:D6177)</f>
        <v>0</v>
      </c>
      <c r="E6178" s="137">
        <f>SUM(E6169:E6177)</f>
        <v>0</v>
      </c>
      <c r="F6178" s="137">
        <f>SUM(F6169:F6177)</f>
        <v>0</v>
      </c>
    </row>
    <row r="6179" spans="2:6">
      <c r="C6179" s="45"/>
      <c r="D6179" s="68"/>
      <c r="E6179" s="68">
        <f>+D6178-E6178</f>
        <v>0</v>
      </c>
      <c r="F6179" s="68">
        <f>+E6178-F6178</f>
        <v>0</v>
      </c>
    </row>
    <row r="6180" spans="2:6">
      <c r="C6180" s="594" t="s">
        <v>2436</v>
      </c>
      <c r="D6180" s="88">
        <v>30</v>
      </c>
      <c r="E6180" s="88"/>
      <c r="F6180" s="184"/>
    </row>
    <row r="6181" spans="2:6">
      <c r="C6181" s="660" t="s">
        <v>361</v>
      </c>
      <c r="D6181" s="595">
        <v>8</v>
      </c>
      <c r="E6181" s="595"/>
      <c r="F6181" s="595"/>
    </row>
    <row r="6182" spans="2:6">
      <c r="C6182" s="660" t="s">
        <v>2437</v>
      </c>
      <c r="D6182" s="595"/>
      <c r="E6182" s="595"/>
      <c r="F6182" s="595"/>
    </row>
    <row r="6183" spans="2:6">
      <c r="C6183" s="660" t="s">
        <v>1446</v>
      </c>
      <c r="D6183" s="88"/>
      <c r="E6183" s="88"/>
      <c r="F6183" s="88"/>
    </row>
    <row r="6184" spans="2:6">
      <c r="C6184" s="660" t="s">
        <v>1447</v>
      </c>
      <c r="D6184" s="88">
        <v>8</v>
      </c>
      <c r="E6184" s="88">
        <v>22</v>
      </c>
      <c r="F6184" s="88"/>
    </row>
    <row r="6185" spans="2:6">
      <c r="C6185" s="87" t="s">
        <v>2438</v>
      </c>
      <c r="D6185" s="88"/>
      <c r="E6185" s="88"/>
      <c r="F6185" s="88"/>
    </row>
    <row r="6186" spans="2:6">
      <c r="C6186" s="87"/>
      <c r="D6186" s="88"/>
      <c r="E6186" s="88"/>
      <c r="F6186" s="88"/>
    </row>
    <row r="6187" spans="2:6">
      <c r="C6187" s="87"/>
      <c r="D6187" s="125"/>
      <c r="E6187" s="650"/>
      <c r="F6187" s="650"/>
    </row>
    <row r="6188" spans="2:6" ht="15.6">
      <c r="B6188" s="519" t="s">
        <v>1079</v>
      </c>
      <c r="C6188" s="587" t="s">
        <v>3050</v>
      </c>
      <c r="D6188" s="712" t="s">
        <v>353</v>
      </c>
      <c r="E6188" s="712" t="s">
        <v>354</v>
      </c>
      <c r="F6188" s="712" t="s">
        <v>355</v>
      </c>
    </row>
    <row r="6189" spans="2:6">
      <c r="C6189" s="709" t="s">
        <v>3051</v>
      </c>
      <c r="D6189" s="710">
        <v>0.08</v>
      </c>
      <c r="E6189" s="710">
        <v>0.08</v>
      </c>
      <c r="F6189" s="710">
        <v>0.08</v>
      </c>
    </row>
    <row r="6190" spans="2:6" ht="28.8">
      <c r="C6190" s="725" t="s">
        <v>3052</v>
      </c>
      <c r="D6190" s="710"/>
      <c r="E6190" s="710"/>
      <c r="F6190" s="710"/>
    </row>
    <row r="6191" spans="2:6">
      <c r="C6191" s="709" t="s">
        <v>3053</v>
      </c>
      <c r="D6191" s="710"/>
      <c r="E6191" s="710"/>
      <c r="F6191" s="710"/>
    </row>
    <row r="6192" spans="2:6" ht="28.8">
      <c r="C6192" s="725" t="s">
        <v>3054</v>
      </c>
      <c r="D6192" s="710">
        <v>0.11</v>
      </c>
      <c r="E6192" s="710">
        <v>0.11</v>
      </c>
      <c r="F6192" s="710">
        <v>0.04</v>
      </c>
    </row>
    <row r="6193" spans="3:6" ht="28.8">
      <c r="C6193" s="725" t="s">
        <v>3055</v>
      </c>
      <c r="D6193" s="710">
        <v>0.03</v>
      </c>
      <c r="E6193" s="710">
        <v>0.02</v>
      </c>
      <c r="F6193" s="710">
        <v>0.02</v>
      </c>
    </row>
    <row r="6194" spans="3:6">
      <c r="C6194" s="709" t="s">
        <v>3056</v>
      </c>
      <c r="D6194" s="710">
        <v>0.05</v>
      </c>
      <c r="E6194" s="710">
        <v>0.02</v>
      </c>
      <c r="F6194" s="710">
        <v>0.02</v>
      </c>
    </row>
    <row r="6195" spans="3:6">
      <c r="C6195" s="709" t="s">
        <v>3057</v>
      </c>
      <c r="D6195" s="710">
        <v>0.06</v>
      </c>
      <c r="E6195" s="710">
        <v>0.04</v>
      </c>
      <c r="F6195" s="710">
        <v>0.02</v>
      </c>
    </row>
    <row r="6196" spans="3:6">
      <c r="C6196" s="709" t="s">
        <v>3058</v>
      </c>
      <c r="D6196" s="710"/>
      <c r="E6196" s="710"/>
      <c r="F6196" s="710"/>
    </row>
    <row r="6197" spans="3:6">
      <c r="C6197" s="45"/>
      <c r="D6197" s="137">
        <f>SUM(D6189:D6196)</f>
        <v>0.33</v>
      </c>
      <c r="E6197" s="137">
        <f>SUM(E6189:E6196)</f>
        <v>0.26999999999999996</v>
      </c>
      <c r="F6197" s="137">
        <f>SUM(F6189:F6196)</f>
        <v>0.17999999999999997</v>
      </c>
    </row>
    <row r="6198" spans="3:6">
      <c r="C6198" s="45"/>
      <c r="D6198" s="45"/>
      <c r="E6198" s="68">
        <f>D6197-E6197</f>
        <v>6.0000000000000053E-2</v>
      </c>
      <c r="F6198" s="68">
        <f>E6197-F6197</f>
        <v>0.09</v>
      </c>
    </row>
    <row r="6199" spans="3:6">
      <c r="C6199" s="594" t="s">
        <v>2436</v>
      </c>
      <c r="D6199" s="88">
        <v>30</v>
      </c>
      <c r="E6199" s="88"/>
      <c r="F6199" s="184"/>
    </row>
    <row r="6200" spans="3:6">
      <c r="C6200" s="660" t="s">
        <v>361</v>
      </c>
      <c r="D6200" s="595">
        <v>1</v>
      </c>
      <c r="E6200" s="595"/>
      <c r="F6200" s="595"/>
    </row>
    <row r="6201" spans="3:6">
      <c r="C6201" s="660" t="s">
        <v>2437</v>
      </c>
      <c r="D6201" s="595"/>
      <c r="E6201" s="595"/>
      <c r="F6201" s="595"/>
    </row>
    <row r="6202" spans="3:6">
      <c r="C6202" s="660" t="s">
        <v>1446</v>
      </c>
      <c r="D6202" s="88"/>
      <c r="E6202" s="88"/>
      <c r="F6202" s="88"/>
    </row>
    <row r="6203" spans="3:6">
      <c r="C6203" s="660" t="s">
        <v>1447</v>
      </c>
      <c r="D6203" s="88">
        <v>8</v>
      </c>
      <c r="E6203" s="88">
        <v>22</v>
      </c>
      <c r="F6203" s="88"/>
    </row>
    <row r="6204" spans="3:6">
      <c r="C6204" s="87" t="s">
        <v>2438</v>
      </c>
      <c r="D6204" s="88"/>
      <c r="E6204" s="88"/>
      <c r="F6204" s="88"/>
    </row>
    <row r="6209" spans="2:6" ht="15.6">
      <c r="B6209" s="519" t="s">
        <v>1079</v>
      </c>
      <c r="C6209" s="587" t="s">
        <v>3059</v>
      </c>
      <c r="D6209" s="713" t="s">
        <v>353</v>
      </c>
      <c r="E6209" s="713" t="s">
        <v>354</v>
      </c>
      <c r="F6209" s="713" t="s">
        <v>355</v>
      </c>
    </row>
    <row r="6210" spans="2:6">
      <c r="C6210" s="564" t="s">
        <v>3060</v>
      </c>
      <c r="D6210" s="49"/>
      <c r="E6210" s="49"/>
      <c r="F6210" s="49"/>
    </row>
    <row r="6211" spans="2:6">
      <c r="C6211" s="564" t="s">
        <v>1220</v>
      </c>
      <c r="D6211" s="714">
        <v>0.05</v>
      </c>
      <c r="E6211" s="714">
        <v>0.05</v>
      </c>
      <c r="F6211" s="714">
        <v>0</v>
      </c>
    </row>
    <row r="6212" spans="2:6" ht="28.8">
      <c r="C6212" s="564" t="s">
        <v>1221</v>
      </c>
      <c r="D6212" s="710">
        <v>0.3</v>
      </c>
      <c r="E6212" s="710">
        <v>0.3</v>
      </c>
      <c r="F6212" s="710">
        <v>0</v>
      </c>
    </row>
    <row r="6213" spans="2:6" ht="28.8">
      <c r="C6213" s="564" t="s">
        <v>1222</v>
      </c>
      <c r="D6213" s="710">
        <v>0.25</v>
      </c>
      <c r="E6213" s="710">
        <v>0.15</v>
      </c>
      <c r="F6213" s="710">
        <v>0</v>
      </c>
    </row>
    <row r="6214" spans="2:6">
      <c r="C6214" s="564" t="s">
        <v>1223</v>
      </c>
      <c r="D6214" s="710">
        <v>0</v>
      </c>
      <c r="E6214" s="710">
        <v>0</v>
      </c>
      <c r="F6214" s="710">
        <v>0</v>
      </c>
    </row>
    <row r="6215" spans="2:6">
      <c r="C6215" s="564" t="s">
        <v>1224</v>
      </c>
      <c r="D6215" s="710">
        <v>0.2</v>
      </c>
      <c r="E6215" s="710">
        <v>0.05</v>
      </c>
      <c r="F6215" s="710">
        <v>0.05</v>
      </c>
    </row>
    <row r="6216" spans="2:6">
      <c r="C6216" s="45"/>
      <c r="D6216" s="137">
        <f>SUM(D6211:D6215)</f>
        <v>0.8</v>
      </c>
      <c r="E6216" s="137">
        <f>SUM(E6211:E6215)</f>
        <v>0.55000000000000004</v>
      </c>
      <c r="F6216" s="137">
        <f>SUM(F6211:F6215)</f>
        <v>0.05</v>
      </c>
    </row>
    <row r="6217" spans="2:6">
      <c r="C6217" s="45"/>
      <c r="D6217" s="45"/>
      <c r="E6217" s="68">
        <f>+D6216-E6216</f>
        <v>0.25</v>
      </c>
      <c r="F6217" s="68">
        <f>+E6216-F6216</f>
        <v>0.5</v>
      </c>
    </row>
    <row r="6218" spans="2:6">
      <c r="C6218" s="594" t="s">
        <v>2436</v>
      </c>
      <c r="D6218" s="88">
        <v>3</v>
      </c>
      <c r="E6218" s="88"/>
      <c r="F6218" s="184"/>
    </row>
    <row r="6219" spans="2:6">
      <c r="C6219" s="660" t="s">
        <v>361</v>
      </c>
      <c r="D6219" s="595">
        <f>CEILING(67/9,1)</f>
        <v>8</v>
      </c>
      <c r="E6219" s="595"/>
      <c r="F6219" s="595"/>
    </row>
    <row r="6220" spans="2:6">
      <c r="C6220" s="660" t="s">
        <v>2437</v>
      </c>
      <c r="E6220" s="595"/>
      <c r="F6220" s="595"/>
    </row>
    <row r="6221" spans="2:6">
      <c r="C6221" s="660" t="s">
        <v>1446</v>
      </c>
      <c r="D6221" s="88"/>
      <c r="E6221" s="88"/>
      <c r="F6221" s="88"/>
    </row>
    <row r="6222" spans="2:6">
      <c r="C6222" s="660" t="s">
        <v>1447</v>
      </c>
      <c r="D6222" s="88">
        <v>8</v>
      </c>
      <c r="E6222" s="88">
        <v>22</v>
      </c>
      <c r="F6222" s="88"/>
    </row>
    <row r="6223" spans="2:6">
      <c r="C6223" s="87" t="s">
        <v>2438</v>
      </c>
      <c r="D6223" s="88"/>
      <c r="E6223" s="88"/>
      <c r="F6223" s="88"/>
    </row>
    <row r="6225" spans="2:6" ht="15.6">
      <c r="B6225" s="519" t="s">
        <v>1079</v>
      </c>
      <c r="C6225" s="598" t="s">
        <v>3061</v>
      </c>
      <c r="D6225" s="713" t="s">
        <v>353</v>
      </c>
      <c r="E6225" s="713" t="s">
        <v>354</v>
      </c>
      <c r="F6225" s="713" t="s">
        <v>355</v>
      </c>
    </row>
    <row r="6226" spans="2:6" ht="43.2">
      <c r="C6226" s="187" t="s">
        <v>1233</v>
      </c>
      <c r="D6226" s="49"/>
      <c r="E6226" s="49"/>
      <c r="F6226" s="49"/>
    </row>
    <row r="6227" spans="2:6" ht="28.8">
      <c r="C6227" s="31" t="s">
        <v>1234</v>
      </c>
      <c r="D6227" s="49"/>
      <c r="E6227" s="49"/>
      <c r="F6227" s="49"/>
    </row>
    <row r="6228" spans="2:6" ht="28.8">
      <c r="C6228" s="726" t="s">
        <v>3062</v>
      </c>
      <c r="D6228" s="714">
        <v>0.05</v>
      </c>
      <c r="E6228" s="715">
        <v>0.05</v>
      </c>
      <c r="F6228" s="714">
        <v>0</v>
      </c>
    </row>
    <row r="6229" spans="2:6">
      <c r="C6229" s="572" t="s">
        <v>1236</v>
      </c>
      <c r="D6229" s="717">
        <v>0.2</v>
      </c>
      <c r="E6229" s="718">
        <v>0.1</v>
      </c>
      <c r="F6229" s="717">
        <v>0.05</v>
      </c>
    </row>
    <row r="6230" spans="2:6">
      <c r="C6230" s="191" t="s">
        <v>1238</v>
      </c>
      <c r="D6230" s="727">
        <v>0.05</v>
      </c>
      <c r="E6230" s="719">
        <v>0.05</v>
      </c>
      <c r="F6230" s="711">
        <v>2.5000000000000001E-2</v>
      </c>
    </row>
    <row r="6231" spans="2:6">
      <c r="C6231" s="31"/>
      <c r="D6231" s="728"/>
      <c r="E6231" s="721"/>
      <c r="F6231" s="720"/>
    </row>
    <row r="6232" spans="2:6">
      <c r="D6232" s="720"/>
      <c r="E6232" s="721"/>
      <c r="F6232" s="720"/>
    </row>
    <row r="6233" spans="2:6">
      <c r="D6233" s="711"/>
      <c r="E6233" s="719"/>
      <c r="F6233" s="711"/>
    </row>
    <row r="6234" spans="2:6">
      <c r="D6234" s="710"/>
      <c r="E6234" s="716"/>
      <c r="F6234" s="710"/>
    </row>
    <row r="6235" spans="2:6">
      <c r="D6235" s="137">
        <f>SUM(D6229:D6234)</f>
        <v>0.25</v>
      </c>
      <c r="E6235" s="137">
        <f>SUM(E6229:E6234)</f>
        <v>0.15000000000000002</v>
      </c>
      <c r="F6235" s="137">
        <f>SUM(F6229:F6234)</f>
        <v>7.5000000000000011E-2</v>
      </c>
    </row>
    <row r="6236" spans="2:6">
      <c r="E6236" s="6">
        <f>+D6235-E6235</f>
        <v>9.9999999999999978E-2</v>
      </c>
      <c r="F6236" s="6">
        <f>+E6235-F6235</f>
        <v>7.5000000000000011E-2</v>
      </c>
    </row>
    <row r="6237" spans="2:6">
      <c r="C6237" s="31"/>
      <c r="E6237" s="6"/>
      <c r="F6237" s="6"/>
    </row>
    <row r="6238" spans="2:6">
      <c r="C6238" s="594" t="s">
        <v>2436</v>
      </c>
      <c r="D6238" s="88">
        <v>7</v>
      </c>
      <c r="E6238" s="88"/>
      <c r="F6238" s="184"/>
    </row>
    <row r="6239" spans="2:6">
      <c r="C6239" s="660" t="s">
        <v>3063</v>
      </c>
      <c r="D6239" s="722">
        <v>1</v>
      </c>
      <c r="E6239" s="595"/>
      <c r="F6239" s="595"/>
    </row>
    <row r="6240" spans="2:6">
      <c r="C6240" s="660" t="s">
        <v>2437</v>
      </c>
      <c r="E6240" s="595"/>
      <c r="F6240" s="595"/>
    </row>
    <row r="6241" spans="2:6">
      <c r="C6241" s="660" t="s">
        <v>1446</v>
      </c>
      <c r="D6241" s="88"/>
      <c r="E6241" s="88"/>
      <c r="F6241" s="88"/>
    </row>
    <row r="6242" spans="2:6">
      <c r="C6242" s="660" t="s">
        <v>1447</v>
      </c>
      <c r="D6242" s="88">
        <v>8</v>
      </c>
      <c r="E6242" s="88">
        <v>22</v>
      </c>
      <c r="F6242" s="88"/>
    </row>
    <row r="6243" spans="2:6">
      <c r="C6243" s="87" t="s">
        <v>2438</v>
      </c>
      <c r="D6243" s="88"/>
      <c r="E6243" s="88"/>
      <c r="F6243" s="88"/>
    </row>
    <row r="6245" spans="2:6" ht="15.6">
      <c r="B6245" s="519" t="s">
        <v>1079</v>
      </c>
      <c r="C6245" s="587" t="s">
        <v>3064</v>
      </c>
      <c r="D6245" s="713" t="s">
        <v>353</v>
      </c>
      <c r="E6245" s="713" t="s">
        <v>354</v>
      </c>
      <c r="F6245" s="713" t="s">
        <v>355</v>
      </c>
    </row>
    <row r="6246" spans="2:6">
      <c r="C6246" s="709" t="s">
        <v>3065</v>
      </c>
      <c r="D6246" s="714">
        <v>0.2</v>
      </c>
      <c r="E6246" s="714">
        <v>0.1</v>
      </c>
      <c r="F6246" s="714">
        <v>0.1</v>
      </c>
    </row>
    <row r="6247" spans="2:6">
      <c r="C6247" s="709"/>
      <c r="D6247" s="710">
        <v>0.2</v>
      </c>
      <c r="E6247" s="710">
        <v>0.05</v>
      </c>
      <c r="F6247" s="710">
        <v>0.05</v>
      </c>
    </row>
    <row r="6248" spans="2:6">
      <c r="C6248" s="709"/>
      <c r="D6248" s="710">
        <v>0.2</v>
      </c>
      <c r="E6248" s="710">
        <v>0.2</v>
      </c>
      <c r="F6248" s="710">
        <v>0.1</v>
      </c>
    </row>
    <row r="6249" spans="2:6">
      <c r="C6249" s="709"/>
      <c r="D6249" s="710">
        <v>0.2</v>
      </c>
      <c r="E6249" s="710">
        <v>0.2</v>
      </c>
      <c r="F6249" s="710">
        <v>0</v>
      </c>
    </row>
    <row r="6250" spans="2:6">
      <c r="C6250" s="709"/>
      <c r="D6250" s="710">
        <v>0.2</v>
      </c>
      <c r="E6250" s="710">
        <v>0.2</v>
      </c>
      <c r="F6250" s="710">
        <v>0.05</v>
      </c>
    </row>
    <row r="6251" spans="2:6">
      <c r="D6251" s="635">
        <f>SUM(D6246:D6250)</f>
        <v>1</v>
      </c>
      <c r="E6251" s="635">
        <f t="shared" ref="E6251:F6251" si="251">SUM(E6246:E6250)</f>
        <v>0.75</v>
      </c>
      <c r="F6251" s="635">
        <f t="shared" si="251"/>
        <v>0.3</v>
      </c>
    </row>
    <row r="6252" spans="2:6">
      <c r="E6252" s="6">
        <f>+D6251-E6251</f>
        <v>0.25</v>
      </c>
      <c r="F6252" s="6">
        <f>+E6251-F6251</f>
        <v>0.45</v>
      </c>
    </row>
    <row r="6253" spans="2:6">
      <c r="C6253" s="594" t="s">
        <v>2436</v>
      </c>
      <c r="D6253" s="88">
        <v>3</v>
      </c>
      <c r="E6253" s="88"/>
      <c r="F6253" s="184"/>
    </row>
    <row r="6254" spans="2:6">
      <c r="C6254" s="660" t="s">
        <v>361</v>
      </c>
      <c r="D6254" s="722">
        <f>+CEILING(5/9,1)</f>
        <v>1</v>
      </c>
      <c r="E6254" s="595"/>
      <c r="F6254" s="595"/>
    </row>
    <row r="6255" spans="2:6">
      <c r="C6255" s="660" t="s">
        <v>2437</v>
      </c>
      <c r="E6255" s="595"/>
      <c r="F6255" s="595"/>
    </row>
    <row r="6256" spans="2:6">
      <c r="C6256" s="660" t="s">
        <v>1446</v>
      </c>
      <c r="D6256" s="88"/>
      <c r="E6256" s="88"/>
      <c r="F6256" s="88"/>
    </row>
    <row r="6257" spans="2:6">
      <c r="C6257" s="660" t="s">
        <v>1447</v>
      </c>
      <c r="D6257" s="88">
        <v>8</v>
      </c>
      <c r="E6257" s="88">
        <v>22</v>
      </c>
      <c r="F6257" s="88"/>
    </row>
    <row r="6258" spans="2:6">
      <c r="C6258" s="87" t="s">
        <v>2438</v>
      </c>
      <c r="D6258" s="88"/>
      <c r="E6258" s="88"/>
      <c r="F6258" s="88"/>
    </row>
    <row r="6261" spans="2:6" ht="15.6">
      <c r="B6261" s="519" t="s">
        <v>1079</v>
      </c>
      <c r="C6261" s="598" t="s">
        <v>3066</v>
      </c>
      <c r="D6261" s="713" t="s">
        <v>353</v>
      </c>
      <c r="E6261" s="713" t="s">
        <v>354</v>
      </c>
      <c r="F6261" s="713" t="s">
        <v>355</v>
      </c>
    </row>
    <row r="6262" spans="2:6" ht="28.8">
      <c r="C6262" s="103" t="s">
        <v>3067</v>
      </c>
      <c r="D6262" s="49"/>
      <c r="E6262" s="49"/>
      <c r="F6262" s="49"/>
    </row>
    <row r="6263" spans="2:6" ht="28.8">
      <c r="C6263" s="103" t="s">
        <v>3068</v>
      </c>
      <c r="D6263" s="49"/>
      <c r="E6263" s="49"/>
      <c r="F6263" s="49"/>
    </row>
    <row r="6264" spans="2:6">
      <c r="C6264" s="723"/>
      <c r="D6264" s="137">
        <v>1</v>
      </c>
      <c r="E6264" s="137">
        <v>0.73</v>
      </c>
      <c r="F6264" s="137">
        <v>0.13</v>
      </c>
    </row>
    <row r="6265" spans="2:6">
      <c r="C6265" s="723"/>
      <c r="D6265" s="45"/>
      <c r="E6265" s="68">
        <v>0.16</v>
      </c>
      <c r="F6265" s="68">
        <v>0.68</v>
      </c>
    </row>
    <row r="6266" spans="2:6">
      <c r="C6266" s="594" t="s">
        <v>2436</v>
      </c>
      <c r="D6266" s="88">
        <v>30</v>
      </c>
      <c r="E6266" s="88"/>
      <c r="F6266" s="184"/>
    </row>
    <row r="6267" spans="2:6">
      <c r="C6267" s="660" t="s">
        <v>361</v>
      </c>
      <c r="D6267" s="595">
        <v>1</v>
      </c>
      <c r="E6267" s="595"/>
      <c r="F6267" s="595"/>
    </row>
    <row r="6268" spans="2:6">
      <c r="C6268" s="660" t="s">
        <v>2437</v>
      </c>
      <c r="D6268" s="595"/>
      <c r="E6268" s="595"/>
      <c r="F6268" s="595"/>
    </row>
    <row r="6269" spans="2:6">
      <c r="C6269" s="660" t="s">
        <v>1446</v>
      </c>
      <c r="D6269" s="88"/>
      <c r="E6269" s="88"/>
      <c r="F6269" s="88"/>
    </row>
    <row r="6270" spans="2:6">
      <c r="C6270" s="660" t="s">
        <v>1447</v>
      </c>
      <c r="D6270" s="88">
        <v>8</v>
      </c>
      <c r="E6270" s="88">
        <v>22</v>
      </c>
      <c r="F6270" s="88"/>
    </row>
    <row r="6271" spans="2:6">
      <c r="C6271" s="87" t="s">
        <v>2438</v>
      </c>
      <c r="D6271" s="88"/>
      <c r="E6271" s="88"/>
      <c r="F6271" s="88"/>
    </row>
    <row r="6274" spans="2:6" ht="31.2">
      <c r="B6274" s="519" t="s">
        <v>1079</v>
      </c>
      <c r="C6274" s="730" t="s">
        <v>3069</v>
      </c>
      <c r="D6274" s="713" t="s">
        <v>353</v>
      </c>
      <c r="E6274" s="713" t="s">
        <v>354</v>
      </c>
      <c r="F6274" s="713" t="s">
        <v>355</v>
      </c>
    </row>
    <row r="6275" spans="2:6" ht="28.8">
      <c r="C6275" s="732" t="s">
        <v>3067</v>
      </c>
      <c r="D6275" s="729"/>
      <c r="E6275" s="729"/>
      <c r="F6275" s="729"/>
    </row>
    <row r="6276" spans="2:6">
      <c r="C6276" s="732" t="s">
        <v>3070</v>
      </c>
      <c r="D6276" s="729"/>
      <c r="E6276" s="729"/>
      <c r="F6276" s="729"/>
    </row>
    <row r="6277" spans="2:6" ht="28.8">
      <c r="C6277" s="732" t="s">
        <v>3071</v>
      </c>
      <c r="D6277" s="729"/>
      <c r="E6277" s="729"/>
      <c r="F6277" s="729"/>
    </row>
    <row r="6278" spans="2:6">
      <c r="C6278" s="731" t="s">
        <v>1483</v>
      </c>
      <c r="D6278" s="733"/>
      <c r="E6278" s="734"/>
      <c r="F6278" s="734"/>
    </row>
    <row r="6279" spans="2:6" ht="28.8">
      <c r="C6279" s="191" t="s">
        <v>1484</v>
      </c>
      <c r="D6279" s="710"/>
      <c r="E6279" s="710"/>
      <c r="F6279" s="710"/>
    </row>
    <row r="6280" spans="2:6" ht="28.8">
      <c r="C6280" s="191" t="s">
        <v>1485</v>
      </c>
      <c r="D6280" s="710"/>
      <c r="E6280" s="710"/>
      <c r="F6280" s="710"/>
    </row>
    <row r="6281" spans="2:6">
      <c r="C6281" s="191" t="s">
        <v>3072</v>
      </c>
      <c r="D6281" s="710"/>
      <c r="E6281" s="710"/>
      <c r="F6281" s="710"/>
    </row>
    <row r="6282" spans="2:6" ht="28.8">
      <c r="C6282" s="191" t="s">
        <v>1478</v>
      </c>
      <c r="D6282" s="710"/>
      <c r="E6282" s="710"/>
      <c r="F6282" s="710"/>
    </row>
    <row r="6283" spans="2:6">
      <c r="C6283" s="191" t="s">
        <v>1479</v>
      </c>
      <c r="D6283" s="710"/>
      <c r="E6283" s="710"/>
      <c r="F6283" s="710"/>
    </row>
    <row r="6284" spans="2:6" ht="28.8">
      <c r="C6284" s="191" t="s">
        <v>1480</v>
      </c>
      <c r="D6284" s="714">
        <v>0.01</v>
      </c>
      <c r="E6284" s="714">
        <v>0</v>
      </c>
      <c r="F6284" s="714">
        <v>0</v>
      </c>
    </row>
    <row r="6285" spans="2:6">
      <c r="D6285" s="710"/>
      <c r="E6285" s="710"/>
      <c r="F6285" s="710"/>
    </row>
    <row r="6286" spans="2:6">
      <c r="C6286" s="723"/>
      <c r="D6286" s="137">
        <v>1</v>
      </c>
      <c r="E6286" s="137">
        <v>0.73</v>
      </c>
      <c r="F6286" s="137">
        <v>0.13</v>
      </c>
    </row>
    <row r="6287" spans="2:6">
      <c r="C6287" s="723"/>
      <c r="D6287" s="45"/>
      <c r="E6287" s="68">
        <v>0.16</v>
      </c>
      <c r="F6287" s="68">
        <v>0.68</v>
      </c>
    </row>
    <row r="6288" spans="2:6">
      <c r="C6288" s="594" t="s">
        <v>2436</v>
      </c>
      <c r="D6288" s="88">
        <v>30</v>
      </c>
      <c r="E6288" s="88"/>
      <c r="F6288" s="184"/>
    </row>
    <row r="6289" spans="2:6">
      <c r="C6289" s="660" t="s">
        <v>361</v>
      </c>
      <c r="D6289" s="595">
        <v>1</v>
      </c>
      <c r="E6289" s="595"/>
      <c r="F6289" s="595"/>
    </row>
    <row r="6290" spans="2:6">
      <c r="C6290" s="660" t="s">
        <v>2437</v>
      </c>
      <c r="D6290" s="595"/>
      <c r="E6290" s="595"/>
      <c r="F6290" s="595"/>
    </row>
    <row r="6291" spans="2:6">
      <c r="C6291" s="660" t="s">
        <v>1446</v>
      </c>
      <c r="D6291" s="88"/>
      <c r="E6291" s="88"/>
      <c r="F6291" s="88"/>
    </row>
    <row r="6292" spans="2:6">
      <c r="C6292" s="660" t="s">
        <v>1447</v>
      </c>
      <c r="D6292" s="88">
        <v>8</v>
      </c>
      <c r="E6292" s="88">
        <v>22</v>
      </c>
      <c r="F6292" s="88"/>
    </row>
    <row r="6293" spans="2:6">
      <c r="C6293" s="87" t="s">
        <v>2438</v>
      </c>
      <c r="D6293" s="88"/>
      <c r="E6293" s="88"/>
      <c r="F6293" s="88"/>
    </row>
    <row r="6298" spans="2:6" ht="15.6">
      <c r="B6298" s="519" t="s">
        <v>1079</v>
      </c>
      <c r="C6298" s="730" t="s">
        <v>3073</v>
      </c>
      <c r="D6298" s="735" t="s">
        <v>353</v>
      </c>
      <c r="E6298" s="735" t="s">
        <v>354</v>
      </c>
      <c r="F6298" s="736" t="s">
        <v>355</v>
      </c>
    </row>
    <row r="6299" spans="2:6" ht="28.8">
      <c r="C6299" s="491" t="s">
        <v>1090</v>
      </c>
      <c r="D6299" s="710">
        <v>7.0000000000000007E-2</v>
      </c>
      <c r="E6299" s="710">
        <v>7.0000000000000007E-2</v>
      </c>
      <c r="F6299" s="710">
        <v>0.04</v>
      </c>
    </row>
    <row r="6300" spans="2:6" ht="28.8">
      <c r="C6300" s="497" t="s">
        <v>1091</v>
      </c>
      <c r="D6300" s="710"/>
      <c r="E6300" s="710"/>
      <c r="F6300" s="710"/>
    </row>
    <row r="6301" spans="2:6" ht="28.8">
      <c r="C6301" s="497" t="s">
        <v>1085</v>
      </c>
      <c r="D6301" s="710"/>
      <c r="E6301" s="710"/>
      <c r="F6301" s="710"/>
    </row>
    <row r="6302" spans="2:6">
      <c r="C6302" s="497" t="s">
        <v>1092</v>
      </c>
      <c r="D6302" s="710"/>
      <c r="E6302" s="710"/>
      <c r="F6302" s="710"/>
    </row>
    <row r="6303" spans="2:6">
      <c r="C6303" s="548" t="s">
        <v>1093</v>
      </c>
      <c r="D6303" s="710"/>
      <c r="E6303" s="710"/>
      <c r="F6303" s="710"/>
    </row>
    <row r="6304" spans="2:6">
      <c r="C6304" s="491" t="s">
        <v>1094</v>
      </c>
      <c r="D6304" s="710"/>
      <c r="E6304" s="710"/>
      <c r="F6304" s="710"/>
    </row>
    <row r="6305" spans="2:6">
      <c r="C6305" s="491" t="s">
        <v>1095</v>
      </c>
      <c r="D6305" s="710"/>
      <c r="E6305" s="710"/>
      <c r="F6305" s="710"/>
    </row>
    <row r="6306" spans="2:6">
      <c r="C6306" s="491" t="s">
        <v>1096</v>
      </c>
      <c r="D6306" s="710"/>
      <c r="E6306" s="710"/>
      <c r="F6306" s="710"/>
    </row>
    <row r="6307" spans="2:6">
      <c r="C6307" s="497" t="s">
        <v>1087</v>
      </c>
      <c r="D6307" s="710"/>
      <c r="E6307" s="710"/>
      <c r="F6307" s="710"/>
    </row>
    <row r="6308" spans="2:6">
      <c r="C6308" s="737"/>
      <c r="D6308" s="710"/>
      <c r="E6308" s="710"/>
      <c r="F6308" s="710"/>
    </row>
    <row r="6309" spans="2:6">
      <c r="C6309" s="45"/>
      <c r="D6309" s="137">
        <v>1</v>
      </c>
      <c r="E6309" s="137">
        <v>0.93</v>
      </c>
      <c r="F6309" s="137">
        <v>0.22</v>
      </c>
    </row>
    <row r="6313" spans="2:6" ht="15.6">
      <c r="B6313" s="519" t="s">
        <v>1079</v>
      </c>
      <c r="C6313" s="661" t="s">
        <v>3074</v>
      </c>
      <c r="D6313" s="687" t="s">
        <v>353</v>
      </c>
      <c r="E6313" s="688" t="s">
        <v>354</v>
      </c>
      <c r="F6313" s="687" t="s">
        <v>355</v>
      </c>
    </row>
    <row r="6314" spans="2:6" ht="28.8">
      <c r="C6314" s="191" t="s">
        <v>3075</v>
      </c>
      <c r="D6314" s="750"/>
      <c r="E6314" s="750"/>
      <c r="F6314" s="750"/>
    </row>
    <row r="6315" spans="2:6" ht="43.2">
      <c r="C6315" s="191" t="s">
        <v>3076</v>
      </c>
      <c r="D6315" s="750">
        <v>0.25</v>
      </c>
      <c r="E6315" s="750">
        <v>0.25</v>
      </c>
      <c r="F6315" s="750">
        <v>0.25</v>
      </c>
    </row>
    <row r="6316" spans="2:6" ht="28.8">
      <c r="C6316" s="191" t="s">
        <v>3077</v>
      </c>
      <c r="D6316" s="750">
        <v>0.25</v>
      </c>
      <c r="E6316" s="750">
        <v>0.25</v>
      </c>
      <c r="F6316" s="750">
        <v>0.25</v>
      </c>
    </row>
    <row r="6317" spans="2:6">
      <c r="C6317" s="191" t="s">
        <v>3078</v>
      </c>
      <c r="D6317" s="750">
        <v>0.25</v>
      </c>
      <c r="E6317" s="750">
        <v>0.25</v>
      </c>
      <c r="F6317" s="750">
        <v>0.25</v>
      </c>
    </row>
    <row r="6318" spans="2:6">
      <c r="C6318" s="191"/>
      <c r="D6318" s="751">
        <f>SUM(D6315:D6317)</f>
        <v>0.75</v>
      </c>
      <c r="E6318" s="751">
        <f>SUM(E6315:E6317)</f>
        <v>0.75</v>
      </c>
      <c r="F6318" s="751">
        <f>SUM(F6315:F6317)</f>
        <v>0.75</v>
      </c>
    </row>
    <row r="6319" spans="2:6">
      <c r="C6319" s="191"/>
      <c r="D6319" s="750"/>
      <c r="E6319" s="750">
        <f>D6318-E6318</f>
        <v>0</v>
      </c>
      <c r="F6319" s="750">
        <f>E6318-F6318</f>
        <v>0</v>
      </c>
    </row>
    <row r="6320" spans="2:6">
      <c r="D6320" s="7"/>
      <c r="E6320" s="7"/>
      <c r="F6320" s="7"/>
    </row>
    <row r="6321" spans="2:6">
      <c r="D6321" s="7"/>
      <c r="E6321" s="7"/>
      <c r="F6321" s="7"/>
    </row>
    <row r="6322" spans="2:6">
      <c r="C6322" s="594" t="s">
        <v>2436</v>
      </c>
      <c r="D6322" s="693">
        <v>5</v>
      </c>
      <c r="E6322" s="694"/>
      <c r="F6322" s="695"/>
    </row>
    <row r="6323" spans="2:6">
      <c r="C6323" s="660" t="s">
        <v>3079</v>
      </c>
      <c r="D6323" s="696">
        <v>600</v>
      </c>
      <c r="E6323" s="697"/>
      <c r="F6323" s="696"/>
    </row>
    <row r="6324" spans="2:6">
      <c r="C6324" s="660" t="s">
        <v>2437</v>
      </c>
      <c r="D6324" s="696"/>
      <c r="E6324" s="697"/>
      <c r="F6324" s="696"/>
    </row>
    <row r="6325" spans="2:6">
      <c r="C6325" s="660" t="s">
        <v>1446</v>
      </c>
      <c r="D6325" s="693"/>
      <c r="E6325" s="694"/>
      <c r="F6325" s="693"/>
    </row>
    <row r="6326" spans="2:6">
      <c r="C6326" s="87" t="s">
        <v>1447</v>
      </c>
      <c r="D6326" s="693">
        <v>8</v>
      </c>
      <c r="E6326" s="693">
        <v>22</v>
      </c>
      <c r="F6326" s="693"/>
    </row>
    <row r="6327" spans="2:6">
      <c r="C6327" s="87" t="s">
        <v>2438</v>
      </c>
      <c r="D6327" s="693"/>
      <c r="E6327" s="693"/>
      <c r="F6327" s="693"/>
    </row>
    <row r="6330" spans="2:6" ht="15.6">
      <c r="B6330" s="519" t="s">
        <v>1079</v>
      </c>
      <c r="C6330" s="661" t="s">
        <v>3080</v>
      </c>
      <c r="D6330" s="687" t="s">
        <v>353</v>
      </c>
      <c r="E6330" s="688" t="s">
        <v>354</v>
      </c>
      <c r="F6330" s="687" t="s">
        <v>355</v>
      </c>
    </row>
    <row r="6331" spans="2:6" ht="28.8">
      <c r="C6331" s="191" t="s">
        <v>3075</v>
      </c>
      <c r="D6331" s="750"/>
      <c r="E6331" s="750"/>
      <c r="F6331" s="750"/>
    </row>
    <row r="6332" spans="2:6" ht="43.2">
      <c r="C6332" s="191" t="s">
        <v>3076</v>
      </c>
      <c r="D6332" s="750"/>
      <c r="E6332" s="750"/>
      <c r="F6332" s="750"/>
    </row>
    <row r="6333" spans="2:6" ht="28.8">
      <c r="C6333" s="191" t="s">
        <v>3081</v>
      </c>
      <c r="D6333" s="693"/>
      <c r="E6333" s="694"/>
      <c r="F6333" s="693"/>
    </row>
    <row r="6334" spans="2:6">
      <c r="C6334" s="191" t="s">
        <v>3082</v>
      </c>
      <c r="D6334" s="693"/>
      <c r="E6334" s="693"/>
      <c r="F6334" s="693"/>
    </row>
    <row r="6335" spans="2:6" ht="28.8">
      <c r="C6335" s="638" t="s">
        <v>3083</v>
      </c>
      <c r="D6335" s="752"/>
      <c r="E6335" s="752"/>
      <c r="F6335" s="752"/>
    </row>
    <row r="6336" spans="2:6" ht="28.8">
      <c r="C6336" s="191" t="s">
        <v>3084</v>
      </c>
      <c r="D6336" s="87"/>
      <c r="E6336" s="87"/>
      <c r="F6336" s="87"/>
    </row>
    <row r="6337" spans="2:6" ht="28.8">
      <c r="C6337" s="191" t="s">
        <v>3085</v>
      </c>
      <c r="D6337" s="87"/>
      <c r="E6337" s="87"/>
      <c r="F6337" s="87"/>
    </row>
    <row r="6338" spans="2:6">
      <c r="C6338" s="191" t="s">
        <v>3086</v>
      </c>
      <c r="D6338" s="87"/>
      <c r="E6338" s="87"/>
      <c r="F6338" s="87"/>
    </row>
    <row r="6340" spans="2:6">
      <c r="C6340" s="594" t="s">
        <v>2436</v>
      </c>
      <c r="D6340" s="693">
        <v>5</v>
      </c>
      <c r="E6340" s="694"/>
      <c r="F6340" s="695"/>
    </row>
    <row r="6341" spans="2:6">
      <c r="C6341" s="660" t="s">
        <v>3079</v>
      </c>
      <c r="D6341" s="696">
        <v>600</v>
      </c>
      <c r="E6341" s="697"/>
      <c r="F6341" s="696"/>
    </row>
    <row r="6342" spans="2:6">
      <c r="C6342" s="660" t="s">
        <v>2437</v>
      </c>
      <c r="D6342" s="696"/>
      <c r="E6342" s="697"/>
      <c r="F6342" s="696"/>
    </row>
    <row r="6343" spans="2:6">
      <c r="C6343" s="660" t="s">
        <v>1446</v>
      </c>
      <c r="D6343" s="693"/>
      <c r="E6343" s="694"/>
      <c r="F6343" s="693"/>
    </row>
    <row r="6344" spans="2:6">
      <c r="C6344" s="87" t="s">
        <v>1447</v>
      </c>
      <c r="D6344" s="693">
        <v>8</v>
      </c>
      <c r="E6344" s="693">
        <v>22</v>
      </c>
      <c r="F6344" s="693"/>
    </row>
    <row r="6345" spans="2:6">
      <c r="C6345" s="87" t="s">
        <v>2438</v>
      </c>
      <c r="D6345" s="693"/>
      <c r="E6345" s="693"/>
      <c r="F6345" s="693"/>
    </row>
    <row r="6348" spans="2:6" ht="15.6">
      <c r="B6348" s="519" t="s">
        <v>1079</v>
      </c>
      <c r="C6348" s="661" t="s">
        <v>3087</v>
      </c>
      <c r="D6348" s="687" t="s">
        <v>353</v>
      </c>
      <c r="E6348" s="688" t="s">
        <v>354</v>
      </c>
      <c r="F6348" s="687" t="s">
        <v>355</v>
      </c>
    </row>
    <row r="6349" spans="2:6" ht="31.2">
      <c r="C6349" s="753" t="s">
        <v>3088</v>
      </c>
      <c r="D6349" s="295"/>
      <c r="E6349" s="268"/>
      <c r="F6349" s="295"/>
    </row>
    <row r="6350" spans="2:6" ht="15.6">
      <c r="C6350" s="754" t="s">
        <v>3089</v>
      </c>
      <c r="D6350" s="295"/>
      <c r="E6350" s="268"/>
      <c r="F6350" s="295"/>
    </row>
    <row r="6351" spans="2:6" ht="31.2">
      <c r="C6351" s="754" t="s">
        <v>3090</v>
      </c>
      <c r="D6351" s="295"/>
      <c r="E6351" s="268"/>
      <c r="F6351" s="295"/>
    </row>
    <row r="6352" spans="2:6">
      <c r="C6352" s="191"/>
      <c r="D6352" s="751" t="e">
        <f>SUM(#REF!)</f>
        <v>#REF!</v>
      </c>
      <c r="E6352" s="751" t="e">
        <f>SUM(#REF!)</f>
        <v>#REF!</v>
      </c>
      <c r="F6352" s="751" t="e">
        <f>SUM(#REF!)</f>
        <v>#REF!</v>
      </c>
    </row>
    <row r="6353" spans="2:6">
      <c r="C6353" s="191"/>
      <c r="D6353" s="750"/>
      <c r="E6353" s="750" t="e">
        <f>D6352-E6352</f>
        <v>#REF!</v>
      </c>
      <c r="F6353" s="750" t="e">
        <f>E6352-F6352</f>
        <v>#REF!</v>
      </c>
    </row>
    <row r="6354" spans="2:6">
      <c r="D6354" s="7"/>
      <c r="E6354" s="7"/>
      <c r="F6354" s="7"/>
    </row>
    <row r="6355" spans="2:6">
      <c r="C6355" s="594" t="s">
        <v>3091</v>
      </c>
      <c r="D6355" s="693">
        <v>60</v>
      </c>
      <c r="E6355" s="694"/>
      <c r="F6355" s="695"/>
    </row>
    <row r="6356" spans="2:6">
      <c r="C6356" s="660" t="s">
        <v>3079</v>
      </c>
      <c r="D6356" s="696">
        <v>75</v>
      </c>
      <c r="E6356" s="697"/>
      <c r="F6356" s="696"/>
    </row>
    <row r="6357" spans="2:6">
      <c r="C6357" s="660" t="s">
        <v>2437</v>
      </c>
      <c r="D6357" s="696"/>
      <c r="E6357" s="697"/>
      <c r="F6357" s="696"/>
    </row>
    <row r="6358" spans="2:6">
      <c r="C6358" s="660" t="s">
        <v>1446</v>
      </c>
      <c r="D6358" s="693"/>
      <c r="E6358" s="694"/>
      <c r="F6358" s="693"/>
    </row>
    <row r="6359" spans="2:6">
      <c r="C6359" s="87" t="s">
        <v>1447</v>
      </c>
      <c r="D6359" s="693">
        <v>8</v>
      </c>
      <c r="E6359" s="693">
        <v>22</v>
      </c>
      <c r="F6359" s="693"/>
    </row>
    <row r="6360" spans="2:6">
      <c r="C6360" s="87" t="s">
        <v>2438</v>
      </c>
      <c r="D6360" s="693"/>
      <c r="E6360" s="693"/>
      <c r="F6360" s="693"/>
    </row>
    <row r="6363" spans="2:6" ht="31.2">
      <c r="B6363" s="519" t="s">
        <v>1079</v>
      </c>
      <c r="C6363" s="730" t="s">
        <v>3092</v>
      </c>
      <c r="D6363" s="687" t="s">
        <v>353</v>
      </c>
      <c r="E6363" s="688" t="s">
        <v>354</v>
      </c>
      <c r="F6363" s="687" t="s">
        <v>355</v>
      </c>
    </row>
    <row r="6364" spans="2:6" ht="43.2">
      <c r="C6364" s="757" t="s">
        <v>3093</v>
      </c>
      <c r="D6364" s="755"/>
      <c r="E6364" s="750"/>
      <c r="F6364" s="750"/>
    </row>
    <row r="6365" spans="2:6">
      <c r="C6365" s="758" t="s">
        <v>3094</v>
      </c>
      <c r="D6365" s="755">
        <v>0.3</v>
      </c>
      <c r="E6365" s="750">
        <v>0.3</v>
      </c>
      <c r="F6365" s="750">
        <v>0.3</v>
      </c>
    </row>
    <row r="6366" spans="2:6" ht="43.2">
      <c r="C6366" s="758" t="s">
        <v>3095</v>
      </c>
      <c r="D6366" s="755">
        <v>0.45</v>
      </c>
      <c r="E6366" s="750">
        <v>0.45</v>
      </c>
      <c r="F6366" s="750">
        <v>0.45</v>
      </c>
    </row>
    <row r="6367" spans="2:6">
      <c r="C6367" s="758" t="s">
        <v>3096</v>
      </c>
      <c r="D6367" s="755">
        <v>0.1</v>
      </c>
      <c r="E6367" s="750">
        <v>0.1</v>
      </c>
      <c r="F6367" s="750">
        <v>0.1</v>
      </c>
    </row>
    <row r="6368" spans="2:6">
      <c r="C6368" s="758" t="s">
        <v>3097</v>
      </c>
      <c r="D6368" s="755">
        <v>0.1</v>
      </c>
      <c r="E6368" s="750">
        <v>0.1</v>
      </c>
      <c r="F6368" s="750">
        <v>0.1</v>
      </c>
    </row>
    <row r="6369" spans="2:6">
      <c r="C6369" s="191"/>
      <c r="D6369" s="756">
        <f>SUM(D6364:D6368)</f>
        <v>0.95</v>
      </c>
      <c r="E6369" s="751">
        <f>SUM(E6364:E6368)</f>
        <v>0.95</v>
      </c>
      <c r="F6369" s="751">
        <f>SUM(F6364:F6368)</f>
        <v>0.95</v>
      </c>
    </row>
    <row r="6370" spans="2:6">
      <c r="C6370" s="191"/>
      <c r="D6370" s="755"/>
      <c r="E6370" s="750">
        <f>D6369-E6369</f>
        <v>0</v>
      </c>
      <c r="F6370" s="750">
        <f>E6369-F6369</f>
        <v>0</v>
      </c>
    </row>
    <row r="6371" spans="2:6">
      <c r="D6371" s="7"/>
      <c r="E6371" s="7"/>
      <c r="F6371" s="7"/>
    </row>
    <row r="6372" spans="2:6">
      <c r="C6372" s="594" t="s">
        <v>3098</v>
      </c>
      <c r="D6372" s="693">
        <v>480</v>
      </c>
      <c r="E6372" s="694"/>
      <c r="F6372" s="695"/>
    </row>
    <row r="6373" spans="2:6">
      <c r="C6373" s="660" t="s">
        <v>3099</v>
      </c>
      <c r="D6373" s="696">
        <v>1</v>
      </c>
      <c r="E6373" s="697"/>
      <c r="F6373" s="696"/>
    </row>
    <row r="6374" spans="2:6">
      <c r="C6374" s="660" t="s">
        <v>2437</v>
      </c>
      <c r="D6374" s="696"/>
      <c r="E6374" s="697"/>
      <c r="F6374" s="696"/>
    </row>
    <row r="6375" spans="2:6">
      <c r="C6375" s="660" t="s">
        <v>1446</v>
      </c>
      <c r="D6375" s="693"/>
      <c r="E6375" s="694"/>
      <c r="F6375" s="693"/>
    </row>
    <row r="6376" spans="2:6">
      <c r="C6376" s="87" t="s">
        <v>1447</v>
      </c>
      <c r="D6376" s="693">
        <v>8</v>
      </c>
      <c r="E6376" s="693">
        <v>22</v>
      </c>
      <c r="F6376" s="693"/>
    </row>
    <row r="6377" spans="2:6">
      <c r="C6377" s="87" t="s">
        <v>2438</v>
      </c>
      <c r="D6377" s="693"/>
      <c r="E6377" s="693"/>
      <c r="F6377" s="693"/>
    </row>
    <row r="6380" spans="2:6" ht="31.2">
      <c r="B6380" s="519" t="s">
        <v>1079</v>
      </c>
      <c r="C6380" s="661" t="s">
        <v>3100</v>
      </c>
      <c r="D6380" s="687" t="s">
        <v>353</v>
      </c>
      <c r="E6380" s="688" t="s">
        <v>354</v>
      </c>
      <c r="F6380" s="687" t="s">
        <v>355</v>
      </c>
    </row>
    <row r="6381" spans="2:6" ht="28.8">
      <c r="C6381" s="654" t="s">
        <v>3101</v>
      </c>
      <c r="D6381" s="750">
        <v>0.05</v>
      </c>
      <c r="E6381" s="750">
        <v>0.05</v>
      </c>
      <c r="F6381" s="750">
        <v>0.01</v>
      </c>
    </row>
    <row r="6382" spans="2:6" ht="28.8">
      <c r="C6382" s="191" t="s">
        <v>3102</v>
      </c>
      <c r="D6382" s="750">
        <v>0.3</v>
      </c>
      <c r="E6382" s="750">
        <v>0.3</v>
      </c>
      <c r="F6382" s="750">
        <v>0.1</v>
      </c>
    </row>
    <row r="6383" spans="2:6" ht="43.2">
      <c r="C6383" s="191" t="s">
        <v>3103</v>
      </c>
      <c r="D6383" s="750">
        <v>0.4</v>
      </c>
      <c r="E6383" s="750">
        <v>0.4</v>
      </c>
      <c r="F6383" s="750">
        <v>0.4</v>
      </c>
    </row>
    <row r="6384" spans="2:6">
      <c r="C6384" s="191" t="s">
        <v>3104</v>
      </c>
      <c r="D6384" s="750">
        <v>0.1</v>
      </c>
      <c r="E6384" s="750">
        <v>0.1</v>
      </c>
      <c r="F6384" s="750">
        <v>0.1</v>
      </c>
    </row>
    <row r="6385" spans="2:6">
      <c r="C6385" s="191"/>
      <c r="D6385" s="751">
        <f>SUM(D6381:D6384)</f>
        <v>0.85</v>
      </c>
      <c r="E6385" s="751">
        <f>SUM(E6381:E6384)</f>
        <v>0.85</v>
      </c>
      <c r="F6385" s="751">
        <f>SUM(F6381:F6384)</f>
        <v>0.61</v>
      </c>
    </row>
    <row r="6386" spans="2:6">
      <c r="C6386" s="191"/>
      <c r="D6386" s="750"/>
      <c r="E6386" s="750">
        <f>D6385-E6385</f>
        <v>0</v>
      </c>
      <c r="F6386" s="750">
        <f>E6385-F6385</f>
        <v>0.24</v>
      </c>
    </row>
    <row r="6387" spans="2:6">
      <c r="D6387" s="7"/>
      <c r="E6387" s="7"/>
      <c r="F6387" s="7"/>
    </row>
    <row r="6388" spans="2:6">
      <c r="C6388" s="594" t="s">
        <v>3098</v>
      </c>
      <c r="D6388" s="693">
        <v>960</v>
      </c>
      <c r="E6388" s="694"/>
      <c r="F6388" s="695"/>
    </row>
    <row r="6389" spans="2:6">
      <c r="C6389" s="660" t="s">
        <v>3099</v>
      </c>
      <c r="D6389" s="696">
        <v>3</v>
      </c>
      <c r="E6389" s="697"/>
      <c r="F6389" s="696"/>
    </row>
    <row r="6390" spans="2:6">
      <c r="C6390" s="660" t="s">
        <v>2437</v>
      </c>
      <c r="D6390" s="696"/>
      <c r="E6390" s="697"/>
      <c r="F6390" s="696"/>
    </row>
    <row r="6391" spans="2:6">
      <c r="C6391" s="660" t="s">
        <v>1446</v>
      </c>
      <c r="D6391" s="693"/>
      <c r="E6391" s="694"/>
      <c r="F6391" s="693"/>
    </row>
    <row r="6392" spans="2:6">
      <c r="C6392" s="87" t="s">
        <v>1447</v>
      </c>
      <c r="D6392" s="693">
        <v>8</v>
      </c>
      <c r="E6392" s="693">
        <v>22</v>
      </c>
      <c r="F6392" s="693"/>
    </row>
    <row r="6393" spans="2:6">
      <c r="C6393" s="87" t="s">
        <v>2438</v>
      </c>
      <c r="D6393" s="693"/>
      <c r="E6393" s="693"/>
      <c r="F6393" s="693"/>
    </row>
    <row r="6396" spans="2:6" ht="15.6">
      <c r="B6396" s="519" t="s">
        <v>1079</v>
      </c>
      <c r="C6396" s="661" t="s">
        <v>3105</v>
      </c>
      <c r="D6396" s="687" t="s">
        <v>353</v>
      </c>
      <c r="E6396" s="688" t="s">
        <v>354</v>
      </c>
      <c r="F6396" s="687" t="s">
        <v>355</v>
      </c>
    </row>
    <row r="6397" spans="2:6" ht="28.8">
      <c r="C6397" s="654" t="s">
        <v>3106</v>
      </c>
      <c r="D6397" s="750">
        <v>0.05</v>
      </c>
      <c r="E6397" s="750">
        <v>0.05</v>
      </c>
      <c r="F6397" s="750">
        <v>0.01</v>
      </c>
    </row>
    <row r="6398" spans="2:6" ht="28.8">
      <c r="C6398" s="191" t="s">
        <v>3102</v>
      </c>
      <c r="D6398" s="750">
        <v>0.3</v>
      </c>
      <c r="E6398" s="750">
        <v>0.3</v>
      </c>
      <c r="F6398" s="750">
        <v>0.1</v>
      </c>
    </row>
    <row r="6399" spans="2:6" ht="43.2">
      <c r="C6399" s="191" t="s">
        <v>3107</v>
      </c>
      <c r="D6399" s="750">
        <v>0.4</v>
      </c>
      <c r="E6399" s="750">
        <v>0.4</v>
      </c>
      <c r="F6399" s="750">
        <v>0.4</v>
      </c>
    </row>
    <row r="6400" spans="2:6" ht="28.8">
      <c r="C6400" s="191" t="s">
        <v>3108</v>
      </c>
      <c r="D6400" s="750">
        <v>0.1</v>
      </c>
      <c r="E6400" s="750">
        <v>0.1</v>
      </c>
      <c r="F6400" s="750">
        <v>0.1</v>
      </c>
    </row>
    <row r="6401" spans="2:6">
      <c r="C6401" s="191"/>
      <c r="D6401" s="751">
        <f>SUM(D6397:D6400)</f>
        <v>0.85</v>
      </c>
      <c r="E6401" s="751">
        <f>SUM(E6397:E6400)</f>
        <v>0.85</v>
      </c>
      <c r="F6401" s="751">
        <f>SUM(F6397:F6400)</f>
        <v>0.61</v>
      </c>
    </row>
    <row r="6402" spans="2:6">
      <c r="C6402" s="191"/>
      <c r="D6402" s="750"/>
      <c r="E6402" s="750">
        <f>D6401-E6401</f>
        <v>0</v>
      </c>
      <c r="F6402" s="750">
        <f>E6401-F6401</f>
        <v>0.24</v>
      </c>
    </row>
    <row r="6403" spans="2:6">
      <c r="D6403" s="7"/>
      <c r="E6403" s="7"/>
      <c r="F6403" s="7"/>
    </row>
    <row r="6404" spans="2:6">
      <c r="C6404" s="594" t="s">
        <v>3098</v>
      </c>
      <c r="D6404" s="693">
        <v>960</v>
      </c>
      <c r="E6404" s="694"/>
      <c r="F6404" s="695"/>
    </row>
    <row r="6405" spans="2:6">
      <c r="C6405" s="660" t="s">
        <v>3099</v>
      </c>
      <c r="D6405" s="696">
        <v>3</v>
      </c>
      <c r="E6405" s="697"/>
      <c r="F6405" s="696"/>
    </row>
    <row r="6406" spans="2:6">
      <c r="C6406" s="660" t="s">
        <v>2437</v>
      </c>
      <c r="D6406" s="696"/>
      <c r="E6406" s="697"/>
      <c r="F6406" s="696"/>
    </row>
    <row r="6407" spans="2:6">
      <c r="C6407" s="660" t="s">
        <v>1446</v>
      </c>
      <c r="D6407" s="693"/>
      <c r="E6407" s="694"/>
      <c r="F6407" s="693"/>
    </row>
    <row r="6408" spans="2:6">
      <c r="C6408" s="87" t="s">
        <v>1447</v>
      </c>
      <c r="D6408" s="693">
        <v>8</v>
      </c>
      <c r="E6408" s="693">
        <v>22</v>
      </c>
      <c r="F6408" s="693"/>
    </row>
    <row r="6409" spans="2:6">
      <c r="C6409" s="87" t="s">
        <v>2438</v>
      </c>
      <c r="D6409" s="693"/>
      <c r="E6409" s="693"/>
      <c r="F6409" s="693"/>
    </row>
    <row r="6411" spans="2:6" ht="31.2">
      <c r="B6411" s="519" t="s">
        <v>1079</v>
      </c>
      <c r="C6411" s="661" t="s">
        <v>3109</v>
      </c>
      <c r="D6411" s="687" t="s">
        <v>353</v>
      </c>
      <c r="E6411" s="688" t="s">
        <v>354</v>
      </c>
      <c r="F6411" s="687" t="s">
        <v>355</v>
      </c>
    </row>
    <row r="6412" spans="2:6">
      <c r="C6412" s="654" t="s">
        <v>3110</v>
      </c>
      <c r="D6412" s="750">
        <v>0.05</v>
      </c>
      <c r="E6412" s="750">
        <v>0.05</v>
      </c>
      <c r="F6412" s="750">
        <v>0.05</v>
      </c>
    </row>
    <row r="6413" spans="2:6">
      <c r="C6413" s="654"/>
      <c r="D6413" s="750"/>
      <c r="E6413" s="750"/>
      <c r="F6413" s="750"/>
    </row>
    <row r="6414" spans="2:6" ht="28.8">
      <c r="C6414" s="654" t="s">
        <v>3111</v>
      </c>
      <c r="D6414" s="750"/>
      <c r="E6414" s="750"/>
      <c r="F6414" s="750"/>
    </row>
    <row r="6415" spans="2:6">
      <c r="C6415" s="654" t="s">
        <v>3112</v>
      </c>
      <c r="D6415" s="750"/>
      <c r="E6415" s="750"/>
      <c r="F6415" s="750"/>
    </row>
    <row r="6416" spans="2:6" ht="28.8">
      <c r="C6416" s="654" t="s">
        <v>3113</v>
      </c>
      <c r="D6416" s="750"/>
      <c r="E6416" s="750"/>
      <c r="F6416" s="750"/>
    </row>
    <row r="6417" spans="2:6" ht="28.8">
      <c r="C6417" s="654" t="s">
        <v>3114</v>
      </c>
      <c r="D6417" s="750"/>
      <c r="E6417" s="750"/>
      <c r="F6417" s="750"/>
    </row>
    <row r="6418" spans="2:6" ht="28.8">
      <c r="C6418" s="654" t="s">
        <v>3115</v>
      </c>
      <c r="D6418" s="750"/>
      <c r="E6418" s="750"/>
      <c r="F6418" s="750"/>
    </row>
    <row r="6419" spans="2:6">
      <c r="C6419" s="654" t="s">
        <v>3116</v>
      </c>
      <c r="D6419" s="750"/>
      <c r="E6419" s="750"/>
      <c r="F6419" s="750"/>
    </row>
    <row r="6420" spans="2:6" ht="28.8">
      <c r="C6420" s="654" t="s">
        <v>3117</v>
      </c>
      <c r="D6420" s="750"/>
      <c r="E6420" s="750"/>
      <c r="F6420" s="750"/>
    </row>
    <row r="6421" spans="2:6">
      <c r="C6421" s="191"/>
      <c r="D6421" s="751">
        <f>SUM(D6412:D6413)</f>
        <v>0.05</v>
      </c>
      <c r="E6421" s="751">
        <f>SUM(E6412:E6413)</f>
        <v>0.05</v>
      </c>
      <c r="F6421" s="751">
        <f>SUM(F6412:F6413)</f>
        <v>0.05</v>
      </c>
    </row>
    <row r="6422" spans="2:6">
      <c r="C6422" s="191"/>
      <c r="D6422" s="750"/>
      <c r="E6422" s="750">
        <f>D6421-E6421</f>
        <v>0</v>
      </c>
      <c r="F6422" s="750">
        <f>E6421-F6421</f>
        <v>0</v>
      </c>
    </row>
    <row r="6423" spans="2:6">
      <c r="D6423" s="7"/>
      <c r="E6423" s="7"/>
      <c r="F6423" s="7"/>
    </row>
    <row r="6424" spans="2:6">
      <c r="C6424" s="594" t="s">
        <v>3098</v>
      </c>
      <c r="D6424" s="693">
        <v>3360</v>
      </c>
      <c r="E6424" s="694"/>
      <c r="F6424" s="695"/>
    </row>
    <row r="6425" spans="2:6">
      <c r="C6425" s="660" t="s">
        <v>3099</v>
      </c>
      <c r="D6425" s="696">
        <v>7</v>
      </c>
      <c r="E6425" s="697"/>
      <c r="F6425" s="696"/>
    </row>
    <row r="6426" spans="2:6">
      <c r="C6426" s="660" t="s">
        <v>2437</v>
      </c>
      <c r="D6426" s="696"/>
      <c r="E6426" s="697"/>
      <c r="F6426" s="696"/>
    </row>
    <row r="6427" spans="2:6">
      <c r="C6427" s="660" t="s">
        <v>1446</v>
      </c>
      <c r="D6427" s="693"/>
      <c r="E6427" s="694"/>
      <c r="F6427" s="693"/>
    </row>
    <row r="6428" spans="2:6">
      <c r="C6428" s="87" t="s">
        <v>1447</v>
      </c>
      <c r="D6428" s="693">
        <v>8</v>
      </c>
      <c r="E6428" s="693">
        <v>22</v>
      </c>
      <c r="F6428" s="693"/>
    </row>
    <row r="6429" spans="2:6">
      <c r="C6429" s="87" t="s">
        <v>2438</v>
      </c>
      <c r="D6429" s="693"/>
      <c r="E6429" s="693"/>
      <c r="F6429" s="693"/>
    </row>
    <row r="6432" spans="2:6" ht="15.6">
      <c r="B6432" s="519" t="s">
        <v>1079</v>
      </c>
      <c r="C6432" s="661" t="s">
        <v>3118</v>
      </c>
      <c r="D6432" s="687" t="s">
        <v>353</v>
      </c>
      <c r="E6432" s="688" t="s">
        <v>354</v>
      </c>
      <c r="F6432" s="687" t="s">
        <v>355</v>
      </c>
    </row>
    <row r="6433" spans="3:6" ht="28.8">
      <c r="C6433" s="654" t="s">
        <v>3119</v>
      </c>
      <c r="D6433" s="750">
        <v>0.05</v>
      </c>
      <c r="E6433" s="750">
        <v>0.05</v>
      </c>
      <c r="F6433" s="750">
        <v>0.05</v>
      </c>
    </row>
    <row r="6434" spans="3:6">
      <c r="C6434" s="654" t="s">
        <v>3120</v>
      </c>
      <c r="D6434" s="750"/>
      <c r="E6434" s="750"/>
      <c r="F6434" s="750"/>
    </row>
    <row r="6435" spans="3:6" ht="28.8">
      <c r="C6435" s="654" t="s">
        <v>3121</v>
      </c>
      <c r="D6435" s="750"/>
      <c r="E6435" s="750"/>
      <c r="F6435" s="750"/>
    </row>
    <row r="6436" spans="3:6">
      <c r="C6436" s="654"/>
      <c r="D6436" s="750"/>
      <c r="E6436" s="750"/>
      <c r="F6436" s="750"/>
    </row>
    <row r="6437" spans="3:6">
      <c r="C6437" s="654" t="s">
        <v>3122</v>
      </c>
      <c r="D6437" s="750"/>
      <c r="E6437" s="750"/>
      <c r="F6437" s="750"/>
    </row>
    <row r="6438" spans="3:6">
      <c r="C6438" s="654" t="s">
        <v>3123</v>
      </c>
      <c r="D6438" s="750"/>
      <c r="E6438" s="750"/>
      <c r="F6438" s="750"/>
    </row>
    <row r="6439" spans="3:6">
      <c r="C6439" s="654" t="s">
        <v>3124</v>
      </c>
      <c r="D6439" s="750">
        <v>0.05</v>
      </c>
      <c r="E6439" s="750">
        <v>0.05</v>
      </c>
      <c r="F6439" s="750">
        <v>0.05</v>
      </c>
    </row>
    <row r="6440" spans="3:6">
      <c r="C6440" s="654" t="s">
        <v>3125</v>
      </c>
      <c r="D6440" s="750">
        <v>0.05</v>
      </c>
      <c r="E6440" s="750">
        <v>0.05</v>
      </c>
      <c r="F6440" s="750">
        <v>0.05</v>
      </c>
    </row>
    <row r="6441" spans="3:6">
      <c r="C6441" s="654" t="s">
        <v>3126</v>
      </c>
      <c r="D6441" s="750">
        <v>0.15</v>
      </c>
      <c r="E6441" s="750">
        <v>0.15</v>
      </c>
      <c r="F6441" s="750">
        <v>0.15</v>
      </c>
    </row>
    <row r="6442" spans="3:6">
      <c r="C6442" s="654" t="s">
        <v>3127</v>
      </c>
      <c r="D6442" s="750">
        <v>0.15</v>
      </c>
      <c r="E6442" s="750">
        <v>0.15</v>
      </c>
      <c r="F6442" s="750">
        <v>0.15</v>
      </c>
    </row>
    <row r="6443" spans="3:6">
      <c r="C6443" s="654" t="s">
        <v>3128</v>
      </c>
      <c r="D6443" s="750">
        <v>0.1</v>
      </c>
      <c r="E6443" s="750">
        <v>0.1</v>
      </c>
      <c r="F6443" s="750">
        <v>0.1</v>
      </c>
    </row>
    <row r="6444" spans="3:6">
      <c r="C6444" s="654" t="s">
        <v>3129</v>
      </c>
      <c r="D6444" s="750">
        <v>0.05</v>
      </c>
      <c r="E6444" s="750">
        <v>0.05</v>
      </c>
      <c r="F6444" s="750">
        <v>0.05</v>
      </c>
    </row>
    <row r="6445" spans="3:6">
      <c r="C6445" s="654" t="s">
        <v>3130</v>
      </c>
      <c r="D6445" s="750">
        <v>0.05</v>
      </c>
      <c r="E6445" s="750">
        <v>0.05</v>
      </c>
      <c r="F6445" s="750">
        <v>0.05</v>
      </c>
    </row>
    <row r="6446" spans="3:6">
      <c r="C6446" s="654" t="s">
        <v>3131</v>
      </c>
      <c r="D6446" s="750">
        <v>0.15</v>
      </c>
      <c r="E6446" s="750">
        <v>0.15</v>
      </c>
      <c r="F6446" s="750">
        <v>0.15</v>
      </c>
    </row>
    <row r="6447" spans="3:6">
      <c r="C6447" s="654" t="s">
        <v>3132</v>
      </c>
      <c r="D6447" s="750">
        <v>0.1</v>
      </c>
      <c r="E6447" s="750">
        <v>0.1</v>
      </c>
      <c r="F6447" s="750">
        <v>0.1</v>
      </c>
    </row>
    <row r="6448" spans="3:6">
      <c r="C6448" s="654" t="s">
        <v>3133</v>
      </c>
      <c r="D6448" s="750">
        <v>0.1</v>
      </c>
      <c r="E6448" s="750">
        <v>0.1</v>
      </c>
      <c r="F6448" s="750">
        <v>0.1</v>
      </c>
    </row>
    <row r="6449" spans="2:6">
      <c r="C6449" s="191"/>
      <c r="D6449" s="751">
        <f>SUM(D6433:D6448)</f>
        <v>1.0000000000000002</v>
      </c>
      <c r="E6449" s="751">
        <f>SUM(E6433:E6448)</f>
        <v>1.0000000000000002</v>
      </c>
      <c r="F6449" s="751">
        <f>SUM(F6433:F6448)</f>
        <v>1.0000000000000002</v>
      </c>
    </row>
    <row r="6450" spans="2:6">
      <c r="C6450" s="191"/>
      <c r="D6450" s="750"/>
      <c r="E6450" s="750">
        <f>D6449-E6449</f>
        <v>0</v>
      </c>
      <c r="F6450" s="750">
        <f>E6449-F6449</f>
        <v>0</v>
      </c>
    </row>
    <row r="6451" spans="2:6">
      <c r="D6451" s="7"/>
      <c r="E6451" s="7"/>
      <c r="F6451" s="7"/>
    </row>
    <row r="6452" spans="2:6">
      <c r="C6452" s="594" t="s">
        <v>3098</v>
      </c>
      <c r="D6452" s="693">
        <v>480</v>
      </c>
      <c r="E6452" s="694"/>
      <c r="F6452" s="695"/>
    </row>
    <row r="6453" spans="2:6">
      <c r="C6453" s="660" t="s">
        <v>3099</v>
      </c>
      <c r="D6453" s="696">
        <v>4000</v>
      </c>
      <c r="E6453" s="697"/>
      <c r="F6453" s="696"/>
    </row>
    <row r="6454" spans="2:6">
      <c r="C6454" s="660" t="s">
        <v>2437</v>
      </c>
      <c r="D6454" s="696"/>
      <c r="E6454" s="697"/>
      <c r="F6454" s="696"/>
    </row>
    <row r="6455" spans="2:6">
      <c r="C6455" s="660" t="s">
        <v>1446</v>
      </c>
      <c r="D6455" s="693"/>
      <c r="E6455" s="694"/>
      <c r="F6455" s="693"/>
    </row>
    <row r="6456" spans="2:6">
      <c r="C6456" s="87" t="s">
        <v>1447</v>
      </c>
      <c r="D6456" s="693">
        <v>8</v>
      </c>
      <c r="E6456" s="693">
        <v>22</v>
      </c>
      <c r="F6456" s="693"/>
    </row>
    <row r="6457" spans="2:6">
      <c r="C6457" s="87" t="s">
        <v>2438</v>
      </c>
      <c r="D6457" s="693"/>
      <c r="E6457" s="693"/>
      <c r="F6457" s="693"/>
    </row>
    <row r="6460" spans="2:6" ht="15.6">
      <c r="B6460" s="519" t="s">
        <v>1079</v>
      </c>
      <c r="C6460" s="661" t="s">
        <v>3134</v>
      </c>
      <c r="D6460" s="687" t="s">
        <v>353</v>
      </c>
      <c r="E6460" s="688" t="s">
        <v>354</v>
      </c>
      <c r="F6460" s="687" t="s">
        <v>355</v>
      </c>
    </row>
    <row r="6461" spans="2:6">
      <c r="C6461" s="654" t="s">
        <v>3135</v>
      </c>
      <c r="D6461" s="750">
        <v>0.2</v>
      </c>
      <c r="E6461" s="750">
        <v>0.2</v>
      </c>
      <c r="F6461" s="750">
        <v>0.2</v>
      </c>
    </row>
    <row r="6462" spans="2:6">
      <c r="C6462" s="654"/>
      <c r="D6462" s="750"/>
      <c r="E6462" s="750"/>
      <c r="F6462" s="750"/>
    </row>
    <row r="6463" spans="2:6">
      <c r="C6463" s="191"/>
      <c r="D6463" s="751">
        <f>SUM(D6461:D6462)</f>
        <v>0.2</v>
      </c>
      <c r="E6463" s="751">
        <f>SUM(E6461:E6462)</f>
        <v>0.2</v>
      </c>
      <c r="F6463" s="751">
        <f>SUM(F6461:F6462)</f>
        <v>0.2</v>
      </c>
    </row>
    <row r="6464" spans="2:6">
      <c r="C6464" s="191"/>
      <c r="D6464" s="750"/>
      <c r="E6464" s="750">
        <f>D6463-E6463</f>
        <v>0</v>
      </c>
      <c r="F6464" s="750">
        <f>E6463-F6463</f>
        <v>0</v>
      </c>
    </row>
    <row r="6465" spans="2:6">
      <c r="D6465" s="7"/>
      <c r="E6465" s="7"/>
      <c r="F6465" s="7"/>
    </row>
    <row r="6466" spans="2:6">
      <c r="C6466" s="594" t="s">
        <v>3136</v>
      </c>
      <c r="D6466" s="693">
        <v>2</v>
      </c>
      <c r="E6466" s="694"/>
      <c r="F6466" s="695"/>
    </row>
    <row r="6467" spans="2:6">
      <c r="C6467" s="660" t="s">
        <v>3099</v>
      </c>
      <c r="D6467" s="696">
        <v>2000</v>
      </c>
      <c r="E6467" s="697"/>
      <c r="F6467" s="696"/>
    </row>
    <row r="6468" spans="2:6">
      <c r="C6468" s="660" t="s">
        <v>2437</v>
      </c>
      <c r="D6468" s="696"/>
      <c r="E6468" s="697"/>
      <c r="F6468" s="696"/>
    </row>
    <row r="6469" spans="2:6">
      <c r="C6469" s="660" t="s">
        <v>1446</v>
      </c>
      <c r="D6469" s="693"/>
      <c r="E6469" s="694"/>
      <c r="F6469" s="693"/>
    </row>
    <row r="6470" spans="2:6">
      <c r="C6470" s="87" t="s">
        <v>1447</v>
      </c>
      <c r="D6470" s="693">
        <v>8</v>
      </c>
      <c r="E6470" s="693">
        <v>22</v>
      </c>
      <c r="F6470" s="693"/>
    </row>
    <row r="6471" spans="2:6">
      <c r="C6471" s="87" t="s">
        <v>2438</v>
      </c>
      <c r="D6471" s="693"/>
      <c r="E6471" s="693"/>
      <c r="F6471" s="693"/>
    </row>
    <row r="6474" spans="2:6" ht="15.6">
      <c r="B6474" s="519" t="s">
        <v>1079</v>
      </c>
      <c r="C6474" s="661" t="s">
        <v>3137</v>
      </c>
      <c r="D6474" s="687" t="s">
        <v>353</v>
      </c>
      <c r="E6474" s="688" t="s">
        <v>354</v>
      </c>
      <c r="F6474" s="687" t="s">
        <v>355</v>
      </c>
    </row>
    <row r="6475" spans="2:6">
      <c r="C6475" s="654" t="s">
        <v>3135</v>
      </c>
      <c r="D6475" s="750"/>
      <c r="E6475" s="750"/>
      <c r="F6475" s="750"/>
    </row>
    <row r="6476" spans="2:6">
      <c r="C6476" s="654"/>
      <c r="D6476" s="750"/>
      <c r="E6476" s="750"/>
      <c r="F6476" s="750"/>
    </row>
    <row r="6477" spans="2:6">
      <c r="C6477" s="654"/>
      <c r="D6477" s="759">
        <f>SUM(D6475:D6476)</f>
        <v>0</v>
      </c>
      <c r="E6477" s="759">
        <f>SUM(E6475:E6476)</f>
        <v>0</v>
      </c>
      <c r="F6477" s="759">
        <f>SUM(F6475:F6476)</f>
        <v>0</v>
      </c>
    </row>
    <row r="6478" spans="2:6">
      <c r="C6478" s="191"/>
      <c r="D6478" s="750"/>
      <c r="E6478" s="750">
        <f>D6477-E6477</f>
        <v>0</v>
      </c>
      <c r="F6478" s="750">
        <f>E6477-F6477</f>
        <v>0</v>
      </c>
    </row>
    <row r="6479" spans="2:6">
      <c r="D6479" s="7"/>
      <c r="E6479" s="7"/>
      <c r="F6479" s="7"/>
    </row>
    <row r="6480" spans="2:6">
      <c r="C6480" s="594" t="s">
        <v>3138</v>
      </c>
      <c r="D6480" s="693">
        <v>2400</v>
      </c>
      <c r="E6480" s="694"/>
      <c r="F6480" s="695"/>
    </row>
    <row r="6481" spans="2:6">
      <c r="C6481" s="660" t="s">
        <v>3099</v>
      </c>
      <c r="D6481" s="696">
        <v>1</v>
      </c>
      <c r="E6481" s="697"/>
      <c r="F6481" s="696"/>
    </row>
    <row r="6482" spans="2:6">
      <c r="C6482" s="660" t="s">
        <v>2437</v>
      </c>
      <c r="D6482" s="696"/>
      <c r="E6482" s="697"/>
      <c r="F6482" s="696"/>
    </row>
    <row r="6483" spans="2:6">
      <c r="C6483" s="660" t="s">
        <v>1446</v>
      </c>
      <c r="D6483" s="693"/>
      <c r="E6483" s="694"/>
      <c r="F6483" s="693"/>
    </row>
    <row r="6484" spans="2:6">
      <c r="C6484" s="87" t="s">
        <v>1447</v>
      </c>
      <c r="D6484" s="693">
        <v>8</v>
      </c>
      <c r="E6484" s="693">
        <v>22</v>
      </c>
      <c r="F6484" s="693"/>
    </row>
    <row r="6485" spans="2:6">
      <c r="C6485" s="87" t="s">
        <v>2438</v>
      </c>
      <c r="D6485" s="693"/>
      <c r="E6485" s="693"/>
      <c r="F6485" s="693"/>
    </row>
    <row r="6488" spans="2:6" ht="15.6">
      <c r="B6488" s="519" t="s">
        <v>1079</v>
      </c>
      <c r="C6488" s="661" t="s">
        <v>3139</v>
      </c>
      <c r="D6488" s="687" t="s">
        <v>353</v>
      </c>
      <c r="E6488" s="688" t="s">
        <v>354</v>
      </c>
      <c r="F6488" s="687" t="s">
        <v>355</v>
      </c>
    </row>
    <row r="6489" spans="2:6">
      <c r="C6489" s="654" t="s">
        <v>3140</v>
      </c>
      <c r="D6489" s="750"/>
      <c r="E6489" s="750"/>
      <c r="F6489" s="750"/>
    </row>
    <row r="6490" spans="2:6" ht="28.8">
      <c r="C6490" s="654" t="s">
        <v>3119</v>
      </c>
      <c r="D6490" s="750"/>
      <c r="E6490" s="750"/>
      <c r="F6490" s="750"/>
    </row>
    <row r="6491" spans="2:6">
      <c r="C6491" s="654" t="s">
        <v>3120</v>
      </c>
      <c r="D6491" s="750"/>
      <c r="E6491" s="750"/>
      <c r="F6491" s="750"/>
    </row>
    <row r="6492" spans="2:6" ht="28.8">
      <c r="C6492" s="654" t="s">
        <v>3121</v>
      </c>
      <c r="D6492" s="750"/>
      <c r="E6492" s="750"/>
      <c r="F6492" s="750"/>
    </row>
    <row r="6493" spans="2:6">
      <c r="C6493" s="654" t="s">
        <v>3141</v>
      </c>
      <c r="D6493" s="750">
        <v>0.25</v>
      </c>
      <c r="E6493" s="750">
        <v>0.25</v>
      </c>
      <c r="F6493" s="750">
        <v>0.25</v>
      </c>
    </row>
    <row r="6494" spans="2:6">
      <c r="C6494" s="654"/>
      <c r="D6494" s="750"/>
      <c r="E6494" s="750"/>
      <c r="F6494" s="750"/>
    </row>
    <row r="6495" spans="2:6">
      <c r="C6495" s="654"/>
      <c r="D6495" s="759">
        <f>SUM(D6489:D6494)</f>
        <v>0.25</v>
      </c>
      <c r="E6495" s="759">
        <f>SUM(E6489:E6494)</f>
        <v>0.25</v>
      </c>
      <c r="F6495" s="759">
        <f>SUM(F6489:F6494)</f>
        <v>0.25</v>
      </c>
    </row>
    <row r="6496" spans="2:6">
      <c r="C6496" s="191"/>
      <c r="D6496" s="750"/>
      <c r="E6496" s="750">
        <f>D6495-E6495</f>
        <v>0</v>
      </c>
      <c r="F6496" s="750">
        <f>E6495-F6495</f>
        <v>0</v>
      </c>
    </row>
    <row r="6497" spans="2:6">
      <c r="D6497" s="7"/>
      <c r="E6497" s="7"/>
      <c r="F6497" s="7"/>
    </row>
    <row r="6498" spans="2:6">
      <c r="C6498" s="594" t="s">
        <v>3142</v>
      </c>
      <c r="D6498" s="693">
        <v>480</v>
      </c>
      <c r="E6498" s="694"/>
      <c r="F6498" s="695"/>
    </row>
    <row r="6499" spans="2:6">
      <c r="C6499" s="660" t="s">
        <v>3099</v>
      </c>
      <c r="D6499" s="696">
        <v>20</v>
      </c>
      <c r="E6499" s="697"/>
      <c r="F6499" s="696"/>
    </row>
    <row r="6500" spans="2:6">
      <c r="C6500" s="660" t="s">
        <v>2437</v>
      </c>
      <c r="D6500" s="696"/>
      <c r="E6500" s="697"/>
      <c r="F6500" s="696"/>
    </row>
    <row r="6501" spans="2:6">
      <c r="C6501" s="660" t="s">
        <v>1446</v>
      </c>
      <c r="D6501" s="693"/>
      <c r="E6501" s="694"/>
      <c r="F6501" s="693"/>
    </row>
    <row r="6502" spans="2:6">
      <c r="C6502" s="87" t="s">
        <v>1447</v>
      </c>
      <c r="D6502" s="693">
        <v>8</v>
      </c>
      <c r="E6502" s="693">
        <v>22</v>
      </c>
      <c r="F6502" s="693"/>
    </row>
    <row r="6503" spans="2:6">
      <c r="C6503" s="87" t="s">
        <v>2438</v>
      </c>
      <c r="D6503" s="693"/>
      <c r="E6503" s="693"/>
      <c r="F6503" s="693"/>
    </row>
    <row r="6505" spans="2:6" ht="15.6">
      <c r="B6505" s="519" t="s">
        <v>1079</v>
      </c>
      <c r="C6505" s="661" t="s">
        <v>3143</v>
      </c>
      <c r="D6505" s="687" t="s">
        <v>353</v>
      </c>
      <c r="E6505" s="688" t="s">
        <v>354</v>
      </c>
      <c r="F6505" s="687" t="s">
        <v>355</v>
      </c>
    </row>
    <row r="6506" spans="2:6">
      <c r="C6506" s="191" t="s">
        <v>3144</v>
      </c>
      <c r="D6506" s="750">
        <v>0.01</v>
      </c>
      <c r="E6506" s="750">
        <v>0.01</v>
      </c>
      <c r="F6506" s="750">
        <v>0</v>
      </c>
    </row>
    <row r="6507" spans="2:6">
      <c r="C6507" s="191" t="s">
        <v>3145</v>
      </c>
      <c r="D6507" s="750">
        <v>0.1</v>
      </c>
      <c r="E6507" s="750">
        <v>0.1</v>
      </c>
      <c r="F6507" s="750">
        <v>0.1</v>
      </c>
    </row>
    <row r="6508" spans="2:6" ht="28.8">
      <c r="C6508" s="191" t="s">
        <v>3146</v>
      </c>
      <c r="D6508" s="750">
        <v>0.2</v>
      </c>
      <c r="E6508" s="750">
        <v>0.2</v>
      </c>
      <c r="F6508" s="750">
        <v>0.2</v>
      </c>
    </row>
    <row r="6509" spans="2:6">
      <c r="C6509" s="191" t="s">
        <v>3147</v>
      </c>
      <c r="D6509" s="750">
        <v>0.15</v>
      </c>
      <c r="E6509" s="750">
        <v>0.15</v>
      </c>
      <c r="F6509" s="750">
        <v>0.15</v>
      </c>
    </row>
    <row r="6510" spans="2:6" ht="28.8">
      <c r="C6510" s="191" t="s">
        <v>3148</v>
      </c>
      <c r="D6510" s="750">
        <v>0.05</v>
      </c>
      <c r="E6510" s="750">
        <v>0.05</v>
      </c>
      <c r="F6510" s="750">
        <v>0.05</v>
      </c>
    </row>
    <row r="6511" spans="2:6" ht="28.8">
      <c r="C6511" s="191" t="s">
        <v>3149</v>
      </c>
      <c r="D6511" s="750">
        <v>0.01</v>
      </c>
      <c r="E6511" s="750">
        <v>0.01</v>
      </c>
      <c r="F6511" s="750">
        <v>0.01</v>
      </c>
    </row>
    <row r="6512" spans="2:6" ht="28.8">
      <c r="C6512" s="191" t="s">
        <v>3150</v>
      </c>
      <c r="D6512" s="750">
        <v>0.02</v>
      </c>
      <c r="E6512" s="750">
        <v>0.02</v>
      </c>
      <c r="F6512" s="750">
        <v>0.02</v>
      </c>
    </row>
    <row r="6513" spans="3:6" ht="28.8">
      <c r="C6513" s="191" t="s">
        <v>3151</v>
      </c>
      <c r="D6513" s="750">
        <v>0.01</v>
      </c>
      <c r="E6513" s="750">
        <v>0.01</v>
      </c>
      <c r="F6513" s="750">
        <v>0.01</v>
      </c>
    </row>
    <row r="6514" spans="3:6">
      <c r="C6514" s="191" t="s">
        <v>3152</v>
      </c>
      <c r="D6514" s="750">
        <v>0.02</v>
      </c>
      <c r="E6514" s="750">
        <v>0.02</v>
      </c>
      <c r="F6514" s="750">
        <v>0.02</v>
      </c>
    </row>
    <row r="6515" spans="3:6" ht="28.8">
      <c r="C6515" s="191" t="s">
        <v>3153</v>
      </c>
      <c r="D6515" s="750">
        <v>0.01</v>
      </c>
      <c r="E6515" s="750">
        <v>0.01</v>
      </c>
      <c r="F6515" s="750">
        <v>0.01</v>
      </c>
    </row>
    <row r="6516" spans="3:6">
      <c r="C6516" s="191" t="s">
        <v>3154</v>
      </c>
      <c r="D6516" s="750">
        <v>0.05</v>
      </c>
      <c r="E6516" s="750">
        <v>0.05</v>
      </c>
      <c r="F6516" s="750">
        <v>2.5000000000000001E-2</v>
      </c>
    </row>
    <row r="6517" spans="3:6">
      <c r="C6517" s="191" t="s">
        <v>3155</v>
      </c>
      <c r="D6517" s="750">
        <v>0.02</v>
      </c>
      <c r="E6517" s="750">
        <v>0.02</v>
      </c>
      <c r="F6517" s="750">
        <v>0.01</v>
      </c>
    </row>
    <row r="6518" spans="3:6" ht="28.8">
      <c r="C6518" s="191" t="s">
        <v>3156</v>
      </c>
      <c r="D6518" s="750">
        <v>0.01</v>
      </c>
      <c r="E6518" s="750">
        <v>0.01</v>
      </c>
      <c r="F6518" s="750">
        <v>0</v>
      </c>
    </row>
    <row r="6519" spans="3:6" ht="28.8">
      <c r="C6519" s="191" t="s">
        <v>3157</v>
      </c>
      <c r="D6519" s="750">
        <v>0.02</v>
      </c>
      <c r="E6519" s="750">
        <v>0.01</v>
      </c>
      <c r="F6519" s="750">
        <v>0.01</v>
      </c>
    </row>
    <row r="6520" spans="3:6">
      <c r="C6520" s="654" t="s">
        <v>3158</v>
      </c>
      <c r="D6520" s="750">
        <v>0.05</v>
      </c>
      <c r="E6520" s="750">
        <v>0.05</v>
      </c>
      <c r="F6520" s="750">
        <v>0.05</v>
      </c>
    </row>
    <row r="6521" spans="3:6">
      <c r="C6521" s="191" t="s">
        <v>3159</v>
      </c>
      <c r="D6521" s="750">
        <v>0.02</v>
      </c>
      <c r="E6521" s="750">
        <v>0.02</v>
      </c>
      <c r="F6521" s="750">
        <v>0.01</v>
      </c>
    </row>
    <row r="6522" spans="3:6">
      <c r="C6522" s="191" t="s">
        <v>3160</v>
      </c>
      <c r="D6522" s="750">
        <v>0.02</v>
      </c>
      <c r="E6522" s="750">
        <v>0.02</v>
      </c>
      <c r="F6522" s="750">
        <v>0.01</v>
      </c>
    </row>
    <row r="6523" spans="3:6" ht="28.8">
      <c r="C6523" s="191" t="s">
        <v>3161</v>
      </c>
      <c r="D6523" s="750">
        <v>0.02</v>
      </c>
      <c r="E6523" s="750">
        <v>0.02</v>
      </c>
      <c r="F6523" s="750">
        <v>0.02</v>
      </c>
    </row>
    <row r="6524" spans="3:6">
      <c r="C6524" s="191" t="s">
        <v>3162</v>
      </c>
      <c r="D6524" s="750">
        <v>0.02</v>
      </c>
      <c r="E6524" s="750">
        <v>0.02</v>
      </c>
      <c r="F6524" s="750">
        <v>0.02</v>
      </c>
    </row>
    <row r="6525" spans="3:6" ht="28.8">
      <c r="C6525" s="191" t="s">
        <v>3163</v>
      </c>
      <c r="D6525" s="750">
        <v>0.05</v>
      </c>
      <c r="E6525" s="750">
        <v>0.05</v>
      </c>
      <c r="F6525" s="750">
        <v>0.05</v>
      </c>
    </row>
    <row r="6526" spans="3:6">
      <c r="C6526" s="600" t="s">
        <v>3164</v>
      </c>
      <c r="D6526" s="750">
        <v>0.02</v>
      </c>
      <c r="E6526" s="750">
        <v>0.02</v>
      </c>
      <c r="F6526" s="750">
        <v>0.02</v>
      </c>
    </row>
    <row r="6527" spans="3:6">
      <c r="C6527" s="191"/>
      <c r="D6527" s="751">
        <f>SUM(D6506:D6526)</f>
        <v>0.88000000000000034</v>
      </c>
      <c r="E6527" s="751">
        <f t="shared" ref="E6527:F6527" si="252">SUM(E6506:E6526)</f>
        <v>0.87000000000000033</v>
      </c>
      <c r="F6527" s="751">
        <f t="shared" si="252"/>
        <v>0.79500000000000037</v>
      </c>
    </row>
    <row r="6528" spans="3:6">
      <c r="C6528" s="191"/>
      <c r="D6528" s="750"/>
      <c r="E6528" s="751">
        <f>D6527-E6527</f>
        <v>1.0000000000000009E-2</v>
      </c>
      <c r="F6528" s="751">
        <f>E6527-F6527</f>
        <v>7.4999999999999956E-2</v>
      </c>
    </row>
    <row r="6529" spans="2:6">
      <c r="D6529" s="7"/>
      <c r="E6529" s="7"/>
      <c r="F6529" s="7"/>
    </row>
    <row r="6530" spans="2:6">
      <c r="C6530" s="594" t="s">
        <v>3165</v>
      </c>
      <c r="D6530" s="693">
        <v>480</v>
      </c>
      <c r="E6530" s="694"/>
      <c r="F6530" s="695"/>
    </row>
    <row r="6531" spans="2:6">
      <c r="C6531" s="660" t="s">
        <v>3099</v>
      </c>
      <c r="D6531" s="696">
        <v>20</v>
      </c>
      <c r="E6531" s="697"/>
      <c r="F6531" s="696"/>
    </row>
    <row r="6532" spans="2:6">
      <c r="C6532" s="660" t="s">
        <v>2437</v>
      </c>
      <c r="D6532" s="696"/>
      <c r="E6532" s="697"/>
      <c r="F6532" s="696"/>
    </row>
    <row r="6533" spans="2:6">
      <c r="C6533" s="660" t="s">
        <v>1446</v>
      </c>
      <c r="D6533" s="693"/>
      <c r="E6533" s="694"/>
      <c r="F6533" s="693"/>
    </row>
    <row r="6534" spans="2:6">
      <c r="C6534" s="87" t="s">
        <v>1447</v>
      </c>
      <c r="D6534" s="693">
        <v>8</v>
      </c>
      <c r="E6534" s="693">
        <v>22</v>
      </c>
      <c r="F6534" s="693"/>
    </row>
    <row r="6535" spans="2:6">
      <c r="C6535" s="87" t="s">
        <v>2438</v>
      </c>
      <c r="D6535" s="693"/>
      <c r="E6535" s="693"/>
      <c r="F6535" s="693"/>
    </row>
    <row r="6538" spans="2:6" ht="15.6">
      <c r="B6538" s="519" t="s">
        <v>1079</v>
      </c>
      <c r="C6538" s="661" t="s">
        <v>3166</v>
      </c>
      <c r="D6538" s="687" t="s">
        <v>353</v>
      </c>
      <c r="E6538" s="688" t="s">
        <v>354</v>
      </c>
      <c r="F6538" s="687" t="s">
        <v>355</v>
      </c>
    </row>
    <row r="6539" spans="2:6">
      <c r="C6539" s="191" t="s">
        <v>3167</v>
      </c>
      <c r="D6539" s="750">
        <v>0.01</v>
      </c>
      <c r="E6539" s="750">
        <v>0.01</v>
      </c>
      <c r="F6539" s="750">
        <v>0</v>
      </c>
    </row>
    <row r="6540" spans="2:6">
      <c r="C6540" s="191" t="s">
        <v>3168</v>
      </c>
      <c r="D6540" s="750">
        <v>0.15</v>
      </c>
      <c r="E6540" s="750">
        <v>0.15</v>
      </c>
      <c r="F6540" s="750">
        <v>0.1</v>
      </c>
    </row>
    <row r="6541" spans="2:6" ht="28.8">
      <c r="C6541" s="191" t="s">
        <v>3169</v>
      </c>
      <c r="D6541" s="750">
        <v>0.05</v>
      </c>
      <c r="E6541" s="750">
        <v>0.05</v>
      </c>
      <c r="F6541" s="750">
        <v>0.03</v>
      </c>
    </row>
    <row r="6542" spans="2:6">
      <c r="C6542" s="191" t="s">
        <v>3170</v>
      </c>
      <c r="D6542" s="750">
        <v>0.1</v>
      </c>
      <c r="E6542" s="750">
        <v>0.1</v>
      </c>
      <c r="F6542" s="750">
        <v>0.06</v>
      </c>
    </row>
    <row r="6543" spans="2:6">
      <c r="C6543" s="191" t="s">
        <v>3171</v>
      </c>
      <c r="D6543" s="750">
        <v>0.05</v>
      </c>
      <c r="E6543" s="750">
        <v>0.05</v>
      </c>
      <c r="F6543" s="750">
        <v>0.03</v>
      </c>
    </row>
    <row r="6544" spans="2:6" ht="28.8">
      <c r="C6544" s="191" t="s">
        <v>3172</v>
      </c>
      <c r="D6544" s="750">
        <v>0.1</v>
      </c>
      <c r="E6544" s="750">
        <v>0.1</v>
      </c>
      <c r="F6544" s="750">
        <v>0.1</v>
      </c>
    </row>
    <row r="6545" spans="3:6">
      <c r="C6545" s="191" t="s">
        <v>3173</v>
      </c>
      <c r="D6545" s="750">
        <v>0.02</v>
      </c>
      <c r="E6545" s="750">
        <v>0.02</v>
      </c>
      <c r="F6545" s="750">
        <v>0.02</v>
      </c>
    </row>
    <row r="6546" spans="3:6">
      <c r="C6546" s="191" t="s">
        <v>3174</v>
      </c>
      <c r="D6546" s="750">
        <v>0.25</v>
      </c>
      <c r="E6546" s="750">
        <v>0.25</v>
      </c>
      <c r="F6546" s="750">
        <v>0.25</v>
      </c>
    </row>
    <row r="6547" spans="3:6">
      <c r="C6547" s="191" t="s">
        <v>3175</v>
      </c>
      <c r="D6547" s="750">
        <v>0.01</v>
      </c>
      <c r="E6547" s="750">
        <v>0.01</v>
      </c>
      <c r="F6547" s="750">
        <v>0.01</v>
      </c>
    </row>
    <row r="6548" spans="3:6" ht="28.8">
      <c r="C6548" s="191" t="s">
        <v>3176</v>
      </c>
      <c r="D6548" s="750">
        <v>0.02</v>
      </c>
      <c r="E6548" s="750">
        <v>0.02</v>
      </c>
      <c r="F6548" s="750">
        <v>0.02</v>
      </c>
    </row>
    <row r="6549" spans="3:6">
      <c r="C6549" s="191" t="s">
        <v>3177</v>
      </c>
      <c r="D6549" s="750">
        <v>0.01</v>
      </c>
      <c r="E6549" s="750">
        <v>0.01</v>
      </c>
      <c r="F6549" s="750">
        <v>0.01</v>
      </c>
    </row>
    <row r="6550" spans="3:6" ht="28.8">
      <c r="C6550" s="191" t="s">
        <v>3178</v>
      </c>
      <c r="D6550" s="750">
        <v>0.1</v>
      </c>
      <c r="E6550" s="750">
        <v>0.1</v>
      </c>
      <c r="F6550" s="750">
        <v>0.06</v>
      </c>
    </row>
    <row r="6551" spans="3:6">
      <c r="C6551" s="191" t="s">
        <v>3179</v>
      </c>
      <c r="D6551" s="750">
        <v>0.05</v>
      </c>
      <c r="E6551" s="750">
        <v>0.05</v>
      </c>
      <c r="F6551" s="750">
        <v>0.03</v>
      </c>
    </row>
    <row r="6552" spans="3:6">
      <c r="C6552" s="191"/>
      <c r="D6552" s="751">
        <f>SUM(D6539:D6551)</f>
        <v>0.92000000000000015</v>
      </c>
      <c r="E6552" s="751">
        <f>SUM(E6539:E6551)</f>
        <v>0.92000000000000015</v>
      </c>
      <c r="F6552" s="751">
        <f>SUM(F6539:F6551)</f>
        <v>0.7200000000000002</v>
      </c>
    </row>
    <row r="6553" spans="3:6">
      <c r="C6553" s="191"/>
      <c r="D6553" s="750"/>
      <c r="E6553" s="751">
        <f>D6552-E6552</f>
        <v>0</v>
      </c>
      <c r="F6553" s="751">
        <f>E6552-F6552</f>
        <v>0.19999999999999996</v>
      </c>
    </row>
    <row r="6554" spans="3:6">
      <c r="D6554" s="7"/>
      <c r="E6554" s="7"/>
      <c r="F6554" s="7"/>
    </row>
    <row r="6555" spans="3:6">
      <c r="C6555" s="594" t="s">
        <v>3098</v>
      </c>
      <c r="D6555" s="693">
        <v>480</v>
      </c>
      <c r="E6555" s="694"/>
      <c r="F6555" s="695"/>
    </row>
    <row r="6556" spans="3:6">
      <c r="C6556" s="660" t="s">
        <v>3180</v>
      </c>
      <c r="D6556" s="696">
        <v>20</v>
      </c>
      <c r="E6556" s="697"/>
      <c r="F6556" s="696"/>
    </row>
    <row r="6557" spans="3:6">
      <c r="C6557" s="660" t="s">
        <v>2437</v>
      </c>
      <c r="D6557" s="696"/>
      <c r="E6557" s="697"/>
      <c r="F6557" s="696"/>
    </row>
    <row r="6558" spans="3:6">
      <c r="C6558" s="660" t="s">
        <v>1446</v>
      </c>
      <c r="D6558" s="693"/>
      <c r="E6558" s="694"/>
      <c r="F6558" s="693"/>
    </row>
    <row r="6559" spans="3:6">
      <c r="C6559" s="87" t="s">
        <v>1447</v>
      </c>
      <c r="D6559" s="693">
        <v>8</v>
      </c>
      <c r="E6559" s="693">
        <v>22</v>
      </c>
      <c r="F6559" s="693"/>
    </row>
    <row r="6560" spans="3:6">
      <c r="C6560" s="87" t="s">
        <v>2438</v>
      </c>
      <c r="D6560" s="693"/>
      <c r="E6560" s="693"/>
      <c r="F6560" s="693"/>
    </row>
    <row r="6563" spans="2:6" ht="15.6">
      <c r="B6563" s="519" t="s">
        <v>1079</v>
      </c>
      <c r="C6563" s="661" t="s">
        <v>3181</v>
      </c>
      <c r="D6563" s="687" t="s">
        <v>353</v>
      </c>
      <c r="E6563" s="688" t="s">
        <v>354</v>
      </c>
      <c r="F6563" s="687" t="s">
        <v>355</v>
      </c>
    </row>
    <row r="6564" spans="2:6">
      <c r="C6564" s="191" t="s">
        <v>3167</v>
      </c>
      <c r="D6564" s="750">
        <v>0.01</v>
      </c>
      <c r="E6564" s="750">
        <v>0.01</v>
      </c>
      <c r="F6564" s="750">
        <v>0</v>
      </c>
    </row>
    <row r="6565" spans="2:6">
      <c r="C6565" s="191" t="s">
        <v>3168</v>
      </c>
      <c r="D6565" s="750">
        <v>0.2</v>
      </c>
      <c r="E6565" s="750">
        <v>0.2</v>
      </c>
      <c r="F6565" s="750">
        <v>0.15</v>
      </c>
    </row>
    <row r="6566" spans="2:6" ht="28.8">
      <c r="C6566" s="191" t="s">
        <v>3169</v>
      </c>
      <c r="D6566" s="750">
        <v>0.01</v>
      </c>
      <c r="E6566" s="750">
        <v>0.01</v>
      </c>
      <c r="F6566" s="750">
        <v>0</v>
      </c>
    </row>
    <row r="6567" spans="2:6">
      <c r="C6567" s="191" t="s">
        <v>3182</v>
      </c>
      <c r="D6567" s="750">
        <v>0.01</v>
      </c>
      <c r="E6567" s="750">
        <v>0.01</v>
      </c>
      <c r="F6567" s="750">
        <v>5.0000000000000001E-3</v>
      </c>
    </row>
    <row r="6568" spans="2:6" ht="28.8">
      <c r="C6568" s="191" t="s">
        <v>3172</v>
      </c>
      <c r="D6568" s="750">
        <v>0.15</v>
      </c>
      <c r="E6568" s="750">
        <v>0.15</v>
      </c>
      <c r="F6568" s="750">
        <v>0.15</v>
      </c>
    </row>
    <row r="6569" spans="2:6">
      <c r="C6569" s="191" t="s">
        <v>3173</v>
      </c>
      <c r="D6569" s="750">
        <v>0.02</v>
      </c>
      <c r="E6569" s="750">
        <v>0.02</v>
      </c>
      <c r="F6569" s="750">
        <v>0.02</v>
      </c>
    </row>
    <row r="6570" spans="2:6">
      <c r="C6570" s="191" t="s">
        <v>3174</v>
      </c>
      <c r="D6570" s="750">
        <v>0.33</v>
      </c>
      <c r="E6570" s="750">
        <v>0.33</v>
      </c>
      <c r="F6570" s="750">
        <v>0.33</v>
      </c>
    </row>
    <row r="6571" spans="2:6">
      <c r="C6571" s="191" t="s">
        <v>321</v>
      </c>
      <c r="D6571" s="750">
        <v>0.01</v>
      </c>
      <c r="E6571" s="750">
        <v>0.01</v>
      </c>
      <c r="F6571" s="750">
        <v>0.01</v>
      </c>
    </row>
    <row r="6572" spans="2:6" ht="28.8">
      <c r="C6572" s="191" t="s">
        <v>3176</v>
      </c>
      <c r="D6572" s="750">
        <v>0.02</v>
      </c>
      <c r="E6572" s="750">
        <v>0.02</v>
      </c>
      <c r="F6572" s="750">
        <v>0.02</v>
      </c>
    </row>
    <row r="6573" spans="2:6">
      <c r="C6573" s="191" t="s">
        <v>3177</v>
      </c>
      <c r="D6573" s="750">
        <v>0.01</v>
      </c>
      <c r="E6573" s="750">
        <v>0.01</v>
      </c>
      <c r="F6573" s="750">
        <v>0.01</v>
      </c>
    </row>
    <row r="6574" spans="2:6" ht="28.8">
      <c r="C6574" s="191" t="s">
        <v>3183</v>
      </c>
      <c r="D6574" s="750">
        <v>0.1</v>
      </c>
      <c r="E6574" s="750">
        <v>0.1</v>
      </c>
      <c r="F6574" s="750">
        <v>0.06</v>
      </c>
    </row>
    <row r="6575" spans="2:6" ht="28.8">
      <c r="C6575" s="191" t="s">
        <v>3184</v>
      </c>
      <c r="D6575" s="750">
        <v>0.05</v>
      </c>
      <c r="E6575" s="750">
        <v>0.05</v>
      </c>
      <c r="F6575" s="750">
        <v>0.03</v>
      </c>
    </row>
    <row r="6576" spans="2:6">
      <c r="C6576" s="191"/>
      <c r="D6576" s="751">
        <f>SUM(D6564:D6575)</f>
        <v>0.92</v>
      </c>
      <c r="E6576" s="751">
        <f>SUM(E6564:E6575)</f>
        <v>0.92</v>
      </c>
      <c r="F6576" s="751">
        <f>SUM(F6564:F6575)</f>
        <v>0.78500000000000014</v>
      </c>
    </row>
    <row r="6577" spans="2:6">
      <c r="C6577" s="191"/>
      <c r="D6577" s="750"/>
      <c r="E6577" s="751">
        <f>D6576-E6576</f>
        <v>0</v>
      </c>
      <c r="F6577" s="751">
        <f>E6576-F6576</f>
        <v>0.1349999999999999</v>
      </c>
    </row>
    <row r="6578" spans="2:6">
      <c r="D6578" s="7"/>
      <c r="E6578" s="7"/>
      <c r="F6578" s="7"/>
    </row>
    <row r="6579" spans="2:6">
      <c r="C6579" s="594" t="s">
        <v>3098</v>
      </c>
      <c r="D6579" s="693">
        <v>480</v>
      </c>
      <c r="E6579" s="694"/>
      <c r="F6579" s="695"/>
    </row>
    <row r="6580" spans="2:6">
      <c r="C6580" s="660" t="s">
        <v>3180</v>
      </c>
      <c r="D6580" s="696">
        <v>20</v>
      </c>
      <c r="E6580" s="697"/>
      <c r="F6580" s="696"/>
    </row>
    <row r="6581" spans="2:6">
      <c r="C6581" s="660" t="s">
        <v>2437</v>
      </c>
      <c r="D6581" s="696"/>
      <c r="E6581" s="697"/>
      <c r="F6581" s="696"/>
    </row>
    <row r="6582" spans="2:6">
      <c r="C6582" s="660" t="s">
        <v>1446</v>
      </c>
      <c r="D6582" s="693"/>
      <c r="E6582" s="694"/>
      <c r="F6582" s="693"/>
    </row>
    <row r="6583" spans="2:6">
      <c r="C6583" s="87" t="s">
        <v>1447</v>
      </c>
      <c r="D6583" s="693">
        <v>8</v>
      </c>
      <c r="E6583" s="693">
        <v>22</v>
      </c>
      <c r="F6583" s="693"/>
    </row>
    <row r="6584" spans="2:6">
      <c r="C6584" s="87" t="s">
        <v>2438</v>
      </c>
      <c r="D6584" s="693"/>
      <c r="E6584" s="693"/>
      <c r="F6584" s="693"/>
    </row>
    <row r="6587" spans="2:6" ht="15.6">
      <c r="B6587" s="578" t="s">
        <v>1202</v>
      </c>
      <c r="C6587" s="661" t="s">
        <v>3185</v>
      </c>
      <c r="D6587" s="687" t="s">
        <v>353</v>
      </c>
      <c r="E6587" s="688" t="s">
        <v>354</v>
      </c>
      <c r="F6587" s="687" t="s">
        <v>355</v>
      </c>
    </row>
    <row r="6588" spans="2:6">
      <c r="C6588" s="191" t="s">
        <v>3186</v>
      </c>
      <c r="D6588" s="750">
        <v>0.01</v>
      </c>
      <c r="E6588" s="750">
        <v>0.01</v>
      </c>
      <c r="F6588" s="750">
        <v>0.01</v>
      </c>
    </row>
    <row r="6589" spans="2:6" ht="28.8">
      <c r="C6589" s="191" t="s">
        <v>3187</v>
      </c>
      <c r="D6589" s="750">
        <v>0.05</v>
      </c>
      <c r="E6589" s="750">
        <v>0.05</v>
      </c>
      <c r="F6589" s="750">
        <v>0.05</v>
      </c>
    </row>
    <row r="6590" spans="2:6">
      <c r="C6590" s="191" t="s">
        <v>3188</v>
      </c>
      <c r="D6590" s="750">
        <v>0.05</v>
      </c>
      <c r="E6590" s="750">
        <v>0.05</v>
      </c>
      <c r="F6590" s="750">
        <v>0.05</v>
      </c>
    </row>
    <row r="6591" spans="2:6" ht="28.8">
      <c r="C6591" s="191" t="s">
        <v>3189</v>
      </c>
      <c r="D6591" s="750">
        <v>0.1</v>
      </c>
      <c r="E6591" s="750">
        <v>0.1</v>
      </c>
      <c r="F6591" s="750">
        <v>0.1</v>
      </c>
    </row>
    <row r="6592" spans="2:6" ht="28.8">
      <c r="C6592" s="191" t="s">
        <v>3190</v>
      </c>
      <c r="D6592" s="750">
        <v>0.02</v>
      </c>
      <c r="E6592" s="750">
        <v>0.02</v>
      </c>
      <c r="F6592" s="750">
        <v>0.02</v>
      </c>
    </row>
    <row r="6593" spans="3:6">
      <c r="C6593" s="191" t="s">
        <v>3191</v>
      </c>
      <c r="D6593" s="750">
        <v>0.02</v>
      </c>
      <c r="E6593" s="750">
        <v>0.02</v>
      </c>
      <c r="F6593" s="750">
        <v>0.02</v>
      </c>
    </row>
    <row r="6594" spans="3:6">
      <c r="C6594" s="191" t="s">
        <v>3192</v>
      </c>
      <c r="D6594" s="750">
        <v>0.02</v>
      </c>
      <c r="E6594" s="750">
        <v>0.02</v>
      </c>
      <c r="F6594" s="750">
        <v>0.02</v>
      </c>
    </row>
    <row r="6595" spans="3:6" ht="28.8">
      <c r="C6595" s="191" t="s">
        <v>3193</v>
      </c>
      <c r="D6595" s="750">
        <v>0.02</v>
      </c>
      <c r="E6595" s="750">
        <v>0.02</v>
      </c>
      <c r="F6595" s="750">
        <v>0.02</v>
      </c>
    </row>
    <row r="6596" spans="3:6">
      <c r="C6596" s="191" t="s">
        <v>3194</v>
      </c>
      <c r="D6596" s="750">
        <v>0.02</v>
      </c>
      <c r="E6596" s="750">
        <v>0.02</v>
      </c>
      <c r="F6596" s="750">
        <v>0.02</v>
      </c>
    </row>
    <row r="6597" spans="3:6" ht="28.8">
      <c r="C6597" s="191" t="s">
        <v>3195</v>
      </c>
      <c r="D6597" s="750">
        <v>0.15</v>
      </c>
      <c r="E6597" s="750">
        <v>0.15</v>
      </c>
      <c r="F6597" s="750">
        <v>0.15</v>
      </c>
    </row>
    <row r="6598" spans="3:6">
      <c r="C6598" s="191" t="s">
        <v>3196</v>
      </c>
      <c r="D6598" s="750">
        <v>0.33</v>
      </c>
      <c r="E6598" s="750">
        <v>0.33</v>
      </c>
      <c r="F6598" s="750">
        <v>0.33</v>
      </c>
    </row>
    <row r="6599" spans="3:6">
      <c r="C6599" s="191" t="s">
        <v>3197</v>
      </c>
      <c r="D6599" s="750">
        <v>0.01</v>
      </c>
      <c r="E6599" s="750">
        <v>0.01</v>
      </c>
      <c r="F6599" s="750">
        <v>0.01</v>
      </c>
    </row>
    <row r="6600" spans="3:6" ht="28.8">
      <c r="C6600" s="191" t="s">
        <v>3176</v>
      </c>
      <c r="D6600" s="750">
        <v>0.02</v>
      </c>
      <c r="E6600" s="750">
        <v>0.02</v>
      </c>
      <c r="F6600" s="750">
        <v>0.02</v>
      </c>
    </row>
    <row r="6601" spans="3:6" ht="28.8">
      <c r="C6601" s="191" t="s">
        <v>3198</v>
      </c>
      <c r="D6601" s="750">
        <v>0.01</v>
      </c>
      <c r="E6601" s="750">
        <v>0.01</v>
      </c>
      <c r="F6601" s="750">
        <v>0.01</v>
      </c>
    </row>
    <row r="6602" spans="3:6" ht="28.8">
      <c r="C6602" s="191" t="s">
        <v>3199</v>
      </c>
      <c r="D6602" s="750">
        <v>0.1</v>
      </c>
      <c r="E6602" s="750">
        <v>0.1</v>
      </c>
      <c r="F6602" s="750">
        <v>0.1</v>
      </c>
    </row>
    <row r="6603" spans="3:6" ht="28.8">
      <c r="C6603" s="191" t="s">
        <v>3200</v>
      </c>
      <c r="D6603" s="750">
        <v>0.05</v>
      </c>
      <c r="E6603" s="750">
        <v>0.05</v>
      </c>
      <c r="F6603" s="750">
        <v>0.05</v>
      </c>
    </row>
    <row r="6604" spans="3:6" ht="28.8">
      <c r="C6604" s="191" t="s">
        <v>3201</v>
      </c>
      <c r="D6604" s="750">
        <v>0.01</v>
      </c>
      <c r="E6604" s="750">
        <v>0.01</v>
      </c>
      <c r="F6604" s="750">
        <v>0.01</v>
      </c>
    </row>
    <row r="6605" spans="3:6">
      <c r="C6605" s="191" t="s">
        <v>3202</v>
      </c>
      <c r="D6605" s="750">
        <v>0.01</v>
      </c>
      <c r="E6605" s="750">
        <v>0.01</v>
      </c>
      <c r="F6605" s="750">
        <v>0.01</v>
      </c>
    </row>
    <row r="6606" spans="3:6">
      <c r="C6606" s="191"/>
      <c r="D6606" s="751">
        <f>SUM(D6588:D6605)</f>
        <v>1</v>
      </c>
      <c r="E6606" s="751">
        <f>SUM(E6588:E6605)</f>
        <v>1</v>
      </c>
      <c r="F6606" s="751">
        <f>SUM(F6588:F6605)</f>
        <v>1</v>
      </c>
    </row>
    <row r="6607" spans="3:6">
      <c r="C6607" s="191"/>
      <c r="D6607" s="750"/>
      <c r="E6607" s="751">
        <f>D6606-E6606</f>
        <v>0</v>
      </c>
      <c r="F6607" s="751">
        <f>E6606-F6606</f>
        <v>0</v>
      </c>
    </row>
    <row r="6608" spans="3:6">
      <c r="D6608" s="7"/>
      <c r="E6608" s="7"/>
      <c r="F6608" s="7"/>
    </row>
    <row r="6609" spans="2:6">
      <c r="C6609" s="594" t="s">
        <v>3098</v>
      </c>
      <c r="D6609" s="693">
        <v>480</v>
      </c>
      <c r="E6609" s="694"/>
      <c r="F6609" s="695"/>
    </row>
    <row r="6610" spans="2:6">
      <c r="C6610" s="660" t="s">
        <v>3180</v>
      </c>
      <c r="D6610" s="696">
        <v>1</v>
      </c>
      <c r="E6610" s="697"/>
      <c r="F6610" s="696"/>
    </row>
    <row r="6611" spans="2:6">
      <c r="C6611" s="660" t="s">
        <v>2437</v>
      </c>
      <c r="D6611" s="696"/>
      <c r="E6611" s="697"/>
      <c r="F6611" s="696"/>
    </row>
    <row r="6612" spans="2:6">
      <c r="C6612" s="660" t="s">
        <v>1446</v>
      </c>
      <c r="D6612" s="693"/>
      <c r="E6612" s="694"/>
      <c r="F6612" s="693"/>
    </row>
    <row r="6613" spans="2:6">
      <c r="C6613" s="87" t="s">
        <v>1447</v>
      </c>
      <c r="D6613" s="693">
        <v>8</v>
      </c>
      <c r="E6613" s="693">
        <v>22</v>
      </c>
      <c r="F6613" s="693"/>
    </row>
    <row r="6614" spans="2:6">
      <c r="C6614" s="87" t="s">
        <v>2438</v>
      </c>
      <c r="D6614" s="693"/>
      <c r="E6614" s="693"/>
      <c r="F6614" s="693"/>
    </row>
    <row r="6617" spans="2:6" ht="15.6">
      <c r="B6617" s="578" t="s">
        <v>1202</v>
      </c>
      <c r="C6617" s="661" t="s">
        <v>3203</v>
      </c>
      <c r="D6617" s="687" t="s">
        <v>353</v>
      </c>
      <c r="E6617" s="688" t="s">
        <v>354</v>
      </c>
      <c r="F6617" s="687" t="s">
        <v>355</v>
      </c>
    </row>
    <row r="6618" spans="2:6" ht="28.8">
      <c r="C6618" s="191" t="s">
        <v>3204</v>
      </c>
      <c r="D6618" s="750">
        <v>0.01</v>
      </c>
      <c r="E6618" s="750">
        <v>0.01</v>
      </c>
      <c r="F6618" s="750">
        <v>0.01</v>
      </c>
    </row>
    <row r="6619" spans="2:6" ht="28.8">
      <c r="C6619" s="191" t="s">
        <v>3205</v>
      </c>
      <c r="D6619" s="750">
        <v>0.4</v>
      </c>
      <c r="E6619" s="750">
        <v>0.4</v>
      </c>
      <c r="F6619" s="750">
        <v>0.4</v>
      </c>
    </row>
    <row r="6620" spans="2:6">
      <c r="C6620" s="191" t="s">
        <v>3206</v>
      </c>
      <c r="D6620" s="750">
        <v>0.08</v>
      </c>
      <c r="E6620" s="750">
        <v>0.08</v>
      </c>
      <c r="F6620" s="750">
        <v>0.08</v>
      </c>
    </row>
    <row r="6621" spans="2:6" ht="28.8">
      <c r="C6621" s="191" t="s">
        <v>3207</v>
      </c>
      <c r="D6621" s="750">
        <v>0.05</v>
      </c>
      <c r="E6621" s="750">
        <v>0.05</v>
      </c>
      <c r="F6621" s="750">
        <v>0.05</v>
      </c>
    </row>
    <row r="6622" spans="2:6" ht="28.8">
      <c r="C6622" s="191" t="s">
        <v>3208</v>
      </c>
      <c r="D6622" s="750">
        <v>0.02</v>
      </c>
      <c r="E6622" s="750">
        <v>0.02</v>
      </c>
      <c r="F6622" s="750">
        <v>0.02</v>
      </c>
    </row>
    <row r="6623" spans="2:6" ht="28.8">
      <c r="C6623" s="191" t="s">
        <v>3209</v>
      </c>
      <c r="D6623" s="750">
        <v>0.25</v>
      </c>
      <c r="E6623" s="750">
        <v>0.25</v>
      </c>
      <c r="F6623" s="750">
        <v>0.25</v>
      </c>
    </row>
    <row r="6624" spans="2:6">
      <c r="C6624" s="191" t="s">
        <v>3210</v>
      </c>
      <c r="D6624" s="750">
        <v>0.1</v>
      </c>
      <c r="E6624" s="750">
        <v>0.1</v>
      </c>
      <c r="F6624" s="750">
        <v>0.08</v>
      </c>
    </row>
    <row r="6625" spans="2:6">
      <c r="C6625" s="191" t="s">
        <v>3211</v>
      </c>
      <c r="D6625" s="750">
        <v>0.02</v>
      </c>
      <c r="E6625" s="750">
        <v>0.02</v>
      </c>
      <c r="F6625" s="750">
        <v>0.01</v>
      </c>
    </row>
    <row r="6626" spans="2:6">
      <c r="C6626" s="191" t="s">
        <v>3212</v>
      </c>
      <c r="D6626" s="750">
        <v>0.05</v>
      </c>
      <c r="E6626" s="750">
        <v>0.05</v>
      </c>
      <c r="F6626" s="750">
        <v>0.02</v>
      </c>
    </row>
    <row r="6627" spans="2:6">
      <c r="C6627" s="191" t="s">
        <v>3213</v>
      </c>
      <c r="D6627" s="750">
        <v>0.02</v>
      </c>
      <c r="E6627" s="750">
        <v>0.02</v>
      </c>
      <c r="F6627" s="750">
        <v>0.02</v>
      </c>
    </row>
    <row r="6628" spans="2:6">
      <c r="C6628" s="191"/>
      <c r="D6628" s="751">
        <f>SUM(D6618:D6627)</f>
        <v>1</v>
      </c>
      <c r="E6628" s="751">
        <f>SUM(E6618:E6627)</f>
        <v>1</v>
      </c>
      <c r="F6628" s="751">
        <f>SUM(F6618:F6627)</f>
        <v>0.94000000000000006</v>
      </c>
    </row>
    <row r="6629" spans="2:6">
      <c r="C6629" s="191"/>
      <c r="D6629" s="750"/>
      <c r="E6629" s="751">
        <f>D6628-E6628</f>
        <v>0</v>
      </c>
      <c r="F6629" s="751">
        <f>E6628-F6628</f>
        <v>5.9999999999999942E-2</v>
      </c>
    </row>
    <row r="6630" spans="2:6">
      <c r="D6630" s="7"/>
      <c r="E6630" s="7"/>
      <c r="F6630" s="7"/>
    </row>
    <row r="6631" spans="2:6">
      <c r="C6631" s="594" t="s">
        <v>3214</v>
      </c>
      <c r="D6631" s="693">
        <v>480</v>
      </c>
      <c r="E6631" s="694"/>
      <c r="F6631" s="695"/>
    </row>
    <row r="6632" spans="2:6">
      <c r="C6632" s="660" t="s">
        <v>3215</v>
      </c>
      <c r="D6632" s="696">
        <v>4</v>
      </c>
      <c r="E6632" s="697"/>
      <c r="F6632" s="696"/>
    </row>
    <row r="6633" spans="2:6">
      <c r="C6633" s="660" t="s">
        <v>2437</v>
      </c>
      <c r="D6633" s="696"/>
      <c r="E6633" s="697"/>
      <c r="F6633" s="696"/>
    </row>
    <row r="6634" spans="2:6">
      <c r="C6634" s="660" t="s">
        <v>1446</v>
      </c>
      <c r="D6634" s="693"/>
      <c r="E6634" s="694"/>
      <c r="F6634" s="693"/>
    </row>
    <row r="6635" spans="2:6">
      <c r="C6635" s="87" t="s">
        <v>1447</v>
      </c>
      <c r="D6635" s="693">
        <v>8</v>
      </c>
      <c r="E6635" s="693">
        <v>22</v>
      </c>
      <c r="F6635" s="693"/>
    </row>
    <row r="6636" spans="2:6">
      <c r="C6636" s="87" t="s">
        <v>2438</v>
      </c>
      <c r="D6636" s="693"/>
      <c r="E6636" s="693"/>
      <c r="F6636" s="693"/>
    </row>
    <row r="6639" spans="2:6" ht="15.6">
      <c r="B6639" s="519" t="s">
        <v>1079</v>
      </c>
      <c r="C6639" s="661" t="s">
        <v>3216</v>
      </c>
      <c r="D6639" s="687" t="s">
        <v>353</v>
      </c>
      <c r="E6639" s="688" t="s">
        <v>354</v>
      </c>
      <c r="F6639" s="687" t="s">
        <v>355</v>
      </c>
    </row>
    <row r="6640" spans="2:6">
      <c r="C6640" s="191" t="s">
        <v>3217</v>
      </c>
      <c r="D6640" s="750">
        <v>0.01</v>
      </c>
      <c r="E6640" s="750">
        <v>0.01</v>
      </c>
      <c r="F6640" s="750">
        <v>0.01</v>
      </c>
    </row>
    <row r="6641" spans="3:6" ht="28.8">
      <c r="C6641" s="191" t="s">
        <v>3218</v>
      </c>
      <c r="D6641" s="750">
        <v>0.08</v>
      </c>
      <c r="E6641" s="750">
        <v>0.08</v>
      </c>
      <c r="F6641" s="750">
        <v>0.08</v>
      </c>
    </row>
    <row r="6642" spans="3:6">
      <c r="C6642" s="191" t="s">
        <v>3188</v>
      </c>
      <c r="D6642" s="750">
        <v>0.05</v>
      </c>
      <c r="E6642" s="750">
        <v>0.05</v>
      </c>
      <c r="F6642" s="750">
        <v>0.05</v>
      </c>
    </row>
    <row r="6643" spans="3:6" ht="28.8">
      <c r="C6643" s="191" t="s">
        <v>3219</v>
      </c>
      <c r="D6643" s="750">
        <v>0.08</v>
      </c>
      <c r="E6643" s="750">
        <v>0.08</v>
      </c>
      <c r="F6643" s="750">
        <v>0.08</v>
      </c>
    </row>
    <row r="6644" spans="3:6">
      <c r="C6644" s="191" t="s">
        <v>3220</v>
      </c>
      <c r="D6644" s="750">
        <v>0.08</v>
      </c>
      <c r="E6644" s="750">
        <v>0.08</v>
      </c>
      <c r="F6644" s="750">
        <v>0.08</v>
      </c>
    </row>
    <row r="6645" spans="3:6">
      <c r="C6645" s="191" t="s">
        <v>3221</v>
      </c>
      <c r="D6645" s="750">
        <v>0.05</v>
      </c>
      <c r="E6645" s="750">
        <v>0.05</v>
      </c>
      <c r="F6645" s="750">
        <v>0.02</v>
      </c>
    </row>
    <row r="6646" spans="3:6" ht="28.8">
      <c r="C6646" s="191" t="s">
        <v>3222</v>
      </c>
      <c r="D6646" s="750">
        <v>0.02</v>
      </c>
      <c r="E6646" s="750">
        <v>0.02</v>
      </c>
      <c r="F6646" s="750">
        <v>0.01</v>
      </c>
    </row>
    <row r="6647" spans="3:6">
      <c r="C6647" s="191" t="s">
        <v>3223</v>
      </c>
      <c r="D6647" s="750">
        <v>0.01</v>
      </c>
      <c r="E6647" s="750">
        <v>0.01</v>
      </c>
      <c r="F6647" s="750">
        <v>0</v>
      </c>
    </row>
    <row r="6648" spans="3:6">
      <c r="C6648" s="191" t="s">
        <v>3224</v>
      </c>
      <c r="D6648" s="750">
        <v>0.01</v>
      </c>
      <c r="E6648" s="750">
        <v>0.01</v>
      </c>
      <c r="F6648" s="750">
        <v>0</v>
      </c>
    </row>
    <row r="6649" spans="3:6" ht="28.8">
      <c r="C6649" s="191" t="s">
        <v>3195</v>
      </c>
      <c r="D6649" s="750">
        <v>0.05</v>
      </c>
      <c r="E6649" s="750">
        <v>0.05</v>
      </c>
      <c r="F6649" s="750">
        <v>0.05</v>
      </c>
    </row>
    <row r="6650" spans="3:6">
      <c r="C6650" s="191" t="s">
        <v>3225</v>
      </c>
      <c r="D6650" s="750">
        <v>0.1</v>
      </c>
      <c r="E6650" s="750">
        <v>0.1</v>
      </c>
      <c r="F6650" s="750">
        <v>0.1</v>
      </c>
    </row>
    <row r="6651" spans="3:6">
      <c r="C6651" s="191" t="s">
        <v>3196</v>
      </c>
      <c r="D6651" s="750">
        <v>0.25</v>
      </c>
      <c r="E6651" s="750">
        <v>0.25</v>
      </c>
      <c r="F6651" s="750">
        <v>0.25</v>
      </c>
    </row>
    <row r="6652" spans="3:6">
      <c r="C6652" s="191" t="s">
        <v>3197</v>
      </c>
      <c r="D6652" s="750">
        <v>0.01</v>
      </c>
      <c r="E6652" s="750">
        <v>0.01</v>
      </c>
      <c r="F6652" s="750">
        <v>0.01</v>
      </c>
    </row>
    <row r="6653" spans="3:6">
      <c r="C6653" s="191" t="s">
        <v>321</v>
      </c>
      <c r="D6653" s="750">
        <v>0.02</v>
      </c>
      <c r="E6653" s="750">
        <v>0.02</v>
      </c>
      <c r="F6653" s="750">
        <v>0.02</v>
      </c>
    </row>
    <row r="6654" spans="3:6">
      <c r="C6654" s="191" t="s">
        <v>3226</v>
      </c>
      <c r="D6654" s="750">
        <v>0.01</v>
      </c>
      <c r="E6654" s="750">
        <v>0.01</v>
      </c>
      <c r="F6654" s="750">
        <v>0.01</v>
      </c>
    </row>
    <row r="6655" spans="3:6" ht="28.8">
      <c r="C6655" s="191" t="s">
        <v>3227</v>
      </c>
      <c r="D6655" s="750">
        <v>0.1</v>
      </c>
      <c r="E6655" s="750">
        <v>0.1</v>
      </c>
      <c r="F6655" s="750">
        <v>0.06</v>
      </c>
    </row>
    <row r="6656" spans="3:6" ht="28.8">
      <c r="C6656" s="191" t="s">
        <v>3184</v>
      </c>
      <c r="D6656" s="750">
        <v>0.05</v>
      </c>
      <c r="E6656" s="750">
        <v>0.05</v>
      </c>
      <c r="F6656" s="750">
        <v>0.03</v>
      </c>
    </row>
    <row r="6657" spans="2:6">
      <c r="C6657" s="191"/>
      <c r="D6657" s="751">
        <f>SUM(D6640:D6656)</f>
        <v>0.98000000000000009</v>
      </c>
      <c r="E6657" s="751">
        <f>SUM(E6640:E6656)</f>
        <v>0.98000000000000009</v>
      </c>
      <c r="F6657" s="751">
        <f>SUM(F6640:F6656)</f>
        <v>0.8600000000000001</v>
      </c>
    </row>
    <row r="6658" spans="2:6">
      <c r="C6658" s="191"/>
      <c r="D6658" s="750"/>
      <c r="E6658" s="751">
        <f>D6657-E6657</f>
        <v>0</v>
      </c>
      <c r="F6658" s="751">
        <f>E6657-F6657</f>
        <v>0.12</v>
      </c>
    </row>
    <row r="6659" spans="2:6">
      <c r="D6659" s="7"/>
      <c r="E6659" s="7"/>
      <c r="F6659" s="7"/>
    </row>
    <row r="6660" spans="2:6">
      <c r="C6660" s="594" t="s">
        <v>3214</v>
      </c>
      <c r="D6660" s="693">
        <v>480</v>
      </c>
      <c r="E6660" s="694"/>
      <c r="F6660" s="695"/>
    </row>
    <row r="6661" spans="2:6">
      <c r="C6661" s="660" t="s">
        <v>3228</v>
      </c>
      <c r="D6661" s="696">
        <v>1</v>
      </c>
      <c r="E6661" s="697"/>
      <c r="F6661" s="696"/>
    </row>
    <row r="6662" spans="2:6">
      <c r="C6662" s="660" t="s">
        <v>2437</v>
      </c>
      <c r="D6662" s="696"/>
      <c r="E6662" s="697"/>
      <c r="F6662" s="696"/>
    </row>
    <row r="6663" spans="2:6">
      <c r="C6663" s="660" t="s">
        <v>1446</v>
      </c>
      <c r="D6663" s="693"/>
      <c r="E6663" s="694"/>
      <c r="F6663" s="693"/>
    </row>
    <row r="6664" spans="2:6">
      <c r="C6664" s="87" t="s">
        <v>1447</v>
      </c>
      <c r="D6664" s="693">
        <v>8</v>
      </c>
      <c r="E6664" s="693">
        <v>22</v>
      </c>
      <c r="F6664" s="693"/>
    </row>
    <row r="6665" spans="2:6">
      <c r="C6665" s="87" t="s">
        <v>2438</v>
      </c>
      <c r="D6665" s="693"/>
      <c r="E6665" s="693"/>
      <c r="F6665" s="693"/>
    </row>
    <row r="6668" spans="2:6" ht="15.6">
      <c r="B6668" s="519" t="s">
        <v>1079</v>
      </c>
      <c r="C6668" s="661" t="s">
        <v>3229</v>
      </c>
      <c r="D6668" s="687" t="s">
        <v>353</v>
      </c>
      <c r="E6668" s="688" t="s">
        <v>354</v>
      </c>
      <c r="F6668" s="687" t="s">
        <v>355</v>
      </c>
    </row>
    <row r="6669" spans="2:6">
      <c r="C6669" s="191" t="s">
        <v>3230</v>
      </c>
      <c r="D6669" s="750">
        <v>0.05</v>
      </c>
      <c r="E6669" s="750">
        <v>0.05</v>
      </c>
      <c r="F6669" s="750">
        <v>0.05</v>
      </c>
    </row>
    <row r="6670" spans="2:6" ht="28.8">
      <c r="C6670" s="191" t="s">
        <v>3231</v>
      </c>
      <c r="D6670" s="750">
        <v>0.12</v>
      </c>
      <c r="E6670" s="750">
        <v>0.12</v>
      </c>
      <c r="F6670" s="750">
        <v>0.12</v>
      </c>
    </row>
    <row r="6671" spans="2:6">
      <c r="C6671" s="191" t="s">
        <v>3232</v>
      </c>
      <c r="D6671" s="750">
        <v>0.03</v>
      </c>
      <c r="E6671" s="750">
        <v>0.03</v>
      </c>
      <c r="F6671" s="750">
        <v>0.03</v>
      </c>
    </row>
    <row r="6672" spans="2:6" ht="28.8">
      <c r="C6672" s="191" t="s">
        <v>3233</v>
      </c>
      <c r="D6672" s="750">
        <v>0.01</v>
      </c>
      <c r="E6672" s="750">
        <v>0.01</v>
      </c>
      <c r="F6672" s="750">
        <v>0.01</v>
      </c>
    </row>
    <row r="6673" spans="3:6" ht="28.8">
      <c r="C6673" s="191" t="s">
        <v>3234</v>
      </c>
      <c r="D6673" s="750">
        <v>0.2</v>
      </c>
      <c r="E6673" s="750">
        <v>0.2</v>
      </c>
      <c r="F6673" s="750">
        <v>0.15</v>
      </c>
    </row>
    <row r="6674" spans="3:6" ht="28.8">
      <c r="C6674" s="191" t="s">
        <v>3235</v>
      </c>
      <c r="D6674" s="750">
        <v>0.05</v>
      </c>
      <c r="E6674" s="750">
        <v>0.05</v>
      </c>
      <c r="F6674" s="750">
        <v>0.02</v>
      </c>
    </row>
    <row r="6675" spans="3:6" ht="28.8">
      <c r="C6675" s="191" t="s">
        <v>3236</v>
      </c>
      <c r="D6675" s="750">
        <v>0.01</v>
      </c>
      <c r="E6675" s="750">
        <v>0.01</v>
      </c>
      <c r="F6675" s="750">
        <v>0</v>
      </c>
    </row>
    <row r="6676" spans="3:6" ht="28.8">
      <c r="C6676" s="191" t="s">
        <v>3237</v>
      </c>
      <c r="D6676" s="750">
        <v>0.4</v>
      </c>
      <c r="E6676" s="750">
        <v>0.4</v>
      </c>
      <c r="F6676" s="750">
        <v>0.4</v>
      </c>
    </row>
    <row r="6677" spans="3:6" ht="28.8">
      <c r="C6677" s="191" t="s">
        <v>3238</v>
      </c>
      <c r="D6677" s="750">
        <v>0.02</v>
      </c>
      <c r="E6677" s="750">
        <v>0.02</v>
      </c>
      <c r="F6677" s="750">
        <v>0.02</v>
      </c>
    </row>
    <row r="6678" spans="3:6">
      <c r="C6678" s="191" t="s">
        <v>3239</v>
      </c>
      <c r="D6678" s="750">
        <v>0.01</v>
      </c>
      <c r="E6678" s="750">
        <v>0.01</v>
      </c>
      <c r="F6678" s="750">
        <v>0.01</v>
      </c>
    </row>
    <row r="6679" spans="3:6" ht="28.8">
      <c r="C6679" s="191" t="s">
        <v>3240</v>
      </c>
      <c r="D6679" s="750">
        <v>0.05</v>
      </c>
      <c r="E6679" s="750">
        <v>0.05</v>
      </c>
      <c r="F6679" s="750">
        <v>0.02</v>
      </c>
    </row>
    <row r="6680" spans="3:6" ht="28.8">
      <c r="C6680" s="191" t="s">
        <v>3241</v>
      </c>
      <c r="D6680" s="750">
        <v>0.03</v>
      </c>
      <c r="E6680" s="750">
        <v>0.03</v>
      </c>
      <c r="F6680" s="750">
        <v>0.01</v>
      </c>
    </row>
    <row r="6681" spans="3:6">
      <c r="C6681" s="191"/>
      <c r="D6681" s="751">
        <f>SUM(D6669:D6680)</f>
        <v>0.9800000000000002</v>
      </c>
      <c r="E6681" s="751">
        <f>SUM(E6669:E6680)</f>
        <v>0.9800000000000002</v>
      </c>
      <c r="F6681" s="751">
        <f>SUM(F6669:F6680)</f>
        <v>0.84000000000000008</v>
      </c>
    </row>
    <row r="6682" spans="3:6">
      <c r="C6682" s="191"/>
      <c r="D6682" s="750"/>
      <c r="E6682" s="751">
        <f>D6681-E6681</f>
        <v>0</v>
      </c>
      <c r="F6682" s="751">
        <f>E6681-F6681</f>
        <v>0.14000000000000012</v>
      </c>
    </row>
    <row r="6683" spans="3:6">
      <c r="D6683" s="7"/>
      <c r="E6683" s="7"/>
      <c r="F6683" s="7"/>
    </row>
    <row r="6684" spans="3:6">
      <c r="C6684" s="594" t="s">
        <v>3214</v>
      </c>
      <c r="D6684" s="693">
        <v>960</v>
      </c>
      <c r="E6684" s="694"/>
      <c r="F6684" s="695"/>
    </row>
    <row r="6685" spans="3:6">
      <c r="C6685" s="660" t="s">
        <v>3228</v>
      </c>
      <c r="D6685" s="696">
        <v>1</v>
      </c>
      <c r="E6685" s="697"/>
      <c r="F6685" s="696"/>
    </row>
    <row r="6686" spans="3:6">
      <c r="C6686" s="660" t="s">
        <v>2437</v>
      </c>
      <c r="D6686" s="696"/>
      <c r="E6686" s="697"/>
      <c r="F6686" s="696"/>
    </row>
    <row r="6687" spans="3:6">
      <c r="C6687" s="660" t="s">
        <v>1446</v>
      </c>
      <c r="D6687" s="693"/>
      <c r="E6687" s="694"/>
      <c r="F6687" s="693"/>
    </row>
    <row r="6688" spans="3:6">
      <c r="C6688" s="87" t="s">
        <v>1447</v>
      </c>
      <c r="D6688" s="693">
        <v>8</v>
      </c>
      <c r="E6688" s="693">
        <v>22</v>
      </c>
      <c r="F6688" s="693"/>
    </row>
    <row r="6689" spans="2:6">
      <c r="C6689" s="87" t="s">
        <v>2438</v>
      </c>
      <c r="D6689" s="693"/>
      <c r="E6689" s="693"/>
      <c r="F6689" s="693"/>
    </row>
    <row r="6692" spans="2:6" ht="15.6">
      <c r="B6692" s="519" t="s">
        <v>1079</v>
      </c>
      <c r="C6692" s="661" t="s">
        <v>3242</v>
      </c>
      <c r="D6692" s="687" t="s">
        <v>353</v>
      </c>
      <c r="E6692" s="688" t="s">
        <v>354</v>
      </c>
      <c r="F6692" s="687" t="s">
        <v>355</v>
      </c>
    </row>
    <row r="6693" spans="2:6">
      <c r="C6693" s="191" t="s">
        <v>3243</v>
      </c>
      <c r="D6693" s="750">
        <v>0.01</v>
      </c>
      <c r="E6693" s="750">
        <v>0.01</v>
      </c>
      <c r="F6693" s="689">
        <v>5.0000000000000001E-3</v>
      </c>
    </row>
    <row r="6694" spans="2:6">
      <c r="C6694" s="191" t="s">
        <v>3244</v>
      </c>
      <c r="D6694" s="750">
        <v>0.12</v>
      </c>
      <c r="E6694" s="750">
        <v>0.12</v>
      </c>
      <c r="F6694" s="750">
        <v>0.12</v>
      </c>
    </row>
    <row r="6695" spans="2:6">
      <c r="C6695" s="191" t="s">
        <v>3245</v>
      </c>
      <c r="D6695" s="750">
        <v>0.3</v>
      </c>
      <c r="E6695" s="750">
        <v>0.3</v>
      </c>
      <c r="F6695" s="750">
        <v>0.3</v>
      </c>
    </row>
    <row r="6696" spans="2:6" ht="28.8">
      <c r="C6696" s="191" t="s">
        <v>3246</v>
      </c>
      <c r="D6696" s="750">
        <v>0.01</v>
      </c>
      <c r="E6696" s="750">
        <v>0.01</v>
      </c>
      <c r="F6696" s="750">
        <v>0.01</v>
      </c>
    </row>
    <row r="6697" spans="2:6" ht="28.8">
      <c r="C6697" s="191" t="s">
        <v>3247</v>
      </c>
      <c r="D6697" s="750">
        <v>0.01</v>
      </c>
      <c r="E6697" s="750">
        <v>0.01</v>
      </c>
      <c r="F6697" s="750">
        <v>0.01</v>
      </c>
    </row>
    <row r="6698" spans="2:6">
      <c r="C6698" s="191" t="s">
        <v>3248</v>
      </c>
      <c r="D6698" s="750">
        <v>0.12</v>
      </c>
      <c r="E6698" s="750">
        <v>0.12</v>
      </c>
      <c r="F6698" s="750">
        <v>0.12</v>
      </c>
    </row>
    <row r="6699" spans="2:6">
      <c r="C6699" s="191" t="s">
        <v>3249</v>
      </c>
      <c r="D6699" s="750">
        <v>0.05</v>
      </c>
      <c r="E6699" s="750">
        <v>0.05</v>
      </c>
      <c r="F6699" s="750">
        <v>0.05</v>
      </c>
    </row>
    <row r="6700" spans="2:6" ht="28.8">
      <c r="C6700" s="191" t="s">
        <v>3250</v>
      </c>
      <c r="D6700" s="750">
        <v>0.01</v>
      </c>
      <c r="E6700" s="750">
        <v>0.01</v>
      </c>
      <c r="F6700" s="689">
        <v>5.0000000000000001E-3</v>
      </c>
    </row>
    <row r="6701" spans="2:6" ht="28.8">
      <c r="C6701" s="191" t="s">
        <v>3251</v>
      </c>
      <c r="D6701" s="750">
        <v>0.25</v>
      </c>
      <c r="E6701" s="750">
        <v>0.25</v>
      </c>
      <c r="F6701" s="750">
        <v>0.25</v>
      </c>
    </row>
    <row r="6702" spans="2:6" ht="28.8">
      <c r="C6702" s="191" t="s">
        <v>3238</v>
      </c>
      <c r="D6702" s="750">
        <v>0.02</v>
      </c>
      <c r="E6702" s="750">
        <v>0.02</v>
      </c>
      <c r="F6702" s="750">
        <v>0.02</v>
      </c>
    </row>
    <row r="6703" spans="2:6">
      <c r="C6703" s="191" t="s">
        <v>3239</v>
      </c>
      <c r="D6703" s="750">
        <v>0.01</v>
      </c>
      <c r="E6703" s="750">
        <v>0.01</v>
      </c>
      <c r="F6703" s="750">
        <v>0.01</v>
      </c>
    </row>
    <row r="6704" spans="2:6" ht="28.8">
      <c r="C6704" s="191" t="s">
        <v>3252</v>
      </c>
      <c r="D6704" s="750">
        <v>0.01</v>
      </c>
      <c r="E6704" s="750">
        <v>0.01</v>
      </c>
      <c r="F6704" s="689">
        <v>5.0000000000000001E-3</v>
      </c>
    </row>
    <row r="6705" spans="2:6" ht="28.8">
      <c r="C6705" s="191" t="s">
        <v>3241</v>
      </c>
      <c r="D6705" s="750">
        <v>0.01</v>
      </c>
      <c r="E6705" s="750">
        <v>0.01</v>
      </c>
      <c r="F6705" s="689">
        <v>5.0000000000000001E-3</v>
      </c>
    </row>
    <row r="6706" spans="2:6" ht="28.8">
      <c r="C6706" s="191" t="s">
        <v>3253</v>
      </c>
      <c r="D6706" s="750">
        <v>0.04</v>
      </c>
      <c r="E6706" s="750">
        <v>0.04</v>
      </c>
      <c r="F6706" s="750">
        <v>0.04</v>
      </c>
    </row>
    <row r="6707" spans="2:6">
      <c r="C6707" s="191" t="s">
        <v>3254</v>
      </c>
      <c r="D6707" s="750">
        <v>0.02</v>
      </c>
      <c r="E6707" s="750">
        <v>0.02</v>
      </c>
      <c r="F6707" s="750">
        <v>0.01</v>
      </c>
    </row>
    <row r="6708" spans="2:6">
      <c r="C6708" s="191"/>
      <c r="D6708" s="751">
        <f>SUM(D6693:D6707)</f>
        <v>0.99000000000000021</v>
      </c>
      <c r="E6708" s="751">
        <f>SUM(E6693:E6707)</f>
        <v>0.99000000000000021</v>
      </c>
      <c r="F6708" s="701">
        <f>SUM(F6693:F6707)</f>
        <v>0.96000000000000008</v>
      </c>
    </row>
    <row r="6709" spans="2:6">
      <c r="C6709" s="191"/>
      <c r="D6709" s="750"/>
      <c r="E6709" s="751">
        <f>D6708-E6708</f>
        <v>0</v>
      </c>
      <c r="F6709" s="751">
        <f>E6708-F6708</f>
        <v>3.0000000000000138E-2</v>
      </c>
    </row>
    <row r="6710" spans="2:6">
      <c r="D6710" s="7"/>
      <c r="E6710" s="7"/>
      <c r="F6710" s="7"/>
    </row>
    <row r="6711" spans="2:6">
      <c r="C6711" s="594" t="s">
        <v>2713</v>
      </c>
      <c r="D6711" s="693">
        <v>10560</v>
      </c>
      <c r="E6711" s="694"/>
      <c r="F6711" s="695"/>
    </row>
    <row r="6712" spans="2:6">
      <c r="C6712" s="660" t="s">
        <v>3228</v>
      </c>
      <c r="D6712" s="696">
        <v>1</v>
      </c>
      <c r="E6712" s="697"/>
      <c r="F6712" s="696"/>
    </row>
    <row r="6713" spans="2:6">
      <c r="C6713" s="660" t="s">
        <v>2437</v>
      </c>
      <c r="D6713" s="696"/>
      <c r="E6713" s="697"/>
      <c r="F6713" s="696"/>
    </row>
    <row r="6714" spans="2:6">
      <c r="C6714" s="660" t="s">
        <v>1446</v>
      </c>
      <c r="D6714" s="693"/>
      <c r="E6714" s="694"/>
      <c r="F6714" s="693"/>
    </row>
    <row r="6715" spans="2:6">
      <c r="C6715" s="87" t="s">
        <v>1447</v>
      </c>
      <c r="D6715" s="693">
        <v>8</v>
      </c>
      <c r="E6715" s="693">
        <v>22</v>
      </c>
      <c r="F6715" s="693"/>
    </row>
    <row r="6716" spans="2:6">
      <c r="C6716" s="87" t="s">
        <v>2438</v>
      </c>
      <c r="D6716" s="693"/>
      <c r="E6716" s="693"/>
      <c r="F6716" s="693"/>
    </row>
    <row r="6719" spans="2:6" ht="15.6">
      <c r="B6719" s="519" t="s">
        <v>1079</v>
      </c>
      <c r="C6719" s="661" t="s">
        <v>3255</v>
      </c>
      <c r="D6719" s="687" t="s">
        <v>353</v>
      </c>
      <c r="E6719" s="688" t="s">
        <v>354</v>
      </c>
      <c r="F6719" s="687" t="s">
        <v>355</v>
      </c>
    </row>
    <row r="6720" spans="2:6">
      <c r="C6720" s="191" t="s">
        <v>3256</v>
      </c>
      <c r="D6720" s="760">
        <v>0.01</v>
      </c>
      <c r="E6720" s="760">
        <v>0.01</v>
      </c>
      <c r="F6720" s="760">
        <v>0.01</v>
      </c>
    </row>
    <row r="6721" spans="3:6">
      <c r="C6721" s="191" t="s">
        <v>3257</v>
      </c>
      <c r="D6721" s="760">
        <v>0.1</v>
      </c>
      <c r="E6721" s="760">
        <v>0.1</v>
      </c>
      <c r="F6721" s="760">
        <v>0.1</v>
      </c>
    </row>
    <row r="6722" spans="3:6" ht="28.8">
      <c r="C6722" s="191" t="s">
        <v>3258</v>
      </c>
      <c r="D6722" s="760">
        <v>0.05</v>
      </c>
      <c r="E6722" s="760">
        <v>0.05</v>
      </c>
      <c r="F6722" s="760">
        <v>0.05</v>
      </c>
    </row>
    <row r="6723" spans="3:6">
      <c r="C6723" s="654" t="s">
        <v>3259</v>
      </c>
      <c r="D6723" s="760">
        <v>0.3</v>
      </c>
      <c r="E6723" s="760">
        <v>0.3</v>
      </c>
      <c r="F6723" s="760">
        <v>0.3</v>
      </c>
    </row>
    <row r="6724" spans="3:6" ht="28.8">
      <c r="C6724" s="191" t="s">
        <v>3260</v>
      </c>
      <c r="D6724" s="760">
        <v>0.01</v>
      </c>
      <c r="E6724" s="760">
        <v>0.01</v>
      </c>
      <c r="F6724" s="760">
        <v>0.01</v>
      </c>
    </row>
    <row r="6725" spans="3:6" ht="28.8">
      <c r="C6725" s="191" t="s">
        <v>3261</v>
      </c>
      <c r="D6725" s="760">
        <v>0.01</v>
      </c>
      <c r="E6725" s="760">
        <v>0.01</v>
      </c>
      <c r="F6725" s="760">
        <v>0.01</v>
      </c>
    </row>
    <row r="6726" spans="3:6" ht="28.8">
      <c r="C6726" s="191" t="s">
        <v>3262</v>
      </c>
      <c r="D6726" s="760">
        <v>0.05</v>
      </c>
      <c r="E6726" s="760">
        <v>0.05</v>
      </c>
      <c r="F6726" s="760">
        <v>0.05</v>
      </c>
    </row>
    <row r="6727" spans="3:6" ht="28.8">
      <c r="C6727" s="191" t="s">
        <v>3263</v>
      </c>
      <c r="D6727" s="760">
        <v>0.01</v>
      </c>
      <c r="E6727" s="760">
        <v>0.01</v>
      </c>
      <c r="F6727" s="760">
        <v>0.01</v>
      </c>
    </row>
    <row r="6728" spans="3:6" ht="28.8">
      <c r="C6728" s="191" t="s">
        <v>3264</v>
      </c>
      <c r="D6728" s="760">
        <v>0.3</v>
      </c>
      <c r="E6728" s="760">
        <v>0.3</v>
      </c>
      <c r="F6728" s="760">
        <v>0.3</v>
      </c>
    </row>
    <row r="6729" spans="3:6" ht="28.8">
      <c r="C6729" s="191" t="s">
        <v>3265</v>
      </c>
      <c r="D6729" s="760">
        <v>0.1</v>
      </c>
      <c r="E6729" s="760">
        <v>0.1</v>
      </c>
      <c r="F6729" s="760">
        <v>0.1</v>
      </c>
    </row>
    <row r="6730" spans="3:6">
      <c r="C6730" s="191" t="s">
        <v>3239</v>
      </c>
      <c r="D6730" s="760">
        <v>0.01</v>
      </c>
      <c r="E6730" s="760">
        <v>0.01</v>
      </c>
      <c r="F6730" s="760">
        <v>0.01</v>
      </c>
    </row>
    <row r="6731" spans="3:6">
      <c r="C6731" s="191" t="s">
        <v>3266</v>
      </c>
      <c r="D6731" s="760">
        <v>0.01</v>
      </c>
      <c r="E6731" s="760">
        <v>0.01</v>
      </c>
      <c r="F6731" s="760">
        <v>0.01</v>
      </c>
    </row>
    <row r="6732" spans="3:6" ht="28.8">
      <c r="C6732" s="191" t="s">
        <v>3241</v>
      </c>
      <c r="D6732" s="760">
        <v>0.01</v>
      </c>
      <c r="E6732" s="760">
        <v>0.01</v>
      </c>
      <c r="F6732" s="760">
        <v>0.01</v>
      </c>
    </row>
    <row r="6733" spans="3:6" ht="28.8">
      <c r="C6733" s="191" t="s">
        <v>3253</v>
      </c>
      <c r="D6733" s="760">
        <v>0.01</v>
      </c>
      <c r="E6733" s="760">
        <v>0.01</v>
      </c>
      <c r="F6733" s="760">
        <v>0.01</v>
      </c>
    </row>
    <row r="6734" spans="3:6" ht="28.8">
      <c r="C6734" s="191" t="s">
        <v>3267</v>
      </c>
      <c r="D6734" s="760">
        <v>0.01</v>
      </c>
      <c r="E6734" s="760">
        <v>0.01</v>
      </c>
      <c r="F6734" s="760">
        <v>0.01</v>
      </c>
    </row>
    <row r="6735" spans="3:6">
      <c r="C6735" s="191"/>
      <c r="D6735" s="761">
        <f>SUM(D6720:D6734)</f>
        <v>0.9900000000000001</v>
      </c>
      <c r="E6735" s="761">
        <f>SUM(E6720:E6734)</f>
        <v>0.9900000000000001</v>
      </c>
      <c r="F6735" s="762">
        <f>SUM(F6720:F6734)</f>
        <v>0.9900000000000001</v>
      </c>
    </row>
    <row r="6736" spans="3:6">
      <c r="C6736" s="191"/>
      <c r="D6736" s="760"/>
      <c r="E6736" s="761">
        <f>D6735-E6735</f>
        <v>0</v>
      </c>
      <c r="F6736" s="761">
        <f>E6735-F6735</f>
        <v>0</v>
      </c>
    </row>
    <row r="6737" spans="2:6">
      <c r="D6737" s="7"/>
      <c r="E6737" s="7"/>
      <c r="F6737" s="7"/>
    </row>
    <row r="6738" spans="2:6">
      <c r="C6738" s="763" t="s">
        <v>2713</v>
      </c>
      <c r="D6738" s="693">
        <v>10560</v>
      </c>
      <c r="E6738" s="694"/>
      <c r="F6738" s="695"/>
    </row>
    <row r="6739" spans="2:6">
      <c r="C6739" s="764" t="s">
        <v>3228</v>
      </c>
      <c r="D6739" s="765">
        <v>1</v>
      </c>
      <c r="E6739" s="766"/>
      <c r="F6739" s="765"/>
    </row>
    <row r="6740" spans="2:6">
      <c r="C6740" s="764" t="s">
        <v>2437</v>
      </c>
      <c r="D6740" s="765"/>
      <c r="E6740" s="766"/>
      <c r="F6740" s="765"/>
    </row>
    <row r="6741" spans="2:6">
      <c r="C6741" s="764" t="s">
        <v>1446</v>
      </c>
      <c r="D6741" s="693"/>
      <c r="E6741" s="694"/>
      <c r="F6741" s="693"/>
    </row>
    <row r="6742" spans="2:6">
      <c r="C6742" s="87" t="s">
        <v>1447</v>
      </c>
      <c r="D6742" s="693">
        <v>8</v>
      </c>
      <c r="E6742" s="693">
        <v>22</v>
      </c>
      <c r="F6742" s="693"/>
    </row>
    <row r="6743" spans="2:6">
      <c r="C6743" s="87" t="s">
        <v>2438</v>
      </c>
      <c r="D6743" s="693"/>
      <c r="E6743" s="693"/>
      <c r="F6743" s="693"/>
    </row>
    <row r="6746" spans="2:6" ht="15.6">
      <c r="B6746" s="519" t="s">
        <v>1079</v>
      </c>
      <c r="C6746" s="661" t="s">
        <v>3268</v>
      </c>
      <c r="D6746" s="687" t="s">
        <v>353</v>
      </c>
      <c r="E6746" s="688" t="s">
        <v>354</v>
      </c>
      <c r="F6746" s="687" t="s">
        <v>355</v>
      </c>
    </row>
    <row r="6747" spans="2:6">
      <c r="C6747" s="191" t="s">
        <v>3269</v>
      </c>
      <c r="D6747" s="750">
        <v>0.01</v>
      </c>
      <c r="E6747" s="689">
        <v>5.0000000000000001E-3</v>
      </c>
      <c r="F6747" s="689">
        <v>5.0000000000000001E-3</v>
      </c>
    </row>
    <row r="6748" spans="2:6">
      <c r="C6748" s="191" t="s">
        <v>3270</v>
      </c>
      <c r="D6748" s="750"/>
      <c r="E6748" s="689"/>
      <c r="F6748" s="689"/>
    </row>
    <row r="6749" spans="2:6" ht="28.8">
      <c r="C6749" s="191" t="s">
        <v>3271</v>
      </c>
      <c r="D6749" s="750">
        <v>0.32</v>
      </c>
      <c r="E6749" s="750">
        <v>0.32</v>
      </c>
      <c r="F6749" s="750">
        <v>0.32</v>
      </c>
    </row>
    <row r="6750" spans="2:6">
      <c r="C6750" s="191" t="s">
        <v>3272</v>
      </c>
      <c r="D6750" s="750">
        <v>0.1</v>
      </c>
      <c r="E6750" s="750">
        <v>0.05</v>
      </c>
      <c r="F6750" s="750">
        <v>0.05</v>
      </c>
    </row>
    <row r="6751" spans="2:6">
      <c r="C6751" s="191" t="s">
        <v>3273</v>
      </c>
      <c r="D6751" s="750">
        <v>0.1</v>
      </c>
      <c r="E6751" s="750">
        <v>0.1</v>
      </c>
      <c r="F6751" s="750">
        <v>0.04</v>
      </c>
    </row>
    <row r="6752" spans="2:6">
      <c r="C6752" s="191" t="s">
        <v>3274</v>
      </c>
      <c r="D6752" s="750">
        <v>0.02</v>
      </c>
      <c r="E6752" s="750">
        <v>0.02</v>
      </c>
      <c r="F6752" s="750">
        <v>0.01</v>
      </c>
    </row>
    <row r="6753" spans="3:6">
      <c r="C6753" s="191" t="s">
        <v>3275</v>
      </c>
      <c r="D6753" s="750">
        <v>0.05</v>
      </c>
      <c r="E6753" s="750">
        <v>0.05</v>
      </c>
      <c r="F6753" s="750">
        <v>0.02</v>
      </c>
    </row>
    <row r="6754" spans="3:6">
      <c r="C6754" s="191" t="s">
        <v>3276</v>
      </c>
      <c r="D6754" s="750">
        <v>0.05</v>
      </c>
      <c r="E6754" s="750">
        <v>0.05</v>
      </c>
      <c r="F6754" s="750">
        <v>0</v>
      </c>
    </row>
    <row r="6755" spans="3:6">
      <c r="C6755" s="191" t="s">
        <v>3277</v>
      </c>
      <c r="D6755" s="750">
        <v>0.05</v>
      </c>
      <c r="E6755" s="750">
        <v>0.05</v>
      </c>
      <c r="F6755" s="750">
        <v>0.02</v>
      </c>
    </row>
    <row r="6756" spans="3:6" ht="28.8">
      <c r="C6756" s="191" t="s">
        <v>3278</v>
      </c>
      <c r="D6756" s="750">
        <v>0.1</v>
      </c>
      <c r="E6756" s="750">
        <v>0.1</v>
      </c>
      <c r="F6756" s="750">
        <v>7.0000000000000007E-2</v>
      </c>
    </row>
    <row r="6757" spans="3:6">
      <c r="C6757" s="191" t="s">
        <v>3279</v>
      </c>
      <c r="D6757" s="750">
        <v>0.05</v>
      </c>
      <c r="E6757" s="750">
        <v>0.05</v>
      </c>
      <c r="F6757" s="750">
        <v>0.03</v>
      </c>
    </row>
    <row r="6758" spans="3:6" ht="28.8">
      <c r="C6758" s="191" t="s">
        <v>3280</v>
      </c>
      <c r="D6758" s="750">
        <v>0.05</v>
      </c>
      <c r="E6758" s="750">
        <v>0.05</v>
      </c>
      <c r="F6758" s="750">
        <v>0.03</v>
      </c>
    </row>
    <row r="6759" spans="3:6">
      <c r="C6759" s="191"/>
      <c r="D6759" s="751">
        <f>SUM(D6747:D6758)</f>
        <v>0.90000000000000024</v>
      </c>
      <c r="E6759" s="701">
        <f>SUM(E6747:E6758)</f>
        <v>0.8450000000000002</v>
      </c>
      <c r="F6759" s="701">
        <f>SUM(F6747:F6758)</f>
        <v>0.59500000000000008</v>
      </c>
    </row>
    <row r="6760" spans="3:6">
      <c r="C6760" s="191"/>
      <c r="D6760" s="750"/>
      <c r="E6760" s="701">
        <f>D6759-E6759</f>
        <v>5.5000000000000049E-2</v>
      </c>
      <c r="F6760" s="751">
        <f>E6759-F6759</f>
        <v>0.25000000000000011</v>
      </c>
    </row>
    <row r="6761" spans="3:6">
      <c r="D6761" s="7"/>
      <c r="E6761" s="7"/>
      <c r="F6761" s="7"/>
    </row>
    <row r="6762" spans="3:6">
      <c r="C6762" s="594" t="s">
        <v>3098</v>
      </c>
      <c r="D6762" s="693">
        <v>19200</v>
      </c>
      <c r="E6762" s="694"/>
      <c r="F6762" s="695"/>
    </row>
    <row r="6763" spans="3:6">
      <c r="C6763" s="660" t="s">
        <v>3281</v>
      </c>
      <c r="D6763" s="696">
        <v>1</v>
      </c>
      <c r="E6763" s="697"/>
      <c r="F6763" s="696"/>
    </row>
    <row r="6764" spans="3:6">
      <c r="C6764" s="660" t="s">
        <v>2437</v>
      </c>
      <c r="D6764" s="696"/>
      <c r="E6764" s="697"/>
      <c r="F6764" s="696"/>
    </row>
    <row r="6765" spans="3:6">
      <c r="C6765" s="660" t="s">
        <v>1446</v>
      </c>
      <c r="D6765" s="693"/>
      <c r="E6765" s="694"/>
      <c r="F6765" s="693"/>
    </row>
    <row r="6766" spans="3:6">
      <c r="C6766" s="87" t="s">
        <v>1447</v>
      </c>
      <c r="D6766" s="693">
        <v>8</v>
      </c>
      <c r="E6766" s="693">
        <v>22</v>
      </c>
      <c r="F6766" s="693"/>
    </row>
    <row r="6769" spans="2:6" ht="15.6">
      <c r="B6769" s="519" t="s">
        <v>1079</v>
      </c>
      <c r="C6769" s="661" t="s">
        <v>3282</v>
      </c>
      <c r="D6769" s="687" t="s">
        <v>353</v>
      </c>
      <c r="E6769" s="688" t="s">
        <v>354</v>
      </c>
      <c r="F6769" s="687" t="s">
        <v>355</v>
      </c>
    </row>
    <row r="6770" spans="2:6">
      <c r="C6770" s="654" t="s">
        <v>3283</v>
      </c>
      <c r="D6770" s="750">
        <v>0.05</v>
      </c>
      <c r="E6770" s="750">
        <v>0.05</v>
      </c>
      <c r="F6770" s="750">
        <v>0.02</v>
      </c>
    </row>
    <row r="6771" spans="2:6">
      <c r="C6771" s="654" t="s">
        <v>3284</v>
      </c>
      <c r="D6771" s="750">
        <v>0.05</v>
      </c>
      <c r="E6771" s="750">
        <v>0.05</v>
      </c>
      <c r="F6771" s="750">
        <v>0.02</v>
      </c>
    </row>
    <row r="6772" spans="2:6">
      <c r="C6772" s="654" t="s">
        <v>3285</v>
      </c>
      <c r="D6772" s="750">
        <v>0.05</v>
      </c>
      <c r="E6772" s="750">
        <v>0.05</v>
      </c>
      <c r="F6772" s="750">
        <v>0.05</v>
      </c>
    </row>
    <row r="6773" spans="2:6">
      <c r="C6773" s="191" t="s">
        <v>3286</v>
      </c>
      <c r="D6773" s="750">
        <v>0.1</v>
      </c>
      <c r="E6773" s="750">
        <v>0.1</v>
      </c>
      <c r="F6773" s="750">
        <v>0.04</v>
      </c>
    </row>
    <row r="6774" spans="2:6">
      <c r="C6774" s="191" t="s">
        <v>3287</v>
      </c>
      <c r="D6774" s="750">
        <v>0.75</v>
      </c>
      <c r="E6774" s="750">
        <v>0.75</v>
      </c>
      <c r="F6774" s="750">
        <v>0.75</v>
      </c>
    </row>
    <row r="6775" spans="2:6">
      <c r="C6775" s="191"/>
      <c r="D6775" s="751">
        <f>SUM(D6770:D6774)</f>
        <v>1</v>
      </c>
      <c r="E6775" s="701">
        <f>SUM(E6770:E6774)</f>
        <v>1</v>
      </c>
      <c r="F6775" s="701">
        <f>SUM(F6770:F6774)</f>
        <v>0.88</v>
      </c>
    </row>
    <row r="6776" spans="2:6">
      <c r="C6776" s="191"/>
      <c r="D6776" s="750"/>
      <c r="E6776" s="701">
        <f>D6775-E6775</f>
        <v>0</v>
      </c>
      <c r="F6776" s="751">
        <f>E6775-F6775</f>
        <v>0.12</v>
      </c>
    </row>
    <row r="6777" spans="2:6">
      <c r="D6777" s="7"/>
      <c r="E6777" s="7"/>
      <c r="F6777" s="7"/>
    </row>
    <row r="6778" spans="2:6">
      <c r="C6778" s="594" t="s">
        <v>3098</v>
      </c>
      <c r="D6778" s="693">
        <v>240</v>
      </c>
      <c r="E6778" s="694"/>
      <c r="F6778" s="695"/>
    </row>
    <row r="6779" spans="2:6">
      <c r="C6779" s="660" t="s">
        <v>3288</v>
      </c>
      <c r="D6779" s="696">
        <v>8</v>
      </c>
      <c r="E6779" s="697"/>
      <c r="F6779" s="696"/>
    </row>
    <row r="6780" spans="2:6">
      <c r="C6780" s="660" t="s">
        <v>2437</v>
      </c>
      <c r="D6780" s="696"/>
      <c r="E6780" s="697"/>
      <c r="F6780" s="696"/>
    </row>
    <row r="6781" spans="2:6">
      <c r="C6781" s="660" t="s">
        <v>1446</v>
      </c>
      <c r="D6781" s="693"/>
      <c r="E6781" s="694"/>
      <c r="F6781" s="693"/>
    </row>
    <row r="6782" spans="2:6">
      <c r="C6782" s="87" t="s">
        <v>1447</v>
      </c>
      <c r="D6782" s="693">
        <v>8</v>
      </c>
      <c r="E6782" s="693">
        <v>22</v>
      </c>
      <c r="F6782" s="693"/>
    </row>
    <row r="6785" spans="2:6" ht="15.6">
      <c r="B6785" s="519" t="s">
        <v>1079</v>
      </c>
      <c r="C6785" s="661" t="s">
        <v>3289</v>
      </c>
      <c r="D6785" s="687" t="s">
        <v>353</v>
      </c>
      <c r="E6785" s="688" t="s">
        <v>354</v>
      </c>
      <c r="F6785" s="687" t="s">
        <v>355</v>
      </c>
    </row>
    <row r="6786" spans="2:6">
      <c r="C6786" s="191" t="s">
        <v>3290</v>
      </c>
      <c r="D6786" s="750"/>
      <c r="E6786" s="750"/>
      <c r="F6786" s="750"/>
    </row>
    <row r="6787" spans="2:6">
      <c r="C6787" s="191"/>
      <c r="D6787" s="750"/>
      <c r="E6787" s="750"/>
      <c r="F6787" s="750"/>
    </row>
    <row r="6788" spans="2:6">
      <c r="C6788" s="191"/>
      <c r="D6788" s="750"/>
      <c r="E6788" s="750"/>
      <c r="F6788" s="750"/>
    </row>
    <row r="6789" spans="2:6">
      <c r="C6789" s="191"/>
      <c r="D6789" s="751">
        <f>SUM(D6786:D6788)</f>
        <v>0</v>
      </c>
      <c r="E6789" s="701">
        <f>SUM(E6786:E6788)</f>
        <v>0</v>
      </c>
      <c r="F6789" s="701">
        <f>SUM(F6786:F6788)</f>
        <v>0</v>
      </c>
    </row>
    <row r="6790" spans="2:6">
      <c r="C6790" s="191"/>
      <c r="D6790" s="750"/>
      <c r="E6790" s="701">
        <f>D6789-E6789</f>
        <v>0</v>
      </c>
      <c r="F6790" s="751">
        <f>E6789-F6789</f>
        <v>0</v>
      </c>
    </row>
    <row r="6791" spans="2:6">
      <c r="D6791" s="7"/>
      <c r="E6791" s="7"/>
      <c r="F6791" s="7"/>
    </row>
    <row r="6792" spans="2:6">
      <c r="C6792" s="594" t="s">
        <v>3098</v>
      </c>
      <c r="D6792" s="693">
        <v>120</v>
      </c>
      <c r="E6792" s="694"/>
      <c r="F6792" s="695"/>
    </row>
    <row r="6793" spans="2:6">
      <c r="C6793" s="660" t="s">
        <v>3291</v>
      </c>
      <c r="D6793" s="696">
        <v>1</v>
      </c>
      <c r="E6793" s="697"/>
      <c r="F6793" s="696"/>
    </row>
    <row r="6794" spans="2:6">
      <c r="C6794" s="660" t="s">
        <v>2437</v>
      </c>
      <c r="D6794" s="696"/>
      <c r="E6794" s="697"/>
      <c r="F6794" s="696"/>
    </row>
    <row r="6795" spans="2:6">
      <c r="C6795" s="660" t="s">
        <v>1446</v>
      </c>
      <c r="D6795" s="693"/>
      <c r="E6795" s="694"/>
      <c r="F6795" s="693"/>
    </row>
    <row r="6796" spans="2:6">
      <c r="C6796" s="87" t="s">
        <v>1447</v>
      </c>
      <c r="D6796" s="693">
        <v>8</v>
      </c>
      <c r="E6796" s="693">
        <v>22</v>
      </c>
      <c r="F6796" s="693"/>
    </row>
    <row r="6799" spans="2:6" ht="15.6">
      <c r="B6799" s="519" t="s">
        <v>1079</v>
      </c>
      <c r="C6799" s="661" t="s">
        <v>3292</v>
      </c>
      <c r="D6799" s="687" t="s">
        <v>353</v>
      </c>
      <c r="E6799" s="688" t="s">
        <v>354</v>
      </c>
      <c r="F6799" s="687" t="s">
        <v>355</v>
      </c>
    </row>
    <row r="6800" spans="2:6">
      <c r="C6800" s="191" t="s">
        <v>3293</v>
      </c>
      <c r="D6800" s="750">
        <v>0.01</v>
      </c>
      <c r="E6800" s="750">
        <v>0.01</v>
      </c>
      <c r="F6800" s="750">
        <v>0.01</v>
      </c>
    </row>
    <row r="6801" spans="2:6">
      <c r="C6801" s="191" t="s">
        <v>3294</v>
      </c>
      <c r="D6801" s="750">
        <v>0.01</v>
      </c>
      <c r="E6801" s="750">
        <v>0.01</v>
      </c>
      <c r="F6801" s="750">
        <v>0.01</v>
      </c>
    </row>
    <row r="6802" spans="2:6">
      <c r="C6802" s="191" t="s">
        <v>3295</v>
      </c>
      <c r="D6802" s="750">
        <v>0.2</v>
      </c>
      <c r="E6802" s="750">
        <v>0.2</v>
      </c>
      <c r="F6802" s="750">
        <v>0.2</v>
      </c>
    </row>
    <row r="6803" spans="2:6">
      <c r="C6803" s="191"/>
      <c r="D6803" s="750">
        <v>0.05</v>
      </c>
      <c r="E6803" s="750">
        <v>0.05</v>
      </c>
      <c r="F6803" s="750">
        <v>0.05</v>
      </c>
    </row>
    <row r="6804" spans="2:6">
      <c r="C6804" s="191"/>
      <c r="D6804" s="751">
        <f>SUM(D6800:D6803)</f>
        <v>0.27</v>
      </c>
      <c r="E6804" s="701">
        <f>SUM(E6800:E6803)</f>
        <v>0.27</v>
      </c>
      <c r="F6804" s="701">
        <f>SUM(F6800:F6803)</f>
        <v>0.27</v>
      </c>
    </row>
    <row r="6805" spans="2:6">
      <c r="C6805" s="191"/>
      <c r="D6805" s="750"/>
      <c r="E6805" s="701">
        <f>D6804-E6804</f>
        <v>0</v>
      </c>
      <c r="F6805" s="751">
        <f>E6804-F6804</f>
        <v>0</v>
      </c>
    </row>
    <row r="6806" spans="2:6">
      <c r="D6806" s="7"/>
      <c r="E6806" s="7"/>
      <c r="F6806" s="7"/>
    </row>
    <row r="6807" spans="2:6">
      <c r="C6807" s="594" t="s">
        <v>3098</v>
      </c>
      <c r="D6807" s="693">
        <v>240</v>
      </c>
      <c r="E6807" s="694"/>
      <c r="F6807" s="695"/>
    </row>
    <row r="6808" spans="2:6">
      <c r="C6808" s="660" t="s">
        <v>3296</v>
      </c>
      <c r="D6808" s="696">
        <v>300</v>
      </c>
      <c r="E6808" s="697"/>
      <c r="F6808" s="696"/>
    </row>
    <row r="6809" spans="2:6">
      <c r="C6809" s="660" t="s">
        <v>2437</v>
      </c>
      <c r="D6809" s="696"/>
      <c r="E6809" s="697"/>
      <c r="F6809" s="696"/>
    </row>
    <row r="6810" spans="2:6">
      <c r="C6810" s="660" t="s">
        <v>1446</v>
      </c>
      <c r="D6810" s="693"/>
      <c r="E6810" s="694"/>
      <c r="F6810" s="693"/>
    </row>
    <row r="6811" spans="2:6">
      <c r="C6811" s="87" t="s">
        <v>1447</v>
      </c>
      <c r="D6811" s="693">
        <v>8</v>
      </c>
      <c r="E6811" s="693">
        <v>22</v>
      </c>
      <c r="F6811" s="693"/>
    </row>
    <row r="6814" spans="2:6" ht="15.6">
      <c r="B6814" s="519" t="s">
        <v>1079</v>
      </c>
      <c r="C6814" s="661" t="s">
        <v>3297</v>
      </c>
      <c r="D6814" s="687" t="s">
        <v>353</v>
      </c>
      <c r="E6814" s="688" t="s">
        <v>354</v>
      </c>
      <c r="F6814" s="687" t="s">
        <v>355</v>
      </c>
    </row>
    <row r="6815" spans="2:6" ht="28.8">
      <c r="C6815" s="191" t="s">
        <v>3298</v>
      </c>
      <c r="D6815" s="750">
        <v>0.05</v>
      </c>
      <c r="E6815" s="750">
        <v>0.05</v>
      </c>
      <c r="F6815" s="750">
        <v>0.02</v>
      </c>
    </row>
    <row r="6816" spans="2:6">
      <c r="C6816" s="191" t="s">
        <v>3299</v>
      </c>
      <c r="D6816" s="750">
        <v>0.03</v>
      </c>
      <c r="E6816" s="750">
        <v>0.03</v>
      </c>
      <c r="F6816" s="750">
        <v>0.01</v>
      </c>
    </row>
    <row r="6817" spans="3:6" ht="28.8">
      <c r="C6817" s="191" t="s">
        <v>3300</v>
      </c>
      <c r="D6817" s="750">
        <v>0.02</v>
      </c>
      <c r="E6817" s="750">
        <v>0.02</v>
      </c>
      <c r="F6817" s="689">
        <v>5.0000000000000001E-3</v>
      </c>
    </row>
    <row r="6818" spans="3:6">
      <c r="C6818" s="191" t="s">
        <v>3301</v>
      </c>
      <c r="D6818" s="750">
        <v>0.01</v>
      </c>
      <c r="E6818" s="750">
        <v>0.01</v>
      </c>
      <c r="F6818" s="689">
        <v>5.0000000000000001E-3</v>
      </c>
    </row>
    <row r="6819" spans="3:6">
      <c r="C6819" s="191" t="s">
        <v>3302</v>
      </c>
      <c r="D6819" s="750">
        <v>0.3</v>
      </c>
      <c r="E6819" s="750">
        <v>0.3</v>
      </c>
      <c r="F6819" s="750">
        <v>0.3</v>
      </c>
    </row>
    <row r="6820" spans="3:6" ht="28.8">
      <c r="C6820" s="191" t="s">
        <v>3303</v>
      </c>
      <c r="D6820" s="750">
        <v>0.1</v>
      </c>
      <c r="E6820" s="750">
        <v>0.1</v>
      </c>
      <c r="F6820" s="750">
        <v>0.1</v>
      </c>
    </row>
    <row r="6821" spans="3:6">
      <c r="C6821" s="191" t="s">
        <v>3304</v>
      </c>
      <c r="D6821" s="750">
        <v>0.1</v>
      </c>
      <c r="E6821" s="750">
        <v>0.1</v>
      </c>
      <c r="F6821" s="750">
        <v>0.1</v>
      </c>
    </row>
    <row r="6822" spans="3:6" ht="28.8">
      <c r="C6822" s="191" t="s">
        <v>3305</v>
      </c>
      <c r="D6822" s="750">
        <v>0.05</v>
      </c>
      <c r="E6822" s="750">
        <v>0.05</v>
      </c>
      <c r="F6822" s="750">
        <v>0.05</v>
      </c>
    </row>
    <row r="6823" spans="3:6" ht="28.8">
      <c r="C6823" s="191" t="s">
        <v>3306</v>
      </c>
      <c r="D6823" s="750">
        <v>0.02</v>
      </c>
      <c r="E6823" s="750">
        <v>0.02</v>
      </c>
      <c r="F6823" s="750">
        <v>0.02</v>
      </c>
    </row>
    <row r="6824" spans="3:6">
      <c r="C6824" s="191" t="s">
        <v>3307</v>
      </c>
      <c r="D6824" s="750">
        <v>0.01</v>
      </c>
      <c r="E6824" s="750">
        <v>0.01</v>
      </c>
      <c r="F6824" s="750">
        <v>0.01</v>
      </c>
    </row>
    <row r="6825" spans="3:6">
      <c r="C6825" s="191" t="s">
        <v>3308</v>
      </c>
      <c r="D6825" s="750">
        <v>0.01</v>
      </c>
      <c r="E6825" s="750">
        <v>0.01</v>
      </c>
      <c r="F6825" s="750">
        <v>0.01</v>
      </c>
    </row>
    <row r="6826" spans="3:6" ht="28.8">
      <c r="C6826" s="191" t="s">
        <v>3309</v>
      </c>
      <c r="D6826" s="750">
        <v>0.01</v>
      </c>
      <c r="E6826" s="750">
        <v>0.01</v>
      </c>
      <c r="F6826" s="750">
        <v>0.01</v>
      </c>
    </row>
    <row r="6827" spans="3:6">
      <c r="C6827" s="191" t="s">
        <v>3310</v>
      </c>
      <c r="D6827" s="750">
        <v>0.05</v>
      </c>
      <c r="E6827" s="750">
        <v>0.05</v>
      </c>
      <c r="F6827" s="750">
        <v>0.02</v>
      </c>
    </row>
    <row r="6828" spans="3:6">
      <c r="C6828" s="191" t="s">
        <v>3155</v>
      </c>
      <c r="D6828" s="750">
        <v>0.03</v>
      </c>
      <c r="E6828" s="750">
        <v>0.03</v>
      </c>
      <c r="F6828" s="750">
        <v>0.01</v>
      </c>
    </row>
    <row r="6829" spans="3:6">
      <c r="C6829" s="191" t="s">
        <v>3311</v>
      </c>
      <c r="D6829" s="750">
        <v>0.01</v>
      </c>
      <c r="E6829" s="750">
        <v>0.01</v>
      </c>
      <c r="F6829" s="750">
        <v>0</v>
      </c>
    </row>
    <row r="6830" spans="3:6">
      <c r="C6830" s="191" t="s">
        <v>3312</v>
      </c>
      <c r="D6830" s="750">
        <v>0.02</v>
      </c>
      <c r="E6830" s="750">
        <v>0.02</v>
      </c>
      <c r="F6830" s="750">
        <v>0.01</v>
      </c>
    </row>
    <row r="6831" spans="3:6">
      <c r="C6831" s="638" t="s">
        <v>3313</v>
      </c>
      <c r="D6831" s="750">
        <v>0.25</v>
      </c>
      <c r="E6831" s="750">
        <v>0.25</v>
      </c>
      <c r="F6831" s="750">
        <v>0.25</v>
      </c>
    </row>
    <row r="6832" spans="3:6">
      <c r="C6832" s="191"/>
      <c r="D6832" s="751">
        <f>SUM(D6817:D6831)</f>
        <v>0.9900000000000001</v>
      </c>
      <c r="E6832" s="701">
        <f>SUM(E6817:E6831)</f>
        <v>0.9900000000000001</v>
      </c>
      <c r="F6832" s="701">
        <f>SUM(F6817:F6831)</f>
        <v>0.90000000000000013</v>
      </c>
    </row>
    <row r="6833" spans="2:6">
      <c r="C6833" s="87"/>
      <c r="D6833" s="750"/>
      <c r="E6833" s="701">
        <f>D6832-E6832</f>
        <v>0</v>
      </c>
      <c r="F6833" s="751">
        <f>E6832-F6832</f>
        <v>8.9999999999999969E-2</v>
      </c>
    </row>
    <row r="6834" spans="2:6">
      <c r="D6834" s="768"/>
      <c r="E6834" s="769"/>
      <c r="F6834" s="770"/>
    </row>
    <row r="6835" spans="2:6">
      <c r="D6835" s="768"/>
      <c r="E6835" s="769"/>
      <c r="F6835" s="770"/>
    </row>
    <row r="6836" spans="2:6">
      <c r="C6836" s="594" t="s">
        <v>3098</v>
      </c>
      <c r="D6836" s="693">
        <v>240</v>
      </c>
      <c r="E6836" s="693"/>
      <c r="F6836" s="695"/>
    </row>
    <row r="6837" spans="2:6">
      <c r="C6837" s="771" t="s">
        <v>3314</v>
      </c>
      <c r="D6837" s="772">
        <v>40</v>
      </c>
      <c r="E6837" s="773"/>
      <c r="F6837" s="772"/>
    </row>
    <row r="6838" spans="2:6">
      <c r="C6838" s="660" t="s">
        <v>2437</v>
      </c>
      <c r="D6838" s="696"/>
      <c r="E6838" s="697"/>
      <c r="F6838" s="696"/>
    </row>
    <row r="6839" spans="2:6">
      <c r="C6839" s="660" t="s">
        <v>1446</v>
      </c>
      <c r="D6839" s="693"/>
      <c r="E6839" s="694"/>
      <c r="F6839" s="693"/>
    </row>
    <row r="6840" spans="2:6">
      <c r="C6840" s="87" t="s">
        <v>1447</v>
      </c>
      <c r="D6840" s="693">
        <v>8</v>
      </c>
      <c r="E6840" s="693">
        <v>22</v>
      </c>
      <c r="F6840" s="693"/>
    </row>
    <row r="6843" spans="2:6" ht="15.6">
      <c r="B6843" s="519" t="s">
        <v>1079</v>
      </c>
      <c r="C6843" s="661" t="s">
        <v>3315</v>
      </c>
      <c r="D6843" s="687" t="s">
        <v>353</v>
      </c>
      <c r="E6843" s="688" t="s">
        <v>354</v>
      </c>
      <c r="F6843" s="687" t="s">
        <v>355</v>
      </c>
    </row>
    <row r="6844" spans="2:6">
      <c r="C6844" s="191" t="s">
        <v>3316</v>
      </c>
      <c r="D6844" s="750">
        <v>0.01</v>
      </c>
      <c r="E6844" s="750">
        <v>0.01</v>
      </c>
      <c r="F6844" s="689">
        <v>5.0000000000000001E-3</v>
      </c>
    </row>
    <row r="6845" spans="2:6">
      <c r="C6845" s="191" t="s">
        <v>3317</v>
      </c>
      <c r="D6845" s="750">
        <v>0.05</v>
      </c>
      <c r="E6845" s="750">
        <v>0.05</v>
      </c>
      <c r="F6845" s="750">
        <v>0.02</v>
      </c>
    </row>
    <row r="6846" spans="2:6">
      <c r="C6846" s="191" t="s">
        <v>3318</v>
      </c>
      <c r="D6846" s="750">
        <v>0.3</v>
      </c>
      <c r="E6846" s="750">
        <v>0.3</v>
      </c>
      <c r="F6846" s="750">
        <v>0.3</v>
      </c>
    </row>
    <row r="6847" spans="2:6">
      <c r="C6847" s="191" t="s">
        <v>3319</v>
      </c>
      <c r="D6847" s="750">
        <v>0.05</v>
      </c>
      <c r="E6847" s="750">
        <v>0.05</v>
      </c>
      <c r="F6847" s="750">
        <v>0.02</v>
      </c>
    </row>
    <row r="6848" spans="2:6">
      <c r="C6848" s="191" t="s">
        <v>3320</v>
      </c>
      <c r="D6848" s="750">
        <v>0.04</v>
      </c>
      <c r="E6848" s="750">
        <v>0.04</v>
      </c>
      <c r="F6848" s="750">
        <v>0.01</v>
      </c>
    </row>
    <row r="6849" spans="3:6">
      <c r="C6849" s="191" t="s">
        <v>3321</v>
      </c>
      <c r="D6849" s="750">
        <v>0.01</v>
      </c>
      <c r="E6849" s="750">
        <v>0.01</v>
      </c>
      <c r="F6849" s="689">
        <v>5.0000000000000001E-3</v>
      </c>
    </row>
    <row r="6850" spans="3:6">
      <c r="C6850" s="191" t="s">
        <v>3322</v>
      </c>
      <c r="D6850" s="750">
        <v>0.05</v>
      </c>
      <c r="E6850" s="750">
        <v>0.05</v>
      </c>
      <c r="F6850" s="750">
        <v>0.02</v>
      </c>
    </row>
    <row r="6851" spans="3:6" ht="28.8">
      <c r="C6851" s="191" t="s">
        <v>3323</v>
      </c>
      <c r="D6851" s="750">
        <v>0.05</v>
      </c>
      <c r="E6851" s="750">
        <v>0.05</v>
      </c>
      <c r="F6851" s="750">
        <v>0.05</v>
      </c>
    </row>
    <row r="6852" spans="3:6" ht="28.8">
      <c r="C6852" s="191" t="s">
        <v>3324</v>
      </c>
      <c r="D6852" s="750">
        <v>0.3</v>
      </c>
      <c r="E6852" s="750">
        <v>0.3</v>
      </c>
      <c r="F6852" s="750">
        <v>0.3</v>
      </c>
    </row>
    <row r="6853" spans="3:6">
      <c r="C6853" s="600" t="s">
        <v>3325</v>
      </c>
      <c r="D6853" s="750">
        <v>0.2</v>
      </c>
      <c r="E6853" s="750">
        <v>0.2</v>
      </c>
      <c r="F6853" s="750">
        <v>0.2</v>
      </c>
    </row>
    <row r="6854" spans="3:6">
      <c r="C6854" s="191"/>
      <c r="D6854" s="751">
        <f>SUM(D6846:D6853)</f>
        <v>1</v>
      </c>
      <c r="E6854" s="701">
        <f>SUM(E6846:E6853)</f>
        <v>1</v>
      </c>
      <c r="F6854" s="701">
        <f>SUM(F6846:F6853)</f>
        <v>0.90500000000000003</v>
      </c>
    </row>
    <row r="6855" spans="3:6">
      <c r="C6855" s="87"/>
      <c r="D6855" s="750"/>
      <c r="E6855" s="701">
        <f>D6854-E6854</f>
        <v>0</v>
      </c>
      <c r="F6855" s="751">
        <f>E6854-F6854</f>
        <v>9.4999999999999973E-2</v>
      </c>
    </row>
    <row r="6856" spans="3:6">
      <c r="D6856" s="768"/>
      <c r="E6856" s="769"/>
      <c r="F6856" s="770"/>
    </row>
    <row r="6857" spans="3:6">
      <c r="D6857" s="768"/>
      <c r="E6857" s="769"/>
      <c r="F6857" s="770"/>
    </row>
    <row r="6858" spans="3:6">
      <c r="C6858" s="594" t="s">
        <v>3098</v>
      </c>
      <c r="D6858" s="693">
        <v>240</v>
      </c>
      <c r="E6858" s="693"/>
      <c r="F6858" s="695"/>
    </row>
    <row r="6859" spans="3:6">
      <c r="C6859" s="771" t="s">
        <v>3326</v>
      </c>
      <c r="D6859" s="772">
        <v>100</v>
      </c>
      <c r="E6859" s="773"/>
      <c r="F6859" s="772"/>
    </row>
    <row r="6860" spans="3:6">
      <c r="C6860" s="660" t="s">
        <v>2437</v>
      </c>
      <c r="D6860" s="696"/>
      <c r="E6860" s="697"/>
      <c r="F6860" s="696"/>
    </row>
    <row r="6861" spans="3:6">
      <c r="C6861" s="660" t="s">
        <v>1446</v>
      </c>
      <c r="D6861" s="693"/>
      <c r="E6861" s="694"/>
      <c r="F6861" s="693"/>
    </row>
    <row r="6862" spans="3:6">
      <c r="C6862" s="87" t="s">
        <v>1447</v>
      </c>
      <c r="D6862" s="693">
        <v>8</v>
      </c>
      <c r="E6862" s="693">
        <v>22</v>
      </c>
      <c r="F6862" s="693"/>
    </row>
    <row r="6865" spans="2:6" ht="15.6">
      <c r="B6865" s="578" t="s">
        <v>1202</v>
      </c>
      <c r="C6865" s="661" t="s">
        <v>3327</v>
      </c>
      <c r="D6865" s="687" t="s">
        <v>353</v>
      </c>
      <c r="E6865" s="688" t="s">
        <v>354</v>
      </c>
      <c r="F6865" s="687" t="s">
        <v>355</v>
      </c>
    </row>
    <row r="6866" spans="2:6">
      <c r="C6866" s="191" t="s">
        <v>3328</v>
      </c>
      <c r="D6866" s="750">
        <v>0.3</v>
      </c>
      <c r="E6866" s="750">
        <v>0.3</v>
      </c>
      <c r="F6866" s="750">
        <v>0.3</v>
      </c>
    </row>
    <row r="6867" spans="2:6" ht="28.8">
      <c r="C6867" s="191" t="s">
        <v>3329</v>
      </c>
      <c r="D6867" s="750">
        <v>0.2</v>
      </c>
      <c r="E6867" s="750">
        <v>0.2</v>
      </c>
      <c r="F6867" s="750">
        <v>0.2</v>
      </c>
    </row>
    <row r="6868" spans="2:6" ht="28.8">
      <c r="C6868" s="191" t="s">
        <v>3330</v>
      </c>
      <c r="D6868" s="750">
        <v>0.15</v>
      </c>
      <c r="E6868" s="750">
        <v>0.15</v>
      </c>
      <c r="F6868" s="750">
        <v>0.15</v>
      </c>
    </row>
    <row r="6869" spans="2:6">
      <c r="C6869" s="191" t="s">
        <v>3331</v>
      </c>
      <c r="D6869" s="750">
        <v>0.1</v>
      </c>
      <c r="E6869" s="750">
        <v>0.1</v>
      </c>
      <c r="F6869" s="750">
        <v>0.1</v>
      </c>
    </row>
    <row r="6870" spans="2:6" ht="28.8">
      <c r="C6870" s="191" t="s">
        <v>3332</v>
      </c>
      <c r="D6870" s="750">
        <v>0.15</v>
      </c>
      <c r="E6870" s="750">
        <v>0.15</v>
      </c>
      <c r="F6870" s="750">
        <v>0.15</v>
      </c>
    </row>
    <row r="6871" spans="2:6" ht="28.8">
      <c r="C6871" s="191" t="s">
        <v>3333</v>
      </c>
      <c r="D6871" s="750">
        <v>0.05</v>
      </c>
      <c r="E6871" s="750">
        <v>0.05</v>
      </c>
      <c r="F6871" s="750">
        <v>0.05</v>
      </c>
    </row>
    <row r="6872" spans="2:6">
      <c r="C6872" s="191" t="s">
        <v>3334</v>
      </c>
      <c r="D6872" s="750">
        <v>0.05</v>
      </c>
      <c r="E6872" s="750">
        <v>0.05</v>
      </c>
      <c r="F6872" s="750">
        <v>0.05</v>
      </c>
    </row>
    <row r="6873" spans="2:6">
      <c r="C6873" s="191"/>
      <c r="D6873" s="751">
        <f>SUM(D6866:D6872)</f>
        <v>1</v>
      </c>
      <c r="E6873" s="751">
        <f t="shared" ref="E6873:F6873" si="253">SUM(E6866:E6872)</f>
        <v>1</v>
      </c>
      <c r="F6873" s="751">
        <f t="shared" si="253"/>
        <v>1</v>
      </c>
    </row>
    <row r="6874" spans="2:6">
      <c r="C6874" s="87"/>
      <c r="D6874" s="750"/>
      <c r="E6874" s="701">
        <f>D6873-E6873</f>
        <v>0</v>
      </c>
      <c r="F6874" s="751">
        <f>E6873-F6873</f>
        <v>0</v>
      </c>
    </row>
    <row r="6875" spans="2:6">
      <c r="D6875" s="768"/>
      <c r="E6875" s="769"/>
      <c r="F6875" s="770"/>
    </row>
    <row r="6876" spans="2:6">
      <c r="D6876" s="768"/>
      <c r="E6876" s="769"/>
      <c r="F6876" s="770"/>
    </row>
    <row r="6877" spans="2:6">
      <c r="C6877" s="594" t="s">
        <v>3098</v>
      </c>
      <c r="D6877" s="693">
        <v>30</v>
      </c>
      <c r="E6877" s="693"/>
      <c r="F6877" s="695"/>
    </row>
    <row r="6878" spans="2:6">
      <c r="C6878" s="771" t="s">
        <v>3335</v>
      </c>
      <c r="D6878" s="772">
        <v>31</v>
      </c>
      <c r="E6878" s="773"/>
      <c r="F6878" s="772"/>
    </row>
    <row r="6879" spans="2:6">
      <c r="C6879" s="660" t="s">
        <v>2437</v>
      </c>
      <c r="D6879" s="696"/>
      <c r="E6879" s="697"/>
      <c r="F6879" s="696"/>
    </row>
    <row r="6880" spans="2:6">
      <c r="C6880" s="660" t="s">
        <v>1446</v>
      </c>
      <c r="D6880" s="693"/>
      <c r="E6880" s="694"/>
      <c r="F6880" s="693"/>
    </row>
    <row r="6881" spans="2:6">
      <c r="C6881" s="87" t="s">
        <v>1447</v>
      </c>
      <c r="D6881" s="693">
        <v>8</v>
      </c>
      <c r="E6881" s="693">
        <v>22</v>
      </c>
      <c r="F6881" s="693"/>
    </row>
    <row r="6884" spans="2:6" ht="15.6">
      <c r="B6884" s="578" t="s">
        <v>1202</v>
      </c>
      <c r="C6884" s="661" t="s">
        <v>3336</v>
      </c>
      <c r="D6884" s="687" t="s">
        <v>353</v>
      </c>
      <c r="E6884" s="688" t="s">
        <v>354</v>
      </c>
      <c r="F6884" s="687" t="s">
        <v>355</v>
      </c>
    </row>
    <row r="6885" spans="2:6">
      <c r="C6885" s="191" t="s">
        <v>3337</v>
      </c>
      <c r="D6885" s="774">
        <v>0.05</v>
      </c>
      <c r="E6885" s="774">
        <v>0.05</v>
      </c>
      <c r="F6885" s="774">
        <v>0.05</v>
      </c>
    </row>
    <row r="6886" spans="2:6">
      <c r="C6886" s="191" t="s">
        <v>3338</v>
      </c>
      <c r="D6886" s="750">
        <v>0.02</v>
      </c>
      <c r="E6886" s="750">
        <v>0.02</v>
      </c>
      <c r="F6886" s="750">
        <v>0.02</v>
      </c>
    </row>
    <row r="6887" spans="2:6">
      <c r="C6887" s="191" t="s">
        <v>3339</v>
      </c>
      <c r="D6887" s="750">
        <v>0.25</v>
      </c>
      <c r="E6887" s="750">
        <v>0.25</v>
      </c>
      <c r="F6887" s="750">
        <v>0.25</v>
      </c>
    </row>
    <row r="6888" spans="2:6" ht="28.8">
      <c r="C6888" s="191" t="s">
        <v>3340</v>
      </c>
      <c r="D6888" s="750">
        <v>0.1</v>
      </c>
      <c r="E6888" s="750">
        <v>0.1</v>
      </c>
      <c r="F6888" s="750">
        <v>0.1</v>
      </c>
    </row>
    <row r="6889" spans="2:6" ht="28.8">
      <c r="C6889" s="191" t="s">
        <v>3341</v>
      </c>
      <c r="D6889" s="750">
        <v>0.05</v>
      </c>
      <c r="E6889" s="750">
        <v>0.05</v>
      </c>
      <c r="F6889" s="750">
        <v>0.05</v>
      </c>
    </row>
    <row r="6890" spans="2:6">
      <c r="C6890" s="191" t="s">
        <v>3342</v>
      </c>
      <c r="D6890" s="750">
        <v>0.1</v>
      </c>
      <c r="E6890" s="750">
        <v>0.1</v>
      </c>
      <c r="F6890" s="750">
        <v>0.1</v>
      </c>
    </row>
    <row r="6891" spans="2:6" ht="28.8">
      <c r="C6891" s="191" t="s">
        <v>3343</v>
      </c>
      <c r="D6891" s="750">
        <v>0.25</v>
      </c>
      <c r="E6891" s="750">
        <v>0.25</v>
      </c>
      <c r="F6891" s="750">
        <v>0.25</v>
      </c>
    </row>
    <row r="6892" spans="2:6">
      <c r="C6892" s="191" t="s">
        <v>3344</v>
      </c>
      <c r="D6892" s="750">
        <v>0.08</v>
      </c>
      <c r="E6892" s="750">
        <v>0.08</v>
      </c>
      <c r="F6892" s="750">
        <v>0.08</v>
      </c>
    </row>
    <row r="6893" spans="2:6" ht="28.8">
      <c r="C6893" s="191" t="s">
        <v>3345</v>
      </c>
      <c r="D6893" s="750">
        <v>0.1</v>
      </c>
      <c r="E6893" s="750">
        <v>0.1</v>
      </c>
      <c r="F6893" s="750">
        <v>0.1</v>
      </c>
    </row>
    <row r="6894" spans="2:6">
      <c r="C6894" s="191"/>
      <c r="D6894" s="751">
        <f>SUM(D6885:D6893)</f>
        <v>1</v>
      </c>
      <c r="E6894" s="751">
        <f>SUM(E6885:E6893)</f>
        <v>1</v>
      </c>
      <c r="F6894" s="751">
        <f>SUM(F6885:F6893)</f>
        <v>1</v>
      </c>
    </row>
    <row r="6895" spans="2:6">
      <c r="C6895" s="87"/>
      <c r="D6895" s="750"/>
      <c r="E6895" s="701">
        <f>D6894-E6894</f>
        <v>0</v>
      </c>
      <c r="F6895" s="751">
        <f>E6894-F6894</f>
        <v>0</v>
      </c>
    </row>
    <row r="6896" spans="2:6">
      <c r="D6896" s="768"/>
      <c r="E6896" s="769"/>
      <c r="F6896" s="770"/>
    </row>
    <row r="6897" spans="2:6">
      <c r="D6897" s="768"/>
      <c r="E6897" s="769"/>
      <c r="F6897" s="770"/>
    </row>
    <row r="6898" spans="2:6">
      <c r="C6898" s="594" t="s">
        <v>3346</v>
      </c>
      <c r="D6898" s="693">
        <v>240</v>
      </c>
      <c r="E6898" s="693"/>
      <c r="F6898" s="695"/>
    </row>
    <row r="6899" spans="2:6">
      <c r="C6899" s="771" t="s">
        <v>3347</v>
      </c>
      <c r="D6899" s="772">
        <v>60</v>
      </c>
      <c r="E6899" s="773"/>
      <c r="F6899" s="772"/>
    </row>
    <row r="6900" spans="2:6">
      <c r="C6900" s="660" t="s">
        <v>2437</v>
      </c>
      <c r="D6900" s="696"/>
      <c r="E6900" s="697"/>
      <c r="F6900" s="696"/>
    </row>
    <row r="6901" spans="2:6">
      <c r="C6901" s="660" t="s">
        <v>1446</v>
      </c>
      <c r="D6901" s="693"/>
      <c r="E6901" s="694"/>
      <c r="F6901" s="693"/>
    </row>
    <row r="6902" spans="2:6">
      <c r="C6902" s="87" t="s">
        <v>1447</v>
      </c>
      <c r="D6902" s="693">
        <v>8</v>
      </c>
      <c r="E6902" s="693">
        <v>22</v>
      </c>
      <c r="F6902" s="693"/>
    </row>
    <row r="6905" spans="2:6" ht="15.6">
      <c r="B6905" s="578" t="s">
        <v>1202</v>
      </c>
      <c r="C6905" s="661" t="s">
        <v>3348</v>
      </c>
      <c r="D6905" s="687" t="s">
        <v>353</v>
      </c>
      <c r="E6905" s="688" t="s">
        <v>354</v>
      </c>
      <c r="F6905" s="687" t="s">
        <v>355</v>
      </c>
    </row>
    <row r="6906" spans="2:6">
      <c r="C6906" s="191" t="s">
        <v>3349</v>
      </c>
      <c r="D6906" s="774">
        <v>0.35</v>
      </c>
      <c r="E6906" s="774">
        <v>0.35</v>
      </c>
      <c r="F6906" s="774">
        <v>0.35</v>
      </c>
    </row>
    <row r="6907" spans="2:6">
      <c r="C6907" s="191" t="s">
        <v>3350</v>
      </c>
      <c r="D6907" s="760">
        <v>0.1</v>
      </c>
      <c r="E6907" s="760">
        <v>0.1</v>
      </c>
      <c r="F6907" s="760">
        <v>0.1</v>
      </c>
    </row>
    <row r="6908" spans="2:6" ht="28.8">
      <c r="C6908" s="191" t="s">
        <v>3351</v>
      </c>
      <c r="D6908" s="760">
        <v>0.05</v>
      </c>
      <c r="E6908" s="760">
        <v>0.05</v>
      </c>
      <c r="F6908" s="760">
        <v>0.05</v>
      </c>
    </row>
    <row r="6909" spans="2:6">
      <c r="C6909" s="191" t="s">
        <v>3352</v>
      </c>
      <c r="D6909" s="760">
        <v>0.4</v>
      </c>
      <c r="E6909" s="760">
        <v>0.4</v>
      </c>
      <c r="F6909" s="760">
        <v>0.4</v>
      </c>
    </row>
    <row r="6910" spans="2:6">
      <c r="C6910" s="191" t="s">
        <v>3353</v>
      </c>
      <c r="D6910" s="760">
        <v>0.1</v>
      </c>
      <c r="E6910" s="760">
        <v>0.1</v>
      </c>
      <c r="F6910" s="760">
        <v>0.1</v>
      </c>
    </row>
    <row r="6911" spans="2:6">
      <c r="C6911" s="191"/>
      <c r="D6911" s="775">
        <f>SUM(D6906:D6910)</f>
        <v>0.99999999999999989</v>
      </c>
      <c r="E6911" s="775">
        <f>SUM(E6906:E6910)</f>
        <v>0.99999999999999989</v>
      </c>
      <c r="F6911" s="775">
        <f>SUM(F6906:F6910)</f>
        <v>0.99999999999999989</v>
      </c>
    </row>
    <row r="6912" spans="2:6">
      <c r="C6912" s="87"/>
      <c r="D6912" s="760"/>
      <c r="E6912" s="776">
        <f>D6911-E6911</f>
        <v>0</v>
      </c>
      <c r="F6912" s="775">
        <f>E6911-F6911</f>
        <v>0</v>
      </c>
    </row>
    <row r="6913" spans="2:6">
      <c r="D6913" s="3"/>
      <c r="E6913" s="777"/>
      <c r="F6913" s="778"/>
    </row>
    <row r="6914" spans="2:6">
      <c r="D6914" s="3"/>
      <c r="E6914" s="777"/>
      <c r="F6914" s="778"/>
    </row>
    <row r="6915" spans="2:6">
      <c r="C6915" s="594" t="s">
        <v>3346</v>
      </c>
      <c r="D6915" s="693">
        <v>240</v>
      </c>
      <c r="E6915" s="693"/>
      <c r="F6915" s="695"/>
    </row>
    <row r="6916" spans="2:6">
      <c r="C6916" s="142" t="s">
        <v>3347</v>
      </c>
      <c r="D6916" s="772">
        <v>4</v>
      </c>
      <c r="E6916" s="773"/>
      <c r="F6916" s="772"/>
    </row>
    <row r="6917" spans="2:6">
      <c r="C6917" s="87" t="s">
        <v>2437</v>
      </c>
      <c r="D6917" s="696"/>
      <c r="E6917" s="697"/>
      <c r="F6917" s="696"/>
    </row>
    <row r="6918" spans="2:6">
      <c r="C6918" s="87" t="s">
        <v>1446</v>
      </c>
      <c r="D6918" s="693"/>
      <c r="E6918" s="694"/>
      <c r="F6918" s="693"/>
    </row>
    <row r="6919" spans="2:6">
      <c r="C6919" s="87" t="s">
        <v>1447</v>
      </c>
      <c r="D6919" s="693">
        <v>8</v>
      </c>
      <c r="E6919" s="693">
        <v>22</v>
      </c>
      <c r="F6919" s="693"/>
    </row>
    <row r="6922" spans="2:6" ht="15.6">
      <c r="B6922" s="519" t="s">
        <v>1079</v>
      </c>
      <c r="C6922" s="661" t="s">
        <v>3354</v>
      </c>
      <c r="D6922" s="687" t="s">
        <v>353</v>
      </c>
      <c r="E6922" s="688" t="s">
        <v>354</v>
      </c>
      <c r="F6922" s="687" t="s">
        <v>355</v>
      </c>
    </row>
    <row r="6923" spans="2:6" ht="28.8">
      <c r="C6923" s="191" t="s">
        <v>3355</v>
      </c>
      <c r="D6923" s="774">
        <v>0.01</v>
      </c>
      <c r="E6923" s="774">
        <v>0.01</v>
      </c>
      <c r="F6923" s="774">
        <v>0.01</v>
      </c>
    </row>
    <row r="6924" spans="2:6" ht="28.8">
      <c r="C6924" s="191" t="s">
        <v>3356</v>
      </c>
      <c r="D6924" s="760">
        <v>0.4</v>
      </c>
      <c r="E6924" s="760">
        <v>0.4</v>
      </c>
      <c r="F6924" s="760">
        <v>0.35</v>
      </c>
    </row>
    <row r="6925" spans="2:6" ht="28.8">
      <c r="C6925" s="191" t="s">
        <v>3357</v>
      </c>
      <c r="D6925" s="760">
        <v>0.1</v>
      </c>
      <c r="E6925" s="760">
        <v>0.1</v>
      </c>
      <c r="F6925" s="760">
        <v>7.0000000000000007E-2</v>
      </c>
    </row>
    <row r="6926" spans="2:6">
      <c r="C6926" s="740" t="s">
        <v>3358</v>
      </c>
      <c r="D6926" s="760">
        <v>0.05</v>
      </c>
      <c r="E6926" s="760">
        <v>0.05</v>
      </c>
      <c r="F6926" s="760">
        <v>0.03</v>
      </c>
    </row>
    <row r="6927" spans="2:6" ht="28.8">
      <c r="C6927" s="191" t="s">
        <v>3359</v>
      </c>
      <c r="D6927" s="760">
        <v>0.2</v>
      </c>
      <c r="E6927" s="760">
        <v>0.2</v>
      </c>
      <c r="F6927" s="760">
        <v>0.2</v>
      </c>
    </row>
    <row r="6928" spans="2:6" ht="28.8">
      <c r="C6928" s="191" t="s">
        <v>3360</v>
      </c>
      <c r="D6928" s="760">
        <v>0.04</v>
      </c>
      <c r="E6928" s="760">
        <v>0.04</v>
      </c>
      <c r="F6928" s="760">
        <v>0.04</v>
      </c>
    </row>
    <row r="6929" spans="2:6" ht="28.8">
      <c r="C6929" s="191" t="s">
        <v>3361</v>
      </c>
      <c r="D6929" s="760">
        <v>0.1</v>
      </c>
      <c r="E6929" s="760">
        <v>0.08</v>
      </c>
      <c r="F6929" s="760">
        <v>0.04</v>
      </c>
    </row>
    <row r="6930" spans="2:6">
      <c r="C6930" s="191" t="s">
        <v>3362</v>
      </c>
      <c r="D6930" s="760">
        <v>0.1</v>
      </c>
      <c r="E6930" s="760">
        <v>0.1</v>
      </c>
      <c r="F6930" s="760">
        <v>0.1</v>
      </c>
    </row>
    <row r="6931" spans="2:6">
      <c r="C6931" s="191"/>
      <c r="D6931" s="775">
        <f>SUM(D6923:D6930)</f>
        <v>1</v>
      </c>
      <c r="E6931" s="775">
        <f t="shared" ref="E6931:F6931" si="254">SUM(E6923:E6930)</f>
        <v>0.98</v>
      </c>
      <c r="F6931" s="775">
        <f t="shared" si="254"/>
        <v>0.84</v>
      </c>
    </row>
    <row r="6932" spans="2:6">
      <c r="C6932" s="87"/>
      <c r="D6932" s="760"/>
      <c r="E6932" s="776">
        <f>D6931-E6931</f>
        <v>2.0000000000000018E-2</v>
      </c>
      <c r="F6932" s="775">
        <f>E6931-F6931</f>
        <v>0.14000000000000001</v>
      </c>
    </row>
    <row r="6933" spans="2:6">
      <c r="D6933" s="3"/>
      <c r="E6933" s="777"/>
      <c r="F6933" s="778"/>
    </row>
    <row r="6934" spans="2:6">
      <c r="D6934" s="3"/>
      <c r="E6934" s="777"/>
      <c r="F6934" s="778"/>
    </row>
    <row r="6935" spans="2:6">
      <c r="C6935" s="594" t="s">
        <v>2713</v>
      </c>
      <c r="D6935" s="693">
        <v>3360</v>
      </c>
      <c r="E6935" s="693"/>
      <c r="F6935" s="695"/>
    </row>
    <row r="6936" spans="2:6">
      <c r="C6936" s="142" t="s">
        <v>3363</v>
      </c>
      <c r="D6936" s="772">
        <v>1</v>
      </c>
      <c r="E6936" s="773"/>
      <c r="F6936" s="772"/>
    </row>
    <row r="6937" spans="2:6">
      <c r="C6937" s="87" t="s">
        <v>2437</v>
      </c>
      <c r="D6937" s="696"/>
      <c r="E6937" s="697"/>
      <c r="F6937" s="696"/>
    </row>
    <row r="6938" spans="2:6">
      <c r="C6938" s="87" t="s">
        <v>1446</v>
      </c>
      <c r="D6938" s="693"/>
      <c r="E6938" s="694"/>
      <c r="F6938" s="693"/>
    </row>
    <row r="6939" spans="2:6">
      <c r="C6939" s="87" t="s">
        <v>1447</v>
      </c>
      <c r="D6939" s="693">
        <v>8</v>
      </c>
      <c r="E6939" s="693">
        <v>22</v>
      </c>
      <c r="F6939" s="693"/>
    </row>
    <row r="6942" spans="2:6" ht="15.6">
      <c r="B6942" s="519" t="s">
        <v>1079</v>
      </c>
      <c r="C6942" s="661" t="s">
        <v>3364</v>
      </c>
      <c r="D6942" s="687" t="s">
        <v>353</v>
      </c>
      <c r="E6942" s="688" t="s">
        <v>354</v>
      </c>
      <c r="F6942" s="687" t="s">
        <v>355</v>
      </c>
    </row>
    <row r="6943" spans="2:6">
      <c r="C6943" s="191" t="s">
        <v>3365</v>
      </c>
      <c r="D6943" s="774">
        <v>0.05</v>
      </c>
      <c r="E6943" s="774">
        <v>0.05</v>
      </c>
      <c r="F6943" s="774">
        <v>0.02</v>
      </c>
    </row>
    <row r="6944" spans="2:6" ht="28.8">
      <c r="C6944" s="191" t="s">
        <v>3366</v>
      </c>
      <c r="D6944" s="760">
        <v>0.6</v>
      </c>
      <c r="E6944" s="760">
        <v>0.6</v>
      </c>
      <c r="F6944" s="760">
        <v>0.6</v>
      </c>
    </row>
    <row r="6945" spans="2:6">
      <c r="C6945" s="191" t="s">
        <v>3367</v>
      </c>
      <c r="D6945" s="760">
        <v>0.15</v>
      </c>
      <c r="E6945" s="760">
        <v>0.15</v>
      </c>
      <c r="F6945" s="760">
        <v>0.15</v>
      </c>
    </row>
    <row r="6946" spans="2:6">
      <c r="C6946" s="779" t="s">
        <v>3368</v>
      </c>
      <c r="D6946" s="780">
        <v>0.1</v>
      </c>
      <c r="E6946" s="780">
        <v>0.1</v>
      </c>
      <c r="F6946" s="780">
        <v>0.1</v>
      </c>
    </row>
    <row r="6947" spans="2:6" ht="28.8">
      <c r="C6947" s="781" t="s">
        <v>3369</v>
      </c>
      <c r="D6947" s="780">
        <v>0.05</v>
      </c>
      <c r="E6947" s="780">
        <v>0.05</v>
      </c>
      <c r="F6947" s="780">
        <v>0.05</v>
      </c>
    </row>
    <row r="6948" spans="2:6">
      <c r="C6948" s="782" t="s">
        <v>3370</v>
      </c>
      <c r="D6948" s="760">
        <v>0.05</v>
      </c>
      <c r="E6948" s="760">
        <v>0.05</v>
      </c>
      <c r="F6948" s="760">
        <v>0.05</v>
      </c>
    </row>
    <row r="6949" spans="2:6">
      <c r="C6949" s="191"/>
      <c r="D6949" s="775">
        <f>SUM(D6943:D6948)</f>
        <v>1</v>
      </c>
      <c r="E6949" s="775">
        <f>SUM(E6943:E6948)</f>
        <v>1</v>
      </c>
      <c r="F6949" s="775">
        <f>SUM(F6943:F6948)</f>
        <v>0.97000000000000008</v>
      </c>
    </row>
    <row r="6950" spans="2:6">
      <c r="C6950" s="87"/>
      <c r="D6950" s="760"/>
      <c r="E6950" s="776">
        <f>D6949-E6949</f>
        <v>0</v>
      </c>
      <c r="F6950" s="775">
        <f>E6949-F6949</f>
        <v>2.9999999999999916E-2</v>
      </c>
    </row>
    <row r="6951" spans="2:6">
      <c r="D6951" s="3"/>
      <c r="E6951" s="777"/>
      <c r="F6951" s="778"/>
    </row>
    <row r="6952" spans="2:6">
      <c r="D6952" s="3"/>
      <c r="E6952" s="777"/>
      <c r="F6952" s="778"/>
    </row>
    <row r="6953" spans="2:6">
      <c r="C6953" s="594" t="s">
        <v>2713</v>
      </c>
      <c r="D6953" s="693">
        <v>1920</v>
      </c>
      <c r="E6953" s="693"/>
      <c r="F6953" s="695"/>
    </row>
    <row r="6954" spans="2:6">
      <c r="C6954" s="142" t="s">
        <v>3363</v>
      </c>
      <c r="D6954" s="772">
        <v>7</v>
      </c>
      <c r="E6954" s="773"/>
      <c r="F6954" s="772"/>
    </row>
    <row r="6955" spans="2:6">
      <c r="C6955" s="87" t="s">
        <v>2437</v>
      </c>
      <c r="D6955" s="696"/>
      <c r="E6955" s="697"/>
      <c r="F6955" s="696"/>
    </row>
    <row r="6956" spans="2:6">
      <c r="C6956" s="87" t="s">
        <v>1446</v>
      </c>
      <c r="D6956" s="693"/>
      <c r="E6956" s="694"/>
      <c r="F6956" s="693"/>
    </row>
    <row r="6957" spans="2:6">
      <c r="C6957" s="87" t="s">
        <v>1447</v>
      </c>
      <c r="D6957" s="693">
        <v>8</v>
      </c>
      <c r="E6957" s="693">
        <v>22</v>
      </c>
      <c r="F6957" s="693"/>
    </row>
    <row r="6959" spans="2:6" ht="15.6">
      <c r="B6959" s="519" t="s">
        <v>1079</v>
      </c>
      <c r="C6959" s="730" t="s">
        <v>3371</v>
      </c>
      <c r="D6959" s="687" t="s">
        <v>353</v>
      </c>
      <c r="E6959" s="688" t="s">
        <v>354</v>
      </c>
      <c r="F6959" s="687" t="s">
        <v>355</v>
      </c>
    </row>
    <row r="6960" spans="2:6">
      <c r="C6960" s="191" t="s">
        <v>3372</v>
      </c>
      <c r="D6960" s="783">
        <v>0.3</v>
      </c>
      <c r="E6960" s="783">
        <v>0.3</v>
      </c>
      <c r="F6960" s="783">
        <v>0.3</v>
      </c>
    </row>
    <row r="6961" spans="2:6">
      <c r="C6961" s="191" t="s">
        <v>3373</v>
      </c>
      <c r="D6961" s="780">
        <v>0.03</v>
      </c>
      <c r="E6961" s="780">
        <v>0.03</v>
      </c>
      <c r="F6961" s="780">
        <v>0.03</v>
      </c>
    </row>
    <row r="6962" spans="2:6">
      <c r="C6962" s="784" t="s">
        <v>3374</v>
      </c>
      <c r="D6962" s="780">
        <v>0.3</v>
      </c>
      <c r="E6962" s="780">
        <v>0.3</v>
      </c>
      <c r="F6962" s="780">
        <v>0.3</v>
      </c>
    </row>
    <row r="6963" spans="2:6">
      <c r="C6963" s="781" t="s">
        <v>3375</v>
      </c>
      <c r="D6963" s="780">
        <v>0.15</v>
      </c>
      <c r="E6963" s="780">
        <v>0.15</v>
      </c>
      <c r="F6963" s="780">
        <v>0.15</v>
      </c>
    </row>
    <row r="6964" spans="2:6">
      <c r="C6964" s="782"/>
      <c r="D6964" s="760">
        <v>0.02</v>
      </c>
      <c r="E6964" s="760">
        <v>0.02</v>
      </c>
      <c r="F6964" s="760">
        <v>0.02</v>
      </c>
    </row>
    <row r="6965" spans="2:6">
      <c r="C6965" s="191"/>
      <c r="D6965" s="775">
        <f>SUM(D6960:D6964)</f>
        <v>0.79999999999999993</v>
      </c>
      <c r="E6965" s="775">
        <f>SUM(E6960:E6964)</f>
        <v>0.79999999999999993</v>
      </c>
      <c r="F6965" s="775">
        <f>SUM(F6960:F6964)</f>
        <v>0.79999999999999993</v>
      </c>
    </row>
    <row r="6966" spans="2:6">
      <c r="C6966" s="87"/>
      <c r="D6966" s="760"/>
      <c r="E6966" s="776">
        <f>D6965-E6965</f>
        <v>0</v>
      </c>
      <c r="F6966" s="775">
        <f>E6965-F6965</f>
        <v>0</v>
      </c>
    </row>
    <row r="6967" spans="2:6">
      <c r="D6967" s="3"/>
      <c r="E6967" s="777"/>
      <c r="F6967" s="778"/>
    </row>
    <row r="6968" spans="2:6">
      <c r="D6968" s="3"/>
      <c r="E6968" s="777"/>
      <c r="F6968" s="778"/>
    </row>
    <row r="6969" spans="2:6">
      <c r="C6969" s="594" t="s">
        <v>2713</v>
      </c>
      <c r="D6969" s="693">
        <v>13</v>
      </c>
      <c r="E6969" s="693"/>
      <c r="F6969" s="695"/>
    </row>
    <row r="6970" spans="2:6">
      <c r="C6970" s="142" t="s">
        <v>3363</v>
      </c>
      <c r="D6970" s="772">
        <v>50</v>
      </c>
      <c r="E6970" s="773"/>
      <c r="F6970" s="772"/>
    </row>
    <row r="6971" spans="2:6">
      <c r="C6971" s="87" t="s">
        <v>2437</v>
      </c>
      <c r="D6971" s="696"/>
      <c r="E6971" s="697"/>
      <c r="F6971" s="696"/>
    </row>
    <row r="6972" spans="2:6">
      <c r="C6972" s="87" t="s">
        <v>1446</v>
      </c>
      <c r="D6972" s="693"/>
      <c r="E6972" s="694"/>
      <c r="F6972" s="693"/>
    </row>
    <row r="6973" spans="2:6">
      <c r="C6973" s="87" t="s">
        <v>1447</v>
      </c>
      <c r="D6973" s="693">
        <v>8</v>
      </c>
      <c r="E6973" s="693">
        <v>22</v>
      </c>
      <c r="F6973" s="693"/>
    </row>
    <row r="6976" spans="2:6" ht="15.6">
      <c r="B6976" s="519" t="s">
        <v>1079</v>
      </c>
      <c r="C6976" s="730" t="s">
        <v>3376</v>
      </c>
      <c r="D6976" s="687" t="s">
        <v>353</v>
      </c>
      <c r="E6976" s="688" t="s">
        <v>354</v>
      </c>
      <c r="F6976" s="687" t="s">
        <v>355</v>
      </c>
    </row>
    <row r="6977" spans="3:6" ht="28.8">
      <c r="C6977" s="191" t="s">
        <v>3377</v>
      </c>
      <c r="D6977" s="783">
        <v>0.4</v>
      </c>
      <c r="E6977" s="783">
        <v>0.4</v>
      </c>
      <c r="F6977" s="783">
        <v>0.4</v>
      </c>
    </row>
    <row r="6978" spans="3:6">
      <c r="C6978" s="633" t="s">
        <v>3378</v>
      </c>
      <c r="D6978" s="780">
        <v>0.02</v>
      </c>
      <c r="E6978" s="780">
        <v>0.02</v>
      </c>
      <c r="F6978" s="780">
        <v>0.02</v>
      </c>
    </row>
    <row r="6979" spans="3:6">
      <c r="C6979" s="191" t="s">
        <v>3379</v>
      </c>
      <c r="D6979" s="780">
        <v>0.4</v>
      </c>
      <c r="E6979" s="780">
        <v>0.4</v>
      </c>
      <c r="F6979" s="780">
        <v>0.4</v>
      </c>
    </row>
    <row r="6980" spans="3:6">
      <c r="C6980" s="784" t="s">
        <v>3380</v>
      </c>
      <c r="D6980" s="780">
        <v>0.08</v>
      </c>
      <c r="E6980" s="780">
        <v>0.08</v>
      </c>
      <c r="F6980" s="780">
        <v>0.08</v>
      </c>
    </row>
    <row r="6981" spans="3:6">
      <c r="C6981" s="785" t="s">
        <v>3381</v>
      </c>
      <c r="D6981" s="780">
        <v>0.04</v>
      </c>
      <c r="E6981" s="780">
        <v>0.04</v>
      </c>
      <c r="F6981" s="780">
        <v>0.04</v>
      </c>
    </row>
    <row r="6982" spans="3:6">
      <c r="C6982" s="781" t="s">
        <v>3382</v>
      </c>
      <c r="D6982" s="780">
        <v>0.04</v>
      </c>
      <c r="E6982" s="780">
        <v>0.04</v>
      </c>
      <c r="F6982" s="780">
        <v>0.04</v>
      </c>
    </row>
    <row r="6983" spans="3:6">
      <c r="C6983" s="785" t="s">
        <v>3383</v>
      </c>
      <c r="D6983" s="780">
        <v>0.02</v>
      </c>
      <c r="E6983" s="780">
        <v>0.02</v>
      </c>
      <c r="F6983" s="780">
        <v>0.02</v>
      </c>
    </row>
    <row r="6984" spans="3:6">
      <c r="C6984" s="191"/>
      <c r="D6984" s="775">
        <f>SUM(D6977:D6983)</f>
        <v>1</v>
      </c>
      <c r="E6984" s="775">
        <f>SUM(E6977:E6983)</f>
        <v>1</v>
      </c>
      <c r="F6984" s="775">
        <f>SUM(F6977:F6983)</f>
        <v>1</v>
      </c>
    </row>
    <row r="6985" spans="3:6">
      <c r="C6985" s="87"/>
      <c r="D6985" s="760"/>
      <c r="E6985" s="776">
        <f>D6984-E6984</f>
        <v>0</v>
      </c>
      <c r="F6985" s="775">
        <f>E6984-F6984</f>
        <v>0</v>
      </c>
    </row>
    <row r="6986" spans="3:6">
      <c r="D6986" s="3"/>
      <c r="E6986" s="777"/>
      <c r="F6986" s="778"/>
    </row>
    <row r="6987" spans="3:6">
      <c r="D6987" s="3"/>
      <c r="E6987" s="777"/>
      <c r="F6987" s="778"/>
    </row>
    <row r="6988" spans="3:6">
      <c r="C6988" s="594" t="s">
        <v>2713</v>
      </c>
      <c r="D6988" s="693">
        <v>30</v>
      </c>
      <c r="E6988" s="693"/>
      <c r="F6988" s="695"/>
    </row>
    <row r="6989" spans="3:6">
      <c r="C6989" s="142" t="s">
        <v>3363</v>
      </c>
      <c r="D6989" s="772">
        <v>2</v>
      </c>
      <c r="E6989" s="773"/>
      <c r="F6989" s="772"/>
    </row>
    <row r="6990" spans="3:6">
      <c r="C6990" s="87" t="s">
        <v>2437</v>
      </c>
      <c r="D6990" s="696"/>
      <c r="E6990" s="697"/>
      <c r="F6990" s="696"/>
    </row>
    <row r="6991" spans="3:6">
      <c r="C6991" s="87" t="s">
        <v>1446</v>
      </c>
      <c r="D6991" s="693"/>
      <c r="E6991" s="694"/>
      <c r="F6991" s="693"/>
    </row>
    <row r="6992" spans="3:6">
      <c r="C6992" s="87" t="s">
        <v>1447</v>
      </c>
      <c r="D6992" s="693">
        <v>8</v>
      </c>
      <c r="E6992" s="693">
        <v>22</v>
      </c>
      <c r="F6992" s="693"/>
    </row>
    <row r="6995" spans="2:6" ht="15.6">
      <c r="B6995" s="519" t="s">
        <v>1079</v>
      </c>
      <c r="C6995" s="730" t="s">
        <v>3384</v>
      </c>
      <c r="D6995" s="687" t="s">
        <v>353</v>
      </c>
      <c r="E6995" s="688" t="s">
        <v>354</v>
      </c>
      <c r="F6995" s="687" t="s">
        <v>355</v>
      </c>
    </row>
    <row r="6996" spans="2:6">
      <c r="C6996" s="654" t="s">
        <v>3385</v>
      </c>
      <c r="D6996" s="783">
        <v>0.4</v>
      </c>
      <c r="E6996" s="783">
        <v>0.4</v>
      </c>
      <c r="F6996" s="786">
        <v>0</v>
      </c>
    </row>
    <row r="6997" spans="2:6">
      <c r="C6997" s="191" t="s">
        <v>3386</v>
      </c>
      <c r="D6997" s="783">
        <v>0.2</v>
      </c>
      <c r="E6997" s="783">
        <v>0.2</v>
      </c>
      <c r="F6997" s="783">
        <v>0</v>
      </c>
    </row>
    <row r="6998" spans="2:6">
      <c r="C6998" s="633" t="s">
        <v>3387</v>
      </c>
      <c r="D6998" s="780">
        <v>0.38</v>
      </c>
      <c r="E6998" s="780">
        <v>0.38</v>
      </c>
      <c r="F6998" s="780">
        <v>0</v>
      </c>
    </row>
    <row r="6999" spans="2:6">
      <c r="C6999" s="191" t="s">
        <v>3388</v>
      </c>
      <c r="D6999" s="780">
        <v>0.02</v>
      </c>
      <c r="E6999" s="780">
        <v>0.02</v>
      </c>
      <c r="F6999" s="780">
        <v>0</v>
      </c>
    </row>
    <row r="7000" spans="2:6">
      <c r="C7000" s="191"/>
      <c r="D7000" s="775">
        <f>SUM(D6996:D6999)</f>
        <v>1</v>
      </c>
      <c r="E7000" s="775">
        <f>SUM(E6996:E6999)</f>
        <v>1</v>
      </c>
      <c r="F7000" s="775">
        <f>SUM(F6996:F6999)</f>
        <v>0</v>
      </c>
    </row>
    <row r="7001" spans="2:6">
      <c r="C7001" s="87"/>
      <c r="D7001" s="760"/>
      <c r="E7001" s="776">
        <f>D7000-E7000</f>
        <v>0</v>
      </c>
      <c r="F7001" s="775">
        <f>E7000-F7000</f>
        <v>1</v>
      </c>
    </row>
    <row r="7002" spans="2:6">
      <c r="D7002" s="3"/>
      <c r="E7002" s="777"/>
      <c r="F7002" s="778"/>
    </row>
    <row r="7003" spans="2:6">
      <c r="D7003" s="3"/>
      <c r="E7003" s="777"/>
      <c r="F7003" s="778"/>
    </row>
    <row r="7004" spans="2:6">
      <c r="C7004" s="594" t="s">
        <v>2713</v>
      </c>
      <c r="D7004" s="693">
        <v>120</v>
      </c>
      <c r="E7004" s="693"/>
      <c r="F7004" s="695"/>
    </row>
    <row r="7005" spans="2:6">
      <c r="C7005" s="142" t="s">
        <v>3363</v>
      </c>
      <c r="D7005" s="772">
        <v>1</v>
      </c>
      <c r="E7005" s="773"/>
      <c r="F7005" s="772"/>
    </row>
    <row r="7006" spans="2:6">
      <c r="C7006" s="87" t="s">
        <v>2437</v>
      </c>
      <c r="D7006" s="696"/>
      <c r="E7006" s="697"/>
      <c r="F7006" s="696"/>
    </row>
    <row r="7007" spans="2:6">
      <c r="C7007" s="87" t="s">
        <v>1446</v>
      </c>
      <c r="D7007" s="693"/>
      <c r="E7007" s="694"/>
      <c r="F7007" s="693"/>
    </row>
    <row r="7008" spans="2:6">
      <c r="C7008" s="87" t="s">
        <v>1447</v>
      </c>
      <c r="D7008" s="693">
        <v>8</v>
      </c>
      <c r="E7008" s="693">
        <v>22</v>
      </c>
      <c r="F7008" s="693"/>
    </row>
    <row r="7011" spans="2:6" ht="15.6">
      <c r="B7011" s="578" t="s">
        <v>1202</v>
      </c>
      <c r="C7011" s="730" t="s">
        <v>3389</v>
      </c>
      <c r="D7011" s="687" t="s">
        <v>353</v>
      </c>
      <c r="E7011" s="688" t="s">
        <v>354</v>
      </c>
      <c r="F7011" s="687" t="s">
        <v>355</v>
      </c>
    </row>
    <row r="7012" spans="2:6">
      <c r="C7012" s="654" t="s">
        <v>3390</v>
      </c>
      <c r="D7012" s="783">
        <v>0.6</v>
      </c>
      <c r="E7012" s="783">
        <v>0.6</v>
      </c>
      <c r="F7012" s="783">
        <v>0.6</v>
      </c>
    </row>
    <row r="7013" spans="2:6">
      <c r="C7013" s="191" t="s">
        <v>3391</v>
      </c>
      <c r="D7013" s="783">
        <v>0.3</v>
      </c>
      <c r="E7013" s="783">
        <v>0.3</v>
      </c>
      <c r="F7013" s="783">
        <v>0.3</v>
      </c>
    </row>
    <row r="7014" spans="2:6" ht="28.8">
      <c r="C7014" s="572" t="s">
        <v>3392</v>
      </c>
      <c r="D7014" s="780">
        <v>0.05</v>
      </c>
      <c r="E7014" s="780">
        <v>0.05</v>
      </c>
      <c r="F7014" s="780">
        <v>0.05</v>
      </c>
    </row>
    <row r="7015" spans="2:6">
      <c r="C7015" s="191" t="s">
        <v>3393</v>
      </c>
      <c r="D7015" s="780">
        <v>0.05</v>
      </c>
      <c r="E7015" s="780">
        <v>0.05</v>
      </c>
      <c r="F7015" s="780">
        <v>0.05</v>
      </c>
    </row>
    <row r="7016" spans="2:6">
      <c r="C7016" s="191"/>
      <c r="D7016" s="775">
        <f>SUM(D7012:D7015)</f>
        <v>1</v>
      </c>
      <c r="E7016" s="775">
        <f>SUM(E7012:E7015)</f>
        <v>1</v>
      </c>
      <c r="F7016" s="775">
        <f>SUM(F7012:F7015)</f>
        <v>1</v>
      </c>
    </row>
    <row r="7017" spans="2:6">
      <c r="C7017" s="87"/>
      <c r="D7017" s="760"/>
      <c r="E7017" s="776">
        <f>D7016-E7016</f>
        <v>0</v>
      </c>
      <c r="F7017" s="775">
        <f>E7016-F7016</f>
        <v>0</v>
      </c>
    </row>
    <row r="7018" spans="2:6">
      <c r="D7018" s="3"/>
      <c r="E7018" s="777"/>
      <c r="F7018" s="778"/>
    </row>
    <row r="7019" spans="2:6">
      <c r="D7019" s="3"/>
      <c r="E7019" s="777"/>
      <c r="F7019" s="778"/>
    </row>
    <row r="7020" spans="2:6">
      <c r="C7020" s="594" t="s">
        <v>2713</v>
      </c>
      <c r="D7020" s="693">
        <v>480</v>
      </c>
      <c r="E7020" s="693"/>
      <c r="F7020" s="695"/>
    </row>
    <row r="7021" spans="2:6">
      <c r="C7021" s="142" t="s">
        <v>3363</v>
      </c>
      <c r="D7021" s="772">
        <v>1</v>
      </c>
      <c r="E7021" s="773"/>
      <c r="F7021" s="772"/>
    </row>
    <row r="7022" spans="2:6">
      <c r="C7022" s="87" t="s">
        <v>2437</v>
      </c>
      <c r="D7022" s="696"/>
      <c r="E7022" s="697"/>
      <c r="F7022" s="696"/>
    </row>
    <row r="7023" spans="2:6">
      <c r="C7023" s="87" t="s">
        <v>1446</v>
      </c>
      <c r="D7023" s="693"/>
      <c r="E7023" s="694"/>
      <c r="F7023" s="693"/>
    </row>
    <row r="7024" spans="2:6">
      <c r="C7024" s="87" t="s">
        <v>1447</v>
      </c>
      <c r="D7024" s="693">
        <v>8</v>
      </c>
      <c r="E7024" s="693">
        <v>22</v>
      </c>
      <c r="F7024" s="693"/>
    </row>
    <row r="7027" spans="2:6" ht="15.6">
      <c r="B7027" s="519" t="s">
        <v>1079</v>
      </c>
      <c r="C7027" s="730" t="s">
        <v>3394</v>
      </c>
      <c r="D7027" s="792" t="s">
        <v>353</v>
      </c>
      <c r="E7027" s="793" t="s">
        <v>354</v>
      </c>
      <c r="F7027" s="792" t="s">
        <v>355</v>
      </c>
    </row>
    <row r="7028" spans="2:6" ht="28.8">
      <c r="C7028" s="791" t="s">
        <v>3395</v>
      </c>
      <c r="D7028" s="295"/>
      <c r="E7028" s="295"/>
      <c r="F7028" s="295"/>
    </row>
    <row r="7029" spans="2:6" ht="28.8">
      <c r="C7029" s="787" t="s">
        <v>3396</v>
      </c>
      <c r="D7029" s="794">
        <v>0.05</v>
      </c>
      <c r="E7029" s="794">
        <v>0.05</v>
      </c>
      <c r="F7029" s="794">
        <v>0</v>
      </c>
    </row>
    <row r="7030" spans="2:6" ht="28.8">
      <c r="C7030" s="572" t="s">
        <v>3397</v>
      </c>
      <c r="D7030" s="788">
        <v>0.45</v>
      </c>
      <c r="E7030" s="788">
        <v>0.2</v>
      </c>
      <c r="F7030" s="788">
        <v>0.1</v>
      </c>
    </row>
    <row r="7031" spans="2:6">
      <c r="C7031" s="134" t="s">
        <v>3398</v>
      </c>
      <c r="D7031" s="789">
        <v>0.35</v>
      </c>
      <c r="E7031" s="695">
        <v>0.15</v>
      </c>
      <c r="F7031" s="695">
        <v>0.1</v>
      </c>
    </row>
    <row r="7032" spans="2:6">
      <c r="C7032" s="191" t="s">
        <v>3399</v>
      </c>
      <c r="D7032" s="775">
        <f>SUM(D7029:D7031)</f>
        <v>0.85</v>
      </c>
      <c r="E7032" s="775">
        <f>SUM(E7029:E7031)</f>
        <v>0.4</v>
      </c>
      <c r="F7032" s="775">
        <f>SUM(F7029:F7031)</f>
        <v>0.2</v>
      </c>
    </row>
    <row r="7033" spans="2:6">
      <c r="C7033" s="191"/>
      <c r="D7033" s="775"/>
      <c r="E7033" s="775">
        <f>+D7032-E7032</f>
        <v>0.44999999999999996</v>
      </c>
      <c r="F7033" s="775">
        <f>+E7032-F7032</f>
        <v>0.2</v>
      </c>
    </row>
    <row r="7035" spans="2:6">
      <c r="C7035" s="594" t="s">
        <v>2713</v>
      </c>
      <c r="D7035" s="693">
        <v>15</v>
      </c>
      <c r="E7035" s="693"/>
      <c r="F7035" s="695"/>
    </row>
    <row r="7036" spans="2:6">
      <c r="C7036" s="142" t="s">
        <v>3363</v>
      </c>
      <c r="D7036" s="790">
        <v>2</v>
      </c>
      <c r="E7036" s="773"/>
      <c r="F7036" s="772"/>
    </row>
    <row r="7037" spans="2:6">
      <c r="C7037" s="87" t="s">
        <v>2437</v>
      </c>
      <c r="D7037" s="696"/>
      <c r="E7037" s="697"/>
      <c r="F7037" s="696"/>
    </row>
    <row r="7038" spans="2:6">
      <c r="C7038" s="87" t="s">
        <v>1446</v>
      </c>
      <c r="D7038" s="693"/>
      <c r="E7038" s="694"/>
      <c r="F7038" s="693"/>
    </row>
    <row r="7039" spans="2:6">
      <c r="C7039" s="87" t="s">
        <v>1447</v>
      </c>
      <c r="D7039" s="693">
        <v>8</v>
      </c>
      <c r="E7039" s="693">
        <v>22</v>
      </c>
      <c r="F7039" s="693"/>
    </row>
    <row r="7042" spans="2:6" ht="15.6">
      <c r="B7042" s="519" t="s">
        <v>1079</v>
      </c>
      <c r="C7042" s="730" t="s">
        <v>3400</v>
      </c>
      <c r="D7042" s="687" t="s">
        <v>353</v>
      </c>
      <c r="E7042" s="688" t="s">
        <v>354</v>
      </c>
      <c r="F7042" s="687" t="s">
        <v>355</v>
      </c>
    </row>
    <row r="7043" spans="2:6">
      <c r="C7043" s="787" t="s">
        <v>3401</v>
      </c>
      <c r="D7043" s="783">
        <v>0.02</v>
      </c>
      <c r="E7043" s="783">
        <v>0.01</v>
      </c>
      <c r="F7043" s="783">
        <v>0.01</v>
      </c>
    </row>
    <row r="7044" spans="2:6" ht="28.8">
      <c r="C7044" s="787" t="s">
        <v>3402</v>
      </c>
      <c r="D7044" s="795">
        <v>0.15</v>
      </c>
      <c r="E7044" s="795">
        <v>0.1</v>
      </c>
      <c r="F7044" s="795">
        <v>0.1</v>
      </c>
    </row>
    <row r="7045" spans="2:6" ht="28.8">
      <c r="C7045" s="787" t="s">
        <v>3403</v>
      </c>
      <c r="D7045" s="795">
        <v>0.15</v>
      </c>
      <c r="E7045" s="795">
        <v>0.1</v>
      </c>
      <c r="F7045" s="795">
        <v>0.1</v>
      </c>
    </row>
    <row r="7046" spans="2:6" ht="28.8">
      <c r="C7046" s="787" t="s">
        <v>3404</v>
      </c>
      <c r="D7046" s="795">
        <v>0.02</v>
      </c>
      <c r="E7046" s="795">
        <v>0.01</v>
      </c>
      <c r="F7046" s="795">
        <v>0.01</v>
      </c>
    </row>
    <row r="7047" spans="2:6" ht="28.8">
      <c r="C7047" s="787" t="s">
        <v>3405</v>
      </c>
      <c r="D7047" s="795">
        <v>0.2</v>
      </c>
      <c r="E7047" s="795">
        <v>0.2</v>
      </c>
      <c r="F7047" s="795">
        <v>0.2</v>
      </c>
    </row>
    <row r="7048" spans="2:6">
      <c r="C7048" s="787" t="s">
        <v>3406</v>
      </c>
      <c r="D7048" s="795">
        <v>0.05</v>
      </c>
      <c r="E7048" s="795">
        <v>0.05</v>
      </c>
      <c r="F7048" s="795">
        <v>0.05</v>
      </c>
    </row>
    <row r="7049" spans="2:6">
      <c r="C7049" s="787" t="s">
        <v>3407</v>
      </c>
      <c r="D7049" s="795">
        <v>0.05</v>
      </c>
      <c r="E7049" s="795">
        <v>0.05</v>
      </c>
      <c r="F7049" s="795">
        <v>0.05</v>
      </c>
    </row>
    <row r="7050" spans="2:6" ht="28.8">
      <c r="C7050" s="787" t="s">
        <v>3408</v>
      </c>
      <c r="D7050" s="795">
        <v>0.25</v>
      </c>
      <c r="E7050" s="795">
        <v>0.25</v>
      </c>
      <c r="F7050" s="795">
        <v>0.25</v>
      </c>
    </row>
    <row r="7051" spans="2:6">
      <c r="C7051" s="787" t="s">
        <v>3409</v>
      </c>
      <c r="D7051" s="795">
        <v>0.02</v>
      </c>
      <c r="E7051" s="795">
        <v>0.01</v>
      </c>
      <c r="F7051" s="795">
        <v>0.01</v>
      </c>
    </row>
    <row r="7052" spans="2:6" ht="28.8">
      <c r="C7052" s="787" t="s">
        <v>3410</v>
      </c>
      <c r="D7052" s="795">
        <v>0.02</v>
      </c>
      <c r="E7052" s="795">
        <v>0.02</v>
      </c>
      <c r="F7052" s="795">
        <v>0.02</v>
      </c>
    </row>
    <row r="7053" spans="2:6">
      <c r="C7053" s="796" t="s">
        <v>3411</v>
      </c>
      <c r="D7053" s="789">
        <v>0.02</v>
      </c>
      <c r="E7053" s="789">
        <v>0.02</v>
      </c>
      <c r="F7053" s="789">
        <v>0.02</v>
      </c>
    </row>
    <row r="7054" spans="2:6">
      <c r="C7054" s="191"/>
      <c r="D7054" s="775">
        <f>SUM(D7043:D7053)</f>
        <v>0.95000000000000018</v>
      </c>
      <c r="E7054" s="775">
        <f>SUM(E7043:E7053)</f>
        <v>0.82000000000000006</v>
      </c>
      <c r="F7054" s="775">
        <f>SUM(F7043:F7053)</f>
        <v>0.82000000000000006</v>
      </c>
    </row>
    <row r="7055" spans="2:6">
      <c r="C7055" s="191"/>
      <c r="D7055" s="775"/>
      <c r="E7055" s="775">
        <f>+D7054-E7054</f>
        <v>0.13000000000000012</v>
      </c>
      <c r="F7055" s="775">
        <f>+E7054-F7054</f>
        <v>0</v>
      </c>
    </row>
    <row r="7056" spans="2:6">
      <c r="D7056" s="3"/>
      <c r="E7056" s="777"/>
      <c r="F7056" s="778"/>
    </row>
    <row r="7057" spans="2:6">
      <c r="D7057" s="3"/>
      <c r="E7057" s="777"/>
      <c r="F7057" s="778"/>
    </row>
    <row r="7058" spans="2:6">
      <c r="C7058" s="594" t="s">
        <v>3412</v>
      </c>
      <c r="D7058" s="693">
        <v>4800</v>
      </c>
      <c r="E7058" s="693"/>
      <c r="F7058" s="695"/>
    </row>
    <row r="7059" spans="2:6">
      <c r="C7059" s="142" t="s">
        <v>3363</v>
      </c>
      <c r="D7059" s="790">
        <v>1</v>
      </c>
      <c r="E7059" s="773"/>
      <c r="F7059" s="772"/>
    </row>
    <row r="7060" spans="2:6">
      <c r="C7060" s="87" t="s">
        <v>2437</v>
      </c>
      <c r="D7060" s="696"/>
      <c r="E7060" s="697"/>
      <c r="F7060" s="696"/>
    </row>
    <row r="7061" spans="2:6">
      <c r="C7061" s="87" t="s">
        <v>1446</v>
      </c>
      <c r="D7061" s="693"/>
      <c r="E7061" s="694"/>
      <c r="F7061" s="693"/>
    </row>
    <row r="7062" spans="2:6">
      <c r="C7062" s="87" t="s">
        <v>1447</v>
      </c>
      <c r="D7062" s="693">
        <v>8</v>
      </c>
      <c r="E7062" s="693">
        <v>22</v>
      </c>
      <c r="F7062" s="693"/>
    </row>
    <row r="7065" spans="2:6" ht="15.6">
      <c r="B7065" s="578" t="s">
        <v>1202</v>
      </c>
      <c r="C7065" s="730" t="s">
        <v>3413</v>
      </c>
      <c r="D7065" s="687" t="s">
        <v>353</v>
      </c>
      <c r="E7065" s="688" t="s">
        <v>354</v>
      </c>
      <c r="F7065" s="687" t="s">
        <v>355</v>
      </c>
    </row>
    <row r="7066" spans="2:6" ht="28.8">
      <c r="C7066" s="787" t="s">
        <v>3414</v>
      </c>
      <c r="D7066" s="783">
        <v>0.08</v>
      </c>
      <c r="E7066" s="783">
        <v>0.08</v>
      </c>
      <c r="F7066" s="783">
        <v>0.08</v>
      </c>
    </row>
    <row r="7067" spans="2:6" ht="28.8">
      <c r="C7067" s="787" t="s">
        <v>3415</v>
      </c>
      <c r="D7067" s="795">
        <v>7.0000000000000007E-2</v>
      </c>
      <c r="E7067" s="795">
        <v>7.0000000000000007E-2</v>
      </c>
      <c r="F7067" s="795">
        <v>7.0000000000000007E-2</v>
      </c>
    </row>
    <row r="7068" spans="2:6">
      <c r="C7068" s="787" t="s">
        <v>3416</v>
      </c>
      <c r="D7068" s="795">
        <v>7.0000000000000007E-2</v>
      </c>
      <c r="E7068" s="795">
        <v>7.0000000000000007E-2</v>
      </c>
      <c r="F7068" s="795">
        <v>7.0000000000000007E-2</v>
      </c>
    </row>
    <row r="7069" spans="2:6">
      <c r="C7069" s="787" t="s">
        <v>3417</v>
      </c>
      <c r="D7069" s="795">
        <v>0.78</v>
      </c>
      <c r="E7069" s="795">
        <v>0.78</v>
      </c>
      <c r="F7069" s="795">
        <v>0.78</v>
      </c>
    </row>
    <row r="7070" spans="2:6">
      <c r="C7070" s="191"/>
      <c r="D7070" s="775">
        <f>SUM(D7066:D7069)</f>
        <v>1</v>
      </c>
      <c r="E7070" s="775">
        <f>SUM(E7066:E7069)</f>
        <v>1</v>
      </c>
      <c r="F7070" s="775">
        <f>SUM(F7066:F7069)</f>
        <v>1</v>
      </c>
    </row>
    <row r="7071" spans="2:6">
      <c r="C7071" s="191"/>
      <c r="D7071" s="775"/>
      <c r="E7071" s="775">
        <f>+D7070-E7070</f>
        <v>0</v>
      </c>
      <c r="F7071" s="775">
        <f>+E7070-F7070</f>
        <v>0</v>
      </c>
    </row>
    <row r="7072" spans="2:6">
      <c r="D7072" s="3"/>
      <c r="E7072" s="777"/>
      <c r="F7072" s="778"/>
    </row>
    <row r="7073" spans="2:6">
      <c r="D7073" s="3"/>
      <c r="E7073" s="777"/>
      <c r="F7073" s="778"/>
    </row>
    <row r="7074" spans="2:6">
      <c r="C7074" s="594" t="s">
        <v>2713</v>
      </c>
      <c r="D7074" s="693">
        <v>120</v>
      </c>
      <c r="E7074" s="693"/>
      <c r="F7074" s="695"/>
    </row>
    <row r="7075" spans="2:6">
      <c r="C7075" s="142" t="s">
        <v>3363</v>
      </c>
      <c r="D7075" s="790">
        <v>1</v>
      </c>
      <c r="E7075" s="773"/>
      <c r="F7075" s="772"/>
    </row>
    <row r="7076" spans="2:6">
      <c r="C7076" s="87" t="s">
        <v>2437</v>
      </c>
      <c r="D7076" s="696"/>
      <c r="E7076" s="697"/>
      <c r="F7076" s="696"/>
    </row>
    <row r="7077" spans="2:6">
      <c r="C7077" s="87" t="s">
        <v>1446</v>
      </c>
      <c r="D7077" s="693"/>
      <c r="E7077" s="694"/>
      <c r="F7077" s="693"/>
    </row>
    <row r="7078" spans="2:6">
      <c r="C7078" s="87" t="s">
        <v>1447</v>
      </c>
      <c r="D7078" s="693">
        <v>8</v>
      </c>
      <c r="E7078" s="693">
        <v>22</v>
      </c>
      <c r="F7078" s="693"/>
    </row>
    <row r="7081" spans="2:6" ht="15.6">
      <c r="B7081" s="558" t="s">
        <v>1079</v>
      </c>
      <c r="C7081" s="797" t="s">
        <v>3418</v>
      </c>
      <c r="D7081" s="687" t="s">
        <v>353</v>
      </c>
      <c r="E7081" s="688" t="s">
        <v>354</v>
      </c>
      <c r="F7081" s="687" t="s">
        <v>355</v>
      </c>
    </row>
    <row r="7082" spans="2:6">
      <c r="C7082" s="787" t="s">
        <v>3419</v>
      </c>
      <c r="D7082" s="783">
        <v>0.05</v>
      </c>
      <c r="E7082" s="783">
        <v>0.05</v>
      </c>
      <c r="F7082" s="783">
        <v>0.02</v>
      </c>
    </row>
    <row r="7083" spans="2:6">
      <c r="C7083" s="787" t="s">
        <v>3420</v>
      </c>
      <c r="D7083" s="795">
        <v>0.05</v>
      </c>
      <c r="E7083" s="795">
        <v>0.05</v>
      </c>
      <c r="F7083" s="795">
        <v>0.02</v>
      </c>
    </row>
    <row r="7084" spans="2:6">
      <c r="C7084" s="787" t="s">
        <v>3421</v>
      </c>
      <c r="D7084" s="795">
        <v>0.05</v>
      </c>
      <c r="E7084" s="795">
        <v>0.05</v>
      </c>
      <c r="F7084" s="795">
        <v>0.02</v>
      </c>
    </row>
    <row r="7085" spans="2:6" ht="28.8">
      <c r="C7085" s="787" t="s">
        <v>3422</v>
      </c>
      <c r="D7085" s="795">
        <v>0.02</v>
      </c>
      <c r="E7085" s="795">
        <v>0.02</v>
      </c>
      <c r="F7085" s="795">
        <v>0</v>
      </c>
    </row>
    <row r="7086" spans="2:6" ht="28.8">
      <c r="C7086" s="787" t="s">
        <v>3423</v>
      </c>
      <c r="D7086" s="795">
        <v>0.4</v>
      </c>
      <c r="E7086" s="795">
        <v>0.4</v>
      </c>
      <c r="F7086" s="795">
        <v>0.4</v>
      </c>
    </row>
    <row r="7087" spans="2:6">
      <c r="C7087" s="787" t="s">
        <v>3424</v>
      </c>
      <c r="D7087" s="795">
        <v>0.33</v>
      </c>
      <c r="E7087" s="795">
        <v>0.33</v>
      </c>
      <c r="F7087" s="795">
        <v>0.05</v>
      </c>
    </row>
    <row r="7088" spans="2:6">
      <c r="C7088" s="787" t="s">
        <v>3425</v>
      </c>
      <c r="D7088" s="795">
        <v>0.1</v>
      </c>
      <c r="E7088" s="795">
        <v>7.0000000000000007E-2</v>
      </c>
      <c r="F7088" s="795">
        <v>0</v>
      </c>
    </row>
    <row r="7089" spans="2:6">
      <c r="C7089" s="191"/>
      <c r="D7089" s="775">
        <f>SUM(D7082:D7088)</f>
        <v>1.0000000000000002</v>
      </c>
      <c r="E7089" s="775">
        <f>SUM(E7082:E7088)</f>
        <v>0.9700000000000002</v>
      </c>
      <c r="F7089" s="775">
        <f>SUM(F7082:F7088)</f>
        <v>0.51</v>
      </c>
    </row>
    <row r="7090" spans="2:6">
      <c r="C7090" s="191"/>
      <c r="D7090" s="775"/>
      <c r="E7090" s="775">
        <f>+D7089-E7089</f>
        <v>3.0000000000000027E-2</v>
      </c>
      <c r="F7090" s="775">
        <f>+E7089-F7089</f>
        <v>0.46000000000000019</v>
      </c>
    </row>
    <row r="7091" spans="2:6">
      <c r="D7091" s="7"/>
      <c r="E7091" s="7"/>
      <c r="F7091" s="7"/>
    </row>
    <row r="7092" spans="2:6">
      <c r="C7092" s="594" t="s">
        <v>2713</v>
      </c>
      <c r="D7092" s="693">
        <v>60</v>
      </c>
      <c r="E7092" s="693"/>
      <c r="F7092" s="695"/>
    </row>
    <row r="7093" spans="2:6">
      <c r="C7093" s="142" t="s">
        <v>3363</v>
      </c>
      <c r="D7093" s="790">
        <v>20</v>
      </c>
      <c r="E7093" s="773"/>
      <c r="F7093" s="772"/>
    </row>
    <row r="7094" spans="2:6">
      <c r="C7094" s="87" t="s">
        <v>2437</v>
      </c>
      <c r="D7094" s="696"/>
      <c r="E7094" s="697"/>
      <c r="F7094" s="696"/>
    </row>
    <row r="7095" spans="2:6">
      <c r="C7095" s="87" t="s">
        <v>1446</v>
      </c>
      <c r="D7095" s="693"/>
      <c r="E7095" s="694"/>
      <c r="F7095" s="693"/>
    </row>
    <row r="7096" spans="2:6">
      <c r="C7096" s="87" t="s">
        <v>1447</v>
      </c>
      <c r="D7096" s="693">
        <v>8</v>
      </c>
      <c r="E7096" s="693">
        <v>22</v>
      </c>
      <c r="F7096" s="693"/>
    </row>
    <row r="7097" spans="2:6">
      <c r="D7097" s="7"/>
      <c r="E7097" s="7"/>
      <c r="F7097" s="7"/>
    </row>
    <row r="7099" spans="2:6" ht="15.6">
      <c r="B7099" s="519" t="s">
        <v>1079</v>
      </c>
      <c r="C7099" s="730" t="s">
        <v>3426</v>
      </c>
      <c r="D7099" s="687" t="s">
        <v>353</v>
      </c>
      <c r="E7099" s="688" t="s">
        <v>354</v>
      </c>
      <c r="F7099" s="687" t="s">
        <v>355</v>
      </c>
    </row>
    <row r="7100" spans="2:6">
      <c r="C7100" s="787" t="s">
        <v>3427</v>
      </c>
      <c r="D7100" s="783">
        <v>0.01</v>
      </c>
      <c r="E7100" s="783">
        <v>0.01</v>
      </c>
      <c r="F7100" s="798">
        <v>5.0000000000000001E-3</v>
      </c>
    </row>
    <row r="7101" spans="2:6">
      <c r="C7101" s="787" t="s">
        <v>3428</v>
      </c>
      <c r="D7101" s="795">
        <v>0.05</v>
      </c>
      <c r="E7101" s="795">
        <v>0.05</v>
      </c>
      <c r="F7101" s="795">
        <v>0.02</v>
      </c>
    </row>
    <row r="7102" spans="2:6" ht="28.8">
      <c r="C7102" s="787" t="s">
        <v>3429</v>
      </c>
      <c r="D7102" s="795">
        <v>0.05</v>
      </c>
      <c r="E7102" s="795">
        <v>0.05</v>
      </c>
      <c r="F7102" s="795">
        <v>0</v>
      </c>
    </row>
    <row r="7103" spans="2:6" ht="28.8">
      <c r="C7103" s="787" t="s">
        <v>3430</v>
      </c>
      <c r="D7103" s="795">
        <v>7.0000000000000007E-2</v>
      </c>
      <c r="E7103" s="795">
        <v>7.0000000000000007E-2</v>
      </c>
      <c r="F7103" s="795">
        <v>0.02</v>
      </c>
    </row>
    <row r="7104" spans="2:6">
      <c r="C7104" s="787" t="s">
        <v>3431</v>
      </c>
      <c r="D7104" s="795">
        <v>0.05</v>
      </c>
      <c r="E7104" s="795">
        <v>0.05</v>
      </c>
      <c r="F7104" s="795">
        <v>0.02</v>
      </c>
    </row>
    <row r="7105" spans="3:6">
      <c r="C7105" s="787" t="s">
        <v>3432</v>
      </c>
      <c r="D7105" s="795">
        <v>0.05</v>
      </c>
      <c r="E7105" s="795">
        <v>0.05</v>
      </c>
      <c r="F7105" s="795">
        <v>0.02</v>
      </c>
    </row>
    <row r="7106" spans="3:6">
      <c r="C7106" s="787" t="s">
        <v>3433</v>
      </c>
      <c r="D7106" s="795">
        <v>0.05</v>
      </c>
      <c r="E7106" s="795">
        <v>0.05</v>
      </c>
      <c r="F7106" s="795">
        <v>0.02</v>
      </c>
    </row>
    <row r="7107" spans="3:6">
      <c r="C7107" s="787" t="s">
        <v>3434</v>
      </c>
      <c r="D7107" s="795">
        <v>0.01</v>
      </c>
      <c r="E7107" s="795">
        <v>0.01</v>
      </c>
      <c r="F7107" s="795">
        <v>0.01</v>
      </c>
    </row>
    <row r="7108" spans="3:6">
      <c r="C7108" s="787" t="s">
        <v>3435</v>
      </c>
      <c r="D7108" s="795">
        <v>0.02</v>
      </c>
      <c r="E7108" s="795">
        <v>0.02</v>
      </c>
      <c r="F7108" s="795">
        <v>0.02</v>
      </c>
    </row>
    <row r="7109" spans="3:6" ht="28.8">
      <c r="C7109" s="787" t="s">
        <v>3436</v>
      </c>
      <c r="D7109" s="795">
        <v>0.1</v>
      </c>
      <c r="E7109" s="795">
        <v>0.1</v>
      </c>
      <c r="F7109" s="795">
        <v>0.1</v>
      </c>
    </row>
    <row r="7110" spans="3:6" ht="28.8">
      <c r="C7110" s="787" t="s">
        <v>3437</v>
      </c>
      <c r="D7110" s="795">
        <v>0.2</v>
      </c>
      <c r="E7110" s="795">
        <v>0.2</v>
      </c>
      <c r="F7110" s="795">
        <v>0.2</v>
      </c>
    </row>
    <row r="7111" spans="3:6">
      <c r="C7111" s="787" t="s">
        <v>3438</v>
      </c>
      <c r="D7111" s="795">
        <v>0.2</v>
      </c>
      <c r="E7111" s="795">
        <v>0.2</v>
      </c>
      <c r="F7111" s="795">
        <v>0.2</v>
      </c>
    </row>
    <row r="7112" spans="3:6">
      <c r="C7112" s="787" t="s">
        <v>3439</v>
      </c>
      <c r="D7112" s="795">
        <v>0.1</v>
      </c>
      <c r="E7112" s="795">
        <v>0.1</v>
      </c>
      <c r="F7112" s="795">
        <v>0.1</v>
      </c>
    </row>
    <row r="7113" spans="3:6">
      <c r="C7113" s="787" t="s">
        <v>3440</v>
      </c>
      <c r="D7113" s="795">
        <v>0.01</v>
      </c>
      <c r="E7113" s="795">
        <v>0.01</v>
      </c>
      <c r="F7113" s="799">
        <v>5.0000000000000001E-3</v>
      </c>
    </row>
    <row r="7114" spans="3:6">
      <c r="C7114" s="191"/>
      <c r="D7114" s="775">
        <f>SUM(D7100:D7113)</f>
        <v>0.97000000000000008</v>
      </c>
      <c r="E7114" s="775">
        <f t="shared" ref="E7114:F7114" si="255">SUM(E7100:E7113)</f>
        <v>0.97000000000000008</v>
      </c>
      <c r="F7114" s="776">
        <f t="shared" si="255"/>
        <v>0.74</v>
      </c>
    </row>
    <row r="7115" spans="3:6">
      <c r="C7115" s="191"/>
      <c r="D7115" s="775"/>
      <c r="E7115" s="775">
        <f>+D7114-E7114</f>
        <v>0</v>
      </c>
      <c r="F7115" s="775">
        <f>+E7114-F7114</f>
        <v>0.23000000000000009</v>
      </c>
    </row>
    <row r="7116" spans="3:6">
      <c r="D7116" s="7"/>
      <c r="E7116" s="7"/>
      <c r="F7116" s="7"/>
    </row>
    <row r="7117" spans="3:6">
      <c r="C7117" s="594" t="s">
        <v>2713</v>
      </c>
      <c r="D7117" s="693">
        <v>240</v>
      </c>
      <c r="E7117" s="693"/>
      <c r="F7117" s="695"/>
    </row>
    <row r="7118" spans="3:6">
      <c r="C7118" s="142" t="s">
        <v>3363</v>
      </c>
      <c r="D7118" s="790">
        <v>60</v>
      </c>
      <c r="E7118" s="773"/>
      <c r="F7118" s="772"/>
    </row>
    <row r="7119" spans="3:6">
      <c r="C7119" s="87" t="s">
        <v>2437</v>
      </c>
      <c r="D7119" s="696"/>
      <c r="E7119" s="697"/>
      <c r="F7119" s="696"/>
    </row>
    <row r="7120" spans="3:6">
      <c r="C7120" s="87" t="s">
        <v>1446</v>
      </c>
      <c r="D7120" s="693"/>
      <c r="E7120" s="694"/>
      <c r="F7120" s="693"/>
    </row>
    <row r="7121" spans="2:6">
      <c r="C7121" s="87" t="s">
        <v>1447</v>
      </c>
      <c r="D7121" s="693">
        <v>8</v>
      </c>
      <c r="E7121" s="693">
        <v>22</v>
      </c>
      <c r="F7121" s="693"/>
    </row>
    <row r="7124" spans="2:6" ht="15.6">
      <c r="B7124" s="519" t="s">
        <v>1079</v>
      </c>
      <c r="C7124" s="730" t="s">
        <v>3441</v>
      </c>
      <c r="D7124" s="687" t="s">
        <v>353</v>
      </c>
      <c r="E7124" s="688" t="s">
        <v>354</v>
      </c>
      <c r="F7124" s="687" t="s">
        <v>355</v>
      </c>
    </row>
    <row r="7125" spans="2:6">
      <c r="C7125" s="787" t="s">
        <v>3442</v>
      </c>
      <c r="D7125" s="783">
        <v>0.01</v>
      </c>
      <c r="E7125" s="783">
        <v>0.01</v>
      </c>
      <c r="F7125" s="798">
        <v>0</v>
      </c>
    </row>
    <row r="7126" spans="2:6">
      <c r="C7126" s="191"/>
      <c r="D7126" s="775">
        <f>SUM(D7125:D7125)</f>
        <v>0.01</v>
      </c>
      <c r="E7126" s="775">
        <f>SUM(E7125:E7125)</f>
        <v>0.01</v>
      </c>
      <c r="F7126" s="776">
        <f>SUM(F7125:F7125)</f>
        <v>0</v>
      </c>
    </row>
    <row r="7127" spans="2:6">
      <c r="C7127" s="191"/>
      <c r="D7127" s="775"/>
      <c r="E7127" s="775">
        <f>+D7126-E7126</f>
        <v>0</v>
      </c>
      <c r="F7127" s="775">
        <f>+E7126-F7126</f>
        <v>0.01</v>
      </c>
    </row>
    <row r="7128" spans="2:6">
      <c r="D7128" s="7"/>
      <c r="E7128" s="7"/>
      <c r="F7128" s="7"/>
    </row>
    <row r="7129" spans="2:6">
      <c r="C7129" s="594" t="s">
        <v>2713</v>
      </c>
      <c r="D7129" s="693">
        <v>10</v>
      </c>
      <c r="E7129" s="693"/>
      <c r="F7129" s="695"/>
    </row>
    <row r="7130" spans="2:6">
      <c r="C7130" s="142" t="s">
        <v>3363</v>
      </c>
      <c r="D7130" s="790">
        <v>5</v>
      </c>
      <c r="E7130" s="773"/>
      <c r="F7130" s="772"/>
    </row>
    <row r="7131" spans="2:6">
      <c r="C7131" s="87" t="s">
        <v>2437</v>
      </c>
      <c r="D7131" s="696"/>
      <c r="E7131" s="697"/>
      <c r="F7131" s="696"/>
    </row>
    <row r="7132" spans="2:6">
      <c r="C7132" s="87" t="s">
        <v>1446</v>
      </c>
      <c r="D7132" s="693"/>
      <c r="E7132" s="694"/>
      <c r="F7132" s="693"/>
    </row>
    <row r="7133" spans="2:6">
      <c r="C7133" s="87" t="s">
        <v>1447</v>
      </c>
      <c r="D7133" s="693">
        <v>8</v>
      </c>
      <c r="E7133" s="693">
        <v>22</v>
      </c>
      <c r="F7133" s="693"/>
    </row>
    <row r="7136" spans="2:6" ht="15.6">
      <c r="B7136" s="519" t="s">
        <v>1079</v>
      </c>
      <c r="C7136" s="730" t="s">
        <v>3443</v>
      </c>
      <c r="D7136" s="687" t="s">
        <v>353</v>
      </c>
      <c r="E7136" s="688" t="s">
        <v>354</v>
      </c>
      <c r="F7136" s="687" t="s">
        <v>355</v>
      </c>
    </row>
    <row r="7137" spans="2:6">
      <c r="C7137" s="800" t="s">
        <v>3444</v>
      </c>
      <c r="D7137" s="783">
        <v>0.25</v>
      </c>
      <c r="E7137" s="783">
        <v>0.25</v>
      </c>
      <c r="F7137" s="783">
        <v>0</v>
      </c>
    </row>
    <row r="7138" spans="2:6">
      <c r="C7138" s="191"/>
      <c r="D7138" s="775">
        <f>SUM(D7137:D7137)</f>
        <v>0.25</v>
      </c>
      <c r="E7138" s="775">
        <f>SUM(E7137:E7137)</f>
        <v>0.25</v>
      </c>
      <c r="F7138" s="775">
        <f>SUM(F7137:F7137)</f>
        <v>0</v>
      </c>
    </row>
    <row r="7139" spans="2:6">
      <c r="C7139" s="191"/>
      <c r="D7139" s="775"/>
      <c r="E7139" s="775">
        <f>+D7138-E7138</f>
        <v>0</v>
      </c>
      <c r="F7139" s="775">
        <f>+E7138-F7138</f>
        <v>0.25</v>
      </c>
    </row>
    <row r="7140" spans="2:6">
      <c r="D7140" s="7"/>
      <c r="E7140" s="7"/>
      <c r="F7140" s="7"/>
    </row>
    <row r="7141" spans="2:6">
      <c r="C7141" s="594" t="s">
        <v>2713</v>
      </c>
      <c r="D7141" s="693">
        <v>45</v>
      </c>
      <c r="E7141" s="693"/>
      <c r="F7141" s="695"/>
    </row>
    <row r="7142" spans="2:6">
      <c r="C7142" s="142" t="s">
        <v>3363</v>
      </c>
      <c r="D7142" s="790">
        <v>21</v>
      </c>
      <c r="E7142" s="773"/>
      <c r="F7142" s="772"/>
    </row>
    <row r="7143" spans="2:6">
      <c r="C7143" s="87" t="s">
        <v>2437</v>
      </c>
      <c r="D7143" s="696"/>
      <c r="E7143" s="697"/>
      <c r="F7143" s="696"/>
    </row>
    <row r="7144" spans="2:6">
      <c r="C7144" s="87" t="s">
        <v>1446</v>
      </c>
      <c r="D7144" s="693"/>
      <c r="E7144" s="694"/>
      <c r="F7144" s="693"/>
    </row>
    <row r="7145" spans="2:6">
      <c r="C7145" s="87" t="s">
        <v>1447</v>
      </c>
      <c r="D7145" s="693">
        <v>8</v>
      </c>
      <c r="E7145" s="693">
        <v>22</v>
      </c>
      <c r="F7145" s="693"/>
    </row>
    <row r="7148" spans="2:6" ht="15.6">
      <c r="B7148" s="519" t="s">
        <v>1079</v>
      </c>
      <c r="C7148" s="730" t="s">
        <v>3443</v>
      </c>
      <c r="D7148" s="687" t="s">
        <v>353</v>
      </c>
      <c r="E7148" s="688" t="s">
        <v>354</v>
      </c>
      <c r="F7148" s="687" t="s">
        <v>355</v>
      </c>
    </row>
    <row r="7149" spans="2:6">
      <c r="C7149" s="11" t="s">
        <v>3445</v>
      </c>
      <c r="D7149" s="783">
        <v>0.05</v>
      </c>
      <c r="E7149" s="783">
        <v>0.05</v>
      </c>
      <c r="F7149" s="783">
        <v>0</v>
      </c>
    </row>
    <row r="7150" spans="2:6">
      <c r="C7150" s="187"/>
      <c r="D7150" s="795"/>
      <c r="E7150" s="795"/>
      <c r="F7150" s="783"/>
    </row>
    <row r="7151" spans="2:6">
      <c r="C7151" s="11"/>
      <c r="D7151" s="795"/>
      <c r="E7151" s="795"/>
      <c r="F7151" s="783"/>
    </row>
    <row r="7152" spans="2:6">
      <c r="C7152" s="261"/>
      <c r="D7152" s="795"/>
      <c r="E7152" s="795"/>
      <c r="F7152" s="783"/>
    </row>
    <row r="7153" spans="2:6">
      <c r="C7153" s="11"/>
      <c r="D7153" s="795"/>
      <c r="E7153" s="795"/>
      <c r="F7153" s="783"/>
    </row>
    <row r="7154" spans="2:6">
      <c r="C7154" s="191"/>
      <c r="D7154" s="775">
        <f>SUM(D7149:D7153)</f>
        <v>0.05</v>
      </c>
      <c r="E7154" s="775">
        <f>SUM(E7149:E7153)</f>
        <v>0.05</v>
      </c>
      <c r="F7154" s="775">
        <f>SUM(F7149:F7153)</f>
        <v>0</v>
      </c>
    </row>
    <row r="7155" spans="2:6">
      <c r="C7155" s="191"/>
      <c r="D7155" s="775"/>
      <c r="E7155" s="775">
        <f>+D7154-E7154</f>
        <v>0</v>
      </c>
      <c r="F7155" s="775">
        <f>+E7154-F7154</f>
        <v>0.05</v>
      </c>
    </row>
    <row r="7156" spans="2:6">
      <c r="D7156" s="7"/>
      <c r="E7156" s="7"/>
      <c r="F7156" s="7"/>
    </row>
    <row r="7157" spans="2:6">
      <c r="C7157" s="594" t="s">
        <v>2713</v>
      </c>
      <c r="D7157" s="693">
        <v>5</v>
      </c>
      <c r="E7157" s="693"/>
      <c r="F7157" s="695"/>
    </row>
    <row r="7158" spans="2:6">
      <c r="C7158" s="142" t="s">
        <v>3363</v>
      </c>
      <c r="D7158" s="790">
        <v>21</v>
      </c>
      <c r="E7158" s="773"/>
      <c r="F7158" s="772"/>
    </row>
    <row r="7159" spans="2:6">
      <c r="C7159" s="87" t="s">
        <v>2437</v>
      </c>
      <c r="D7159" s="696"/>
      <c r="E7159" s="697"/>
      <c r="F7159" s="696"/>
    </row>
    <row r="7160" spans="2:6">
      <c r="C7160" s="87" t="s">
        <v>1446</v>
      </c>
      <c r="D7160" s="693"/>
      <c r="E7160" s="694"/>
      <c r="F7160" s="693"/>
    </row>
    <row r="7161" spans="2:6">
      <c r="C7161" s="87" t="s">
        <v>1447</v>
      </c>
      <c r="D7161" s="693">
        <v>8</v>
      </c>
      <c r="E7161" s="693">
        <v>22</v>
      </c>
      <c r="F7161" s="693"/>
    </row>
    <row r="7164" spans="2:6" ht="15.6">
      <c r="B7164" s="519" t="s">
        <v>1079</v>
      </c>
      <c r="C7164" s="730" t="s">
        <v>3446</v>
      </c>
      <c r="D7164" s="792" t="s">
        <v>353</v>
      </c>
      <c r="E7164" s="793" t="s">
        <v>354</v>
      </c>
      <c r="F7164" s="792" t="s">
        <v>355</v>
      </c>
    </row>
    <row r="7165" spans="2:6" ht="43.2">
      <c r="C7165" s="191" t="s">
        <v>3447</v>
      </c>
      <c r="D7165" s="774">
        <v>0.01</v>
      </c>
      <c r="E7165" s="774">
        <v>0.01</v>
      </c>
      <c r="F7165" s="801">
        <v>5.0000000000000001E-3</v>
      </c>
    </row>
    <row r="7166" spans="2:6" ht="28.8">
      <c r="C7166" s="191" t="s">
        <v>3448</v>
      </c>
      <c r="D7166" s="774">
        <v>0.01</v>
      </c>
      <c r="E7166" s="774">
        <v>0.01</v>
      </c>
      <c r="F7166" s="801">
        <v>5.0000000000000001E-3</v>
      </c>
    </row>
    <row r="7167" spans="2:6" ht="28.8">
      <c r="C7167" s="191" t="s">
        <v>3449</v>
      </c>
      <c r="D7167" s="774">
        <v>0.05</v>
      </c>
      <c r="E7167" s="774">
        <v>0.05</v>
      </c>
      <c r="F7167" s="774">
        <v>0.03</v>
      </c>
    </row>
    <row r="7168" spans="2:6">
      <c r="C7168" s="779" t="s">
        <v>3450</v>
      </c>
      <c r="D7168" s="774">
        <v>0.03</v>
      </c>
      <c r="E7168" s="774">
        <v>0.03</v>
      </c>
      <c r="F7168" s="774">
        <v>0.02</v>
      </c>
    </row>
    <row r="7169" spans="3:6">
      <c r="C7169" s="87" t="s">
        <v>3451</v>
      </c>
      <c r="D7169" s="774">
        <v>0.03</v>
      </c>
      <c r="E7169" s="774">
        <v>0.03</v>
      </c>
      <c r="F7169" s="774">
        <v>0.01</v>
      </c>
    </row>
    <row r="7170" spans="3:6" ht="28.8">
      <c r="C7170" s="191" t="s">
        <v>3452</v>
      </c>
      <c r="D7170" s="774">
        <v>0.03</v>
      </c>
      <c r="E7170" s="774">
        <v>0.03</v>
      </c>
      <c r="F7170" s="774">
        <v>0.03</v>
      </c>
    </row>
    <row r="7171" spans="3:6" ht="28.8">
      <c r="C7171" s="191" t="s">
        <v>3453</v>
      </c>
      <c r="D7171" s="774">
        <v>0.01</v>
      </c>
      <c r="E7171" s="774">
        <v>0.01</v>
      </c>
      <c r="F7171" s="801">
        <v>5.0000000000000001E-3</v>
      </c>
    </row>
    <row r="7172" spans="3:6" ht="43.2">
      <c r="C7172" s="191" t="s">
        <v>3454</v>
      </c>
      <c r="D7172" s="774">
        <v>0.05</v>
      </c>
      <c r="E7172" s="774">
        <v>0.05</v>
      </c>
      <c r="F7172" s="774">
        <v>0.02</v>
      </c>
    </row>
    <row r="7173" spans="3:6" ht="43.2">
      <c r="C7173" s="191" t="s">
        <v>3455</v>
      </c>
      <c r="D7173" s="774">
        <v>0.03</v>
      </c>
      <c r="E7173" s="774">
        <v>0.03</v>
      </c>
      <c r="F7173" s="774">
        <v>0.02</v>
      </c>
    </row>
    <row r="7174" spans="3:6">
      <c r="C7174" s="191" t="s">
        <v>3456</v>
      </c>
      <c r="D7174" s="774">
        <v>0.02</v>
      </c>
      <c r="E7174" s="774">
        <v>0.02</v>
      </c>
      <c r="F7174" s="774">
        <v>0.01</v>
      </c>
    </row>
    <row r="7175" spans="3:6">
      <c r="C7175" s="87" t="s">
        <v>3457</v>
      </c>
      <c r="D7175" s="774">
        <v>0.02</v>
      </c>
      <c r="E7175" s="774">
        <v>0.02</v>
      </c>
      <c r="F7175" s="774">
        <v>0.01</v>
      </c>
    </row>
    <row r="7176" spans="3:6" ht="28.8">
      <c r="C7176" s="191" t="s">
        <v>3458</v>
      </c>
      <c r="D7176" s="774">
        <v>0.01</v>
      </c>
      <c r="E7176" s="774">
        <v>0.01</v>
      </c>
      <c r="F7176" s="774">
        <v>0.01</v>
      </c>
    </row>
    <row r="7177" spans="3:6" ht="28.8">
      <c r="C7177" s="191" t="s">
        <v>3459</v>
      </c>
      <c r="D7177" s="774">
        <v>0.01</v>
      </c>
      <c r="E7177" s="774">
        <v>0.01</v>
      </c>
      <c r="F7177" s="774">
        <v>0.01</v>
      </c>
    </row>
    <row r="7178" spans="3:6" ht="28.8">
      <c r="C7178" s="191" t="s">
        <v>3460</v>
      </c>
      <c r="D7178" s="774">
        <v>0.05</v>
      </c>
      <c r="E7178" s="774">
        <v>0.05</v>
      </c>
      <c r="F7178" s="774">
        <v>0</v>
      </c>
    </row>
    <row r="7179" spans="3:6" ht="28.8">
      <c r="C7179" s="191" t="s">
        <v>3461</v>
      </c>
      <c r="D7179" s="774">
        <v>0.25</v>
      </c>
      <c r="E7179" s="774">
        <v>0.25</v>
      </c>
      <c r="F7179" s="774">
        <v>0.25</v>
      </c>
    </row>
    <row r="7180" spans="3:6">
      <c r="C7180" s="191" t="s">
        <v>3462</v>
      </c>
      <c r="D7180" s="774">
        <v>0.03</v>
      </c>
      <c r="E7180" s="774">
        <v>0.03</v>
      </c>
      <c r="F7180" s="774">
        <v>0</v>
      </c>
    </row>
    <row r="7181" spans="3:6">
      <c r="C7181" s="261" t="s">
        <v>3463</v>
      </c>
      <c r="D7181" s="774">
        <v>7.0000000000000007E-2</v>
      </c>
      <c r="E7181" s="774">
        <v>7.0000000000000007E-2</v>
      </c>
      <c r="F7181" s="774">
        <v>0.05</v>
      </c>
    </row>
    <row r="7182" spans="3:6">
      <c r="C7182" s="87" t="s">
        <v>3464</v>
      </c>
      <c r="D7182" s="774">
        <v>0.04</v>
      </c>
      <c r="E7182" s="774">
        <v>0.04</v>
      </c>
      <c r="F7182" s="774">
        <v>0.03</v>
      </c>
    </row>
    <row r="7183" spans="3:6" ht="28.8">
      <c r="C7183" s="191" t="s">
        <v>3465</v>
      </c>
      <c r="D7183" s="774">
        <v>0.04</v>
      </c>
      <c r="E7183" s="774">
        <v>0.04</v>
      </c>
      <c r="F7183" s="774">
        <v>0.03</v>
      </c>
    </row>
    <row r="7184" spans="3:6">
      <c r="C7184" s="87" t="s">
        <v>3466</v>
      </c>
      <c r="D7184" s="774">
        <v>0.04</v>
      </c>
      <c r="E7184" s="774">
        <v>0.04</v>
      </c>
      <c r="F7184" s="774">
        <v>0.03</v>
      </c>
    </row>
    <row r="7185" spans="3:6">
      <c r="C7185" s="191" t="s">
        <v>3467</v>
      </c>
      <c r="D7185" s="774">
        <v>0.01</v>
      </c>
      <c r="E7185" s="774">
        <v>0.01</v>
      </c>
      <c r="F7185" s="774">
        <v>0.01</v>
      </c>
    </row>
    <row r="7186" spans="3:6">
      <c r="C7186" s="87" t="s">
        <v>3468</v>
      </c>
      <c r="D7186" s="774">
        <v>0.04</v>
      </c>
      <c r="E7186" s="774">
        <v>0.04</v>
      </c>
      <c r="F7186" s="774">
        <v>0.04</v>
      </c>
    </row>
    <row r="7187" spans="3:6" ht="28.8">
      <c r="C7187" s="191" t="s">
        <v>3469</v>
      </c>
      <c r="D7187" s="774">
        <v>0.01</v>
      </c>
      <c r="E7187" s="774">
        <v>0.01</v>
      </c>
      <c r="F7187" s="774">
        <v>0.01</v>
      </c>
    </row>
    <row r="7188" spans="3:6" ht="43.2">
      <c r="C7188" s="191" t="s">
        <v>3470</v>
      </c>
      <c r="D7188" s="774">
        <v>0.01</v>
      </c>
      <c r="E7188" s="774">
        <v>0.01</v>
      </c>
      <c r="F7188" s="774">
        <v>0.01</v>
      </c>
    </row>
    <row r="7189" spans="3:6" ht="28.8">
      <c r="C7189" s="191" t="s">
        <v>3471</v>
      </c>
      <c r="D7189" s="774">
        <v>0.01</v>
      </c>
      <c r="E7189" s="774">
        <v>0.01</v>
      </c>
      <c r="F7189" s="774">
        <v>0.01</v>
      </c>
    </row>
    <row r="7190" spans="3:6" ht="28.8">
      <c r="C7190" s="191" t="s">
        <v>3472</v>
      </c>
      <c r="D7190" s="774">
        <v>0.05</v>
      </c>
      <c r="E7190" s="774">
        <v>0.05</v>
      </c>
      <c r="F7190" s="774">
        <v>0.05</v>
      </c>
    </row>
    <row r="7191" spans="3:6">
      <c r="C7191" s="782"/>
      <c r="D7191" s="802">
        <f>SUM(D7165:D7190)</f>
        <v>0.96000000000000041</v>
      </c>
      <c r="E7191" s="802">
        <f>SUM(E7165:E7190)</f>
        <v>0.96000000000000041</v>
      </c>
      <c r="F7191" s="803">
        <f>SUM(F7165:F7190)</f>
        <v>0.70500000000000018</v>
      </c>
    </row>
    <row r="7192" spans="3:6">
      <c r="C7192" s="191"/>
      <c r="D7192" s="775"/>
      <c r="E7192" s="775">
        <f>+D7191-E7191</f>
        <v>0</v>
      </c>
      <c r="F7192" s="776">
        <f>+E7191-F7191</f>
        <v>0.25500000000000023</v>
      </c>
    </row>
    <row r="7193" spans="3:6">
      <c r="D7193" s="7"/>
      <c r="E7193" s="7"/>
      <c r="F7193" s="7"/>
    </row>
    <row r="7194" spans="3:6">
      <c r="C7194" s="594" t="s">
        <v>2713</v>
      </c>
      <c r="D7194" s="693">
        <v>9600</v>
      </c>
      <c r="E7194" s="693"/>
      <c r="F7194" s="695"/>
    </row>
    <row r="7195" spans="3:6">
      <c r="C7195" s="142" t="s">
        <v>3473</v>
      </c>
      <c r="D7195" s="790">
        <v>7</v>
      </c>
      <c r="E7195" s="773"/>
      <c r="F7195" s="772"/>
    </row>
    <row r="7196" spans="3:6">
      <c r="C7196" s="87" t="s">
        <v>3474</v>
      </c>
      <c r="D7196" s="696"/>
      <c r="E7196" s="697"/>
      <c r="F7196" s="696"/>
    </row>
    <row r="7197" spans="3:6">
      <c r="C7197" s="87" t="s">
        <v>1446</v>
      </c>
      <c r="D7197" s="693"/>
      <c r="E7197" s="694"/>
      <c r="F7197" s="693"/>
    </row>
    <row r="7198" spans="3:6">
      <c r="C7198" s="87" t="s">
        <v>1447</v>
      </c>
      <c r="D7198" s="693">
        <v>8</v>
      </c>
      <c r="E7198" s="693">
        <v>22</v>
      </c>
      <c r="F7198" s="693"/>
    </row>
    <row r="7201" spans="2:6" ht="15.6">
      <c r="B7201" s="519" t="s">
        <v>1079</v>
      </c>
      <c r="C7201" s="730" t="s">
        <v>3475</v>
      </c>
      <c r="D7201" s="792" t="s">
        <v>353</v>
      </c>
      <c r="E7201" s="793" t="s">
        <v>354</v>
      </c>
      <c r="F7201" s="792" t="s">
        <v>355</v>
      </c>
    </row>
    <row r="7202" spans="2:6" ht="28.8">
      <c r="C7202" s="191" t="s">
        <v>3476</v>
      </c>
      <c r="D7202" s="774">
        <v>0.01</v>
      </c>
      <c r="E7202" s="774">
        <v>0.01</v>
      </c>
      <c r="F7202" s="774">
        <v>5.0000000000000001E-3</v>
      </c>
    </row>
    <row r="7203" spans="2:6">
      <c r="C7203" s="191" t="s">
        <v>3477</v>
      </c>
      <c r="D7203" s="774">
        <v>0.5</v>
      </c>
      <c r="E7203" s="774">
        <v>0.5</v>
      </c>
      <c r="F7203" s="774">
        <v>0.5</v>
      </c>
    </row>
    <row r="7204" spans="2:6" ht="28.8">
      <c r="C7204" s="572" t="s">
        <v>3478</v>
      </c>
      <c r="D7204" s="774">
        <v>0.18</v>
      </c>
      <c r="E7204" s="774">
        <v>0.14000000000000001</v>
      </c>
      <c r="F7204" s="774">
        <v>0.08</v>
      </c>
    </row>
    <row r="7205" spans="2:6" ht="28.8">
      <c r="C7205" s="191" t="s">
        <v>3479</v>
      </c>
      <c r="D7205" s="774">
        <v>0.01</v>
      </c>
      <c r="E7205" s="774">
        <v>0.01</v>
      </c>
      <c r="F7205" s="774">
        <v>0.01</v>
      </c>
    </row>
    <row r="7206" spans="2:6">
      <c r="C7206" s="782"/>
      <c r="D7206" s="802">
        <f>SUM(D7202:D7205)</f>
        <v>0.7</v>
      </c>
      <c r="E7206" s="802">
        <f>SUM(E7202:E7205)</f>
        <v>0.66</v>
      </c>
      <c r="F7206" s="803">
        <f>SUM(F7202:F7205)</f>
        <v>0.59499999999999997</v>
      </c>
    </row>
    <row r="7207" spans="2:6">
      <c r="C7207" s="191"/>
      <c r="D7207" s="775"/>
      <c r="E7207" s="775">
        <f>+D7206-E7206</f>
        <v>3.9999999999999925E-2</v>
      </c>
      <c r="F7207" s="776">
        <f>+E7206-F7206</f>
        <v>6.5000000000000058E-2</v>
      </c>
    </row>
    <row r="7208" spans="2:6">
      <c r="D7208" s="7"/>
      <c r="E7208" s="7"/>
      <c r="F7208" s="7"/>
    </row>
    <row r="7209" spans="2:6">
      <c r="C7209" s="594" t="s">
        <v>2713</v>
      </c>
      <c r="D7209" s="693">
        <v>1920</v>
      </c>
      <c r="E7209" s="693"/>
      <c r="F7209" s="695"/>
    </row>
    <row r="7210" spans="2:6">
      <c r="C7210" s="142" t="s">
        <v>3473</v>
      </c>
      <c r="D7210" s="790">
        <v>180</v>
      </c>
      <c r="E7210" s="773"/>
      <c r="F7210" s="772"/>
    </row>
    <row r="7211" spans="2:6">
      <c r="C7211" s="87" t="s">
        <v>3474</v>
      </c>
      <c r="D7211" s="696"/>
      <c r="E7211" s="697"/>
      <c r="F7211" s="696"/>
    </row>
    <row r="7212" spans="2:6">
      <c r="C7212" s="87" t="s">
        <v>1446</v>
      </c>
      <c r="D7212" s="693"/>
      <c r="E7212" s="694"/>
      <c r="F7212" s="693"/>
    </row>
    <row r="7213" spans="2:6">
      <c r="C7213" s="87" t="s">
        <v>1447</v>
      </c>
      <c r="D7213" s="693">
        <v>8</v>
      </c>
      <c r="E7213" s="693">
        <v>22</v>
      </c>
      <c r="F7213" s="693"/>
    </row>
    <row r="7216" spans="2:6" ht="15.6">
      <c r="B7216" s="519" t="s">
        <v>1079</v>
      </c>
      <c r="C7216" s="730" t="s">
        <v>3480</v>
      </c>
      <c r="D7216" s="792" t="s">
        <v>353</v>
      </c>
      <c r="E7216" s="793" t="s">
        <v>354</v>
      </c>
      <c r="F7216" s="792" t="s">
        <v>355</v>
      </c>
    </row>
    <row r="7217" spans="3:6" ht="43.2">
      <c r="C7217" s="191" t="s">
        <v>3481</v>
      </c>
      <c r="D7217" s="774">
        <v>0.01</v>
      </c>
      <c r="E7217" s="774">
        <v>0.01</v>
      </c>
      <c r="F7217" s="801">
        <v>5.0000000000000001E-3</v>
      </c>
    </row>
    <row r="7218" spans="3:6">
      <c r="C7218" s="191" t="s">
        <v>3482</v>
      </c>
      <c r="D7218" s="774">
        <v>0.01</v>
      </c>
      <c r="E7218" s="774">
        <v>0.01</v>
      </c>
      <c r="F7218" s="801">
        <v>5.0000000000000001E-3</v>
      </c>
    </row>
    <row r="7219" spans="3:6" ht="28.8">
      <c r="C7219" s="191" t="s">
        <v>3483</v>
      </c>
      <c r="D7219" s="774">
        <v>0.6</v>
      </c>
      <c r="E7219" s="774">
        <v>0.6</v>
      </c>
      <c r="F7219" s="774">
        <v>0.55000000000000004</v>
      </c>
    </row>
    <row r="7220" spans="3:6">
      <c r="C7220" s="572" t="s">
        <v>3484</v>
      </c>
      <c r="D7220" s="774">
        <v>0.23</v>
      </c>
      <c r="E7220" s="774">
        <v>0.23</v>
      </c>
      <c r="F7220" s="774">
        <v>0.2</v>
      </c>
    </row>
    <row r="7221" spans="3:6">
      <c r="C7221" s="87" t="s">
        <v>3485</v>
      </c>
      <c r="D7221" s="774">
        <v>0.05</v>
      </c>
      <c r="E7221" s="774">
        <v>0.05</v>
      </c>
      <c r="F7221" s="774">
        <v>0.03</v>
      </c>
    </row>
    <row r="7222" spans="3:6">
      <c r="C7222" s="87" t="s">
        <v>3486</v>
      </c>
      <c r="D7222" s="774">
        <v>0.05</v>
      </c>
      <c r="E7222" s="774">
        <v>0.05</v>
      </c>
      <c r="F7222" s="774">
        <v>0.03</v>
      </c>
    </row>
    <row r="7223" spans="3:6">
      <c r="C7223" s="191" t="s">
        <v>3487</v>
      </c>
      <c r="D7223" s="774">
        <v>0.05</v>
      </c>
      <c r="E7223" s="774">
        <v>0.05</v>
      </c>
      <c r="F7223" s="774">
        <v>0.03</v>
      </c>
    </row>
    <row r="7224" spans="3:6">
      <c r="C7224" s="782"/>
      <c r="D7224" s="802">
        <f>SUM(D7217:D7223)</f>
        <v>1</v>
      </c>
      <c r="E7224" s="802">
        <f>SUM(E7217:E7223)</f>
        <v>1</v>
      </c>
      <c r="F7224" s="803">
        <f>SUM(F7217:F7223)</f>
        <v>0.85000000000000009</v>
      </c>
    </row>
    <row r="7225" spans="3:6">
      <c r="C7225" s="191"/>
      <c r="D7225" s="775"/>
      <c r="E7225" s="775">
        <f>+D7224-E7224</f>
        <v>0</v>
      </c>
      <c r="F7225" s="776">
        <f>+E7224-F7224</f>
        <v>0.14999999999999991</v>
      </c>
    </row>
    <row r="7226" spans="3:6">
      <c r="D7226" s="7"/>
      <c r="E7226" s="7"/>
      <c r="F7226" s="7"/>
    </row>
    <row r="7227" spans="3:6">
      <c r="C7227" s="594" t="s">
        <v>2713</v>
      </c>
      <c r="D7227" s="693">
        <v>1920</v>
      </c>
      <c r="E7227" s="693"/>
      <c r="F7227" s="695"/>
    </row>
    <row r="7228" spans="3:6">
      <c r="C7228" s="142" t="s">
        <v>3473</v>
      </c>
      <c r="D7228" s="790">
        <v>180</v>
      </c>
      <c r="E7228" s="773"/>
      <c r="F7228" s="772"/>
    </row>
    <row r="7229" spans="3:6">
      <c r="C7229" s="87" t="s">
        <v>3474</v>
      </c>
      <c r="D7229" s="696"/>
      <c r="E7229" s="697"/>
      <c r="F7229" s="696"/>
    </row>
    <row r="7230" spans="3:6">
      <c r="C7230" s="87" t="s">
        <v>1446</v>
      </c>
      <c r="D7230" s="693"/>
      <c r="E7230" s="694"/>
      <c r="F7230" s="693"/>
    </row>
    <row r="7231" spans="3:6">
      <c r="C7231" s="87" t="s">
        <v>1447</v>
      </c>
      <c r="D7231" s="693">
        <v>8</v>
      </c>
      <c r="E7231" s="693">
        <v>22</v>
      </c>
      <c r="F7231" s="693"/>
    </row>
    <row r="7234" spans="2:6" ht="15.6">
      <c r="B7234" s="519" t="s">
        <v>1079</v>
      </c>
      <c r="C7234" s="730" t="s">
        <v>3488</v>
      </c>
      <c r="D7234" s="792" t="s">
        <v>353</v>
      </c>
      <c r="E7234" s="793" t="s">
        <v>354</v>
      </c>
      <c r="F7234" s="792" t="s">
        <v>355</v>
      </c>
    </row>
    <row r="7235" spans="2:6" ht="28.8">
      <c r="C7235" s="191" t="s">
        <v>3489</v>
      </c>
      <c r="D7235" s="774">
        <v>0.32</v>
      </c>
      <c r="E7235" s="774">
        <v>0.32</v>
      </c>
      <c r="F7235" s="774">
        <v>0.3</v>
      </c>
    </row>
    <row r="7236" spans="2:6">
      <c r="C7236" s="191" t="s">
        <v>3490</v>
      </c>
      <c r="D7236" s="774">
        <v>0.1</v>
      </c>
      <c r="E7236" s="774">
        <v>0.1</v>
      </c>
      <c r="F7236" s="774">
        <v>0.08</v>
      </c>
    </row>
    <row r="7237" spans="2:6">
      <c r="C7237" s="191" t="s">
        <v>3491</v>
      </c>
      <c r="D7237" s="774">
        <v>0.05</v>
      </c>
      <c r="E7237" s="774">
        <v>0.05</v>
      </c>
      <c r="F7237" s="774">
        <v>0.03</v>
      </c>
    </row>
    <row r="7238" spans="2:6">
      <c r="C7238" s="572" t="s">
        <v>3492</v>
      </c>
      <c r="D7238" s="774">
        <v>0.01</v>
      </c>
      <c r="E7238" s="774">
        <v>0.01</v>
      </c>
      <c r="F7238" s="774">
        <v>0.01</v>
      </c>
    </row>
    <row r="7239" spans="2:6" ht="28.8">
      <c r="C7239" s="191" t="s">
        <v>3493</v>
      </c>
      <c r="D7239" s="774">
        <v>0.32</v>
      </c>
      <c r="E7239" s="774">
        <v>0.32</v>
      </c>
      <c r="F7239" s="774">
        <v>0.3</v>
      </c>
    </row>
    <row r="7240" spans="2:6">
      <c r="C7240" s="87" t="s">
        <v>3406</v>
      </c>
      <c r="D7240" s="774">
        <v>0.1</v>
      </c>
      <c r="E7240" s="774">
        <v>0.1</v>
      </c>
      <c r="F7240" s="774">
        <v>0.08</v>
      </c>
    </row>
    <row r="7241" spans="2:6">
      <c r="C7241" s="191" t="s">
        <v>3494</v>
      </c>
      <c r="D7241" s="774">
        <v>0.05</v>
      </c>
      <c r="E7241" s="774">
        <v>0.05</v>
      </c>
      <c r="F7241" s="774">
        <v>0.03</v>
      </c>
    </row>
    <row r="7242" spans="2:6">
      <c r="C7242" s="782" t="s">
        <v>3495</v>
      </c>
      <c r="D7242" s="804">
        <v>0.05</v>
      </c>
      <c r="E7242" s="804">
        <v>0.05</v>
      </c>
      <c r="F7242" s="804">
        <v>0.03</v>
      </c>
    </row>
    <row r="7243" spans="2:6">
      <c r="C7243" s="782"/>
      <c r="D7243" s="802">
        <f>SUM(D7235:D7242)</f>
        <v>1</v>
      </c>
      <c r="E7243" s="802">
        <f t="shared" ref="E7243:F7243" si="256">SUM(E7235:E7242)</f>
        <v>1</v>
      </c>
      <c r="F7243" s="802">
        <f t="shared" si="256"/>
        <v>0.86</v>
      </c>
    </row>
    <row r="7244" spans="2:6">
      <c r="C7244" s="191"/>
      <c r="D7244" s="775"/>
      <c r="E7244" s="775">
        <f>+D7243-E7243</f>
        <v>0</v>
      </c>
      <c r="F7244" s="776">
        <f>+E7243-F7243</f>
        <v>0.14000000000000001</v>
      </c>
    </row>
    <row r="7245" spans="2:6">
      <c r="D7245" s="7"/>
      <c r="E7245" s="7"/>
      <c r="F7245" s="7"/>
    </row>
    <row r="7246" spans="2:6">
      <c r="C7246" s="594" t="s">
        <v>2713</v>
      </c>
      <c r="D7246" s="693">
        <v>960</v>
      </c>
      <c r="E7246" s="693"/>
      <c r="F7246" s="695"/>
    </row>
    <row r="7247" spans="2:6">
      <c r="C7247" s="142" t="s">
        <v>3363</v>
      </c>
      <c r="D7247" s="790">
        <v>2</v>
      </c>
      <c r="E7247" s="773"/>
      <c r="F7247" s="772"/>
    </row>
    <row r="7248" spans="2:6">
      <c r="C7248" s="87" t="s">
        <v>3474</v>
      </c>
      <c r="D7248" s="696"/>
      <c r="E7248" s="697"/>
      <c r="F7248" s="696"/>
    </row>
    <row r="7249" spans="2:6">
      <c r="C7249" s="87" t="s">
        <v>1446</v>
      </c>
      <c r="D7249" s="693"/>
      <c r="E7249" s="694"/>
      <c r="F7249" s="693"/>
    </row>
    <row r="7250" spans="2:6">
      <c r="C7250" s="87" t="s">
        <v>1447</v>
      </c>
      <c r="D7250" s="693">
        <v>8</v>
      </c>
      <c r="E7250" s="693">
        <v>22</v>
      </c>
      <c r="F7250" s="693"/>
    </row>
    <row r="7253" spans="2:6" ht="15.6">
      <c r="B7253" s="519" t="s">
        <v>1079</v>
      </c>
      <c r="C7253" s="730" t="s">
        <v>3496</v>
      </c>
      <c r="D7253" s="792" t="s">
        <v>353</v>
      </c>
      <c r="E7253" s="793" t="s">
        <v>354</v>
      </c>
      <c r="F7253" s="792" t="s">
        <v>355</v>
      </c>
    </row>
    <row r="7254" spans="2:6" ht="28.8">
      <c r="C7254" s="191" t="s">
        <v>3497</v>
      </c>
      <c r="D7254" s="774">
        <v>0.02</v>
      </c>
      <c r="E7254" s="774">
        <v>0.02</v>
      </c>
      <c r="F7254" s="774">
        <v>0.02</v>
      </c>
    </row>
    <row r="7255" spans="2:6">
      <c r="C7255" s="191" t="s">
        <v>3498</v>
      </c>
      <c r="D7255" s="774"/>
      <c r="E7255" s="774"/>
      <c r="F7255" s="774"/>
    </row>
    <row r="7256" spans="2:6" ht="28.8">
      <c r="C7256" s="191" t="s">
        <v>3499</v>
      </c>
      <c r="D7256" s="774">
        <v>0.73</v>
      </c>
      <c r="E7256" s="774">
        <v>0.73</v>
      </c>
      <c r="F7256" s="774">
        <v>0.7</v>
      </c>
    </row>
    <row r="7257" spans="2:6" ht="28.8">
      <c r="C7257" s="191" t="s">
        <v>3500</v>
      </c>
      <c r="D7257" s="774">
        <v>0.1</v>
      </c>
      <c r="E7257" s="774">
        <v>0.1</v>
      </c>
      <c r="F7257" s="774">
        <v>0.02</v>
      </c>
    </row>
    <row r="7258" spans="2:6">
      <c r="C7258" s="782"/>
      <c r="D7258" s="802">
        <f>SUM(D7254:D7257)</f>
        <v>0.85</v>
      </c>
      <c r="E7258" s="802">
        <f>SUM(E7254:E7257)</f>
        <v>0.85</v>
      </c>
      <c r="F7258" s="802">
        <f>SUM(F7254:F7257)</f>
        <v>0.74</v>
      </c>
    </row>
    <row r="7259" spans="2:6">
      <c r="C7259" s="191"/>
      <c r="D7259" s="775"/>
      <c r="E7259" s="775">
        <f>+D7258-E7258</f>
        <v>0</v>
      </c>
      <c r="F7259" s="776">
        <f>+E7258-F7258</f>
        <v>0.10999999999999999</v>
      </c>
    </row>
    <row r="7260" spans="2:6">
      <c r="D7260" s="7"/>
      <c r="E7260" s="7"/>
      <c r="F7260" s="7"/>
    </row>
    <row r="7261" spans="2:6">
      <c r="C7261" s="594" t="s">
        <v>2713</v>
      </c>
      <c r="D7261" s="693">
        <v>480</v>
      </c>
      <c r="E7261" s="693"/>
      <c r="F7261" s="695"/>
    </row>
    <row r="7262" spans="2:6">
      <c r="C7262" s="142" t="s">
        <v>3363</v>
      </c>
      <c r="D7262" s="790">
        <v>8</v>
      </c>
      <c r="E7262" s="773"/>
      <c r="F7262" s="772"/>
    </row>
    <row r="7263" spans="2:6">
      <c r="C7263" s="87" t="s">
        <v>3474</v>
      </c>
      <c r="D7263" s="696"/>
      <c r="E7263" s="697"/>
      <c r="F7263" s="696"/>
    </row>
    <row r="7264" spans="2:6">
      <c r="C7264" s="87" t="s">
        <v>1446</v>
      </c>
      <c r="D7264" s="693"/>
      <c r="E7264" s="694"/>
      <c r="F7264" s="693"/>
    </row>
    <row r="7265" spans="2:6">
      <c r="C7265" s="87" t="s">
        <v>1447</v>
      </c>
      <c r="D7265" s="693">
        <v>8</v>
      </c>
      <c r="E7265" s="693">
        <v>22</v>
      </c>
      <c r="F7265" s="693"/>
    </row>
    <row r="7268" spans="2:6" ht="15.6">
      <c r="B7268" s="519" t="s">
        <v>1079</v>
      </c>
      <c r="C7268" s="730" t="s">
        <v>3501</v>
      </c>
      <c r="D7268" s="792" t="s">
        <v>353</v>
      </c>
      <c r="E7268" s="793" t="s">
        <v>354</v>
      </c>
      <c r="F7268" s="792" t="s">
        <v>355</v>
      </c>
    </row>
    <row r="7269" spans="2:6">
      <c r="C7269" s="191" t="s">
        <v>3502</v>
      </c>
      <c r="D7269" s="774">
        <v>0.02</v>
      </c>
      <c r="E7269" s="774">
        <v>0.02</v>
      </c>
      <c r="F7269" s="774">
        <v>0</v>
      </c>
    </row>
    <row r="7270" spans="2:6">
      <c r="C7270" s="191"/>
      <c r="D7270" s="774"/>
      <c r="E7270" s="774"/>
      <c r="F7270" s="774"/>
    </row>
    <row r="7271" spans="2:6">
      <c r="C7271" s="191"/>
      <c r="D7271" s="774"/>
      <c r="E7271" s="774"/>
      <c r="F7271" s="774"/>
    </row>
    <row r="7272" spans="2:6">
      <c r="C7272" s="572"/>
      <c r="D7272" s="774"/>
      <c r="E7272" s="774"/>
      <c r="F7272" s="774"/>
    </row>
    <row r="7273" spans="2:6">
      <c r="C7273" s="782"/>
      <c r="D7273" s="802">
        <f>SUM(D7269:D7272)</f>
        <v>0.02</v>
      </c>
      <c r="E7273" s="802">
        <f>SUM(E7269:E7272)</f>
        <v>0.02</v>
      </c>
      <c r="F7273" s="802">
        <f>SUM(F7269:F7272)</f>
        <v>0</v>
      </c>
    </row>
    <row r="7274" spans="2:6">
      <c r="C7274" s="191"/>
      <c r="D7274" s="775"/>
      <c r="E7274" s="775">
        <f>+D7273-E7273</f>
        <v>0</v>
      </c>
      <c r="F7274" s="776">
        <f>+E7273-F7273</f>
        <v>0.02</v>
      </c>
    </row>
    <row r="7275" spans="2:6">
      <c r="D7275" s="7"/>
      <c r="E7275" s="7"/>
      <c r="F7275" s="7"/>
    </row>
    <row r="7276" spans="2:6">
      <c r="C7276" s="594" t="s">
        <v>2713</v>
      </c>
      <c r="D7276" s="693">
        <v>20</v>
      </c>
      <c r="E7276" s="693"/>
      <c r="F7276" s="695"/>
    </row>
    <row r="7277" spans="2:6">
      <c r="C7277" s="142" t="s">
        <v>3363</v>
      </c>
      <c r="D7277" s="790">
        <v>8</v>
      </c>
      <c r="E7277" s="773"/>
      <c r="F7277" s="772"/>
    </row>
    <row r="7278" spans="2:6">
      <c r="C7278" s="87" t="s">
        <v>3474</v>
      </c>
      <c r="D7278" s="696"/>
      <c r="E7278" s="697"/>
      <c r="F7278" s="696"/>
    </row>
    <row r="7279" spans="2:6">
      <c r="C7279" s="87" t="s">
        <v>1446</v>
      </c>
      <c r="D7279" s="693"/>
      <c r="E7279" s="694"/>
      <c r="F7279" s="693"/>
    </row>
    <row r="7280" spans="2:6">
      <c r="C7280" s="87" t="s">
        <v>1447</v>
      </c>
      <c r="D7280" s="693">
        <v>8</v>
      </c>
      <c r="E7280" s="693">
        <v>22</v>
      </c>
      <c r="F7280" s="693"/>
    </row>
    <row r="7283" spans="2:6" ht="15.6">
      <c r="B7283" s="519" t="s">
        <v>1079</v>
      </c>
      <c r="C7283" s="730" t="s">
        <v>3503</v>
      </c>
      <c r="D7283" s="792" t="s">
        <v>353</v>
      </c>
      <c r="E7283" s="793" t="s">
        <v>354</v>
      </c>
      <c r="F7283" s="792" t="s">
        <v>355</v>
      </c>
    </row>
    <row r="7284" spans="2:6" ht="28.8">
      <c r="C7284" s="191" t="s">
        <v>3504</v>
      </c>
      <c r="D7284" s="774">
        <v>0.3</v>
      </c>
      <c r="E7284" s="774">
        <v>0.3</v>
      </c>
      <c r="F7284" s="774">
        <v>0.05</v>
      </c>
    </row>
    <row r="7285" spans="2:6" ht="28.8">
      <c r="C7285" s="191" t="s">
        <v>3505</v>
      </c>
      <c r="D7285" s="774">
        <v>0.1</v>
      </c>
      <c r="E7285" s="774">
        <v>0.1</v>
      </c>
      <c r="F7285" s="774">
        <v>0.1</v>
      </c>
    </row>
    <row r="7286" spans="2:6">
      <c r="C7286" s="191" t="s">
        <v>3506</v>
      </c>
      <c r="D7286" s="774">
        <v>0.3</v>
      </c>
      <c r="E7286" s="774">
        <v>0.3</v>
      </c>
      <c r="F7286" s="774">
        <v>0.3</v>
      </c>
    </row>
    <row r="7287" spans="2:6">
      <c r="C7287" s="572" t="s">
        <v>3507</v>
      </c>
      <c r="D7287" s="774">
        <v>0.1</v>
      </c>
      <c r="E7287" s="774">
        <v>0.1</v>
      </c>
      <c r="F7287" s="774">
        <v>0.1</v>
      </c>
    </row>
    <row r="7288" spans="2:6" ht="28.8">
      <c r="C7288" s="805" t="s">
        <v>3508</v>
      </c>
      <c r="D7288" s="804">
        <v>0.1</v>
      </c>
      <c r="E7288" s="804">
        <v>0.1</v>
      </c>
      <c r="F7288" s="804">
        <v>0.04</v>
      </c>
    </row>
    <row r="7289" spans="2:6" ht="28.8">
      <c r="C7289" s="805" t="s">
        <v>3509</v>
      </c>
      <c r="D7289" s="804">
        <v>0.1</v>
      </c>
      <c r="E7289" s="804">
        <v>0.1</v>
      </c>
      <c r="F7289" s="804">
        <v>0.1</v>
      </c>
    </row>
    <row r="7290" spans="2:6">
      <c r="C7290" s="782"/>
      <c r="D7290" s="802">
        <f>SUM(D7284:D7289)</f>
        <v>0.99999999999999989</v>
      </c>
      <c r="E7290" s="802">
        <f t="shared" ref="E7290:F7290" si="257">SUM(E7284:E7289)</f>
        <v>0.99999999999999989</v>
      </c>
      <c r="F7290" s="802">
        <f t="shared" si="257"/>
        <v>0.69000000000000006</v>
      </c>
    </row>
    <row r="7291" spans="2:6">
      <c r="C7291" s="191"/>
      <c r="D7291" s="775"/>
      <c r="E7291" s="775">
        <f>+D7290-E7290</f>
        <v>0</v>
      </c>
      <c r="F7291" s="776">
        <f>+E7290-F7290</f>
        <v>0.30999999999999983</v>
      </c>
    </row>
    <row r="7292" spans="2:6">
      <c r="D7292" s="7"/>
      <c r="E7292" s="7"/>
      <c r="F7292" s="7"/>
    </row>
    <row r="7293" spans="2:6">
      <c r="C7293" s="594" t="s">
        <v>2713</v>
      </c>
      <c r="D7293" s="693">
        <v>480</v>
      </c>
      <c r="E7293" s="693"/>
      <c r="F7293" s="695"/>
    </row>
    <row r="7294" spans="2:6">
      <c r="C7294" s="142" t="s">
        <v>3363</v>
      </c>
      <c r="D7294" s="790">
        <v>8</v>
      </c>
      <c r="E7294" s="773"/>
      <c r="F7294" s="772"/>
    </row>
    <row r="7295" spans="2:6">
      <c r="C7295" s="87" t="s">
        <v>3474</v>
      </c>
      <c r="D7295" s="696"/>
      <c r="E7295" s="697"/>
      <c r="F7295" s="696"/>
    </row>
    <row r="7296" spans="2:6">
      <c r="C7296" s="87" t="s">
        <v>1446</v>
      </c>
      <c r="D7296" s="693"/>
      <c r="E7296" s="694"/>
      <c r="F7296" s="693"/>
    </row>
    <row r="7297" spans="2:6">
      <c r="C7297" s="87" t="s">
        <v>1447</v>
      </c>
      <c r="D7297" s="693">
        <v>8</v>
      </c>
      <c r="E7297" s="693">
        <v>22</v>
      </c>
      <c r="F7297" s="693"/>
    </row>
    <row r="7298" spans="2:6">
      <c r="D7298" s="7"/>
      <c r="E7298" s="7"/>
      <c r="F7298" s="7"/>
    </row>
    <row r="7300" spans="2:6" ht="15.6">
      <c r="B7300" s="578" t="s">
        <v>1202</v>
      </c>
      <c r="C7300" s="730" t="s">
        <v>3510</v>
      </c>
      <c r="D7300" s="792" t="s">
        <v>353</v>
      </c>
      <c r="E7300" s="793" t="s">
        <v>354</v>
      </c>
      <c r="F7300" s="792" t="s">
        <v>355</v>
      </c>
    </row>
    <row r="7301" spans="2:6">
      <c r="C7301" s="191" t="s">
        <v>3511</v>
      </c>
      <c r="D7301" s="774">
        <v>0.2</v>
      </c>
      <c r="E7301" s="774">
        <v>0.2</v>
      </c>
      <c r="F7301" s="774">
        <v>0.2</v>
      </c>
    </row>
    <row r="7302" spans="2:6">
      <c r="C7302" s="191" t="s">
        <v>3512</v>
      </c>
      <c r="D7302" s="774">
        <v>0.4</v>
      </c>
      <c r="E7302" s="774">
        <v>0.4</v>
      </c>
      <c r="F7302" s="774">
        <v>0.4</v>
      </c>
    </row>
    <row r="7303" spans="2:6">
      <c r="C7303" s="191" t="s">
        <v>3513</v>
      </c>
      <c r="D7303" s="774">
        <v>0.3</v>
      </c>
      <c r="E7303" s="774">
        <v>0.3</v>
      </c>
      <c r="F7303" s="774">
        <v>0.3</v>
      </c>
    </row>
    <row r="7304" spans="2:6">
      <c r="C7304" s="572" t="s">
        <v>3514</v>
      </c>
      <c r="D7304" s="774">
        <v>0.1</v>
      </c>
      <c r="E7304" s="774">
        <v>0.1</v>
      </c>
      <c r="F7304" s="774">
        <v>0.1</v>
      </c>
    </row>
    <row r="7305" spans="2:6">
      <c r="C7305" s="782"/>
      <c r="D7305" s="802">
        <f>SUM(D7301:D7304)</f>
        <v>1.0000000000000002</v>
      </c>
      <c r="E7305" s="802">
        <f>SUM(E7301:E7304)</f>
        <v>1.0000000000000002</v>
      </c>
      <c r="F7305" s="802">
        <f>SUM(F7301:F7304)</f>
        <v>1.0000000000000002</v>
      </c>
    </row>
    <row r="7306" spans="2:6">
      <c r="C7306" s="191"/>
      <c r="D7306" s="775"/>
      <c r="E7306" s="775">
        <f>+D7305-E7305</f>
        <v>0</v>
      </c>
      <c r="F7306" s="776">
        <f>+E7305-F7305</f>
        <v>0</v>
      </c>
    </row>
    <row r="7307" spans="2:6">
      <c r="D7307" s="7"/>
      <c r="E7307" s="7"/>
      <c r="F7307" s="7"/>
    </row>
    <row r="7308" spans="2:6">
      <c r="C7308" s="594" t="s">
        <v>2713</v>
      </c>
      <c r="D7308" s="693">
        <v>480</v>
      </c>
      <c r="E7308" s="693"/>
      <c r="F7308" s="695"/>
    </row>
    <row r="7309" spans="2:6">
      <c r="C7309" s="142" t="s">
        <v>3363</v>
      </c>
      <c r="D7309" s="790">
        <v>3</v>
      </c>
      <c r="E7309" s="773"/>
      <c r="F7309" s="772"/>
    </row>
    <row r="7310" spans="2:6">
      <c r="C7310" s="87" t="s">
        <v>3474</v>
      </c>
      <c r="D7310" s="696"/>
      <c r="E7310" s="697"/>
      <c r="F7310" s="696"/>
    </row>
    <row r="7311" spans="2:6">
      <c r="C7311" s="87" t="s">
        <v>1446</v>
      </c>
      <c r="D7311" s="693"/>
      <c r="E7311" s="694"/>
      <c r="F7311" s="693"/>
    </row>
    <row r="7312" spans="2:6">
      <c r="C7312" s="87" t="s">
        <v>1447</v>
      </c>
      <c r="D7312" s="693">
        <v>8</v>
      </c>
      <c r="E7312" s="693">
        <v>22</v>
      </c>
      <c r="F7312" s="693"/>
    </row>
    <row r="7313" spans="2:6">
      <c r="D7313" s="7"/>
      <c r="E7313" s="7"/>
      <c r="F7313" s="7"/>
    </row>
    <row r="7315" spans="2:6" ht="15.6">
      <c r="B7315" s="519" t="s">
        <v>1079</v>
      </c>
      <c r="C7315" s="730" t="s">
        <v>3515</v>
      </c>
      <c r="D7315" s="792" t="s">
        <v>353</v>
      </c>
      <c r="E7315" s="793" t="s">
        <v>354</v>
      </c>
      <c r="F7315" s="792" t="s">
        <v>355</v>
      </c>
    </row>
    <row r="7316" spans="2:6">
      <c r="C7316" s="476" t="s">
        <v>3516</v>
      </c>
      <c r="D7316" s="806">
        <v>0.01</v>
      </c>
      <c r="E7316" s="806">
        <v>0.01</v>
      </c>
      <c r="F7316" s="806">
        <v>0</v>
      </c>
    </row>
    <row r="7317" spans="2:6" ht="28.8">
      <c r="C7317" s="191" t="s">
        <v>3517</v>
      </c>
      <c r="D7317" s="774">
        <v>0.35</v>
      </c>
      <c r="E7317" s="774">
        <v>0.35</v>
      </c>
      <c r="F7317" s="774">
        <v>0.35</v>
      </c>
    </row>
    <row r="7318" spans="2:6" ht="28.8">
      <c r="C7318" s="191" t="s">
        <v>3518</v>
      </c>
      <c r="D7318" s="774">
        <v>0.3</v>
      </c>
      <c r="E7318" s="774">
        <v>0.3</v>
      </c>
      <c r="F7318" s="774">
        <v>0.2</v>
      </c>
    </row>
    <row r="7319" spans="2:6" ht="28.8">
      <c r="C7319" s="572" t="s">
        <v>3519</v>
      </c>
      <c r="D7319" s="774">
        <v>0.01</v>
      </c>
      <c r="E7319" s="774">
        <v>0.01</v>
      </c>
      <c r="F7319" s="801">
        <v>5.0000000000000001E-3</v>
      </c>
    </row>
    <row r="7320" spans="2:6" ht="28.8">
      <c r="C7320" s="805" t="s">
        <v>3520</v>
      </c>
      <c r="D7320" s="804">
        <v>0.05</v>
      </c>
      <c r="E7320" s="804">
        <v>0.05</v>
      </c>
      <c r="F7320" s="807">
        <v>0.04</v>
      </c>
    </row>
    <row r="7321" spans="2:6" ht="28.8">
      <c r="C7321" s="805" t="s">
        <v>3521</v>
      </c>
      <c r="D7321" s="804">
        <v>0.01</v>
      </c>
      <c r="E7321" s="804">
        <v>0.01</v>
      </c>
      <c r="F7321" s="807">
        <v>5.0000000000000001E-3</v>
      </c>
    </row>
    <row r="7322" spans="2:6" ht="28.8">
      <c r="C7322" s="805" t="s">
        <v>3522</v>
      </c>
      <c r="D7322" s="804">
        <v>0.02</v>
      </c>
      <c r="E7322" s="804">
        <v>0.02</v>
      </c>
      <c r="F7322" s="804">
        <v>0</v>
      </c>
    </row>
    <row r="7323" spans="2:6" ht="28.8">
      <c r="C7323" s="805" t="s">
        <v>3523</v>
      </c>
      <c r="D7323" s="804">
        <v>0.25</v>
      </c>
      <c r="E7323" s="804">
        <v>0.25</v>
      </c>
      <c r="F7323" s="804">
        <v>0.15</v>
      </c>
    </row>
    <row r="7324" spans="2:6">
      <c r="C7324" s="782"/>
      <c r="D7324" s="802">
        <f>SUM(D7317:D7323)</f>
        <v>0.99</v>
      </c>
      <c r="E7324" s="802">
        <f>SUM(E7317:E7323)</f>
        <v>0.99</v>
      </c>
      <c r="F7324" s="802">
        <f>SUM(F7317:F7323)</f>
        <v>0.75000000000000011</v>
      </c>
    </row>
    <row r="7325" spans="2:6">
      <c r="C7325" s="191"/>
      <c r="D7325" s="775"/>
      <c r="E7325" s="775">
        <f>+D7324-E7324</f>
        <v>0</v>
      </c>
      <c r="F7325" s="776">
        <f>+E7324-F7324</f>
        <v>0.23999999999999988</v>
      </c>
    </row>
    <row r="7326" spans="2:6">
      <c r="D7326" s="7"/>
      <c r="E7326" s="7"/>
      <c r="F7326" s="7"/>
    </row>
    <row r="7327" spans="2:6">
      <c r="C7327" s="594" t="s">
        <v>2713</v>
      </c>
      <c r="D7327" s="693">
        <v>14400</v>
      </c>
      <c r="E7327" s="693"/>
      <c r="F7327" s="695"/>
    </row>
    <row r="7328" spans="2:6">
      <c r="C7328" s="142" t="s">
        <v>3363</v>
      </c>
      <c r="D7328" s="790">
        <v>1</v>
      </c>
      <c r="E7328" s="773"/>
      <c r="F7328" s="772"/>
    </row>
    <row r="7329" spans="2:6">
      <c r="C7329" s="87" t="s">
        <v>3474</v>
      </c>
      <c r="D7329" s="696"/>
      <c r="E7329" s="697"/>
      <c r="F7329" s="696"/>
    </row>
    <row r="7330" spans="2:6">
      <c r="C7330" s="87" t="s">
        <v>1446</v>
      </c>
      <c r="D7330" s="693"/>
      <c r="E7330" s="694"/>
      <c r="F7330" s="693"/>
    </row>
    <row r="7331" spans="2:6">
      <c r="C7331" s="87" t="s">
        <v>1447</v>
      </c>
      <c r="D7331" s="693">
        <v>8</v>
      </c>
      <c r="E7331" s="693">
        <v>22</v>
      </c>
      <c r="F7331" s="693"/>
    </row>
    <row r="7334" spans="2:6" ht="15.6">
      <c r="B7334" s="578" t="s">
        <v>1202</v>
      </c>
      <c r="C7334" s="730" t="s">
        <v>3524</v>
      </c>
      <c r="D7334" s="792" t="s">
        <v>353</v>
      </c>
      <c r="E7334" s="793" t="s">
        <v>354</v>
      </c>
      <c r="F7334" s="792" t="s">
        <v>355</v>
      </c>
    </row>
    <row r="7335" spans="2:6">
      <c r="C7335" s="572" t="s">
        <v>3525</v>
      </c>
      <c r="D7335" s="795">
        <v>0.06</v>
      </c>
      <c r="E7335" s="795">
        <v>0.06</v>
      </c>
      <c r="F7335" s="795">
        <v>0.06</v>
      </c>
    </row>
    <row r="7336" spans="2:6">
      <c r="C7336" s="782" t="s">
        <v>3526</v>
      </c>
      <c r="D7336" s="774">
        <v>0.18</v>
      </c>
      <c r="E7336" s="774">
        <v>0.18</v>
      </c>
      <c r="F7336" s="774">
        <v>0.18</v>
      </c>
    </row>
    <row r="7337" spans="2:6" ht="28.8">
      <c r="C7337" s="191" t="s">
        <v>3527</v>
      </c>
      <c r="D7337" s="774">
        <v>0.15</v>
      </c>
      <c r="E7337" s="774">
        <v>0.15</v>
      </c>
      <c r="F7337" s="774">
        <v>0.15</v>
      </c>
    </row>
    <row r="7338" spans="2:6">
      <c r="C7338" s="191" t="s">
        <v>3528</v>
      </c>
      <c r="D7338" s="774">
        <v>0.35</v>
      </c>
      <c r="E7338" s="774">
        <v>0.35</v>
      </c>
      <c r="F7338" s="774">
        <v>0.35</v>
      </c>
    </row>
    <row r="7339" spans="2:6" ht="28.8">
      <c r="C7339" s="572" t="s">
        <v>3529</v>
      </c>
      <c r="D7339" s="774">
        <v>0.1</v>
      </c>
      <c r="E7339" s="774">
        <v>0.1</v>
      </c>
      <c r="F7339" s="774">
        <v>0.1</v>
      </c>
    </row>
    <row r="7340" spans="2:6" ht="28.8">
      <c r="C7340" s="805" t="s">
        <v>3530</v>
      </c>
      <c r="D7340" s="804">
        <v>0.1</v>
      </c>
      <c r="E7340" s="804">
        <v>0.1</v>
      </c>
      <c r="F7340" s="804">
        <v>0.1</v>
      </c>
    </row>
    <row r="7341" spans="2:6" ht="28.8">
      <c r="C7341" s="805" t="s">
        <v>3531</v>
      </c>
      <c r="D7341" s="804">
        <v>0.01</v>
      </c>
      <c r="E7341" s="804">
        <v>0.01</v>
      </c>
      <c r="F7341" s="804">
        <v>0.01</v>
      </c>
    </row>
    <row r="7342" spans="2:6">
      <c r="C7342" s="805" t="s">
        <v>3532</v>
      </c>
      <c r="D7342" s="804">
        <v>0.05</v>
      </c>
      <c r="E7342" s="804">
        <v>0.05</v>
      </c>
      <c r="F7342" s="804">
        <v>0.05</v>
      </c>
    </row>
    <row r="7343" spans="2:6">
      <c r="C7343" s="782"/>
      <c r="D7343" s="802">
        <f>SUM(D7335:D7342)</f>
        <v>1</v>
      </c>
      <c r="E7343" s="802">
        <f t="shared" ref="E7343:F7343" si="258">SUM(E7335:E7342)</f>
        <v>1</v>
      </c>
      <c r="F7343" s="802">
        <f t="shared" si="258"/>
        <v>1</v>
      </c>
    </row>
    <row r="7344" spans="2:6">
      <c r="C7344" s="191"/>
      <c r="D7344" s="775"/>
      <c r="E7344" s="775">
        <f>+D7343-E7343</f>
        <v>0</v>
      </c>
      <c r="F7344" s="776">
        <f>+E7343-F7343</f>
        <v>0</v>
      </c>
    </row>
    <row r="7345" spans="2:6">
      <c r="D7345" s="7"/>
      <c r="E7345" s="7"/>
      <c r="F7345" s="7"/>
    </row>
    <row r="7346" spans="2:6">
      <c r="C7346" s="594" t="s">
        <v>2713</v>
      </c>
      <c r="D7346" s="693">
        <v>6720</v>
      </c>
      <c r="E7346" s="693"/>
      <c r="F7346" s="695"/>
    </row>
    <row r="7347" spans="2:6">
      <c r="C7347" s="142" t="s">
        <v>3363</v>
      </c>
      <c r="D7347" s="790">
        <v>5</v>
      </c>
      <c r="E7347" s="773"/>
      <c r="F7347" s="772"/>
    </row>
    <row r="7348" spans="2:6">
      <c r="C7348" s="87" t="s">
        <v>3474</v>
      </c>
      <c r="D7348" s="696"/>
      <c r="E7348" s="697"/>
      <c r="F7348" s="696"/>
    </row>
    <row r="7349" spans="2:6">
      <c r="C7349" s="87" t="s">
        <v>1446</v>
      </c>
      <c r="D7349" s="693"/>
      <c r="E7349" s="694"/>
      <c r="F7349" s="693"/>
    </row>
    <row r="7350" spans="2:6">
      <c r="C7350" s="87" t="s">
        <v>1447</v>
      </c>
      <c r="D7350" s="693">
        <v>8</v>
      </c>
      <c r="E7350" s="693">
        <v>22</v>
      </c>
      <c r="F7350" s="693"/>
    </row>
    <row r="7353" spans="2:6" ht="15.6">
      <c r="B7353" s="519" t="s">
        <v>1079</v>
      </c>
      <c r="C7353" s="730" t="s">
        <v>3533</v>
      </c>
      <c r="D7353" s="792" t="s">
        <v>353</v>
      </c>
      <c r="E7353" s="793" t="s">
        <v>354</v>
      </c>
      <c r="F7353" s="792" t="s">
        <v>355</v>
      </c>
    </row>
    <row r="7354" spans="2:6" ht="28.8">
      <c r="C7354" s="572" t="s">
        <v>3534</v>
      </c>
      <c r="D7354" s="795">
        <v>0.02</v>
      </c>
      <c r="E7354" s="795">
        <v>0.02</v>
      </c>
      <c r="F7354" s="795">
        <v>0.02</v>
      </c>
    </row>
    <row r="7355" spans="2:6" ht="28.8">
      <c r="C7355" s="782" t="s">
        <v>3535</v>
      </c>
      <c r="D7355" s="774">
        <v>0.05</v>
      </c>
      <c r="E7355" s="774">
        <v>0.05</v>
      </c>
      <c r="F7355" s="774">
        <v>0.05</v>
      </c>
    </row>
    <row r="7356" spans="2:6" ht="28.8">
      <c r="C7356" s="191" t="s">
        <v>3536</v>
      </c>
      <c r="D7356" s="774">
        <v>0.1</v>
      </c>
      <c r="E7356" s="774">
        <v>0.1</v>
      </c>
      <c r="F7356" s="774">
        <v>0.1</v>
      </c>
    </row>
    <row r="7357" spans="2:6" ht="28.8">
      <c r="C7357" s="191" t="s">
        <v>3537</v>
      </c>
      <c r="D7357" s="774">
        <v>0.2</v>
      </c>
      <c r="E7357" s="774">
        <v>0.2</v>
      </c>
      <c r="F7357" s="774">
        <v>0.2</v>
      </c>
    </row>
    <row r="7358" spans="2:6" ht="28.8">
      <c r="C7358" s="572" t="s">
        <v>3538</v>
      </c>
      <c r="D7358" s="774">
        <v>0.1</v>
      </c>
      <c r="E7358" s="774">
        <v>0.1</v>
      </c>
      <c r="F7358" s="774">
        <v>0.1</v>
      </c>
    </row>
    <row r="7359" spans="2:6">
      <c r="C7359" s="805" t="s">
        <v>3539</v>
      </c>
      <c r="D7359" s="804">
        <v>0.5</v>
      </c>
      <c r="E7359" s="804">
        <v>0.4</v>
      </c>
      <c r="F7359" s="804">
        <v>0.3</v>
      </c>
    </row>
    <row r="7360" spans="2:6" ht="28.8">
      <c r="C7360" s="805" t="s">
        <v>3540</v>
      </c>
      <c r="D7360" s="804">
        <v>0.01</v>
      </c>
      <c r="E7360" s="804">
        <v>0.01</v>
      </c>
      <c r="F7360" s="804">
        <v>0.01</v>
      </c>
    </row>
    <row r="7361" spans="2:6" ht="28.8">
      <c r="C7361" s="805" t="s">
        <v>3541</v>
      </c>
      <c r="D7361" s="804">
        <v>0.02</v>
      </c>
      <c r="E7361" s="804">
        <v>0.02</v>
      </c>
      <c r="F7361" s="804">
        <v>0.02</v>
      </c>
    </row>
    <row r="7362" spans="2:6" ht="43.2">
      <c r="C7362" s="805" t="s">
        <v>3542</v>
      </c>
      <c r="D7362" s="804">
        <v>0.1</v>
      </c>
      <c r="E7362" s="804">
        <v>0.1</v>
      </c>
      <c r="F7362" s="804">
        <v>0.02</v>
      </c>
    </row>
    <row r="7363" spans="2:6" ht="28.8">
      <c r="C7363" s="805" t="s">
        <v>3543</v>
      </c>
      <c r="D7363" s="804">
        <v>0.1</v>
      </c>
      <c r="E7363" s="804">
        <v>0.1</v>
      </c>
      <c r="F7363" s="804">
        <v>0.02</v>
      </c>
    </row>
    <row r="7364" spans="2:6" ht="28.8">
      <c r="C7364" s="805" t="s">
        <v>3544</v>
      </c>
      <c r="D7364" s="804"/>
      <c r="E7364" s="804"/>
      <c r="F7364" s="804"/>
    </row>
    <row r="7365" spans="2:6">
      <c r="C7365" s="782"/>
      <c r="D7365" s="802">
        <f>SUM(D7354:D7361)</f>
        <v>1</v>
      </c>
      <c r="E7365" s="802">
        <f>SUM(E7354:E7362)</f>
        <v>1</v>
      </c>
      <c r="F7365" s="802">
        <f>SUM(F7354:F7362)</f>
        <v>0.82000000000000006</v>
      </c>
    </row>
    <row r="7366" spans="2:6">
      <c r="C7366" s="191"/>
      <c r="D7366" s="775"/>
      <c r="E7366" s="775">
        <f>+D7365-E7365</f>
        <v>0</v>
      </c>
      <c r="F7366" s="776">
        <f>+E7365-F7365</f>
        <v>0.17999999999999994</v>
      </c>
    </row>
    <row r="7367" spans="2:6">
      <c r="D7367" s="7"/>
      <c r="E7367" s="7"/>
      <c r="F7367" s="7"/>
    </row>
    <row r="7368" spans="2:6">
      <c r="C7368" s="594" t="s">
        <v>2713</v>
      </c>
      <c r="D7368" s="693">
        <v>2016</v>
      </c>
      <c r="E7368" s="693"/>
      <c r="F7368" s="695"/>
    </row>
    <row r="7369" spans="2:6">
      <c r="C7369" s="142" t="s">
        <v>3363</v>
      </c>
      <c r="D7369" s="790">
        <v>5</v>
      </c>
      <c r="E7369" s="773"/>
      <c r="F7369" s="772"/>
    </row>
    <row r="7370" spans="2:6">
      <c r="C7370" s="87" t="s">
        <v>3474</v>
      </c>
      <c r="D7370" s="696"/>
      <c r="E7370" s="697"/>
      <c r="F7370" s="696"/>
    </row>
    <row r="7371" spans="2:6">
      <c r="C7371" s="87" t="s">
        <v>1446</v>
      </c>
      <c r="D7371" s="693"/>
      <c r="E7371" s="694"/>
      <c r="F7371" s="693"/>
    </row>
    <row r="7372" spans="2:6">
      <c r="C7372" s="87" t="s">
        <v>1447</v>
      </c>
      <c r="D7372" s="693">
        <v>8</v>
      </c>
      <c r="E7372" s="693">
        <v>22</v>
      </c>
      <c r="F7372" s="693"/>
    </row>
    <row r="7373" spans="2:6">
      <c r="D7373" s="7"/>
      <c r="E7373" s="7"/>
      <c r="F7373" s="7"/>
    </row>
    <row r="7375" spans="2:6" ht="15.6">
      <c r="B7375" s="519" t="s">
        <v>1079</v>
      </c>
      <c r="C7375" s="730" t="s">
        <v>3545</v>
      </c>
      <c r="D7375" s="792" t="s">
        <v>353</v>
      </c>
      <c r="E7375" s="793" t="s">
        <v>354</v>
      </c>
      <c r="F7375" s="792" t="s">
        <v>355</v>
      </c>
    </row>
    <row r="7376" spans="2:6" ht="28.8">
      <c r="C7376" s="808" t="s">
        <v>3546</v>
      </c>
      <c r="D7376" s="809">
        <v>0.05</v>
      </c>
      <c r="E7376" s="809">
        <v>0.05</v>
      </c>
      <c r="F7376" s="809">
        <v>0.05</v>
      </c>
    </row>
    <row r="7377" spans="3:6" ht="28.8">
      <c r="C7377" s="808" t="s">
        <v>3547</v>
      </c>
      <c r="D7377" s="809">
        <v>0.3</v>
      </c>
      <c r="E7377" s="809">
        <v>0.3</v>
      </c>
      <c r="F7377" s="809">
        <v>0.3</v>
      </c>
    </row>
    <row r="7378" spans="3:6" ht="28.8">
      <c r="C7378" s="808" t="s">
        <v>3548</v>
      </c>
      <c r="D7378" s="809">
        <v>0.1</v>
      </c>
      <c r="E7378" s="809">
        <v>0.1</v>
      </c>
      <c r="F7378" s="809">
        <v>0.08</v>
      </c>
    </row>
    <row r="7379" spans="3:6">
      <c r="C7379" s="808" t="s">
        <v>3549</v>
      </c>
      <c r="D7379" s="809">
        <v>0.1</v>
      </c>
      <c r="E7379" s="809">
        <v>0.1</v>
      </c>
      <c r="F7379" s="809">
        <v>0.1</v>
      </c>
    </row>
    <row r="7380" spans="3:6">
      <c r="C7380" s="665" t="s">
        <v>3550</v>
      </c>
      <c r="D7380" s="795">
        <v>0.05</v>
      </c>
      <c r="E7380" s="795">
        <v>0.05</v>
      </c>
      <c r="F7380" s="795">
        <v>0.05</v>
      </c>
    </row>
    <row r="7381" spans="3:6" ht="28.8">
      <c r="C7381" s="638" t="s">
        <v>3537</v>
      </c>
      <c r="D7381" s="795">
        <v>0.25</v>
      </c>
      <c r="E7381" s="795">
        <v>0.25</v>
      </c>
      <c r="F7381" s="795">
        <v>0.25</v>
      </c>
    </row>
    <row r="7382" spans="3:6">
      <c r="C7382" s="665" t="s">
        <v>3551</v>
      </c>
      <c r="D7382" s="774">
        <v>0.15</v>
      </c>
      <c r="E7382" s="774">
        <v>0.15</v>
      </c>
      <c r="F7382" s="774">
        <v>0.15</v>
      </c>
    </row>
    <row r="7383" spans="3:6">
      <c r="C7383" s="782"/>
      <c r="D7383" s="802">
        <f>SUM(D7376:D7382)</f>
        <v>1</v>
      </c>
      <c r="E7383" s="802">
        <f t="shared" ref="E7383:F7383" si="259">SUM(E7376:E7382)</f>
        <v>1</v>
      </c>
      <c r="F7383" s="802">
        <f t="shared" si="259"/>
        <v>0.98000000000000009</v>
      </c>
    </row>
    <row r="7384" spans="3:6">
      <c r="C7384" s="191"/>
      <c r="D7384" s="775"/>
      <c r="E7384" s="775">
        <f>+D7383-E7383</f>
        <v>0</v>
      </c>
      <c r="F7384" s="776">
        <f>+E7383-F7383</f>
        <v>1.9999999999999907E-2</v>
      </c>
    </row>
    <row r="7385" spans="3:6">
      <c r="D7385" s="7"/>
      <c r="E7385" s="7"/>
      <c r="F7385" s="7"/>
    </row>
    <row r="7386" spans="3:6">
      <c r="C7386" s="594" t="s">
        <v>2713</v>
      </c>
      <c r="D7386" s="693">
        <v>720</v>
      </c>
      <c r="E7386" s="693"/>
      <c r="F7386" s="695"/>
    </row>
    <row r="7387" spans="3:6">
      <c r="C7387" s="142" t="s">
        <v>3363</v>
      </c>
      <c r="D7387" s="790">
        <v>5</v>
      </c>
      <c r="E7387" s="773"/>
      <c r="F7387" s="772"/>
    </row>
    <row r="7388" spans="3:6">
      <c r="C7388" s="87" t="s">
        <v>3474</v>
      </c>
      <c r="D7388" s="696"/>
      <c r="E7388" s="697"/>
      <c r="F7388" s="696"/>
    </row>
    <row r="7389" spans="3:6">
      <c r="C7389" s="87" t="s">
        <v>1446</v>
      </c>
      <c r="D7389" s="693"/>
      <c r="E7389" s="694"/>
      <c r="F7389" s="693"/>
    </row>
    <row r="7390" spans="3:6">
      <c r="C7390" s="87" t="s">
        <v>1447</v>
      </c>
      <c r="D7390" s="693">
        <v>8</v>
      </c>
      <c r="E7390" s="693">
        <v>22</v>
      </c>
      <c r="F7390" s="693"/>
    </row>
    <row r="7391" spans="3:6">
      <c r="D7391" s="7"/>
      <c r="E7391" s="7"/>
      <c r="F7391" s="7"/>
    </row>
    <row r="7393" spans="2:6" ht="15.6">
      <c r="B7393" s="578" t="s">
        <v>1202</v>
      </c>
      <c r="C7393" s="730" t="s">
        <v>3552</v>
      </c>
      <c r="D7393" s="792" t="s">
        <v>353</v>
      </c>
      <c r="E7393" s="793" t="s">
        <v>354</v>
      </c>
      <c r="F7393" s="792" t="s">
        <v>355</v>
      </c>
    </row>
    <row r="7394" spans="2:6" ht="28.8">
      <c r="C7394" s="808" t="s">
        <v>3553</v>
      </c>
      <c r="D7394" s="809">
        <v>0.15</v>
      </c>
      <c r="E7394" s="809">
        <v>0.15</v>
      </c>
      <c r="F7394" s="809">
        <v>0.15</v>
      </c>
    </row>
    <row r="7395" spans="2:6" ht="28.8">
      <c r="C7395" s="808" t="s">
        <v>3554</v>
      </c>
      <c r="D7395" s="809">
        <v>0.3</v>
      </c>
      <c r="E7395" s="809">
        <v>0.3</v>
      </c>
      <c r="F7395" s="809">
        <v>0.3</v>
      </c>
    </row>
    <row r="7396" spans="2:6" ht="28.8">
      <c r="C7396" s="808" t="s">
        <v>3555</v>
      </c>
      <c r="D7396" s="809">
        <v>0.3</v>
      </c>
      <c r="E7396" s="809">
        <v>0.3</v>
      </c>
      <c r="F7396" s="809">
        <v>0.3</v>
      </c>
    </row>
    <row r="7397" spans="2:6" ht="28.8">
      <c r="C7397" s="811" t="s">
        <v>3556</v>
      </c>
      <c r="D7397" s="810">
        <v>0.2</v>
      </c>
      <c r="E7397" s="810">
        <v>0.2</v>
      </c>
      <c r="F7397" s="810">
        <v>0.2</v>
      </c>
    </row>
    <row r="7398" spans="2:6">
      <c r="C7398" s="812" t="s">
        <v>3557</v>
      </c>
      <c r="D7398" s="774">
        <v>0.05</v>
      </c>
      <c r="E7398" s="774">
        <v>0.05</v>
      </c>
      <c r="F7398" s="774">
        <v>0.05</v>
      </c>
    </row>
    <row r="7399" spans="2:6">
      <c r="C7399" s="782"/>
      <c r="D7399" s="802">
        <f>SUM(D7394:D7398)</f>
        <v>1</v>
      </c>
      <c r="E7399" s="802">
        <f>SUM(E7394:E7398)</f>
        <v>1</v>
      </c>
      <c r="F7399" s="802">
        <f>SUM(F7394:F7398)</f>
        <v>1</v>
      </c>
    </row>
    <row r="7400" spans="2:6">
      <c r="C7400" s="191"/>
      <c r="D7400" s="775"/>
      <c r="E7400" s="775">
        <f>+D7399-E7399</f>
        <v>0</v>
      </c>
      <c r="F7400" s="776">
        <f>+E7399-F7399</f>
        <v>0</v>
      </c>
    </row>
    <row r="7401" spans="2:6">
      <c r="D7401" s="7"/>
      <c r="E7401" s="7"/>
      <c r="F7401" s="7"/>
    </row>
    <row r="7402" spans="2:6">
      <c r="C7402" s="594" t="s">
        <v>2713</v>
      </c>
      <c r="D7402" s="693">
        <v>3360</v>
      </c>
      <c r="E7402" s="693"/>
      <c r="F7402" s="695"/>
    </row>
    <row r="7403" spans="2:6">
      <c r="C7403" s="142" t="s">
        <v>3363</v>
      </c>
      <c r="D7403" s="790">
        <v>1</v>
      </c>
      <c r="E7403" s="773"/>
      <c r="F7403" s="772"/>
    </row>
    <row r="7404" spans="2:6">
      <c r="C7404" s="87" t="s">
        <v>3474</v>
      </c>
      <c r="D7404" s="696"/>
      <c r="E7404" s="697"/>
      <c r="F7404" s="696"/>
    </row>
    <row r="7405" spans="2:6">
      <c r="C7405" s="87" t="s">
        <v>1446</v>
      </c>
      <c r="D7405" s="693"/>
      <c r="E7405" s="694"/>
      <c r="F7405" s="693"/>
    </row>
    <row r="7406" spans="2:6">
      <c r="C7406" s="87" t="s">
        <v>1447</v>
      </c>
      <c r="D7406" s="693">
        <v>8</v>
      </c>
      <c r="E7406" s="693">
        <v>22</v>
      </c>
      <c r="F7406" s="693"/>
    </row>
    <row r="7409" spans="2:6" ht="15.6">
      <c r="B7409" s="578" t="s">
        <v>1202</v>
      </c>
      <c r="C7409" s="730" t="s">
        <v>3558</v>
      </c>
      <c r="D7409" s="792" t="s">
        <v>353</v>
      </c>
      <c r="E7409" s="793" t="s">
        <v>354</v>
      </c>
      <c r="F7409" s="792" t="s">
        <v>355</v>
      </c>
    </row>
    <row r="7410" spans="2:6" ht="28.8">
      <c r="C7410" s="808" t="s">
        <v>3559</v>
      </c>
      <c r="D7410" s="809">
        <v>0.2</v>
      </c>
      <c r="E7410" s="809">
        <v>0.2</v>
      </c>
      <c r="F7410" s="809">
        <v>0.2</v>
      </c>
    </row>
    <row r="7411" spans="2:6" ht="28.8">
      <c r="C7411" s="808" t="s">
        <v>3560</v>
      </c>
      <c r="D7411" s="809">
        <v>0.01</v>
      </c>
      <c r="E7411" s="809">
        <v>0.01</v>
      </c>
      <c r="F7411" s="809">
        <v>0.01</v>
      </c>
    </row>
    <row r="7412" spans="2:6" ht="28.8">
      <c r="C7412" s="808" t="s">
        <v>3561</v>
      </c>
      <c r="D7412" s="809">
        <v>0.1</v>
      </c>
      <c r="E7412" s="809">
        <v>0.1</v>
      </c>
      <c r="F7412" s="809">
        <v>0.1</v>
      </c>
    </row>
    <row r="7413" spans="2:6" ht="28.8">
      <c r="C7413" s="808" t="s">
        <v>3562</v>
      </c>
      <c r="D7413" s="809">
        <v>0.1</v>
      </c>
      <c r="E7413" s="809">
        <v>0.1</v>
      </c>
      <c r="F7413" s="809">
        <v>0.1</v>
      </c>
    </row>
    <row r="7414" spans="2:6" ht="28.8">
      <c r="C7414" s="812" t="s">
        <v>3563</v>
      </c>
      <c r="D7414" s="774">
        <v>0.2</v>
      </c>
      <c r="E7414" s="774">
        <v>0.2</v>
      </c>
      <c r="F7414" s="774">
        <v>0.2</v>
      </c>
    </row>
    <row r="7415" spans="2:6" ht="28.8">
      <c r="C7415" s="813" t="s">
        <v>3564</v>
      </c>
      <c r="D7415" s="774">
        <v>0.15</v>
      </c>
      <c r="E7415" s="774">
        <v>0.15</v>
      </c>
      <c r="F7415" s="774">
        <v>0.15</v>
      </c>
    </row>
    <row r="7416" spans="2:6" ht="28.8">
      <c r="C7416" s="813" t="s">
        <v>3565</v>
      </c>
      <c r="D7416" s="774">
        <v>0.24</v>
      </c>
      <c r="E7416" s="774">
        <v>0.24</v>
      </c>
      <c r="F7416" s="774">
        <v>0.24</v>
      </c>
    </row>
    <row r="7417" spans="2:6">
      <c r="C7417" s="782"/>
      <c r="D7417" s="802">
        <f>SUM(D7410:D7416)</f>
        <v>1</v>
      </c>
      <c r="E7417" s="802">
        <f>SUM(E7410:E7416)</f>
        <v>1</v>
      </c>
      <c r="F7417" s="802">
        <f>SUM(F7410:F7416)</f>
        <v>1</v>
      </c>
    </row>
    <row r="7418" spans="2:6">
      <c r="C7418" s="191"/>
      <c r="D7418" s="775"/>
      <c r="E7418" s="775">
        <f>+D7417-E7417</f>
        <v>0</v>
      </c>
      <c r="F7418" s="776">
        <f>+E7417-F7417</f>
        <v>0</v>
      </c>
    </row>
    <row r="7419" spans="2:6">
      <c r="D7419" s="7"/>
      <c r="E7419" s="7"/>
      <c r="F7419" s="7"/>
    </row>
    <row r="7420" spans="2:6">
      <c r="C7420" s="594" t="s">
        <v>2713</v>
      </c>
      <c r="D7420" s="693">
        <v>4080</v>
      </c>
      <c r="E7420" s="693"/>
      <c r="F7420" s="695"/>
    </row>
    <row r="7421" spans="2:6">
      <c r="C7421" s="142" t="s">
        <v>3363</v>
      </c>
      <c r="D7421" s="790">
        <v>4</v>
      </c>
      <c r="E7421" s="773"/>
      <c r="F7421" s="772"/>
    </row>
    <row r="7422" spans="2:6">
      <c r="C7422" s="87" t="s">
        <v>3474</v>
      </c>
      <c r="D7422" s="696"/>
      <c r="E7422" s="697"/>
      <c r="F7422" s="696"/>
    </row>
    <row r="7423" spans="2:6">
      <c r="C7423" s="87" t="s">
        <v>1446</v>
      </c>
      <c r="D7423" s="693"/>
      <c r="E7423" s="694"/>
      <c r="F7423" s="693"/>
    </row>
    <row r="7424" spans="2:6">
      <c r="C7424" s="87" t="s">
        <v>1447</v>
      </c>
      <c r="D7424" s="693">
        <v>8</v>
      </c>
      <c r="E7424" s="693">
        <v>22</v>
      </c>
      <c r="F7424" s="693"/>
    </row>
    <row r="7427" spans="2:6" ht="15.6">
      <c r="B7427" s="578" t="s">
        <v>1202</v>
      </c>
      <c r="C7427" s="730" t="s">
        <v>3566</v>
      </c>
      <c r="D7427" s="792" t="s">
        <v>353</v>
      </c>
      <c r="E7427" s="793" t="s">
        <v>354</v>
      </c>
      <c r="F7427" s="792" t="s">
        <v>355</v>
      </c>
    </row>
    <row r="7428" spans="2:6" ht="28.8">
      <c r="C7428" s="808" t="s">
        <v>3567</v>
      </c>
      <c r="D7428" s="809">
        <v>0.01</v>
      </c>
      <c r="E7428" s="809">
        <v>0.01</v>
      </c>
      <c r="F7428" s="809">
        <v>0.01</v>
      </c>
    </row>
    <row r="7429" spans="2:6" ht="28.8">
      <c r="C7429" s="808" t="s">
        <v>3568</v>
      </c>
      <c r="D7429" s="809">
        <v>0.1</v>
      </c>
      <c r="E7429" s="809">
        <v>0.1</v>
      </c>
      <c r="F7429" s="809">
        <v>0.1</v>
      </c>
    </row>
    <row r="7430" spans="2:6" ht="28.8">
      <c r="C7430" s="808" t="s">
        <v>3569</v>
      </c>
      <c r="D7430" s="809">
        <v>0.1</v>
      </c>
      <c r="E7430" s="809">
        <v>0.1</v>
      </c>
      <c r="F7430" s="809">
        <v>0.1</v>
      </c>
    </row>
    <row r="7431" spans="2:6">
      <c r="C7431" s="808" t="s">
        <v>3570</v>
      </c>
      <c r="D7431" s="809">
        <v>0.2</v>
      </c>
      <c r="E7431" s="809">
        <v>0.2</v>
      </c>
      <c r="F7431" s="809">
        <v>0.2</v>
      </c>
    </row>
    <row r="7432" spans="2:6" ht="28.8">
      <c r="C7432" s="812" t="s">
        <v>3571</v>
      </c>
      <c r="D7432" s="774">
        <v>0.1</v>
      </c>
      <c r="E7432" s="774">
        <v>0.1</v>
      </c>
      <c r="F7432" s="774">
        <v>0.1</v>
      </c>
    </row>
    <row r="7433" spans="2:6" ht="28.8">
      <c r="C7433" s="813" t="s">
        <v>3572</v>
      </c>
      <c r="D7433" s="774">
        <v>0.24</v>
      </c>
      <c r="E7433" s="774">
        <v>0.24</v>
      </c>
      <c r="F7433" s="774">
        <v>0.24</v>
      </c>
    </row>
    <row r="7434" spans="2:6" ht="28.8">
      <c r="C7434" s="813" t="s">
        <v>3573</v>
      </c>
      <c r="D7434" s="774">
        <v>0.25</v>
      </c>
      <c r="E7434" s="774">
        <v>0.25</v>
      </c>
      <c r="F7434" s="774">
        <v>0.25</v>
      </c>
    </row>
    <row r="7435" spans="2:6">
      <c r="C7435" s="782"/>
      <c r="D7435" s="802">
        <f>SUM(D7428:D7434)</f>
        <v>1</v>
      </c>
      <c r="E7435" s="802">
        <f>SUM(E7428:E7434)</f>
        <v>1</v>
      </c>
      <c r="F7435" s="802">
        <f>SUM(F7428:F7434)</f>
        <v>1</v>
      </c>
    </row>
    <row r="7436" spans="2:6">
      <c r="C7436" s="191"/>
      <c r="D7436" s="775"/>
      <c r="E7436" s="775">
        <f>+D7435-E7435</f>
        <v>0</v>
      </c>
      <c r="F7436" s="776">
        <f>+E7435-F7435</f>
        <v>0</v>
      </c>
    </row>
    <row r="7437" spans="2:6">
      <c r="D7437" s="7"/>
      <c r="E7437" s="7"/>
      <c r="F7437" s="7"/>
    </row>
    <row r="7438" spans="2:6">
      <c r="C7438" s="594" t="s">
        <v>2713</v>
      </c>
      <c r="D7438" s="693">
        <v>600</v>
      </c>
      <c r="E7438" s="693"/>
      <c r="F7438" s="695"/>
    </row>
    <row r="7439" spans="2:6">
      <c r="C7439" s="142" t="s">
        <v>3363</v>
      </c>
      <c r="D7439" s="790">
        <v>3</v>
      </c>
      <c r="E7439" s="773"/>
      <c r="F7439" s="772"/>
    </row>
    <row r="7440" spans="2:6">
      <c r="C7440" s="87" t="s">
        <v>3474</v>
      </c>
      <c r="D7440" s="696"/>
      <c r="E7440" s="697"/>
      <c r="F7440" s="696"/>
    </row>
    <row r="7441" spans="2:6">
      <c r="C7441" s="87" t="s">
        <v>1446</v>
      </c>
      <c r="D7441" s="693"/>
      <c r="E7441" s="694"/>
      <c r="F7441" s="693"/>
    </row>
    <row r="7442" spans="2:6">
      <c r="C7442" s="87" t="s">
        <v>1447</v>
      </c>
      <c r="D7442" s="693">
        <v>8</v>
      </c>
      <c r="E7442" s="693">
        <v>22</v>
      </c>
      <c r="F7442" s="693"/>
    </row>
    <row r="7445" spans="2:6" ht="15.6">
      <c r="B7445" s="578" t="s">
        <v>1202</v>
      </c>
      <c r="C7445" s="730" t="s">
        <v>3574</v>
      </c>
      <c r="D7445" s="792" t="s">
        <v>353</v>
      </c>
      <c r="E7445" s="793" t="s">
        <v>354</v>
      </c>
      <c r="F7445" s="792" t="s">
        <v>355</v>
      </c>
    </row>
    <row r="7446" spans="2:6">
      <c r="C7446" s="808" t="s">
        <v>3575</v>
      </c>
      <c r="D7446" s="809">
        <v>0.01</v>
      </c>
      <c r="E7446" s="809">
        <v>0.01</v>
      </c>
      <c r="F7446" s="809">
        <v>0.01</v>
      </c>
    </row>
    <row r="7447" spans="2:6">
      <c r="C7447" s="808" t="s">
        <v>3576</v>
      </c>
      <c r="D7447" s="809">
        <v>0.2</v>
      </c>
      <c r="E7447" s="809">
        <v>0.2</v>
      </c>
      <c r="F7447" s="809">
        <v>0.2</v>
      </c>
    </row>
    <row r="7448" spans="2:6" ht="28.8">
      <c r="C7448" s="808" t="s">
        <v>3577</v>
      </c>
      <c r="D7448" s="809">
        <v>0.1</v>
      </c>
      <c r="E7448" s="809">
        <v>0.1</v>
      </c>
      <c r="F7448" s="809">
        <v>0.1</v>
      </c>
    </row>
    <row r="7449" spans="2:6" ht="28.8">
      <c r="C7449" s="808" t="s">
        <v>3578</v>
      </c>
      <c r="D7449" s="809">
        <v>0.24</v>
      </c>
      <c r="E7449" s="809">
        <v>0.24</v>
      </c>
      <c r="F7449" s="809">
        <v>0.24</v>
      </c>
    </row>
    <row r="7450" spans="2:6" ht="28.8">
      <c r="C7450" s="812" t="s">
        <v>3579</v>
      </c>
      <c r="D7450" s="774">
        <v>0.25</v>
      </c>
      <c r="E7450" s="774">
        <v>0.25</v>
      </c>
      <c r="F7450" s="774">
        <v>0.25</v>
      </c>
    </row>
    <row r="7451" spans="2:6" ht="28.8">
      <c r="C7451" s="813" t="s">
        <v>3580</v>
      </c>
      <c r="D7451" s="774">
        <v>0.2</v>
      </c>
      <c r="E7451" s="774">
        <v>0.2</v>
      </c>
      <c r="F7451" s="774">
        <v>0.2</v>
      </c>
    </row>
    <row r="7452" spans="2:6">
      <c r="C7452" s="782"/>
      <c r="D7452" s="802">
        <f>SUM(D7446:D7451)</f>
        <v>1</v>
      </c>
      <c r="E7452" s="802">
        <f>SUM(E7446:E7451)</f>
        <v>1</v>
      </c>
      <c r="F7452" s="802">
        <f>SUM(F7446:F7451)</f>
        <v>1</v>
      </c>
    </row>
    <row r="7453" spans="2:6">
      <c r="C7453" s="191"/>
      <c r="D7453" s="775"/>
      <c r="E7453" s="775">
        <f>+D7452-E7452</f>
        <v>0</v>
      </c>
      <c r="F7453" s="776">
        <f>+E7452-F7452</f>
        <v>0</v>
      </c>
    </row>
    <row r="7454" spans="2:6">
      <c r="D7454" s="7"/>
      <c r="E7454" s="7"/>
      <c r="F7454" s="7"/>
    </row>
    <row r="7455" spans="2:6">
      <c r="C7455" s="594" t="s">
        <v>2713</v>
      </c>
      <c r="D7455" s="693">
        <v>600</v>
      </c>
      <c r="E7455" s="693"/>
      <c r="F7455" s="695"/>
    </row>
    <row r="7456" spans="2:6">
      <c r="C7456" s="142" t="s">
        <v>3363</v>
      </c>
      <c r="D7456" s="790">
        <v>2</v>
      </c>
      <c r="E7456" s="773"/>
      <c r="F7456" s="772"/>
    </row>
    <row r="7457" spans="2:6">
      <c r="C7457" s="87" t="s">
        <v>3474</v>
      </c>
      <c r="D7457" s="696"/>
      <c r="E7457" s="697"/>
      <c r="F7457" s="696"/>
    </row>
    <row r="7458" spans="2:6">
      <c r="C7458" s="87" t="s">
        <v>1446</v>
      </c>
      <c r="D7458" s="693"/>
      <c r="E7458" s="694"/>
      <c r="F7458" s="693"/>
    </row>
    <row r="7459" spans="2:6">
      <c r="C7459" s="87" t="s">
        <v>1447</v>
      </c>
      <c r="D7459" s="693">
        <v>8</v>
      </c>
      <c r="E7459" s="693">
        <v>22</v>
      </c>
      <c r="F7459" s="693"/>
    </row>
    <row r="7462" spans="2:6" ht="15.6">
      <c r="B7462" s="578" t="s">
        <v>1202</v>
      </c>
      <c r="C7462" s="730" t="s">
        <v>3581</v>
      </c>
      <c r="D7462" s="792" t="s">
        <v>353</v>
      </c>
      <c r="E7462" s="793" t="s">
        <v>354</v>
      </c>
      <c r="F7462" s="792" t="s">
        <v>355</v>
      </c>
    </row>
    <row r="7463" spans="2:6" ht="28.8">
      <c r="C7463" s="808" t="s">
        <v>3582</v>
      </c>
      <c r="D7463" s="809">
        <v>0.01</v>
      </c>
      <c r="E7463" s="809">
        <v>0.01</v>
      </c>
      <c r="F7463" s="809">
        <v>0.01</v>
      </c>
    </row>
    <row r="7464" spans="2:6" ht="28.8">
      <c r="C7464" s="808" t="s">
        <v>3583</v>
      </c>
      <c r="D7464" s="809">
        <v>0.2</v>
      </c>
      <c r="E7464" s="809">
        <v>0.2</v>
      </c>
      <c r="F7464" s="809">
        <v>0.2</v>
      </c>
    </row>
    <row r="7465" spans="2:6" ht="28.8">
      <c r="C7465" s="808" t="s">
        <v>3584</v>
      </c>
      <c r="D7465" s="809">
        <v>0.1</v>
      </c>
      <c r="E7465" s="809">
        <v>0.1</v>
      </c>
      <c r="F7465" s="809">
        <v>0.1</v>
      </c>
    </row>
    <row r="7466" spans="2:6" ht="28.8">
      <c r="C7466" s="808" t="s">
        <v>3585</v>
      </c>
      <c r="D7466" s="809">
        <v>0.1</v>
      </c>
      <c r="E7466" s="809">
        <v>0.1</v>
      </c>
      <c r="F7466" s="809">
        <v>0.1</v>
      </c>
    </row>
    <row r="7467" spans="2:6" ht="28.8">
      <c r="C7467" s="814" t="s">
        <v>3586</v>
      </c>
      <c r="D7467" s="774">
        <v>0.15</v>
      </c>
      <c r="E7467" s="774">
        <v>0.15</v>
      </c>
      <c r="F7467" s="774">
        <v>0.15</v>
      </c>
    </row>
    <row r="7468" spans="2:6" ht="28.8">
      <c r="C7468" s="815" t="s">
        <v>3585</v>
      </c>
      <c r="D7468" s="783">
        <v>0.1</v>
      </c>
      <c r="E7468" s="783">
        <v>0.1</v>
      </c>
      <c r="F7468" s="783">
        <v>0.1</v>
      </c>
    </row>
    <row r="7469" spans="2:6" ht="28.8">
      <c r="C7469" s="813" t="s">
        <v>3587</v>
      </c>
      <c r="D7469" s="804">
        <v>0.15</v>
      </c>
      <c r="E7469" s="804">
        <v>0.15</v>
      </c>
      <c r="F7469" s="804">
        <v>0.15</v>
      </c>
    </row>
    <row r="7470" spans="2:6">
      <c r="C7470" s="813" t="s">
        <v>3576</v>
      </c>
      <c r="D7470" s="804">
        <v>0.09</v>
      </c>
      <c r="E7470" s="804">
        <v>0.09</v>
      </c>
      <c r="F7470" s="804">
        <v>0.09</v>
      </c>
    </row>
    <row r="7471" spans="2:6" ht="28.8">
      <c r="C7471" s="813" t="s">
        <v>3588</v>
      </c>
      <c r="D7471" s="804">
        <v>0.1</v>
      </c>
      <c r="E7471" s="804">
        <v>0.1</v>
      </c>
      <c r="F7471" s="804">
        <v>0.1</v>
      </c>
    </row>
    <row r="7472" spans="2:6">
      <c r="C7472" s="782"/>
      <c r="D7472" s="802">
        <f>SUM(D7463:D7471)</f>
        <v>1</v>
      </c>
      <c r="E7472" s="802">
        <f t="shared" ref="E7472:F7472" si="260">SUM(E7463:E7471)</f>
        <v>1</v>
      </c>
      <c r="F7472" s="802">
        <f t="shared" si="260"/>
        <v>1</v>
      </c>
    </row>
    <row r="7473" spans="2:6">
      <c r="C7473" s="191"/>
      <c r="D7473" s="775"/>
      <c r="E7473" s="775">
        <f>+D7472-E7472</f>
        <v>0</v>
      </c>
      <c r="F7473" s="776">
        <f>+E7472-F7472</f>
        <v>0</v>
      </c>
    </row>
    <row r="7474" spans="2:6">
      <c r="D7474" s="7"/>
      <c r="E7474" s="7"/>
      <c r="F7474" s="7"/>
    </row>
    <row r="7475" spans="2:6">
      <c r="C7475" s="594" t="s">
        <v>2713</v>
      </c>
      <c r="D7475" s="693">
        <v>960</v>
      </c>
      <c r="E7475" s="693"/>
      <c r="F7475" s="695"/>
    </row>
    <row r="7476" spans="2:6">
      <c r="C7476" s="142" t="s">
        <v>3363</v>
      </c>
      <c r="D7476" s="790">
        <v>2</v>
      </c>
      <c r="E7476" s="773"/>
      <c r="F7476" s="772"/>
    </row>
    <row r="7477" spans="2:6">
      <c r="C7477" s="87" t="s">
        <v>3474</v>
      </c>
      <c r="D7477" s="696"/>
      <c r="E7477" s="697"/>
      <c r="F7477" s="696"/>
    </row>
    <row r="7478" spans="2:6">
      <c r="C7478" s="87" t="s">
        <v>1446</v>
      </c>
      <c r="D7478" s="693"/>
      <c r="E7478" s="694"/>
      <c r="F7478" s="693"/>
    </row>
    <row r="7479" spans="2:6">
      <c r="C7479" s="87" t="s">
        <v>1447</v>
      </c>
      <c r="D7479" s="693">
        <v>8</v>
      </c>
      <c r="E7479" s="693">
        <v>22</v>
      </c>
      <c r="F7479" s="693"/>
    </row>
    <row r="7482" spans="2:6" ht="15.6">
      <c r="B7482" s="519" t="s">
        <v>1079</v>
      </c>
      <c r="C7482" s="668" t="s">
        <v>3589</v>
      </c>
      <c r="D7482" s="816" t="s">
        <v>353</v>
      </c>
      <c r="E7482" s="816" t="s">
        <v>354</v>
      </c>
      <c r="F7482" s="816" t="s">
        <v>355</v>
      </c>
    </row>
    <row r="7483" spans="2:6" ht="28.8">
      <c r="C7483" s="191" t="s">
        <v>3590</v>
      </c>
      <c r="D7483" s="125">
        <v>0.01</v>
      </c>
      <c r="E7483" s="125">
        <v>0.01</v>
      </c>
      <c r="F7483" s="176">
        <v>0.01</v>
      </c>
    </row>
    <row r="7484" spans="2:6">
      <c r="C7484" s="191" t="s">
        <v>3591</v>
      </c>
      <c r="D7484" s="125">
        <v>0.05</v>
      </c>
      <c r="E7484" s="125">
        <v>0.05</v>
      </c>
      <c r="F7484" s="125">
        <v>0.05</v>
      </c>
    </row>
    <row r="7485" spans="2:6" ht="28.8">
      <c r="C7485" s="191" t="s">
        <v>3592</v>
      </c>
      <c r="D7485" s="125">
        <v>0.15</v>
      </c>
      <c r="E7485" s="125">
        <v>0.15</v>
      </c>
      <c r="F7485" s="125">
        <v>0.15</v>
      </c>
    </row>
    <row r="7486" spans="2:6" ht="28.8">
      <c r="C7486" s="191" t="s">
        <v>3593</v>
      </c>
      <c r="D7486" s="125">
        <v>0.1</v>
      </c>
      <c r="E7486" s="125">
        <v>0.1</v>
      </c>
      <c r="F7486" s="125">
        <v>0.1</v>
      </c>
    </row>
    <row r="7487" spans="2:6" ht="28.8">
      <c r="C7487" s="191" t="s">
        <v>3594</v>
      </c>
      <c r="D7487" s="125">
        <v>0.01</v>
      </c>
      <c r="E7487" s="125">
        <v>0.01</v>
      </c>
      <c r="F7487" s="176">
        <v>5.0000000000000001E-3</v>
      </c>
    </row>
    <row r="7488" spans="2:6" ht="28.8">
      <c r="C7488" s="191" t="s">
        <v>3595</v>
      </c>
      <c r="D7488" s="125">
        <v>0.05</v>
      </c>
      <c r="E7488" s="125">
        <v>0.05</v>
      </c>
      <c r="F7488" s="125">
        <v>0.05</v>
      </c>
    </row>
    <row r="7489" spans="3:6">
      <c r="C7489" s="191" t="s">
        <v>3596</v>
      </c>
      <c r="D7489" s="125">
        <v>0.1</v>
      </c>
      <c r="E7489" s="125">
        <v>0.1</v>
      </c>
      <c r="F7489" s="125">
        <v>0.1</v>
      </c>
    </row>
    <row r="7490" spans="3:6">
      <c r="C7490" s="191" t="s">
        <v>3597</v>
      </c>
      <c r="D7490" s="125">
        <v>0.02</v>
      </c>
      <c r="E7490" s="125">
        <v>0.02</v>
      </c>
      <c r="F7490" s="125">
        <v>0.02</v>
      </c>
    </row>
    <row r="7491" spans="3:6" ht="28.8">
      <c r="C7491" s="191" t="s">
        <v>3598</v>
      </c>
      <c r="D7491" s="125">
        <v>0.03</v>
      </c>
      <c r="E7491" s="125">
        <v>0.03</v>
      </c>
      <c r="F7491" s="125">
        <v>0.03</v>
      </c>
    </row>
    <row r="7492" spans="3:6">
      <c r="C7492" s="191" t="s">
        <v>3599</v>
      </c>
      <c r="D7492" s="125">
        <v>0.1</v>
      </c>
      <c r="E7492" s="125">
        <v>0.1</v>
      </c>
      <c r="F7492" s="125">
        <v>0.1</v>
      </c>
    </row>
    <row r="7493" spans="3:6" ht="28.8">
      <c r="C7493" s="191" t="s">
        <v>3600</v>
      </c>
      <c r="D7493" s="125">
        <v>0.02</v>
      </c>
      <c r="E7493" s="125">
        <v>0.02</v>
      </c>
      <c r="F7493" s="125">
        <v>0.02</v>
      </c>
    </row>
    <row r="7494" spans="3:6" ht="28.8">
      <c r="C7494" s="191" t="s">
        <v>3601</v>
      </c>
      <c r="D7494" s="125">
        <v>0.15</v>
      </c>
      <c r="E7494" s="125">
        <v>0.15</v>
      </c>
      <c r="F7494" s="125">
        <v>0.15</v>
      </c>
    </row>
    <row r="7495" spans="3:6">
      <c r="C7495" s="191" t="s">
        <v>3602</v>
      </c>
      <c r="D7495" s="125">
        <v>0.05</v>
      </c>
      <c r="E7495" s="125">
        <v>0.05</v>
      </c>
      <c r="F7495" s="125">
        <v>0.05</v>
      </c>
    </row>
    <row r="7496" spans="3:6" ht="28.8">
      <c r="C7496" s="191" t="s">
        <v>3603</v>
      </c>
      <c r="D7496" s="125">
        <v>0.05</v>
      </c>
      <c r="E7496" s="125">
        <v>0.05</v>
      </c>
      <c r="F7496" s="125">
        <v>0.03</v>
      </c>
    </row>
    <row r="7497" spans="3:6">
      <c r="C7497" s="191" t="s">
        <v>3604</v>
      </c>
      <c r="D7497" s="125">
        <v>0.05</v>
      </c>
      <c r="E7497" s="125">
        <v>0.05</v>
      </c>
      <c r="F7497" s="125">
        <v>0.05</v>
      </c>
    </row>
    <row r="7498" spans="3:6">
      <c r="C7498" s="191" t="s">
        <v>3605</v>
      </c>
      <c r="D7498" s="125">
        <v>0.01</v>
      </c>
      <c r="E7498" s="125">
        <v>0.01</v>
      </c>
      <c r="F7498" s="125">
        <v>0.01</v>
      </c>
    </row>
    <row r="7499" spans="3:6" ht="28.8">
      <c r="C7499" s="191" t="s">
        <v>3606</v>
      </c>
      <c r="D7499" s="125">
        <v>0.05</v>
      </c>
      <c r="E7499" s="125">
        <v>0.05</v>
      </c>
      <c r="F7499" s="125">
        <v>0.05</v>
      </c>
    </row>
    <row r="7500" spans="3:6">
      <c r="C7500" s="641"/>
      <c r="D7500" s="631">
        <f>SUM(D7483:D7499)</f>
        <v>1.0000000000000002</v>
      </c>
      <c r="E7500" s="631">
        <f>SUM(E7483:E7489)</f>
        <v>0.47</v>
      </c>
      <c r="F7500" s="631">
        <f>SUM(F7483:F7489)</f>
        <v>0.46499999999999997</v>
      </c>
    </row>
    <row r="7501" spans="3:6">
      <c r="C7501" s="641"/>
      <c r="D7501" s="631"/>
      <c r="E7501" s="631">
        <f>D7500-E7500</f>
        <v>0.53000000000000025</v>
      </c>
      <c r="F7501" s="631">
        <f>E7500-F7500</f>
        <v>5.0000000000000044E-3</v>
      </c>
    </row>
    <row r="7502" spans="3:6">
      <c r="C7502" s="658" t="s">
        <v>2713</v>
      </c>
      <c r="D7502" s="88">
        <v>28800</v>
      </c>
      <c r="E7502" s="88"/>
      <c r="F7502" s="184"/>
    </row>
    <row r="7503" spans="3:6">
      <c r="C7503" s="88" t="s">
        <v>2943</v>
      </c>
      <c r="D7503" s="88">
        <v>1</v>
      </c>
      <c r="E7503" s="595"/>
      <c r="F7503" s="595"/>
    </row>
    <row r="7504" spans="3:6">
      <c r="C7504" s="87" t="s">
        <v>2437</v>
      </c>
      <c r="D7504" s="595"/>
      <c r="E7504" s="595"/>
      <c r="F7504" s="595"/>
    </row>
    <row r="7505" spans="2:6">
      <c r="C7505" s="87" t="s">
        <v>1446</v>
      </c>
      <c r="D7505" s="88"/>
      <c r="E7505" s="88"/>
      <c r="F7505" s="88"/>
    </row>
    <row r="7506" spans="2:6">
      <c r="C7506" s="87" t="s">
        <v>1447</v>
      </c>
      <c r="D7506" s="88">
        <v>8</v>
      </c>
      <c r="E7506" s="88">
        <v>22</v>
      </c>
      <c r="F7506" s="88"/>
    </row>
    <row r="7507" spans="2:6">
      <c r="C7507" s="87" t="s">
        <v>2438</v>
      </c>
      <c r="D7507" s="88"/>
      <c r="E7507" s="88"/>
      <c r="F7507" s="88"/>
    </row>
    <row r="7510" spans="2:6" ht="15.6">
      <c r="B7510" s="519" t="s">
        <v>1079</v>
      </c>
      <c r="C7510" s="668" t="s">
        <v>3607</v>
      </c>
      <c r="D7510" s="94" t="s">
        <v>353</v>
      </c>
      <c r="E7510" s="94" t="s">
        <v>354</v>
      </c>
      <c r="F7510" s="94" t="s">
        <v>355</v>
      </c>
    </row>
    <row r="7511" spans="2:6" ht="28.8">
      <c r="C7511" s="191" t="s">
        <v>3608</v>
      </c>
      <c r="D7511" s="125">
        <v>0.01</v>
      </c>
      <c r="E7511" s="125">
        <v>0.01</v>
      </c>
      <c r="F7511" s="176">
        <v>5.0000000000000001E-3</v>
      </c>
    </row>
    <row r="7512" spans="2:6">
      <c r="C7512" s="191" t="s">
        <v>3591</v>
      </c>
      <c r="D7512" s="125">
        <v>0.05</v>
      </c>
      <c r="E7512" s="125">
        <v>0.05</v>
      </c>
      <c r="F7512" s="125">
        <v>0.05</v>
      </c>
    </row>
    <row r="7513" spans="2:6" ht="28.8">
      <c r="C7513" s="191" t="s">
        <v>3592</v>
      </c>
      <c r="D7513" s="125">
        <v>0.15</v>
      </c>
      <c r="E7513" s="125">
        <v>0.15</v>
      </c>
      <c r="F7513" s="125">
        <v>0.15</v>
      </c>
    </row>
    <row r="7514" spans="2:6" ht="28.8">
      <c r="C7514" s="191" t="s">
        <v>3593</v>
      </c>
      <c r="D7514" s="125">
        <v>0.1</v>
      </c>
      <c r="E7514" s="125">
        <v>0.1</v>
      </c>
      <c r="F7514" s="125">
        <v>0.1</v>
      </c>
    </row>
    <row r="7515" spans="2:6" ht="28.8">
      <c r="C7515" s="191" t="s">
        <v>3594</v>
      </c>
      <c r="D7515" s="125">
        <v>0.01</v>
      </c>
      <c r="E7515" s="125">
        <v>0.01</v>
      </c>
      <c r="F7515" s="176">
        <v>5.0000000000000001E-3</v>
      </c>
    </row>
    <row r="7516" spans="2:6" ht="28.8">
      <c r="C7516" s="191" t="s">
        <v>3595</v>
      </c>
      <c r="D7516" s="125">
        <v>0.05</v>
      </c>
      <c r="E7516" s="125">
        <v>0.05</v>
      </c>
      <c r="F7516" s="125">
        <v>0.05</v>
      </c>
    </row>
    <row r="7517" spans="2:6">
      <c r="C7517" s="191" t="s">
        <v>3596</v>
      </c>
      <c r="D7517" s="125">
        <v>0.1</v>
      </c>
      <c r="E7517" s="125">
        <v>0.1</v>
      </c>
      <c r="F7517" s="125">
        <v>0.1</v>
      </c>
    </row>
    <row r="7518" spans="2:6">
      <c r="C7518" s="191" t="s">
        <v>3597</v>
      </c>
      <c r="D7518" s="125">
        <v>0.02</v>
      </c>
      <c r="E7518" s="125">
        <v>0.02</v>
      </c>
      <c r="F7518" s="125">
        <v>0.02</v>
      </c>
    </row>
    <row r="7519" spans="2:6" ht="28.8">
      <c r="C7519" s="191" t="s">
        <v>3598</v>
      </c>
      <c r="D7519" s="125">
        <v>0.03</v>
      </c>
      <c r="E7519" s="125">
        <v>0.03</v>
      </c>
      <c r="F7519" s="125">
        <v>0.03</v>
      </c>
    </row>
    <row r="7520" spans="2:6">
      <c r="C7520" s="191" t="s">
        <v>3599</v>
      </c>
      <c r="D7520" s="125">
        <v>0.1</v>
      </c>
      <c r="E7520" s="125">
        <v>0.1</v>
      </c>
      <c r="F7520" s="125">
        <v>0.1</v>
      </c>
    </row>
    <row r="7521" spans="3:6" ht="28.8">
      <c r="C7521" s="191" t="s">
        <v>3600</v>
      </c>
      <c r="D7521" s="125">
        <v>0.02</v>
      </c>
      <c r="E7521" s="125">
        <v>0.02</v>
      </c>
      <c r="F7521" s="125">
        <v>0.02</v>
      </c>
    </row>
    <row r="7522" spans="3:6" ht="28.8">
      <c r="C7522" s="191" t="s">
        <v>3601</v>
      </c>
      <c r="D7522" s="125">
        <v>0.15</v>
      </c>
      <c r="E7522" s="125">
        <v>0.15</v>
      </c>
      <c r="F7522" s="125">
        <v>0.15</v>
      </c>
    </row>
    <row r="7523" spans="3:6">
      <c r="C7523" s="191" t="s">
        <v>3602</v>
      </c>
      <c r="D7523" s="125">
        <v>0.05</v>
      </c>
      <c r="E7523" s="125">
        <v>0.05</v>
      </c>
      <c r="F7523" s="125">
        <v>0.05</v>
      </c>
    </row>
    <row r="7524" spans="3:6" ht="28.8">
      <c r="C7524" s="191" t="s">
        <v>3603</v>
      </c>
      <c r="D7524" s="125">
        <v>0.05</v>
      </c>
      <c r="E7524" s="125">
        <v>0.05</v>
      </c>
      <c r="F7524" s="125">
        <v>0.03</v>
      </c>
    </row>
    <row r="7525" spans="3:6">
      <c r="C7525" s="191" t="s">
        <v>3604</v>
      </c>
      <c r="D7525" s="125">
        <v>0.05</v>
      </c>
      <c r="E7525" s="125">
        <v>0.05</v>
      </c>
      <c r="F7525" s="125">
        <v>0.05</v>
      </c>
    </row>
    <row r="7526" spans="3:6">
      <c r="C7526" s="191" t="s">
        <v>3605</v>
      </c>
      <c r="D7526" s="125">
        <v>0.01</v>
      </c>
      <c r="E7526" s="125">
        <v>0.01</v>
      </c>
      <c r="F7526" s="125">
        <v>0.01</v>
      </c>
    </row>
    <row r="7527" spans="3:6" ht="28.8">
      <c r="C7527" s="191" t="s">
        <v>3606</v>
      </c>
      <c r="D7527" s="125">
        <v>0.05</v>
      </c>
      <c r="E7527" s="125">
        <v>0.05</v>
      </c>
      <c r="F7527" s="125">
        <v>0.05</v>
      </c>
    </row>
    <row r="7528" spans="3:6">
      <c r="C7528" s="641"/>
      <c r="D7528" s="631">
        <f>SUM(D7511:D7527)</f>
        <v>1.0000000000000002</v>
      </c>
      <c r="E7528" s="631">
        <f t="shared" ref="E7528:F7528" si="261">SUM(E7511:E7527)</f>
        <v>1.0000000000000002</v>
      </c>
      <c r="F7528" s="631">
        <f t="shared" si="261"/>
        <v>0.9700000000000002</v>
      </c>
    </row>
    <row r="7529" spans="3:6">
      <c r="C7529" s="641"/>
      <c r="D7529" s="631"/>
      <c r="E7529" s="631">
        <f>D7528-E7528</f>
        <v>0</v>
      </c>
      <c r="F7529" s="631">
        <f>E7528-F7528</f>
        <v>3.0000000000000027E-2</v>
      </c>
    </row>
    <row r="7530" spans="3:6">
      <c r="C7530" s="658" t="s">
        <v>2713</v>
      </c>
      <c r="D7530" s="88">
        <f>7*24*60</f>
        <v>10080</v>
      </c>
      <c r="E7530" s="88"/>
      <c r="F7530" s="184"/>
    </row>
    <row r="7531" spans="3:6">
      <c r="C7531" s="88" t="s">
        <v>2943</v>
      </c>
      <c r="D7531" s="88">
        <v>1</v>
      </c>
      <c r="E7531" s="595"/>
      <c r="F7531" s="595"/>
    </row>
    <row r="7532" spans="3:6">
      <c r="C7532" s="87" t="s">
        <v>2437</v>
      </c>
      <c r="D7532" s="595"/>
      <c r="E7532" s="595"/>
      <c r="F7532" s="595"/>
    </row>
    <row r="7533" spans="3:6">
      <c r="C7533" s="87" t="s">
        <v>1446</v>
      </c>
      <c r="D7533" s="88"/>
      <c r="E7533" s="88"/>
      <c r="F7533" s="88"/>
    </row>
    <row r="7534" spans="3:6">
      <c r="C7534" s="87" t="s">
        <v>1447</v>
      </c>
      <c r="D7534" s="88">
        <v>8</v>
      </c>
      <c r="E7534" s="88">
        <v>22</v>
      </c>
      <c r="F7534" s="88"/>
    </row>
    <row r="7535" spans="3:6">
      <c r="C7535" s="87" t="s">
        <v>2438</v>
      </c>
      <c r="D7535" s="88"/>
      <c r="E7535" s="88"/>
      <c r="F7535" s="88"/>
    </row>
    <row r="7538" spans="2:6" ht="15.6">
      <c r="B7538" s="519" t="s">
        <v>1079</v>
      </c>
      <c r="C7538" s="668" t="s">
        <v>3609</v>
      </c>
      <c r="D7538" s="94" t="s">
        <v>353</v>
      </c>
      <c r="E7538" s="94" t="s">
        <v>354</v>
      </c>
      <c r="F7538" s="94" t="s">
        <v>355</v>
      </c>
    </row>
    <row r="7539" spans="2:6">
      <c r="C7539" s="191" t="s">
        <v>3610</v>
      </c>
      <c r="D7539" s="125">
        <v>0.01</v>
      </c>
      <c r="E7539" s="125">
        <v>0.01</v>
      </c>
      <c r="F7539" s="125">
        <v>0.01</v>
      </c>
    </row>
    <row r="7540" spans="2:6">
      <c r="C7540" s="191" t="s">
        <v>3611</v>
      </c>
      <c r="D7540" s="125">
        <v>0.1</v>
      </c>
      <c r="E7540" s="125">
        <v>0.1</v>
      </c>
      <c r="F7540" s="125">
        <v>0.1</v>
      </c>
    </row>
    <row r="7541" spans="2:6">
      <c r="C7541" s="191" t="s">
        <v>3612</v>
      </c>
      <c r="D7541" s="125">
        <v>0.02</v>
      </c>
      <c r="E7541" s="125">
        <v>0.02</v>
      </c>
      <c r="F7541" s="125">
        <v>0.02</v>
      </c>
    </row>
    <row r="7542" spans="2:6">
      <c r="C7542" s="191" t="s">
        <v>3613</v>
      </c>
      <c r="D7542" s="125">
        <v>0.05</v>
      </c>
      <c r="E7542" s="125">
        <v>0.05</v>
      </c>
      <c r="F7542" s="125">
        <v>0.05</v>
      </c>
    </row>
    <row r="7543" spans="2:6">
      <c r="C7543" s="191" t="s">
        <v>3614</v>
      </c>
      <c r="D7543" s="125">
        <v>0.3</v>
      </c>
      <c r="E7543" s="125">
        <v>0.3</v>
      </c>
      <c r="F7543" s="125">
        <v>0.3</v>
      </c>
    </row>
    <row r="7544" spans="2:6" ht="28.8">
      <c r="C7544" s="638" t="s">
        <v>3615</v>
      </c>
      <c r="D7544" s="125">
        <v>0.03</v>
      </c>
      <c r="E7544" s="125">
        <v>0.03</v>
      </c>
      <c r="F7544" s="176">
        <v>1.4999999999999999E-2</v>
      </c>
    </row>
    <row r="7545" spans="2:6">
      <c r="C7545" s="633" t="s">
        <v>3616</v>
      </c>
      <c r="D7545" s="165">
        <v>0.03</v>
      </c>
      <c r="E7545" s="165">
        <v>0.03</v>
      </c>
      <c r="F7545" s="432">
        <v>1.4999999999999999E-2</v>
      </c>
    </row>
    <row r="7546" spans="2:6">
      <c r="C7546" s="191" t="s">
        <v>3617</v>
      </c>
      <c r="D7546" s="165">
        <v>0.03</v>
      </c>
      <c r="E7546" s="165">
        <v>0.03</v>
      </c>
      <c r="F7546" s="432">
        <v>1.4999999999999999E-2</v>
      </c>
    </row>
    <row r="7547" spans="2:6">
      <c r="C7547" s="191" t="s">
        <v>3618</v>
      </c>
      <c r="D7547" s="165">
        <v>0.01</v>
      </c>
      <c r="E7547" s="165">
        <v>0.01</v>
      </c>
      <c r="F7547" s="165">
        <v>0.01</v>
      </c>
    </row>
    <row r="7548" spans="2:6" ht="28.8">
      <c r="C7548" s="191" t="s">
        <v>3619</v>
      </c>
      <c r="D7548" s="165">
        <v>0.05</v>
      </c>
      <c r="E7548" s="165">
        <v>0.05</v>
      </c>
      <c r="F7548" s="165">
        <v>0.05</v>
      </c>
    </row>
    <row r="7549" spans="2:6">
      <c r="C7549" s="782" t="s">
        <v>3620</v>
      </c>
      <c r="D7549" s="125">
        <v>0.1</v>
      </c>
      <c r="E7549" s="125">
        <v>0.1</v>
      </c>
      <c r="F7549" s="125">
        <v>0.1</v>
      </c>
    </row>
    <row r="7550" spans="2:6" ht="28.8">
      <c r="C7550" s="191" t="s">
        <v>3621</v>
      </c>
      <c r="D7550" s="125">
        <v>0.16</v>
      </c>
      <c r="E7550" s="125">
        <v>0.16</v>
      </c>
      <c r="F7550" s="125">
        <v>0.16</v>
      </c>
    </row>
    <row r="7551" spans="2:6" ht="28.8">
      <c r="C7551" s="191" t="s">
        <v>3622</v>
      </c>
      <c r="D7551" s="125">
        <v>0.02</v>
      </c>
      <c r="E7551" s="125">
        <v>0.02</v>
      </c>
      <c r="F7551" s="125">
        <v>0.02</v>
      </c>
    </row>
    <row r="7552" spans="2:6" ht="28.8">
      <c r="C7552" s="191" t="s">
        <v>3623</v>
      </c>
      <c r="D7552" s="125">
        <v>0.03</v>
      </c>
      <c r="E7552" s="125">
        <v>0.03</v>
      </c>
      <c r="F7552" s="125">
        <v>0.03</v>
      </c>
    </row>
    <row r="7553" spans="2:6" ht="28.8">
      <c r="C7553" s="191" t="s">
        <v>3624</v>
      </c>
      <c r="D7553" s="125">
        <v>0.02</v>
      </c>
      <c r="E7553" s="125">
        <v>0.02</v>
      </c>
      <c r="F7553" s="125">
        <v>0.02</v>
      </c>
    </row>
    <row r="7554" spans="2:6" ht="28.8">
      <c r="C7554" s="191" t="s">
        <v>3625</v>
      </c>
      <c r="D7554" s="125">
        <v>0.02</v>
      </c>
      <c r="E7554" s="125">
        <v>0.02</v>
      </c>
      <c r="F7554" s="125">
        <v>0.02</v>
      </c>
    </row>
    <row r="7555" spans="2:6">
      <c r="C7555" s="191" t="s">
        <v>3604</v>
      </c>
      <c r="D7555" s="125">
        <v>0.02</v>
      </c>
      <c r="E7555" s="125">
        <v>0.02</v>
      </c>
      <c r="F7555" s="125">
        <v>0.02</v>
      </c>
    </row>
    <row r="7556" spans="2:6">
      <c r="C7556" s="641"/>
      <c r="D7556" s="631">
        <f>SUM(D7539:D7555)</f>
        <v>1.0000000000000002</v>
      </c>
      <c r="E7556" s="631">
        <f t="shared" ref="E7556:F7556" si="262">SUM(E7539:E7555)</f>
        <v>1.0000000000000002</v>
      </c>
      <c r="F7556" s="817">
        <f t="shared" si="262"/>
        <v>0.95500000000000018</v>
      </c>
    </row>
    <row r="7557" spans="2:6">
      <c r="C7557" s="641"/>
      <c r="D7557" s="631"/>
      <c r="E7557" s="631">
        <f>D7556-E7556</f>
        <v>0</v>
      </c>
      <c r="F7557" s="817">
        <f>E7556-F7556</f>
        <v>4.500000000000004E-2</v>
      </c>
    </row>
    <row r="7558" spans="2:6">
      <c r="C7558" s="658" t="s">
        <v>2713</v>
      </c>
      <c r="D7558" s="88">
        <v>6720</v>
      </c>
      <c r="E7558" s="88"/>
      <c r="F7558" s="184"/>
    </row>
    <row r="7559" spans="2:6">
      <c r="C7559" s="88" t="s">
        <v>3626</v>
      </c>
      <c r="D7559" s="88">
        <v>10</v>
      </c>
      <c r="E7559" s="595"/>
      <c r="F7559" s="595"/>
    </row>
    <row r="7560" spans="2:6">
      <c r="C7560" s="87" t="s">
        <v>2437</v>
      </c>
      <c r="D7560" s="595"/>
      <c r="E7560" s="595"/>
      <c r="F7560" s="595"/>
    </row>
    <row r="7561" spans="2:6">
      <c r="C7561" s="87" t="s">
        <v>1446</v>
      </c>
      <c r="D7561" s="88"/>
      <c r="E7561" s="88"/>
      <c r="F7561" s="88"/>
    </row>
    <row r="7562" spans="2:6">
      <c r="C7562" s="87" t="s">
        <v>1447</v>
      </c>
      <c r="D7562" s="88">
        <v>8</v>
      </c>
      <c r="E7562" s="88">
        <v>22</v>
      </c>
      <c r="F7562" s="88"/>
    </row>
    <row r="7563" spans="2:6">
      <c r="C7563" s="87" t="s">
        <v>2438</v>
      </c>
      <c r="D7563" s="88"/>
      <c r="E7563" s="88"/>
      <c r="F7563" s="88"/>
    </row>
    <row r="7566" spans="2:6" ht="15.6">
      <c r="B7566" s="578" t="s">
        <v>1202</v>
      </c>
      <c r="C7566" s="668" t="s">
        <v>3627</v>
      </c>
      <c r="D7566" s="94" t="s">
        <v>353</v>
      </c>
      <c r="E7566" s="94" t="s">
        <v>354</v>
      </c>
      <c r="F7566" s="94" t="s">
        <v>355</v>
      </c>
    </row>
    <row r="7567" spans="2:6">
      <c r="C7567" s="191" t="s">
        <v>3628</v>
      </c>
      <c r="D7567" s="125">
        <v>0.6</v>
      </c>
      <c r="E7567" s="125">
        <v>0.6</v>
      </c>
      <c r="F7567" s="125">
        <v>0.6</v>
      </c>
    </row>
    <row r="7568" spans="2:6">
      <c r="C7568" s="191" t="s">
        <v>3629</v>
      </c>
      <c r="D7568" s="125">
        <v>0.05</v>
      </c>
      <c r="E7568" s="125">
        <v>0.05</v>
      </c>
      <c r="F7568" s="125">
        <v>0.05</v>
      </c>
    </row>
    <row r="7569" spans="3:6">
      <c r="C7569" s="191" t="s">
        <v>3630</v>
      </c>
      <c r="D7569" s="125">
        <v>0.1</v>
      </c>
      <c r="E7569" s="125">
        <v>0.1</v>
      </c>
      <c r="F7569" s="125">
        <v>0.1</v>
      </c>
    </row>
    <row r="7570" spans="3:6">
      <c r="C7570" s="191" t="s">
        <v>3631</v>
      </c>
      <c r="D7570" s="125">
        <v>0.1</v>
      </c>
      <c r="E7570" s="125">
        <v>0.1</v>
      </c>
      <c r="F7570" s="125">
        <v>0.1</v>
      </c>
    </row>
    <row r="7571" spans="3:6">
      <c r="C7571" s="191" t="s">
        <v>3632</v>
      </c>
      <c r="D7571" s="125">
        <v>0.15</v>
      </c>
      <c r="E7571" s="125">
        <v>0.15</v>
      </c>
      <c r="F7571" s="125">
        <v>0.15</v>
      </c>
    </row>
    <row r="7572" spans="3:6">
      <c r="C7572" s="641"/>
      <c r="D7572" s="631">
        <f>SUM(D7567:D7571)</f>
        <v>1</v>
      </c>
      <c r="E7572" s="631">
        <f>SUM(E7567:E7571)</f>
        <v>1</v>
      </c>
      <c r="F7572" s="631">
        <f>SUM(F7567:F7571)</f>
        <v>1</v>
      </c>
    </row>
    <row r="7573" spans="3:6">
      <c r="C7573" s="641"/>
      <c r="D7573" s="631"/>
      <c r="E7573" s="631">
        <f>D7572-E7572</f>
        <v>0</v>
      </c>
      <c r="F7573" s="631">
        <f>E7572-F7572</f>
        <v>0</v>
      </c>
    </row>
    <row r="7574" spans="3:6">
      <c r="C7574" s="658" t="s">
        <v>2713</v>
      </c>
      <c r="D7574" s="88">
        <v>6720</v>
      </c>
      <c r="E7574" s="88"/>
      <c r="F7574" s="184"/>
    </row>
    <row r="7575" spans="3:6">
      <c r="C7575" s="88" t="s">
        <v>2943</v>
      </c>
      <c r="D7575" s="88">
        <v>1</v>
      </c>
      <c r="E7575" s="595"/>
      <c r="F7575" s="595"/>
    </row>
    <row r="7576" spans="3:6">
      <c r="C7576" s="87" t="s">
        <v>2437</v>
      </c>
      <c r="D7576" s="595"/>
      <c r="E7576" s="595"/>
      <c r="F7576" s="595"/>
    </row>
    <row r="7577" spans="3:6">
      <c r="C7577" s="87" t="s">
        <v>1446</v>
      </c>
      <c r="D7577" s="88"/>
      <c r="E7577" s="88"/>
      <c r="F7577" s="88"/>
    </row>
    <row r="7578" spans="3:6">
      <c r="C7578" s="87" t="s">
        <v>1447</v>
      </c>
      <c r="D7578" s="88">
        <v>8</v>
      </c>
      <c r="E7578" s="88">
        <v>22</v>
      </c>
      <c r="F7578" s="88"/>
    </row>
    <row r="7579" spans="3:6">
      <c r="C7579" s="87" t="s">
        <v>2438</v>
      </c>
      <c r="D7579" s="88"/>
      <c r="E7579" s="88"/>
      <c r="F7579" s="88"/>
    </row>
  </sheetData>
  <mergeCells count="710">
    <mergeCell ref="CU2:CZ2"/>
    <mergeCell ref="CU3:CW3"/>
    <mergeCell ref="CX3:CZ3"/>
    <mergeCell ref="BR3:BS3"/>
    <mergeCell ref="BU3:BV3"/>
    <mergeCell ref="BW3:BY3"/>
    <mergeCell ref="BN3:BP3"/>
    <mergeCell ref="BK3:BM3"/>
    <mergeCell ref="CA3:CC3"/>
    <mergeCell ref="CD3:CF3"/>
    <mergeCell ref="CG3:CI3"/>
    <mergeCell ref="CJ3:CL3"/>
    <mergeCell ref="C5882:F5882"/>
    <mergeCell ref="C5884:F5884"/>
    <mergeCell ref="CN2:CS2"/>
    <mergeCell ref="I3893:P3893"/>
    <mergeCell ref="I3894:J3894"/>
    <mergeCell ref="L3894:M3894"/>
    <mergeCell ref="I836:X836"/>
    <mergeCell ref="I837:J837"/>
    <mergeCell ref="L837:M837"/>
    <mergeCell ref="O837:P837"/>
    <mergeCell ref="R837:S837"/>
    <mergeCell ref="I3668:P3668"/>
    <mergeCell ref="I3053:M3053"/>
    <mergeCell ref="O2818:P2818"/>
    <mergeCell ref="I2923:J2923"/>
    <mergeCell ref="L2923:M2923"/>
    <mergeCell ref="I2902:M2902"/>
    <mergeCell ref="I2903:M2903"/>
    <mergeCell ref="L3019:M3019"/>
    <mergeCell ref="I2463:P2463"/>
    <mergeCell ref="I2464:J2464"/>
    <mergeCell ref="I2960:M2960"/>
    <mergeCell ref="I2817:P2817"/>
    <mergeCell ref="I2839:P2839"/>
    <mergeCell ref="DG3:DI3"/>
    <mergeCell ref="DJ3:DL3"/>
    <mergeCell ref="CN3:CP3"/>
    <mergeCell ref="CQ3:CS3"/>
    <mergeCell ref="I3892:P3892"/>
    <mergeCell ref="I2980:M2980"/>
    <mergeCell ref="I2840:J2840"/>
    <mergeCell ref="L2840:M2840"/>
    <mergeCell ref="O2840:P2840"/>
    <mergeCell ref="I2884:J2884"/>
    <mergeCell ref="I3000:M3000"/>
    <mergeCell ref="I3001:J3001"/>
    <mergeCell ref="L3001:M3001"/>
    <mergeCell ref="I2979:M2979"/>
    <mergeCell ref="I2999:M2999"/>
    <mergeCell ref="I2961:J2961"/>
    <mergeCell ref="L2961:M2961"/>
    <mergeCell ref="L2904:M2904"/>
    <mergeCell ref="L2884:M2884"/>
    <mergeCell ref="I2862:J2862"/>
    <mergeCell ref="I896:J896"/>
    <mergeCell ref="I2981:J2981"/>
    <mergeCell ref="L2981:M2981"/>
    <mergeCell ref="I2959:M2959"/>
    <mergeCell ref="I2942:M2942"/>
    <mergeCell ref="I2904:J2904"/>
    <mergeCell ref="I2943:J2943"/>
    <mergeCell ref="L2943:M2943"/>
    <mergeCell ref="I2921:M2921"/>
    <mergeCell ref="I2922:M2922"/>
    <mergeCell ref="I2734:Q2734"/>
    <mergeCell ref="I2735:J2735"/>
    <mergeCell ref="L2735:M2735"/>
    <mergeCell ref="O2735:P2735"/>
    <mergeCell ref="L2862:M2862"/>
    <mergeCell ref="I2882:M2882"/>
    <mergeCell ref="I2883:M2883"/>
    <mergeCell ref="I2941:M2941"/>
    <mergeCell ref="I2816:P2816"/>
    <mergeCell ref="I2661:J2661"/>
    <mergeCell ref="I2488:P2488"/>
    <mergeCell ref="Q2862:R2862"/>
    <mergeCell ref="R896:S896"/>
    <mergeCell ref="I2422:P2422"/>
    <mergeCell ref="I2423:P2423"/>
    <mergeCell ref="U896:V896"/>
    <mergeCell ref="X896:Y896"/>
    <mergeCell ref="O859:P859"/>
    <mergeCell ref="X859:Y859"/>
    <mergeCell ref="I2487:P2487"/>
    <mergeCell ref="L2424:M2424"/>
    <mergeCell ref="O2424:P2424"/>
    <mergeCell ref="I2424:J2424"/>
    <mergeCell ref="Q2816:X2816"/>
    <mergeCell ref="L2661:M2661"/>
    <mergeCell ref="I2489:J2489"/>
    <mergeCell ref="L2489:M2489"/>
    <mergeCell ref="O2489:P2489"/>
    <mergeCell ref="O2612:P2612"/>
    <mergeCell ref="I2683:Q2683"/>
    <mergeCell ref="L896:M896"/>
    <mergeCell ref="O896:P896"/>
    <mergeCell ref="I2462:P2462"/>
    <mergeCell ref="CA27:CB27"/>
    <mergeCell ref="CA329:CB329"/>
    <mergeCell ref="CA312:CB312"/>
    <mergeCell ref="CA292:CB292"/>
    <mergeCell ref="CA151:CB151"/>
    <mergeCell ref="CA94:CB94"/>
    <mergeCell ref="CA73:CB73"/>
    <mergeCell ref="CA279:CB279"/>
    <mergeCell ref="CA257:CB257"/>
    <mergeCell ref="CA235:CB235"/>
    <mergeCell ref="CA214:CB214"/>
    <mergeCell ref="CA196:CB196"/>
    <mergeCell ref="CA173:CB173"/>
    <mergeCell ref="BO351:BP351"/>
    <mergeCell ref="BF351:BG351"/>
    <mergeCell ref="BI351:BJ351"/>
    <mergeCell ref="AE327:BY327"/>
    <mergeCell ref="BU351:BV351"/>
    <mergeCell ref="I654:Y654"/>
    <mergeCell ref="AE312:AF312"/>
    <mergeCell ref="AH312:AI312"/>
    <mergeCell ref="AH351:AI351"/>
    <mergeCell ref="AK351:AL351"/>
    <mergeCell ref="AN351:AO351"/>
    <mergeCell ref="AZ351:BA351"/>
    <mergeCell ref="AQ351:AR351"/>
    <mergeCell ref="BC351:BD351"/>
    <mergeCell ref="AE351:AF351"/>
    <mergeCell ref="AE349:BY349"/>
    <mergeCell ref="BR351:BS351"/>
    <mergeCell ref="BW351:BY351"/>
    <mergeCell ref="AT351:AU351"/>
    <mergeCell ref="AW351:AX351"/>
    <mergeCell ref="AK312:AL312"/>
    <mergeCell ref="AN312:AO312"/>
    <mergeCell ref="AQ312:AR312"/>
    <mergeCell ref="AT312:AU312"/>
    <mergeCell ref="AK396:AL396"/>
    <mergeCell ref="L396:M396"/>
    <mergeCell ref="X396:Y396"/>
    <mergeCell ref="I393:Y393"/>
    <mergeCell ref="I465:J465"/>
    <mergeCell ref="I504:X504"/>
    <mergeCell ref="L372:M372"/>
    <mergeCell ref="BL351:BM351"/>
    <mergeCell ref="O351:P351"/>
    <mergeCell ref="R351:S351"/>
    <mergeCell ref="U351:V351"/>
    <mergeCell ref="X351:Y351"/>
    <mergeCell ref="I370:Y370"/>
    <mergeCell ref="I371:X371"/>
    <mergeCell ref="I482:J482"/>
    <mergeCell ref="L482:M482"/>
    <mergeCell ref="I395:X395"/>
    <mergeCell ref="I396:J396"/>
    <mergeCell ref="AE393:AL393"/>
    <mergeCell ref="AE395:AL395"/>
    <mergeCell ref="AE396:AF396"/>
    <mergeCell ref="AH396:AI396"/>
    <mergeCell ref="R372:S372"/>
    <mergeCell ref="U372:V372"/>
    <mergeCell ref="I350:X350"/>
    <mergeCell ref="I351:J351"/>
    <mergeCell ref="L351:M351"/>
    <mergeCell ref="I505:J505"/>
    <mergeCell ref="L505:M505"/>
    <mergeCell ref="I446:P446"/>
    <mergeCell ref="I447:P447"/>
    <mergeCell ref="I448:J448"/>
    <mergeCell ref="L448:M448"/>
    <mergeCell ref="O448:P448"/>
    <mergeCell ref="I480:Y480"/>
    <mergeCell ref="I481:X481"/>
    <mergeCell ref="I503:Y503"/>
    <mergeCell ref="I463:P463"/>
    <mergeCell ref="I464:P464"/>
    <mergeCell ref="O482:P482"/>
    <mergeCell ref="R482:S482"/>
    <mergeCell ref="U482:V482"/>
    <mergeCell ref="R505:S505"/>
    <mergeCell ref="U505:V505"/>
    <mergeCell ref="I277:Y277"/>
    <mergeCell ref="I310:Y310"/>
    <mergeCell ref="I292:J292"/>
    <mergeCell ref="L292:M292"/>
    <mergeCell ref="BF292:BG292"/>
    <mergeCell ref="BO329:BP329"/>
    <mergeCell ref="AW329:AX329"/>
    <mergeCell ref="AZ329:BA329"/>
    <mergeCell ref="AN292:AO292"/>
    <mergeCell ref="AQ292:AR292"/>
    <mergeCell ref="AT292:AU292"/>
    <mergeCell ref="AW292:AX292"/>
    <mergeCell ref="AZ292:BA292"/>
    <mergeCell ref="BC292:BD292"/>
    <mergeCell ref="BI329:BJ329"/>
    <mergeCell ref="BC329:BD329"/>
    <mergeCell ref="AE310:BY310"/>
    <mergeCell ref="AE292:AF292"/>
    <mergeCell ref="AH292:AI292"/>
    <mergeCell ref="AK329:AL329"/>
    <mergeCell ref="AN329:AO329"/>
    <mergeCell ref="AN279:AO279"/>
    <mergeCell ref="BF312:BG312"/>
    <mergeCell ref="AW279:AX279"/>
    <mergeCell ref="BX312:BY312"/>
    <mergeCell ref="I235:J235"/>
    <mergeCell ref="L235:M235"/>
    <mergeCell ref="O235:P235"/>
    <mergeCell ref="R235:S235"/>
    <mergeCell ref="U235:V235"/>
    <mergeCell ref="X235:Y235"/>
    <mergeCell ref="I255:Y255"/>
    <mergeCell ref="I256:X256"/>
    <mergeCell ref="I257:J257"/>
    <mergeCell ref="L257:M257"/>
    <mergeCell ref="O257:P257"/>
    <mergeCell ref="R257:S257"/>
    <mergeCell ref="L279:M279"/>
    <mergeCell ref="O279:P279"/>
    <mergeCell ref="R279:S279"/>
    <mergeCell ref="U312:V312"/>
    <mergeCell ref="X312:Y312"/>
    <mergeCell ref="L312:M312"/>
    <mergeCell ref="O312:P312"/>
    <mergeCell ref="R312:S312"/>
    <mergeCell ref="BL235:BM235"/>
    <mergeCell ref="BO257:BP257"/>
    <mergeCell ref="BR257:BS257"/>
    <mergeCell ref="I778:X778"/>
    <mergeCell ref="I754:Y754"/>
    <mergeCell ref="U779:V779"/>
    <mergeCell ref="L738:M738"/>
    <mergeCell ref="O738:P738"/>
    <mergeCell ref="I777:Y777"/>
    <mergeCell ref="O756:P756"/>
    <mergeCell ref="R756:S756"/>
    <mergeCell ref="U756:V756"/>
    <mergeCell ref="X779:Y779"/>
    <mergeCell ref="X756:Y756"/>
    <mergeCell ref="I755:X755"/>
    <mergeCell ref="I756:J756"/>
    <mergeCell ref="I738:J738"/>
    <mergeCell ref="O292:P292"/>
    <mergeCell ref="R292:S292"/>
    <mergeCell ref="U292:V292"/>
    <mergeCell ref="X292:Y292"/>
    <mergeCell ref="I311:X311"/>
    <mergeCell ref="I312:J312"/>
    <mergeCell ref="I372:J372"/>
    <mergeCell ref="I349:Y349"/>
    <mergeCell ref="U738:V738"/>
    <mergeCell ref="X738:Y738"/>
    <mergeCell ref="O656:P656"/>
    <mergeCell ref="R656:S656"/>
    <mergeCell ref="U656:V656"/>
    <mergeCell ref="X656:Y656"/>
    <mergeCell ref="I655:X655"/>
    <mergeCell ref="I656:J656"/>
    <mergeCell ref="L656:M656"/>
    <mergeCell ref="O372:P372"/>
    <mergeCell ref="X372:Y372"/>
    <mergeCell ref="X714:Y714"/>
    <mergeCell ref="L714:M714"/>
    <mergeCell ref="O714:P714"/>
    <mergeCell ref="R714:S714"/>
    <mergeCell ref="U714:V714"/>
    <mergeCell ref="O697:P697"/>
    <mergeCell ref="I695:Y695"/>
    <mergeCell ref="I696:X696"/>
    <mergeCell ref="I697:J697"/>
    <mergeCell ref="L697:M697"/>
    <mergeCell ref="I678:J678"/>
    <mergeCell ref="R697:S697"/>
    <mergeCell ref="U697:V697"/>
    <mergeCell ref="X697:Y697"/>
    <mergeCell ref="I713:X713"/>
    <mergeCell ref="I714:J714"/>
    <mergeCell ref="I712:Y712"/>
    <mergeCell ref="BO235:BP235"/>
    <mergeCell ref="BR235:BS235"/>
    <mergeCell ref="AQ2630:AR2630"/>
    <mergeCell ref="AW2630:AX2630"/>
    <mergeCell ref="AN2628:AR2628"/>
    <mergeCell ref="AN2629:AR2629"/>
    <mergeCell ref="I676:Y676"/>
    <mergeCell ref="I677:X677"/>
    <mergeCell ref="AI2630:AK2630"/>
    <mergeCell ref="AF2630:AH2630"/>
    <mergeCell ref="I2582:P2582"/>
    <mergeCell ref="I2583:P2583"/>
    <mergeCell ref="I2584:J2584"/>
    <mergeCell ref="L2584:M2584"/>
    <mergeCell ref="O2584:P2584"/>
    <mergeCell ref="I2562:P2562"/>
    <mergeCell ref="I2563:P2563"/>
    <mergeCell ref="I2564:J2564"/>
    <mergeCell ref="L2564:M2564"/>
    <mergeCell ref="O2564:P2564"/>
    <mergeCell ref="I2629:Y2629"/>
    <mergeCell ref="AC2628:AK2628"/>
    <mergeCell ref="AC2629:AK2629"/>
    <mergeCell ref="AE329:AF329"/>
    <mergeCell ref="AH329:AI329"/>
    <mergeCell ref="AT279:AU279"/>
    <mergeCell ref="BU312:BV312"/>
    <mergeCell ref="AZ312:BA312"/>
    <mergeCell ref="BC312:BD312"/>
    <mergeCell ref="AE290:BY290"/>
    <mergeCell ref="AH279:AI279"/>
    <mergeCell ref="AK279:AL279"/>
    <mergeCell ref="BI279:BJ279"/>
    <mergeCell ref="BL279:BM279"/>
    <mergeCell ref="BO279:BP279"/>
    <mergeCell ref="BR279:BS279"/>
    <mergeCell ref="BU279:BV279"/>
    <mergeCell ref="BX279:BY279"/>
    <mergeCell ref="BI312:BJ312"/>
    <mergeCell ref="BL312:BM312"/>
    <mergeCell ref="BO312:BP312"/>
    <mergeCell ref="BR312:BS312"/>
    <mergeCell ref="AW312:AX312"/>
    <mergeCell ref="BF329:BG329"/>
    <mergeCell ref="AT329:AU329"/>
    <mergeCell ref="BR329:BS329"/>
    <mergeCell ref="BU329:BV329"/>
    <mergeCell ref="AQ329:AR329"/>
    <mergeCell ref="BC214:BD214"/>
    <mergeCell ref="BI292:BJ292"/>
    <mergeCell ref="BL292:BM292"/>
    <mergeCell ref="BO292:BP292"/>
    <mergeCell ref="BR292:BS292"/>
    <mergeCell ref="BU292:BV292"/>
    <mergeCell ref="BL329:BM329"/>
    <mergeCell ref="BU257:BV257"/>
    <mergeCell ref="AQ257:AR257"/>
    <mergeCell ref="AT257:AU257"/>
    <mergeCell ref="AW257:AX257"/>
    <mergeCell ref="AZ257:BA257"/>
    <mergeCell ref="BC257:BD257"/>
    <mergeCell ref="BF257:BG257"/>
    <mergeCell ref="BI257:BJ257"/>
    <mergeCell ref="BL257:BM257"/>
    <mergeCell ref="AE255:BY255"/>
    <mergeCell ref="AK257:AL257"/>
    <mergeCell ref="AN257:AO257"/>
    <mergeCell ref="AZ279:BA279"/>
    <mergeCell ref="BC279:BD279"/>
    <mergeCell ref="BX292:BY292"/>
    <mergeCell ref="AE279:AF279"/>
    <mergeCell ref="AQ279:AR279"/>
    <mergeCell ref="BF214:BG214"/>
    <mergeCell ref="BI214:BJ214"/>
    <mergeCell ref="AE233:BY233"/>
    <mergeCell ref="AE235:AF235"/>
    <mergeCell ref="AH235:AI235"/>
    <mergeCell ref="AK235:AL235"/>
    <mergeCell ref="AN235:AO235"/>
    <mergeCell ref="AQ235:AR235"/>
    <mergeCell ref="AT235:AU235"/>
    <mergeCell ref="AW235:AX235"/>
    <mergeCell ref="AZ235:BA235"/>
    <mergeCell ref="BC235:BD235"/>
    <mergeCell ref="BF235:BG235"/>
    <mergeCell ref="BI235:BJ235"/>
    <mergeCell ref="BU235:BV235"/>
    <mergeCell ref="BF279:BG279"/>
    <mergeCell ref="AE277:BY277"/>
    <mergeCell ref="AE257:AF257"/>
    <mergeCell ref="AH257:AI257"/>
    <mergeCell ref="BR196:BS196"/>
    <mergeCell ref="BU196:BV196"/>
    <mergeCell ref="I212:Y212"/>
    <mergeCell ref="AE212:BY212"/>
    <mergeCell ref="I213:X213"/>
    <mergeCell ref="I214:J214"/>
    <mergeCell ref="L214:M214"/>
    <mergeCell ref="O214:P214"/>
    <mergeCell ref="R214:S214"/>
    <mergeCell ref="U214:V214"/>
    <mergeCell ref="X214:Y214"/>
    <mergeCell ref="AE214:AF214"/>
    <mergeCell ref="AH214:AI214"/>
    <mergeCell ref="AK214:AL214"/>
    <mergeCell ref="AN214:AO214"/>
    <mergeCell ref="AQ214:AR214"/>
    <mergeCell ref="BU214:BV214"/>
    <mergeCell ref="BX214:BY214"/>
    <mergeCell ref="AT214:AU214"/>
    <mergeCell ref="AW214:AX214"/>
    <mergeCell ref="BL214:BM214"/>
    <mergeCell ref="BO214:BP214"/>
    <mergeCell ref="BR214:BS214"/>
    <mergeCell ref="AZ214:BA214"/>
    <mergeCell ref="BR173:BS173"/>
    <mergeCell ref="BU173:BV173"/>
    <mergeCell ref="AN2630:AO2630"/>
    <mergeCell ref="AE194:BY194"/>
    <mergeCell ref="I195:X195"/>
    <mergeCell ref="I196:J196"/>
    <mergeCell ref="L196:M196"/>
    <mergeCell ref="O196:P196"/>
    <mergeCell ref="R196:S196"/>
    <mergeCell ref="U196:V196"/>
    <mergeCell ref="X196:Y196"/>
    <mergeCell ref="AE196:AF196"/>
    <mergeCell ref="AH196:AI196"/>
    <mergeCell ref="AK196:AL196"/>
    <mergeCell ref="AN196:AO196"/>
    <mergeCell ref="AQ196:AR196"/>
    <mergeCell ref="AT196:AU196"/>
    <mergeCell ref="AW196:AX196"/>
    <mergeCell ref="AZ196:BA196"/>
    <mergeCell ref="BC196:BD196"/>
    <mergeCell ref="BF196:BG196"/>
    <mergeCell ref="BI196:BJ196"/>
    <mergeCell ref="BL196:BM196"/>
    <mergeCell ref="BO196:BP196"/>
    <mergeCell ref="I279:J279"/>
    <mergeCell ref="BX173:BY173"/>
    <mergeCell ref="BX196:BY196"/>
    <mergeCell ref="AE171:BY171"/>
    <mergeCell ref="I172:X172"/>
    <mergeCell ref="I173:J173"/>
    <mergeCell ref="L173:M173"/>
    <mergeCell ref="O173:P173"/>
    <mergeCell ref="R173:S173"/>
    <mergeCell ref="U173:V173"/>
    <mergeCell ref="X173:Y173"/>
    <mergeCell ref="AE173:AF173"/>
    <mergeCell ref="AH173:AI173"/>
    <mergeCell ref="AK173:AL173"/>
    <mergeCell ref="AN173:AO173"/>
    <mergeCell ref="AQ173:AR173"/>
    <mergeCell ref="AT173:AU173"/>
    <mergeCell ref="AW173:AX173"/>
    <mergeCell ref="AZ173:BA173"/>
    <mergeCell ref="BC173:BD173"/>
    <mergeCell ref="BF173:BG173"/>
    <mergeCell ref="BI173:BJ173"/>
    <mergeCell ref="BL173:BM173"/>
    <mergeCell ref="BO173:BP173"/>
    <mergeCell ref="I171:Y171"/>
    <mergeCell ref="I194:Y194"/>
    <mergeCell ref="U257:V257"/>
    <mergeCell ref="X257:Y257"/>
    <mergeCell ref="I290:Y290"/>
    <mergeCell ref="I291:X291"/>
    <mergeCell ref="L678:M678"/>
    <mergeCell ref="O678:P678"/>
    <mergeCell ref="R678:S678"/>
    <mergeCell ref="U678:V678"/>
    <mergeCell ref="I233:Y233"/>
    <mergeCell ref="I234:X234"/>
    <mergeCell ref="U279:V279"/>
    <mergeCell ref="X279:Y279"/>
    <mergeCell ref="O505:P505"/>
    <mergeCell ref="R396:S396"/>
    <mergeCell ref="U396:V396"/>
    <mergeCell ref="X505:Y505"/>
    <mergeCell ref="X482:Y482"/>
    <mergeCell ref="L465:M465"/>
    <mergeCell ref="O465:P465"/>
    <mergeCell ref="X678:Y678"/>
    <mergeCell ref="O396:P396"/>
    <mergeCell ref="I278:X278"/>
    <mergeCell ref="AE126:AF126"/>
    <mergeCell ref="AH126:AI126"/>
    <mergeCell ref="AK126:AL126"/>
    <mergeCell ref="AN126:AO126"/>
    <mergeCell ref="AQ126:AR126"/>
    <mergeCell ref="BU126:BV126"/>
    <mergeCell ref="BX126:BY126"/>
    <mergeCell ref="AT126:AU126"/>
    <mergeCell ref="AW126:AX126"/>
    <mergeCell ref="BR126:BS126"/>
    <mergeCell ref="AZ126:BA126"/>
    <mergeCell ref="BC126:BD126"/>
    <mergeCell ref="BI126:BJ126"/>
    <mergeCell ref="BF126:BG126"/>
    <mergeCell ref="BX94:BY94"/>
    <mergeCell ref="AW94:AX94"/>
    <mergeCell ref="AK94:AL94"/>
    <mergeCell ref="AN94:AO94"/>
    <mergeCell ref="AQ94:AR94"/>
    <mergeCell ref="AT94:AU94"/>
    <mergeCell ref="BI94:BJ94"/>
    <mergeCell ref="BL94:BM94"/>
    <mergeCell ref="BO94:BP94"/>
    <mergeCell ref="BR94:BS94"/>
    <mergeCell ref="BU94:BV94"/>
    <mergeCell ref="BX27:BY27"/>
    <mergeCell ref="AZ94:BA94"/>
    <mergeCell ref="BC94:BD94"/>
    <mergeCell ref="BF94:BG94"/>
    <mergeCell ref="I2861:P2861"/>
    <mergeCell ref="I2860:P2860"/>
    <mergeCell ref="Q2860:X2860"/>
    <mergeCell ref="Q2861:X2861"/>
    <mergeCell ref="I2777:Q2777"/>
    <mergeCell ref="BU27:BV27"/>
    <mergeCell ref="I92:Y92"/>
    <mergeCell ref="AE92:BY92"/>
    <mergeCell ref="I93:X93"/>
    <mergeCell ref="I94:J94"/>
    <mergeCell ref="L94:M94"/>
    <mergeCell ref="O94:P94"/>
    <mergeCell ref="R94:S94"/>
    <mergeCell ref="U94:V94"/>
    <mergeCell ref="X94:Y94"/>
    <mergeCell ref="AE94:AF94"/>
    <mergeCell ref="I2838:P2838"/>
    <mergeCell ref="I2684:J2684"/>
    <mergeCell ref="L2684:M2684"/>
    <mergeCell ref="O2684:P2684"/>
    <mergeCell ref="S2818:U2818"/>
    <mergeCell ref="V2818:X2818"/>
    <mergeCell ref="I2779:J2779"/>
    <mergeCell ref="L2779:M2779"/>
    <mergeCell ref="O2862:P2862"/>
    <mergeCell ref="O2779:P2779"/>
    <mergeCell ref="Q2838:X2838"/>
    <mergeCell ref="Q2839:X2839"/>
    <mergeCell ref="Q2840:R2840"/>
    <mergeCell ref="S2840:U2840"/>
    <mergeCell ref="V2840:X2840"/>
    <mergeCell ref="V2862:X2862"/>
    <mergeCell ref="Q2818:R2818"/>
    <mergeCell ref="S2862:U2862"/>
    <mergeCell ref="I2818:J2818"/>
    <mergeCell ref="L2818:M2818"/>
    <mergeCell ref="AZ27:BA27"/>
    <mergeCell ref="BC27:BD27"/>
    <mergeCell ref="BF27:BG27"/>
    <mergeCell ref="BI27:BJ27"/>
    <mergeCell ref="I72:X72"/>
    <mergeCell ref="I73:J73"/>
    <mergeCell ref="L73:M73"/>
    <mergeCell ref="O73:P73"/>
    <mergeCell ref="R73:S73"/>
    <mergeCell ref="U73:V73"/>
    <mergeCell ref="X73:Y73"/>
    <mergeCell ref="I27:J27"/>
    <mergeCell ref="L27:M27"/>
    <mergeCell ref="O27:P27"/>
    <mergeCell ref="R27:S27"/>
    <mergeCell ref="U27:V27"/>
    <mergeCell ref="X27:Y27"/>
    <mergeCell ref="AE27:AF27"/>
    <mergeCell ref="AH27:AI27"/>
    <mergeCell ref="I71:Y71"/>
    <mergeCell ref="I858:X858"/>
    <mergeCell ref="I859:J859"/>
    <mergeCell ref="I736:Y736"/>
    <mergeCell ref="I737:X737"/>
    <mergeCell ref="AK27:AL27"/>
    <mergeCell ref="AN27:AO27"/>
    <mergeCell ref="AQ27:AR27"/>
    <mergeCell ref="AT27:AU27"/>
    <mergeCell ref="AW27:AX27"/>
    <mergeCell ref="L126:M126"/>
    <mergeCell ref="O126:P126"/>
    <mergeCell ref="R126:S126"/>
    <mergeCell ref="U126:V126"/>
    <mergeCell ref="X126:Y126"/>
    <mergeCell ref="AH94:AI94"/>
    <mergeCell ref="I149:Y149"/>
    <mergeCell ref="I150:X150"/>
    <mergeCell ref="I151:J151"/>
    <mergeCell ref="L151:M151"/>
    <mergeCell ref="O151:P151"/>
    <mergeCell ref="R151:S151"/>
    <mergeCell ref="U151:V151"/>
    <mergeCell ref="X151:Y151"/>
    <mergeCell ref="AE124:BY124"/>
    <mergeCell ref="R2661:S2661"/>
    <mergeCell ref="X2630:Y2630"/>
    <mergeCell ref="I2610:P2610"/>
    <mergeCell ref="I2611:P2611"/>
    <mergeCell ref="BL126:BM126"/>
    <mergeCell ref="BO126:BP126"/>
    <mergeCell ref="L2612:M2612"/>
    <mergeCell ref="R738:S738"/>
    <mergeCell ref="I800:Y800"/>
    <mergeCell ref="I779:J779"/>
    <mergeCell ref="L779:M779"/>
    <mergeCell ref="O779:P779"/>
    <mergeCell ref="R779:S779"/>
    <mergeCell ref="I894:Y894"/>
    <mergeCell ref="I895:X895"/>
    <mergeCell ref="U837:V837"/>
    <mergeCell ref="X837:Y837"/>
    <mergeCell ref="I835:Y835"/>
    <mergeCell ref="I801:X801"/>
    <mergeCell ref="I802:J802"/>
    <mergeCell ref="O802:P802"/>
    <mergeCell ref="X802:Y802"/>
    <mergeCell ref="L802:M802"/>
    <mergeCell ref="I857:Y857"/>
    <mergeCell ref="L2536:M2536"/>
    <mergeCell ref="O2536:P2536"/>
    <mergeCell ref="I2507:P2507"/>
    <mergeCell ref="I2508:P2508"/>
    <mergeCell ref="I2509:J2509"/>
    <mergeCell ref="L2509:M2509"/>
    <mergeCell ref="I2660:Y2660"/>
    <mergeCell ref="R2630:S2630"/>
    <mergeCell ref="U2630:V2630"/>
    <mergeCell ref="I2630:J2630"/>
    <mergeCell ref="O2509:P2509"/>
    <mergeCell ref="I2659:Y2659"/>
    <mergeCell ref="L2630:M2630"/>
    <mergeCell ref="O2630:P2630"/>
    <mergeCell ref="I2628:Y2628"/>
    <mergeCell ref="I3858:P3858"/>
    <mergeCell ref="I3859:J3859"/>
    <mergeCell ref="L3859:M3859"/>
    <mergeCell ref="I3806:P3806"/>
    <mergeCell ref="I3807:P3807"/>
    <mergeCell ref="I3808:J3808"/>
    <mergeCell ref="L3808:M3808"/>
    <mergeCell ref="I3822:P3822"/>
    <mergeCell ref="I3821:P3821"/>
    <mergeCell ref="I3823:J3823"/>
    <mergeCell ref="L3823:M3823"/>
    <mergeCell ref="I3839:P3839"/>
    <mergeCell ref="I3840:P3840"/>
    <mergeCell ref="I3841:J3841"/>
    <mergeCell ref="L3841:M3841"/>
    <mergeCell ref="AV3:AX3"/>
    <mergeCell ref="AD3:AF3"/>
    <mergeCell ref="AS3:AU3"/>
    <mergeCell ref="AP3:AR3"/>
    <mergeCell ref="AM3:AO3"/>
    <mergeCell ref="AJ3:AL3"/>
    <mergeCell ref="AG3:AI3"/>
    <mergeCell ref="I2612:J2612"/>
    <mergeCell ref="I3857:P3857"/>
    <mergeCell ref="I3055:J3055"/>
    <mergeCell ref="L3055:M3055"/>
    <mergeCell ref="I3054:M3054"/>
    <mergeCell ref="I3669:P3669"/>
    <mergeCell ref="I3670:J3670"/>
    <mergeCell ref="L3670:M3670"/>
    <mergeCell ref="O3670:P3670"/>
    <mergeCell ref="L756:M756"/>
    <mergeCell ref="L859:M859"/>
    <mergeCell ref="U2661:V2661"/>
    <mergeCell ref="O2661:P2661"/>
    <mergeCell ref="X2661:Y2661"/>
    <mergeCell ref="I2534:P2534"/>
    <mergeCell ref="I2535:P2535"/>
    <mergeCell ref="I2536:J2536"/>
    <mergeCell ref="L2464:M2464"/>
    <mergeCell ref="O2464:P2464"/>
    <mergeCell ref="I2778:Q2778"/>
    <mergeCell ref="Q2817:X2817"/>
    <mergeCell ref="I2733:Q2733"/>
    <mergeCell ref="I2682:Q2682"/>
    <mergeCell ref="DS3:DU3"/>
    <mergeCell ref="DM2:DU2"/>
    <mergeCell ref="I3789:P3789"/>
    <mergeCell ref="I3788:P3788"/>
    <mergeCell ref="I3037:J3037"/>
    <mergeCell ref="L3037:M3037"/>
    <mergeCell ref="O3037:P3037"/>
    <mergeCell ref="I3035:M3035"/>
    <mergeCell ref="I3036:M3036"/>
    <mergeCell ref="I3017:M3017"/>
    <mergeCell ref="I3018:M3018"/>
    <mergeCell ref="I3019:J3019"/>
    <mergeCell ref="BH3:BJ3"/>
    <mergeCell ref="BE3:BG3"/>
    <mergeCell ref="DP3:DR3"/>
    <mergeCell ref="DM3:DO3"/>
    <mergeCell ref="BB3:BD3"/>
    <mergeCell ref="AY3:BA3"/>
    <mergeCell ref="I3790:J3790"/>
    <mergeCell ref="L3790:M3790"/>
    <mergeCell ref="I3755:P3755"/>
    <mergeCell ref="I3756:P3756"/>
    <mergeCell ref="I3757:J3757"/>
    <mergeCell ref="L3757:M3757"/>
    <mergeCell ref="I3774:P3774"/>
    <mergeCell ref="I3775:P3775"/>
    <mergeCell ref="I3776:J3776"/>
    <mergeCell ref="L3776:M3776"/>
    <mergeCell ref="H1:AB1"/>
    <mergeCell ref="DA2:DL2"/>
    <mergeCell ref="BW235:BY235"/>
    <mergeCell ref="BW257:BY257"/>
    <mergeCell ref="BW329:BY329"/>
    <mergeCell ref="Z3:AB3"/>
    <mergeCell ref="H3:J3"/>
    <mergeCell ref="K3:M3"/>
    <mergeCell ref="N3:P3"/>
    <mergeCell ref="Q3:S3"/>
    <mergeCell ref="T3:V3"/>
    <mergeCell ref="W3:Y3"/>
    <mergeCell ref="H2:Y2"/>
    <mergeCell ref="AK292:AL292"/>
    <mergeCell ref="BL27:BM27"/>
    <mergeCell ref="BO27:BP27"/>
    <mergeCell ref="BR27:BS27"/>
    <mergeCell ref="I124:Y124"/>
    <mergeCell ref="I125:X125"/>
    <mergeCell ref="I126:J126"/>
    <mergeCell ref="DD3:DF3"/>
    <mergeCell ref="DA3:DC3"/>
    <mergeCell ref="CA1:DU1"/>
    <mergeCell ref="AD1:BY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C20A5AE8CE46D46AD874359E36EA8C8" ma:contentTypeVersion="3" ma:contentTypeDescription="Create a new document." ma:contentTypeScope="" ma:versionID="371013a4ee773f25a8f17a3e3f680457">
  <xsd:schema xmlns:xsd="http://www.w3.org/2001/XMLSchema" xmlns:xs="http://www.w3.org/2001/XMLSchema" xmlns:p="http://schemas.microsoft.com/office/2006/metadata/properties" xmlns:ns2="b046be8f-e5b5-4332-944d-e2cbef4f62e0" targetNamespace="http://schemas.microsoft.com/office/2006/metadata/properties" ma:root="true" ma:fieldsID="4ed07d0afb6abe4134a8b3d05a9d22ed" ns2:_="">
    <xsd:import namespace="b046be8f-e5b5-4332-944d-e2cbef4f62e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46be8f-e5b5-4332-944d-e2cbef4f62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D9FB32C-AF93-4576-A3B9-54CE4EE5F0F7}">
  <ds:schemaRefs>
    <ds:schemaRef ds:uri="http://schemas.microsoft.com/sharepoint/v3/contenttype/forms"/>
  </ds:schemaRefs>
</ds:datastoreItem>
</file>

<file path=customXml/itemProps2.xml><?xml version="1.0" encoding="utf-8"?>
<ds:datastoreItem xmlns:ds="http://schemas.openxmlformats.org/officeDocument/2006/customXml" ds:itemID="{16AE941D-B1AD-4BAB-8A7E-34921AD0F1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46be8f-e5b5-4332-944d-e2cbef4f62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BD660C9-6CF2-4439-B9D5-9948704BE2B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processes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magaya</dc:creator>
  <cp:keywords/>
  <dc:description/>
  <cp:lastModifiedBy>Archbold Katsande | AFC Commercial Bank</cp:lastModifiedBy>
  <cp:revision/>
  <dcterms:created xsi:type="dcterms:W3CDTF">2025-09-11T14:19:00Z</dcterms:created>
  <dcterms:modified xsi:type="dcterms:W3CDTF">2026-03-06T08:23:56Z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B4A131185F3C437BAD6C4C9116A5FC2E_13</vt:lpwstr>
  </property>
  <property fmtid="{D5CDD505-2E9C-101B-9397-08002B2CF9AE}" pid="3" name="KSOProductBuildVer">
    <vt:lpwstr>1033-12.2.0.22549</vt:lpwstr>
  </property>
  <property fmtid="{D5CDD505-2E9C-101B-9397-08002B2CF9AE}" pid="4" name="ContentTypeId">
    <vt:lpwstr>0x010100BC20A5AE8CE46D46AD874359E36EA8C8</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y fmtid="{D5CDD505-2E9C-101B-9397-08002B2CF9AE}" pid="10" name="_activity">
    <vt:lpwstr>{"FileActivityType":"9","FileActivityTimeStamp":"2025-10-10T16:43:05.120Z","FileActivityUsersOnPage":[{"DisplayName":"Felicity Munozogara | AFC Commercial Bank","Id":"fmunozogara@afcholdings.co.zw"}],"FileActivityNavigationId":null}</vt:lpwstr>
  </property>
</Properties>
</file>