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40"/>
  </bookViews>
  <sheets>
    <sheet name="HEXCO Tracker" sheetId="1" r:id="rId1"/>
    <sheet name="Summary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<sst xmlns="http://schemas.openxmlformats.org/spreadsheetml/2006/main" count="221" uniqueCount="75">
  <si>
    <t>HEXCO Accreditation Materials Tracker</t>
  </si>
  <si>
    <t/>
  </si>
  <si>
    <t>Received from HEXCO</t>
  </si>
  <si>
    <t>Shared with HEXCO</t>
  </si>
  <si>
    <t>No.</t>
  </si>
  <si>
    <t>Programme / PCC</t>
  </si>
  <si>
    <t>Type</t>
  </si>
  <si>
    <t>Skills Proficiency</t>
  </si>
  <si>
    <t>Occupation Standard</t>
  </si>
  <si>
    <t>Regulations and Content of Modules</t>
  </si>
  <si>
    <t>Column1</t>
  </si>
  <si>
    <t>Skills Proficiency2</t>
  </si>
  <si>
    <t>Occupation Standard2</t>
  </si>
  <si>
    <t>Regulations and Content of Modules2</t>
  </si>
  <si>
    <t>Column2</t>
  </si>
  <si>
    <t>Column3</t>
  </si>
  <si>
    <t>1</t>
  </si>
  <si>
    <t>National Foundations Certificate in Artificial Intelligence</t>
  </si>
  <si>
    <t>Qualification</t>
  </si>
  <si>
    <t>☐</t>
  </si>
  <si>
    <t>R</t>
  </si>
  <si>
    <t>2</t>
  </si>
  <si>
    <t>National Certificate in Artificial Intelligence</t>
  </si>
  <si>
    <t>3</t>
  </si>
  <si>
    <t>National Diploma in Artificial Intelligence</t>
  </si>
  <si>
    <t>4.1</t>
  </si>
  <si>
    <t>Tourism and Hospitality PCC</t>
  </si>
  <si>
    <t>PCC</t>
  </si>
  <si>
    <t>4.2</t>
  </si>
  <si>
    <t>Procurement PCC</t>
  </si>
  <si>
    <t>4.3</t>
  </si>
  <si>
    <t>Agriculture PCC</t>
  </si>
  <si>
    <t>4.4</t>
  </si>
  <si>
    <t>Banking &amp; Insurance PCC</t>
  </si>
  <si>
    <t>4.5</t>
  </si>
  <si>
    <t>Cybersecurity PCC</t>
  </si>
  <si>
    <t>4.6</t>
  </si>
  <si>
    <t>Education PCC</t>
  </si>
  <si>
    <t>4.7</t>
  </si>
  <si>
    <t>Financial Accounting PCC</t>
  </si>
  <si>
    <t>4.8</t>
  </si>
  <si>
    <t>Human Resources PCC</t>
  </si>
  <si>
    <t>4.9</t>
  </si>
  <si>
    <t>Law PCC</t>
  </si>
  <si>
    <t>4.10</t>
  </si>
  <si>
    <t>Marketing PCC</t>
  </si>
  <si>
    <t>4.11</t>
  </si>
  <si>
    <t>Policy, Defence, and Security Operations PCC</t>
  </si>
  <si>
    <t>Technical Certification</t>
  </si>
  <si>
    <t>Mining PCC</t>
  </si>
  <si>
    <t>HEXCO Accreditation Interactive Tracker</t>
  </si>
  <si>
    <t>Total programmes / PCCs</t>
  </si>
  <si>
    <t>Action</t>
  </si>
  <si>
    <t>How to use</t>
  </si>
  <si>
    <t>Received complete</t>
  </si>
  <si>
    <t>Update tracker</t>
  </si>
  <si>
    <t>Use the dropdowns on the HEXCO Tracker sheet and choose ☐ or ☑.</t>
  </si>
  <si>
    <t>Received partial</t>
  </si>
  <si>
    <t>Check progress</t>
  </si>
  <si>
    <t>Summary figures and row statuses update automatically.</t>
  </si>
  <si>
    <t>Shared complete</t>
  </si>
  <si>
    <t>Filter</t>
  </si>
  <si>
    <t>Use the table filters to view incomplete, partial, or complete items.</t>
  </si>
  <si>
    <t>Shared partial</t>
  </si>
  <si>
    <t>Overall completion</t>
  </si>
  <si>
    <t>Area</t>
  </si>
  <si>
    <t>Complete</t>
  </si>
  <si>
    <t>Partial</t>
  </si>
  <si>
    <t>Overall</t>
  </si>
  <si>
    <t>Tick Options</t>
  </si>
  <si>
    <t>Status</t>
  </si>
  <si>
    <t>Meaning</t>
  </si>
  <si>
    <t>Pending / Not yet received or shared</t>
  </si>
  <si>
    <t>☑</t>
  </si>
  <si>
    <t>Completed / Received or shared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</si>
</sst>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name val="Carlito"/>
      <charset val="134"/>
    </font>
    <font>
      <b/>
      <sz val="11"/>
      <color rgb="FF1F2937"/>
      <name val="Carlito"/>
      <charset val="134"/>
    </font>
    <font>
      <b/>
      <sz val="11"/>
      <name val="Carlito"/>
      <charset val="134"/>
    </font>
    <font>
      <b/>
      <sz val="11"/>
      <color rgb="FF111827"/>
      <name val="Carlito"/>
      <charset val="134"/>
    </font>
    <font>
      <sz val="11"/>
      <color rgb="FF111827"/>
      <name val="Carlito"/>
      <charset val="134"/>
    </font>
    <font>
      <sz val="11"/>
      <color rgb="FF6B7280"/>
      <name val="Wingdings 2"/>
      <charset val="134"/>
    </font>
    <font>
      <b/>
      <sz val="11"/>
      <color rgb="FF991B1B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center" wrapText="1"/>
    </xf>
    <xf numFmtId="9" fontId="2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color rgb="FF6B7280"/>
      </font>
      <fill>
        <patternFill patternType="solid">
          <bgColor rgb="FFF9FAFB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HEXCO Material Progress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"Complete"</c:f>
              <c:strCache>
                <c:ptCount val="1"/>
                <c:pt idx="0">
                  <c:v>Complete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Summary!$A$11:$A$13</c:f>
              <c:strCache>
                <c:ptCount val="3"/>
                <c:pt idx="0">
                  <c:v>Received from HEXCO</c:v>
                </c:pt>
                <c:pt idx="1">
                  <c:v>Shared with HEXCO</c:v>
                </c:pt>
                <c:pt idx="2">
                  <c:v>Overall</c:v>
                </c:pt>
              </c:strCache>
            </c:strRef>
          </c:cat>
          <c:val>
            <c:numRef>
              <c:f>Summary!$B$11:$B$13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"Partial"</c:f>
              <c:strCache>
                <c:ptCount val="1"/>
                <c:pt idx="0">
                  <c:v>Partial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Summary!$A$11:$A$13</c:f>
              <c:strCache>
                <c:ptCount val="3"/>
                <c:pt idx="0">
                  <c:v>Received from HEXCO</c:v>
                </c:pt>
                <c:pt idx="1">
                  <c:v>Shared with HEXCO</c:v>
                </c:pt>
                <c:pt idx="2">
                  <c:v>Overall</c:v>
                </c:pt>
              </c:strCache>
            </c:strRef>
          </c:cat>
          <c:val>
            <c:numRef>
              <c:f>Summary!$C$11:$C$13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6c9d54-cae9-41f2-93a1-fb9c000ee418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>
      <xdr:nvGraphicFramePr>
        <xdr:cNvPr id="2" name="Chart"/>
        <xdr:cNvGraphicFramePr/>
      </xdr:nvGraphicFramePr>
      <xdr:xfrm>
        <a:off x="5095240" y="2098040"/>
        <a:ext cx="9240520" cy="321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HEXCOTracker" displayName="HEXCOTracker" ref="A3:L19">
  <tableColumns count="12">
    <tableColumn id="1" name="No."/>
    <tableColumn id="2" name="Programme / PCC"/>
    <tableColumn id="3" name="Type"/>
    <tableColumn id="4" name="Skills Proficiency"/>
    <tableColumn id="5" name="Occupation Standard"/>
    <tableColumn id="6" name="Regulations and Content of Modules"/>
    <tableColumn id="7" name="Column1"/>
    <tableColumn id="8" name="Skills Proficiency2"/>
    <tableColumn id="9" name="Occupation Standard2"/>
    <tableColumn id="10" name="Regulations and Content of Modules2"/>
    <tableColumn id="11" name="Column2"/>
    <tableColumn id="12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zoomScale="120" zoomScaleNormal="120" topLeftCell="B1" workbookViewId="0">
      <selection activeCell="K4" sqref="K4"/>
    </sheetView>
  </sheetViews>
  <sheetFormatPr defaultColWidth="9" defaultRowHeight="16.8"/>
  <cols>
    <col min="1" max="1" width="8" customWidth="1"/>
    <col min="2" max="2" width="46" customWidth="1"/>
    <col min="3" max="3" width="16" customWidth="1"/>
    <col min="4" max="6" width="18" customWidth="1"/>
    <col min="7" max="7" width="16" customWidth="1"/>
    <col min="8" max="8" width="18" customWidth="1"/>
    <col min="9" max="9" width="22.6691176470588" customWidth="1"/>
    <col min="10" max="10" width="33.6985294117647" customWidth="1"/>
    <col min="11" max="11" width="16" customWidth="1"/>
    <col min="12" max="12" width="18" customWidth="1"/>
  </cols>
  <sheetData>
    <row r="1" ht="28" customHeight="1" spans="1:1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</row>
    <row r="2" ht="24" customHeight="1" spans="1:11">
      <c r="A2" t="s">
        <v>1</v>
      </c>
      <c r="B2" t="s">
        <v>1</v>
      </c>
      <c r="C2" t="s">
        <v>1</v>
      </c>
      <c r="D2" s="8" t="s">
        <v>2</v>
      </c>
      <c r="E2" s="8" t="s">
        <v>1</v>
      </c>
      <c r="F2" s="8" t="s">
        <v>1</v>
      </c>
      <c r="G2" s="8" t="s">
        <v>1</v>
      </c>
      <c r="H2" s="8" t="s">
        <v>3</v>
      </c>
      <c r="I2" s="8" t="s">
        <v>1</v>
      </c>
      <c r="J2" s="8" t="s">
        <v>1</v>
      </c>
      <c r="K2" s="8" t="s">
        <v>1</v>
      </c>
    </row>
    <row r="3" ht="42" customHeight="1" spans="1:12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t="s">
        <v>11</v>
      </c>
      <c r="I3" t="s">
        <v>12</v>
      </c>
      <c r="J3" t="s">
        <v>13</v>
      </c>
      <c r="K3" s="4" t="s">
        <v>14</v>
      </c>
      <c r="L3" s="4" t="s">
        <v>15</v>
      </c>
    </row>
    <row r="4" ht="23" customHeight="1" spans="1:12">
      <c r="A4" s="5" t="s">
        <v>16</v>
      </c>
      <c r="B4" s="5" t="s">
        <v>17</v>
      </c>
      <c r="C4" s="9" t="s">
        <v>18</v>
      </c>
      <c r="D4" s="7" t="s">
        <v>19</v>
      </c>
      <c r="E4" s="7" t="s">
        <v>19</v>
      </c>
      <c r="F4" s="7" t="s">
        <v>19</v>
      </c>
      <c r="G4" s="12"/>
      <c r="H4" s="10" t="s">
        <v>20</v>
      </c>
      <c r="I4" s="10" t="s">
        <v>20</v>
      </c>
      <c r="J4" s="10" t="s">
        <v>20</v>
      </c>
      <c r="K4" s="13"/>
      <c r="L4" s="14"/>
    </row>
    <row r="5" ht="23" customHeight="1" spans="1:12">
      <c r="A5" s="5" t="s">
        <v>21</v>
      </c>
      <c r="B5" s="5" t="s">
        <v>22</v>
      </c>
      <c r="C5" s="9" t="s">
        <v>18</v>
      </c>
      <c r="D5" s="7" t="s">
        <v>19</v>
      </c>
      <c r="E5" s="10" t="s">
        <v>20</v>
      </c>
      <c r="F5" s="7" t="s">
        <v>19</v>
      </c>
      <c r="G5" s="13"/>
      <c r="H5" s="10" t="s">
        <v>20</v>
      </c>
      <c r="I5" s="10" t="s">
        <v>20</v>
      </c>
      <c r="J5" s="10" t="s">
        <v>20</v>
      </c>
      <c r="K5" s="13"/>
      <c r="L5" s="14"/>
    </row>
    <row r="6" ht="23" customHeight="1" spans="1:12">
      <c r="A6" s="5" t="s">
        <v>23</v>
      </c>
      <c r="B6" s="5" t="s">
        <v>24</v>
      </c>
      <c r="C6" s="9" t="s">
        <v>18</v>
      </c>
      <c r="D6" s="10" t="s">
        <v>20</v>
      </c>
      <c r="E6" s="10" t="s">
        <v>20</v>
      </c>
      <c r="F6" s="7" t="s">
        <v>19</v>
      </c>
      <c r="G6" s="13"/>
      <c r="H6" s="10" t="s">
        <v>20</v>
      </c>
      <c r="I6" s="10" t="s">
        <v>20</v>
      </c>
      <c r="J6" s="10" t="s">
        <v>20</v>
      </c>
      <c r="K6" s="13"/>
      <c r="L6" s="14"/>
    </row>
    <row r="7" ht="23" customHeight="1" spans="1:12">
      <c r="A7" s="5" t="s">
        <v>25</v>
      </c>
      <c r="B7" s="5" t="s">
        <v>26</v>
      </c>
      <c r="C7" s="9" t="s">
        <v>27</v>
      </c>
      <c r="D7" s="7" t="s">
        <v>19</v>
      </c>
      <c r="E7" s="7" t="s">
        <v>19</v>
      </c>
      <c r="F7" s="7" t="s">
        <v>19</v>
      </c>
      <c r="G7" s="13"/>
      <c r="H7" s="10" t="s">
        <v>20</v>
      </c>
      <c r="I7" s="10" t="s">
        <v>20</v>
      </c>
      <c r="J7" s="10" t="s">
        <v>20</v>
      </c>
      <c r="K7" s="13"/>
      <c r="L7" s="14"/>
    </row>
    <row r="8" ht="23" customHeight="1" spans="1:12">
      <c r="A8" s="5" t="s">
        <v>28</v>
      </c>
      <c r="B8" s="5" t="s">
        <v>29</v>
      </c>
      <c r="C8" s="9" t="s">
        <v>27</v>
      </c>
      <c r="D8" s="7" t="s">
        <v>19</v>
      </c>
      <c r="E8" s="7" t="s">
        <v>19</v>
      </c>
      <c r="F8" s="7" t="s">
        <v>19</v>
      </c>
      <c r="G8" s="13"/>
      <c r="H8" s="10" t="s">
        <v>20</v>
      </c>
      <c r="I8" s="10" t="s">
        <v>20</v>
      </c>
      <c r="J8" s="10" t="s">
        <v>20</v>
      </c>
      <c r="K8" s="13"/>
      <c r="L8" s="14"/>
    </row>
    <row r="9" ht="23" customHeight="1" spans="1:12">
      <c r="A9" s="5" t="s">
        <v>30</v>
      </c>
      <c r="B9" s="5" t="s">
        <v>31</v>
      </c>
      <c r="C9" s="9" t="s">
        <v>27</v>
      </c>
      <c r="D9" s="7" t="s">
        <v>19</v>
      </c>
      <c r="E9" s="7" t="s">
        <v>19</v>
      </c>
      <c r="F9" s="7" t="s">
        <v>19</v>
      </c>
      <c r="G9" s="13"/>
      <c r="H9" s="10" t="s">
        <v>20</v>
      </c>
      <c r="I9" s="10" t="s">
        <v>20</v>
      </c>
      <c r="J9" s="10" t="s">
        <v>20</v>
      </c>
      <c r="K9" s="13"/>
      <c r="L9" s="14"/>
    </row>
    <row r="10" ht="23" customHeight="1" spans="1:12">
      <c r="A10" s="5" t="s">
        <v>32</v>
      </c>
      <c r="B10" s="5" t="s">
        <v>33</v>
      </c>
      <c r="C10" s="9" t="s">
        <v>27</v>
      </c>
      <c r="D10" s="7" t="s">
        <v>19</v>
      </c>
      <c r="E10" s="7" t="s">
        <v>19</v>
      </c>
      <c r="F10" s="7" t="s">
        <v>19</v>
      </c>
      <c r="G10" s="13"/>
      <c r="H10" s="10" t="s">
        <v>20</v>
      </c>
      <c r="I10" s="10" t="s">
        <v>20</v>
      </c>
      <c r="J10" s="10" t="s">
        <v>20</v>
      </c>
      <c r="K10" s="13"/>
      <c r="L10" s="14"/>
    </row>
    <row r="11" ht="23" customHeight="1" spans="1:12">
      <c r="A11" s="5" t="s">
        <v>34</v>
      </c>
      <c r="B11" s="5" t="s">
        <v>35</v>
      </c>
      <c r="C11" s="9" t="s">
        <v>27</v>
      </c>
      <c r="D11" s="7" t="s">
        <v>19</v>
      </c>
      <c r="E11" s="7" t="s">
        <v>19</v>
      </c>
      <c r="F11" s="7" t="s">
        <v>19</v>
      </c>
      <c r="G11" s="13"/>
      <c r="H11" s="10" t="s">
        <v>20</v>
      </c>
      <c r="I11" s="10" t="s">
        <v>20</v>
      </c>
      <c r="J11" s="10" t="s">
        <v>20</v>
      </c>
      <c r="K11" s="13"/>
      <c r="L11" s="14"/>
    </row>
    <row r="12" ht="23" customHeight="1" spans="1:12">
      <c r="A12" s="5" t="s">
        <v>36</v>
      </c>
      <c r="B12" s="5" t="s">
        <v>37</v>
      </c>
      <c r="C12" s="9" t="s">
        <v>27</v>
      </c>
      <c r="D12" s="7" t="s">
        <v>19</v>
      </c>
      <c r="E12" s="7" t="s">
        <v>19</v>
      </c>
      <c r="F12" s="7" t="s">
        <v>19</v>
      </c>
      <c r="G12" s="13"/>
      <c r="H12" s="10" t="s">
        <v>20</v>
      </c>
      <c r="I12" s="10" t="s">
        <v>20</v>
      </c>
      <c r="J12" s="10" t="s">
        <v>20</v>
      </c>
      <c r="K12" s="13"/>
      <c r="L12" s="14"/>
    </row>
    <row r="13" ht="23" customHeight="1" spans="1:12">
      <c r="A13" s="5" t="s">
        <v>38</v>
      </c>
      <c r="B13" s="5" t="s">
        <v>39</v>
      </c>
      <c r="C13" s="9" t="s">
        <v>27</v>
      </c>
      <c r="D13" s="7" t="s">
        <v>19</v>
      </c>
      <c r="E13" s="7" t="s">
        <v>19</v>
      </c>
      <c r="F13" s="7" t="s">
        <v>19</v>
      </c>
      <c r="G13" s="13"/>
      <c r="H13" s="10" t="s">
        <v>20</v>
      </c>
      <c r="I13" s="10" t="s">
        <v>20</v>
      </c>
      <c r="J13" s="10" t="s">
        <v>20</v>
      </c>
      <c r="K13" s="13"/>
      <c r="L13" s="14"/>
    </row>
    <row r="14" ht="23" customHeight="1" spans="1:12">
      <c r="A14" s="5" t="s">
        <v>40</v>
      </c>
      <c r="B14" s="5" t="s">
        <v>41</v>
      </c>
      <c r="C14" s="9" t="s">
        <v>27</v>
      </c>
      <c r="D14" s="7" t="s">
        <v>19</v>
      </c>
      <c r="E14" s="7" t="s">
        <v>19</v>
      </c>
      <c r="F14" s="7" t="s">
        <v>19</v>
      </c>
      <c r="G14" s="13"/>
      <c r="H14" s="10" t="s">
        <v>20</v>
      </c>
      <c r="I14" s="10" t="s">
        <v>20</v>
      </c>
      <c r="J14" s="10" t="s">
        <v>20</v>
      </c>
      <c r="K14" s="13"/>
      <c r="L14" s="14"/>
    </row>
    <row r="15" ht="23" customHeight="1" spans="1:12">
      <c r="A15" s="5" t="s">
        <v>42</v>
      </c>
      <c r="B15" s="5" t="s">
        <v>43</v>
      </c>
      <c r="C15" s="9" t="s">
        <v>27</v>
      </c>
      <c r="D15" s="7" t="s">
        <v>19</v>
      </c>
      <c r="E15" s="7" t="s">
        <v>19</v>
      </c>
      <c r="F15" s="7" t="s">
        <v>19</v>
      </c>
      <c r="G15" s="13"/>
      <c r="H15" s="10" t="s">
        <v>20</v>
      </c>
      <c r="I15" s="10" t="s">
        <v>20</v>
      </c>
      <c r="J15" s="10" t="s">
        <v>20</v>
      </c>
      <c r="K15" s="13"/>
      <c r="L15" s="14"/>
    </row>
    <row r="16" ht="23" customHeight="1" spans="1:12">
      <c r="A16" s="5" t="s">
        <v>44</v>
      </c>
      <c r="B16" s="5" t="s">
        <v>45</v>
      </c>
      <c r="C16" s="9" t="s">
        <v>27</v>
      </c>
      <c r="D16" s="7" t="s">
        <v>19</v>
      </c>
      <c r="E16" s="7" t="s">
        <v>19</v>
      </c>
      <c r="F16" s="7" t="s">
        <v>19</v>
      </c>
      <c r="G16" s="13"/>
      <c r="H16" s="10" t="s">
        <v>20</v>
      </c>
      <c r="I16" s="10" t="s">
        <v>20</v>
      </c>
      <c r="J16" s="10" t="s">
        <v>20</v>
      </c>
      <c r="K16" s="13"/>
      <c r="L16" s="14"/>
    </row>
    <row r="17" ht="23" customHeight="1" spans="1:12">
      <c r="A17" s="5" t="s">
        <v>46</v>
      </c>
      <c r="B17" s="5" t="s">
        <v>47</v>
      </c>
      <c r="C17" s="9" t="s">
        <v>27</v>
      </c>
      <c r="D17" s="7" t="s">
        <v>19</v>
      </c>
      <c r="E17" s="7" t="s">
        <v>19</v>
      </c>
      <c r="F17" s="7" t="s">
        <v>19</v>
      </c>
      <c r="G17" s="13"/>
      <c r="H17" s="10" t="s">
        <v>20</v>
      </c>
      <c r="I17" s="10" t="s">
        <v>20</v>
      </c>
      <c r="J17" s="10" t="s">
        <v>20</v>
      </c>
      <c r="K17" s="13"/>
      <c r="L17" s="14"/>
    </row>
    <row r="18" ht="17" spans="1:12">
      <c r="A18" s="11">
        <v>4.12</v>
      </c>
      <c r="B18" t="s">
        <v>48</v>
      </c>
      <c r="C18" t="s">
        <v>27</v>
      </c>
      <c r="D18" s="7" t="s">
        <v>19</v>
      </c>
      <c r="E18" s="7" t="s">
        <v>19</v>
      </c>
      <c r="F18" s="7" t="s">
        <v>19</v>
      </c>
      <c r="G18" s="13"/>
      <c r="H18" s="10" t="s">
        <v>20</v>
      </c>
      <c r="I18" s="10" t="s">
        <v>20</v>
      </c>
      <c r="J18" s="10" t="s">
        <v>20</v>
      </c>
      <c r="K18" s="13"/>
      <c r="L18" s="14"/>
    </row>
    <row r="19" ht="17" spans="1:12">
      <c r="A19" s="11">
        <v>4.13</v>
      </c>
      <c r="B19" t="s">
        <v>49</v>
      </c>
      <c r="C19" t="s">
        <v>27</v>
      </c>
      <c r="D19" s="7" t="s">
        <v>19</v>
      </c>
      <c r="E19" s="7" t="s">
        <v>19</v>
      </c>
      <c r="F19" s="7" t="s">
        <v>19</v>
      </c>
      <c r="G19" s="13"/>
      <c r="H19" s="10" t="s">
        <v>20</v>
      </c>
      <c r="I19" s="10" t="s">
        <v>20</v>
      </c>
      <c r="J19" s="10" t="s">
        <v>20</v>
      </c>
      <c r="K19" s="13"/>
      <c r="L19" s="14"/>
    </row>
  </sheetData>
  <mergeCells count="3">
    <mergeCell ref="A1:L1"/>
    <mergeCell ref="D2:G2"/>
    <mergeCell ref="H2:K2"/>
  </mergeCells>
  <conditionalFormatting sqref="G4:G19">
    <cfRule type="containsText" dxfId="0" priority="17" operator="between" text="Complete">
      <formula>NOT(ISERROR(SEARCH("Complete",G4)))</formula>
    </cfRule>
    <cfRule type="containsText" dxfId="1" priority="18" operator="between" text="Partial">
      <formula>NOT(ISERROR(SEARCH("Partial",G4)))</formula>
    </cfRule>
    <cfRule type="containsText" dxfId="2" priority="19" operator="between" text="Not started">
      <formula>NOT(ISERROR(SEARCH("Not started",G4)))</formula>
    </cfRule>
  </conditionalFormatting>
  <conditionalFormatting sqref="K4:K19">
    <cfRule type="containsText" dxfId="0" priority="20" operator="between" text="Complete">
      <formula>NOT(ISERROR(SEARCH("Complete",K4)))</formula>
    </cfRule>
    <cfRule type="containsText" dxfId="1" priority="21" operator="between" text="Partial">
      <formula>NOT(ISERROR(SEARCH("Partial",K4)))</formula>
    </cfRule>
    <cfRule type="containsText" dxfId="2" priority="22" operator="between" text="Not started">
      <formula>NOT(ISERROR(SEARCH("Not started",K4)))</formula>
    </cfRule>
  </conditionalFormatting>
  <conditionalFormatting sqref="L4:L19">
    <cfRule type="dataBar" priority="23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{88307e1c-5671-4c97-99d2-a11ebc8326d1}</x14:id>
        </ext>
      </extLst>
    </cfRule>
  </conditionalFormatting>
  <conditionalFormatting sqref="D4:F19">
    <cfRule type="containsText" dxfId="0" priority="13" operator="between" text="☑">
      <formula>NOT(ISERROR(SEARCH("☑",D4)))</formula>
    </cfRule>
    <cfRule type="containsText" dxfId="3" priority="14" operator="between" text="☐">
      <formula>NOT(ISERROR(SEARCH("☐",D4)))</formula>
    </cfRule>
  </conditionalFormatting>
  <conditionalFormatting sqref="H4:J19">
    <cfRule type="containsText" dxfId="0" priority="15" operator="between" text="☑">
      <formula>NOT(ISERROR(SEARCH("☑",H4)))</formula>
    </cfRule>
    <cfRule type="containsText" dxfId="3" priority="16" operator="between" text="☐">
      <formula>NOT(ISERROR(SEARCH("☐",H4)))</formula>
    </cfRule>
  </conditionalFormatting>
  <dataValidations count="1">
    <dataValidation showErrorMessage="1" errorTitle="Choose a checkbox value" error="Please select either ☐ or ☑ from the dropdown." sqref="D4:F4 D5 E5 F5 D6:E6 F6 D18 E18 F18 D19 E19 F19 H4:H19 I4:I19 J4:J19 D7:F17" errorStyle="warning"/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307e1c-5671-4c97-99d2-a11ebc8326d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L4:L19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" sqref="A1:H1"/>
    </sheetView>
  </sheetViews>
  <sheetFormatPr defaultColWidth="9" defaultRowHeight="16.8" outlineLevelCol="7"/>
  <cols>
    <col min="1" max="1" width="32" customWidth="1"/>
    <col min="2" max="2" width="18" customWidth="1"/>
    <col min="4" max="4" width="22" customWidth="1"/>
    <col min="5" max="5" width="58" customWidth="1"/>
  </cols>
  <sheetData>
    <row r="1" ht="30" customHeight="1" spans="1:8">
      <c r="A1" s="1" t="s">
        <v>50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3" ht="17" spans="1:6">
      <c r="A3" s="2" t="s">
        <v>51</v>
      </c>
      <c r="B3" s="3">
        <v>14</v>
      </c>
      <c r="D3" s="4" t="s">
        <v>52</v>
      </c>
      <c r="E3" s="4" t="s">
        <v>53</v>
      </c>
      <c r="F3" s="4" t="s">
        <v>1</v>
      </c>
    </row>
    <row r="4" ht="17" spans="1:6">
      <c r="A4" s="2" t="s">
        <v>54</v>
      </c>
      <c r="B4" s="3">
        <f>COUNTIF('HEXCO Tracker'!G5:G18,"Complete")</f>
        <v>0</v>
      </c>
      <c r="D4" s="5" t="s">
        <v>55</v>
      </c>
      <c r="E4" s="5" t="s">
        <v>56</v>
      </c>
      <c r="F4" s="5" t="s">
        <v>1</v>
      </c>
    </row>
    <row r="5" ht="17" spans="1:6">
      <c r="A5" s="2" t="s">
        <v>57</v>
      </c>
      <c r="B5" s="3">
        <f>COUNTIF('HEXCO Tracker'!G5:G18,"Partial")</f>
        <v>0</v>
      </c>
      <c r="D5" s="5" t="s">
        <v>58</v>
      </c>
      <c r="E5" s="5" t="s">
        <v>59</v>
      </c>
      <c r="F5" s="5" t="s">
        <v>1</v>
      </c>
    </row>
    <row r="6" ht="17" spans="1:6">
      <c r="A6" s="2" t="s">
        <v>60</v>
      </c>
      <c r="B6" s="3">
        <f>COUNTIF('HEXCO Tracker'!K5:K18,"Complete")</f>
        <v>0</v>
      </c>
      <c r="D6" s="5" t="s">
        <v>61</v>
      </c>
      <c r="E6" s="5" t="s">
        <v>62</v>
      </c>
      <c r="F6" s="5" t="s">
        <v>1</v>
      </c>
    </row>
    <row r="7" spans="1:2">
      <c r="A7" s="2" t="s">
        <v>63</v>
      </c>
      <c r="B7" s="3">
        <f>COUNTIF('HEXCO Tracker'!K5:K18,"Partial")</f>
        <v>0</v>
      </c>
    </row>
    <row r="8" spans="1:2">
      <c r="A8" s="2" t="s">
        <v>64</v>
      </c>
      <c r="B8" s="6">
        <f>IFERROR(AVERAGE('HEXCO Tracker'!L5:L18),0)</f>
        <v>0</v>
      </c>
    </row>
    <row r="10" ht="17" spans="1:3">
      <c r="A10" s="4" t="s">
        <v>65</v>
      </c>
      <c r="B10" s="4" t="s">
        <v>66</v>
      </c>
      <c r="C10" s="4" t="s">
        <v>67</v>
      </c>
    </row>
    <row r="11" ht="17" spans="1:3">
      <c r="A11" s="5" t="s">
        <v>2</v>
      </c>
      <c r="B11" s="7">
        <f>COUNTIF('HEXCO Tracker'!G4:G19,"Complete")</f>
        <v>0</v>
      </c>
      <c r="C11" s="7">
        <f>COUNTIF('HEXCO Tracker'!G4:G19,"Partial")</f>
        <v>0</v>
      </c>
    </row>
    <row r="12" ht="17" spans="1:3">
      <c r="A12" s="5" t="s">
        <v>3</v>
      </c>
      <c r="B12" s="7">
        <f>COUNTIF('HEXCO Tracker'!K4:K19,"Complete")</f>
        <v>0</v>
      </c>
      <c r="C12" s="7">
        <f>COUNTIF('HEXCO Tracker'!K4:K19,"Partial")</f>
        <v>0</v>
      </c>
    </row>
    <row r="13" ht="17" spans="1:3">
      <c r="A13" s="5" t="s">
        <v>68</v>
      </c>
      <c r="B13" s="7">
        <f>COUNTIF('HEXCO Tracker'!G4:G19,"Complete")+COUNTIF('HEXCO Tracker'!K4:K19,"Complete")</f>
        <v>0</v>
      </c>
      <c r="C13" s="7">
        <f>COUNTIF('HEXCO Tracker'!G4:G19,"Partial")+COUNTIF('HEXCO Tracker'!K4:K19,"Partial")</f>
        <v>0</v>
      </c>
    </row>
    <row r="14" spans="1:3">
      <c r="A14" t="s">
        <v>1</v>
      </c>
      <c r="B14" t="s">
        <v>1</v>
      </c>
      <c r="C14" t="s">
        <v>1</v>
      </c>
    </row>
  </sheetData>
  <mergeCells count="1">
    <mergeCell ref="A1:H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cols>
    <col min="1" max="1" width="10.4264705882353" customWidth="1"/>
    <col min="2" max="2" width="5.13970588235294" customWidth="1"/>
    <col min="3" max="3" width="31" customWidth="1"/>
  </cols>
  <sheetData>
    <row r="1" spans="1:3">
      <c r="A1" t="s">
        <v>69</v>
      </c>
      <c r="B1" t="s">
        <v>70</v>
      </c>
      <c r="C1" t="s">
        <v>71</v>
      </c>
    </row>
    <row r="2" spans="1:3">
      <c r="A2" t="s">
        <v>19</v>
      </c>
      <c r="B2" t="s">
        <v>19</v>
      </c>
      <c r="C2" t="s">
        <v>72</v>
      </c>
    </row>
    <row r="3" spans="1:3">
      <c r="A3" t="s">
        <v>73</v>
      </c>
      <c r="B3" t="s">
        <v>73</v>
      </c>
      <c r="C3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HEXCO Tracker</vt:lpstr>
      <vt:lpstr>Summary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patiencemupikeni</cp:lastModifiedBy>
  <dcterms:created xsi:type="dcterms:W3CDTF">2026-04-30T12:18:08Z</dcterms:created>
  <dcterms:modified xsi:type="dcterms:W3CDTF">2026-04-30T13:02:03Z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9932E402EDC7FE45AB36F36939C74790_43</vt:lpwstr>
  </property>
  <property fmtid="{D5CDD505-2E9C-101B-9397-08002B2CF9AE}" pid="3" name="KSOProductBuildVer">
    <vt:lpwstr>1033-12.1.23153.23153</vt:lpwstr>
  </property>
</Properties>
</file>