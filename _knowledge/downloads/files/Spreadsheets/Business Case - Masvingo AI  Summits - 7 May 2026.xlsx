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65060d6b98135/Desktop/Working Folder/Zimpapers AI Conference Proposal/2026 Summits/"/>
    </mc:Choice>
  </mc:AlternateContent>
  <xr:revisionPtr revIDLastSave="2" documentId="8_{CA301F91-E6C2-473A-8B07-82840224EF0B}" xr6:coauthVersionLast="36" xr6:coauthVersionMax="36" xr10:uidLastSave="{4A15B30E-D9B0-48C6-89E8-7E4E94775CB3}"/>
  <bookViews>
    <workbookView xWindow="0" yWindow="0" windowWidth="23040" windowHeight="9588" xr2:uid="{E637D956-0D65-4F97-9442-8E31C7C82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D49" i="1"/>
  <c r="G39" i="1" l="1"/>
  <c r="G38" i="1"/>
  <c r="D51" i="1"/>
  <c r="D50" i="1"/>
  <c r="D48" i="1"/>
  <c r="G25" i="1"/>
  <c r="D25" i="1"/>
  <c r="G135" i="1"/>
  <c r="G136" i="1" s="1"/>
  <c r="E130" i="1"/>
  <c r="F126" i="1"/>
  <c r="F125" i="1"/>
  <c r="F124" i="1"/>
  <c r="G124" i="1" s="1"/>
  <c r="D78" i="1" l="1"/>
  <c r="G80" i="1"/>
  <c r="G79" i="1"/>
  <c r="G78" i="1"/>
  <c r="D79" i="1"/>
  <c r="D80" i="1"/>
  <c r="G33" i="1"/>
  <c r="D33" i="1"/>
  <c r="D37" i="1" l="1"/>
  <c r="D28" i="1"/>
  <c r="G28" i="1"/>
  <c r="G37" i="1"/>
  <c r="G48" i="1"/>
  <c r="G51" i="1"/>
  <c r="G45" i="1"/>
  <c r="G44" i="1"/>
  <c r="D45" i="1"/>
  <c r="D39" i="1" l="1"/>
  <c r="D38" i="1"/>
  <c r="G55" i="1"/>
  <c r="G53" i="1" s="1"/>
  <c r="G34" i="1"/>
  <c r="G32" i="1" s="1"/>
  <c r="G30" i="1"/>
  <c r="D87" i="1" s="1"/>
  <c r="D55" i="1"/>
  <c r="D44" i="1"/>
  <c r="D34" i="1"/>
  <c r="D30" i="1"/>
  <c r="D86" i="1" s="1"/>
  <c r="D88" i="1" l="1"/>
  <c r="G41" i="1"/>
  <c r="G40" i="1"/>
  <c r="G47" i="1"/>
  <c r="G43" i="1" s="1"/>
  <c r="D32" i="1"/>
  <c r="D53" i="1"/>
  <c r="D40" i="1" l="1"/>
  <c r="D41" i="1"/>
  <c r="G36" i="1"/>
  <c r="D92" i="1" s="1"/>
  <c r="D47" i="1"/>
  <c r="D43" i="1" s="1"/>
  <c r="G56" i="1" l="1"/>
  <c r="G57" i="1" s="1"/>
  <c r="G67" i="1"/>
  <c r="G69" i="1" s="1"/>
  <c r="D36" i="1"/>
  <c r="D91" i="1" s="1"/>
  <c r="D93" i="1" s="1"/>
  <c r="D95" i="1" s="1"/>
  <c r="D98" i="1" l="1"/>
  <c r="D97" i="1"/>
  <c r="D56" i="1"/>
  <c r="D57" i="1" s="1"/>
  <c r="D63" i="1" s="1"/>
  <c r="D67" i="1"/>
  <c r="G70" i="1"/>
  <c r="H69" i="1"/>
  <c r="G63" i="1"/>
  <c r="G65" i="1" s="1"/>
  <c r="G59" i="1"/>
  <c r="G61" i="1" s="1"/>
  <c r="D59" i="1" l="1"/>
  <c r="H61" i="1"/>
  <c r="G62" i="1"/>
  <c r="G66" i="1"/>
  <c r="G72" i="1" s="1"/>
  <c r="H65" i="1"/>
  <c r="D65" i="1"/>
  <c r="D69" i="1"/>
  <c r="D61" i="1" l="1"/>
  <c r="G73" i="1"/>
  <c r="G74" i="1" s="1"/>
  <c r="D66" i="1"/>
  <c r="D72" i="1" s="1"/>
  <c r="E65" i="1"/>
  <c r="D70" i="1"/>
  <c r="E69" i="1"/>
  <c r="E61" i="1" l="1"/>
  <c r="D62" i="1"/>
  <c r="D73" i="1"/>
  <c r="D74" i="1" s="1"/>
  <c r="D99" i="1" s="1"/>
</calcChain>
</file>

<file path=xl/sharedStrings.xml><?xml version="1.0" encoding="utf-8"?>
<sst xmlns="http://schemas.openxmlformats.org/spreadsheetml/2006/main" count="175" uniqueCount="96">
  <si>
    <t xml:space="preserve">Paying Delegates </t>
  </si>
  <si>
    <t xml:space="preserve">Aiia Management </t>
  </si>
  <si>
    <t xml:space="preserve">Zimpapers Management </t>
  </si>
  <si>
    <t>Price per Room</t>
  </si>
  <si>
    <t xml:space="preserve">Venue Costs </t>
  </si>
  <si>
    <t xml:space="preserve">PA System </t>
  </si>
  <si>
    <t xml:space="preserve">Venue Branding </t>
  </si>
  <si>
    <t xml:space="preserve">Total Delegates Income </t>
  </si>
  <si>
    <t xml:space="preserve">Sponsorship Income </t>
  </si>
  <si>
    <t xml:space="preserve">Total Income </t>
  </si>
  <si>
    <t xml:space="preserve">Speakers Fees </t>
  </si>
  <si>
    <t xml:space="preserve">Delegates Gifts </t>
  </si>
  <si>
    <t>Delegates Gifts - Unit Price</t>
  </si>
  <si>
    <t xml:space="preserve">Officials Presents Unit Prices </t>
  </si>
  <si>
    <t xml:space="preserve">Number of Officials </t>
  </si>
  <si>
    <t xml:space="preserve">Venue </t>
  </si>
  <si>
    <t xml:space="preserve">Number of Local Speakers </t>
  </si>
  <si>
    <t xml:space="preserve">Key Speakers </t>
  </si>
  <si>
    <t xml:space="preserve">Key Speaker Fees </t>
  </si>
  <si>
    <t xml:space="preserve">Conference  Days </t>
  </si>
  <si>
    <t xml:space="preserve">Number of Nights </t>
  </si>
  <si>
    <t xml:space="preserve">Non-paying </t>
  </si>
  <si>
    <t xml:space="preserve">Paying </t>
  </si>
  <si>
    <t>Staff</t>
  </si>
  <si>
    <t>Local Flight Costs</t>
  </si>
  <si>
    <t>International Flight Costs</t>
  </si>
  <si>
    <t>Total Delegates</t>
  </si>
  <si>
    <t xml:space="preserve">Paying Delegates Rooms </t>
  </si>
  <si>
    <t>Speakers</t>
  </si>
  <si>
    <t xml:space="preserve">Boat / Activities </t>
  </si>
  <si>
    <t xml:space="preserve">Speaker Fees </t>
  </si>
  <si>
    <t xml:space="preserve">Officials presents </t>
  </si>
  <si>
    <t xml:space="preserve">local flights </t>
  </si>
  <si>
    <t xml:space="preserve">International Flights </t>
  </si>
  <si>
    <t>Inputs</t>
  </si>
  <si>
    <t>MC</t>
  </si>
  <si>
    <t xml:space="preserve">Dinner </t>
  </si>
  <si>
    <t>Dinner</t>
  </si>
  <si>
    <t xml:space="preserve">Number of International Speakers </t>
  </si>
  <si>
    <t xml:space="preserve">USD </t>
  </si>
  <si>
    <t>Other costs (USD)</t>
  </si>
  <si>
    <t xml:space="preserve">Flight Costs  - USD </t>
  </si>
  <si>
    <t>Hotel Costs (USD)</t>
  </si>
  <si>
    <t>AI Tech Forum - Nyanga - Montclair  - May 2026</t>
  </si>
  <si>
    <t xml:space="preserve">National AI Policy Summit  - Nyanga  - Montclair - May </t>
  </si>
  <si>
    <t xml:space="preserve">3 Days </t>
  </si>
  <si>
    <t xml:space="preserve">Tech AI Forum Summit </t>
  </si>
  <si>
    <t xml:space="preserve">1.5Days </t>
  </si>
  <si>
    <t>National AI Policy Summit</t>
  </si>
  <si>
    <t xml:space="preserve">1.5 Days </t>
  </si>
  <si>
    <t>Total Summit Duration*</t>
  </si>
  <si>
    <t>* The 2 Summits will be held in 3 Consecutive Days to Maximisze Delegates numbers</t>
  </si>
  <si>
    <t xml:space="preserve">Total Costs </t>
  </si>
  <si>
    <t xml:space="preserve">Transport </t>
  </si>
  <si>
    <t>Cost/Paying Delegate (Excl Transport)</t>
  </si>
  <si>
    <t>Total Costs / Delegate (Inclusive)</t>
  </si>
  <si>
    <t>Profit/Delegate (Inclusive)</t>
  </si>
  <si>
    <t>Price / Delegate (Inclusive)</t>
  </si>
  <si>
    <t xml:space="preserve">Total Profit </t>
  </si>
  <si>
    <t xml:space="preserve">Total Revenue </t>
  </si>
  <si>
    <t xml:space="preserve">Delegate Revenue </t>
  </si>
  <si>
    <t>Sponsorship (20%)</t>
  </si>
  <si>
    <t xml:space="preserve">Total Delegate Profit </t>
  </si>
  <si>
    <t xml:space="preserve">TechForum </t>
  </si>
  <si>
    <t xml:space="preserve">AI Summit </t>
  </si>
  <si>
    <t>Summit + Dinner</t>
  </si>
  <si>
    <t xml:space="preserve">Summit + Dinner </t>
  </si>
  <si>
    <t>Total Profit  (Summit + Dinner)</t>
  </si>
  <si>
    <t>Profit/Delegate (Summit + Dinner)</t>
  </si>
  <si>
    <t>Price / Delegate (Summit + Dinner)</t>
  </si>
  <si>
    <t>Total Cost/Delegate (Summit + Dinner)</t>
  </si>
  <si>
    <t>Total Cost/Delegate (Summit + Dinner + Hotel)</t>
  </si>
  <si>
    <t>Price / Delegate (Summit + Dinner + Hotel)</t>
  </si>
  <si>
    <t>Profit/Delegate (Summit + Dinner + Hotel)</t>
  </si>
  <si>
    <t>Total Profit  (Summit + Dinner + Hotel )</t>
  </si>
  <si>
    <t>Price/Delegate (USD)</t>
  </si>
  <si>
    <t xml:space="preserve">Price/Delegate (USD) </t>
  </si>
  <si>
    <t>Summit + Hotel + Dinner + Transport (Harare-Nyanga)</t>
  </si>
  <si>
    <t xml:space="preserve">Summit + Hotel + Dinner </t>
  </si>
  <si>
    <t>AI Tech Forum  :  26 - 28 May 2026</t>
  </si>
  <si>
    <t>Check In - 26 May and Check Out - 28 May 2026</t>
  </si>
  <si>
    <t>Check In - 28 May and Check Out - 30 May 2026</t>
  </si>
  <si>
    <t>National AI Policy Summit  :  28 - 30 May 2026</t>
  </si>
  <si>
    <t>Airtime ($2/day/20days)</t>
  </si>
  <si>
    <t>Fuel</t>
  </si>
  <si>
    <t xml:space="preserve">InDrive </t>
  </si>
  <si>
    <t>Fixed payment (Weekly)</t>
  </si>
  <si>
    <t xml:space="preserve">Costs </t>
  </si>
  <si>
    <t xml:space="preserve">Profit </t>
  </si>
  <si>
    <t xml:space="preserve">Total Delegates </t>
  </si>
  <si>
    <t xml:space="preserve">Total </t>
  </si>
  <si>
    <t>Proportion of Delegates (Summit+Hotel+Dinner+Trans)</t>
  </si>
  <si>
    <t>Proportion of Delegates (Summit+Hotel+Dinner)</t>
  </si>
  <si>
    <t xml:space="preserve">Income </t>
  </si>
  <si>
    <t>Boat / Activities  (Great Zimnbabwe Tour)</t>
  </si>
  <si>
    <t>Boat / Activities  (Great Zimbabwe Tour)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</si>
</sst>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US$-3009]* #,##0.00_-;\-[$US$-3009]* #,##0.00_-;_-[$US$-30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/>
    <xf numFmtId="43" fontId="0" fillId="0" borderId="2" xfId="1" applyFont="1" applyBorder="1"/>
    <xf numFmtId="0" fontId="0" fillId="0" borderId="3" xfId="0" applyBorder="1"/>
    <xf numFmtId="43" fontId="0" fillId="0" borderId="4" xfId="1" applyFont="1" applyBorder="1"/>
    <xf numFmtId="0" fontId="0" fillId="0" borderId="0" xfId="0" applyAlignment="1">
      <alignment horizontal="right"/>
    </xf>
    <xf numFmtId="43" fontId="0" fillId="0" borderId="2" xfId="0" applyNumberFormat="1" applyBorder="1"/>
    <xf numFmtId="0" fontId="0" fillId="0" borderId="5" xfId="0" applyBorder="1"/>
    <xf numFmtId="43" fontId="0" fillId="0" borderId="6" xfId="0" applyNumberFormat="1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5" xfId="0" applyFont="1" applyBorder="1"/>
    <xf numFmtId="43" fontId="2" fillId="0" borderId="6" xfId="0" applyNumberFormat="1" applyFont="1" applyBorder="1"/>
    <xf numFmtId="43" fontId="0" fillId="0" borderId="6" xfId="1" applyFont="1" applyBorder="1"/>
    <xf numFmtId="43" fontId="2" fillId="0" borderId="6" xfId="1" applyFont="1" applyBorder="1"/>
    <xf numFmtId="43" fontId="2" fillId="0" borderId="4" xfId="1" applyFont="1" applyBorder="1"/>
    <xf numFmtId="0" fontId="0" fillId="0" borderId="2" xfId="0" applyBorder="1"/>
    <xf numFmtId="0" fontId="0" fillId="0" borderId="6" xfId="0" applyBorder="1"/>
    <xf numFmtId="0" fontId="0" fillId="0" borderId="0" xfId="0" applyBorder="1"/>
    <xf numFmtId="43" fontId="0" fillId="0" borderId="0" xfId="1" applyFont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2" fillId="0" borderId="9" xfId="0" applyFont="1" applyBorder="1"/>
    <xf numFmtId="0" fontId="0" fillId="0" borderId="14" xfId="0" applyBorder="1"/>
    <xf numFmtId="43" fontId="0" fillId="0" borderId="4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164" fontId="0" fillId="0" borderId="0" xfId="0" applyNumberFormat="1" applyBorder="1"/>
    <xf numFmtId="0" fontId="0" fillId="0" borderId="15" xfId="0" applyBorder="1"/>
    <xf numFmtId="43" fontId="0" fillId="0" borderId="10" xfId="1" applyFont="1" applyBorder="1"/>
    <xf numFmtId="0" fontId="2" fillId="0" borderId="11" xfId="0" applyFont="1" applyBorder="1"/>
    <xf numFmtId="0" fontId="0" fillId="0" borderId="5" xfId="0" applyFill="1" applyBorder="1"/>
    <xf numFmtId="0" fontId="0" fillId="0" borderId="1" xfId="0" applyFill="1" applyBorder="1"/>
    <xf numFmtId="0" fontId="0" fillId="0" borderId="3" xfId="0" applyFill="1" applyBorder="1"/>
    <xf numFmtId="9" fontId="0" fillId="0" borderId="0" xfId="2" applyFont="1"/>
    <xf numFmtId="0" fontId="0" fillId="0" borderId="16" xfId="0" applyBorder="1"/>
    <xf numFmtId="0" fontId="2" fillId="0" borderId="3" xfId="0" applyFont="1" applyBorder="1"/>
    <xf numFmtId="43" fontId="2" fillId="0" borderId="4" xfId="0" applyNumberFormat="1" applyFont="1" applyBorder="1"/>
    <xf numFmtId="0" fontId="2" fillId="0" borderId="17" xfId="0" applyFont="1" applyBorder="1"/>
    <xf numFmtId="164" fontId="0" fillId="0" borderId="10" xfId="0" applyNumberFormat="1" applyBorder="1"/>
    <xf numFmtId="43" fontId="2" fillId="0" borderId="7" xfId="1" applyFont="1" applyBorder="1"/>
    <xf numFmtId="0" fontId="2" fillId="0" borderId="18" xfId="0" applyFont="1" applyBorder="1"/>
    <xf numFmtId="0" fontId="4" fillId="0" borderId="8" xfId="0" applyFont="1" applyBorder="1"/>
    <xf numFmtId="0" fontId="3" fillId="0" borderId="24" xfId="0" applyFont="1" applyBorder="1"/>
    <xf numFmtId="0" fontId="3" fillId="0" borderId="23" xfId="0" applyFont="1" applyBorder="1" applyAlignment="1">
      <alignment horizontal="center"/>
    </xf>
    <xf numFmtId="0" fontId="4" fillId="0" borderId="0" xfId="0" applyFont="1" applyBorder="1"/>
    <xf numFmtId="0" fontId="4" fillId="0" borderId="9" xfId="0" applyFont="1" applyBorder="1"/>
    <xf numFmtId="43" fontId="4" fillId="0" borderId="21" xfId="1" applyFont="1" applyBorder="1" applyAlignment="1">
      <alignment horizontal="right"/>
    </xf>
    <xf numFmtId="43" fontId="4" fillId="0" borderId="21" xfId="1" applyFont="1" applyBorder="1"/>
    <xf numFmtId="0" fontId="4" fillId="0" borderId="11" xfId="0" applyFont="1" applyBorder="1"/>
    <xf numFmtId="43" fontId="4" fillId="0" borderId="22" xfId="1" applyFont="1" applyBorder="1" applyAlignment="1">
      <alignment horizontal="right"/>
    </xf>
    <xf numFmtId="43" fontId="4" fillId="0" borderId="22" xfId="1" applyFont="1" applyBorder="1"/>
    <xf numFmtId="0" fontId="3" fillId="0" borderId="23" xfId="0" applyFont="1" applyBorder="1"/>
    <xf numFmtId="0" fontId="4" fillId="0" borderId="21" xfId="0" applyFont="1" applyBorder="1"/>
    <xf numFmtId="0" fontId="4" fillId="0" borderId="22" xfId="0" applyFont="1" applyBorder="1"/>
    <xf numFmtId="9" fontId="0" fillId="0" borderId="0" xfId="0" applyNumberFormat="1"/>
    <xf numFmtId="43" fontId="0" fillId="0" borderId="0" xfId="1" applyFont="1"/>
    <xf numFmtId="43" fontId="0" fillId="0" borderId="0" xfId="0" applyNumberFormat="1" applyBorder="1"/>
    <xf numFmtId="43" fontId="0" fillId="0" borderId="0" xfId="1" applyNumberFormat="1" applyFont="1"/>
    <xf numFmtId="43" fontId="0" fillId="0" borderId="0" xfId="0" applyNumberFormat="1"/>
    <xf numFmtId="43" fontId="4" fillId="0" borderId="0" xfId="1" applyFont="1" applyBorder="1" applyAlignment="1">
      <alignment horizontal="right"/>
    </xf>
    <xf numFmtId="43" fontId="4" fillId="0" borderId="10" xfId="1" applyFont="1" applyBorder="1"/>
    <xf numFmtId="9" fontId="4" fillId="0" borderId="0" xfId="1" applyNumberFormat="1" applyFont="1" applyBorder="1" applyAlignment="1">
      <alignment horizontal="right"/>
    </xf>
    <xf numFmtId="0" fontId="4" fillId="0" borderId="25" xfId="0" applyFont="1" applyBorder="1"/>
    <xf numFmtId="9" fontId="4" fillId="0" borderId="10" xfId="1" applyNumberFormat="1" applyFont="1" applyBorder="1" applyAlignment="1">
      <alignment horizontal="right"/>
    </xf>
    <xf numFmtId="0" fontId="3" fillId="0" borderId="9" xfId="0" applyFont="1" applyBorder="1"/>
    <xf numFmtId="43" fontId="3" fillId="0" borderId="0" xfId="1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C839-462D-481A-9166-0F165815FED3}">
  <dimension ref="C1:H136"/>
  <sheetViews>
    <sheetView tabSelected="1" zoomScale="110" zoomScaleNormal="110" workbookViewId="0">
      <selection activeCell="G6" sqref="G6"/>
    </sheetView>
  </sheetViews>
  <sheetFormatPr defaultRowHeight="14.4" x14ac:dyDescent="0.3"/>
  <cols>
    <col min="3" max="3" width="51.21875" customWidth="1"/>
    <col min="4" max="4" width="21.77734375" customWidth="1"/>
    <col min="5" max="5" width="11.44140625" customWidth="1"/>
    <col min="6" max="6" width="51.21875" customWidth="1"/>
    <col min="7" max="7" width="20.77734375" customWidth="1"/>
  </cols>
  <sheetData>
    <row r="1" spans="3:7" x14ac:dyDescent="0.3">
      <c r="C1" t="s">
        <v>43</v>
      </c>
      <c r="F1" t="s">
        <v>44</v>
      </c>
    </row>
    <row r="2" spans="3:7" x14ac:dyDescent="0.3">
      <c r="C2" s="11" t="s">
        <v>34</v>
      </c>
      <c r="D2" s="19"/>
      <c r="F2" s="11" t="s">
        <v>34</v>
      </c>
      <c r="G2" s="19"/>
    </row>
    <row r="3" spans="3:7" x14ac:dyDescent="0.3">
      <c r="C3" s="9" t="s">
        <v>19</v>
      </c>
      <c r="D3" s="20">
        <v>2</v>
      </c>
      <c r="F3" s="9" t="s">
        <v>19</v>
      </c>
      <c r="G3" s="20">
        <v>2</v>
      </c>
    </row>
    <row r="4" spans="3:7" x14ac:dyDescent="0.3">
      <c r="C4" s="9" t="s">
        <v>20</v>
      </c>
      <c r="D4" s="20">
        <v>2</v>
      </c>
      <c r="F4" s="9" t="s">
        <v>20</v>
      </c>
      <c r="G4" s="20">
        <v>2</v>
      </c>
    </row>
    <row r="5" spans="3:7" x14ac:dyDescent="0.3">
      <c r="C5" s="9" t="s">
        <v>0</v>
      </c>
      <c r="D5" s="20">
        <v>50</v>
      </c>
      <c r="F5" s="9" t="s">
        <v>0</v>
      </c>
      <c r="G5" s="20">
        <v>50</v>
      </c>
    </row>
    <row r="6" spans="3:7" x14ac:dyDescent="0.3">
      <c r="C6" s="9" t="s">
        <v>1</v>
      </c>
      <c r="D6" s="20">
        <v>3</v>
      </c>
      <c r="F6" s="9" t="s">
        <v>1</v>
      </c>
      <c r="G6" s="20">
        <v>3</v>
      </c>
    </row>
    <row r="7" spans="3:7" x14ac:dyDescent="0.3">
      <c r="C7" s="9" t="s">
        <v>2</v>
      </c>
      <c r="D7" s="20">
        <v>3</v>
      </c>
      <c r="F7" s="9" t="s">
        <v>2</v>
      </c>
      <c r="G7" s="20">
        <v>3</v>
      </c>
    </row>
    <row r="8" spans="3:7" x14ac:dyDescent="0.3">
      <c r="C8" s="9" t="s">
        <v>3</v>
      </c>
      <c r="D8" s="20">
        <v>85</v>
      </c>
      <c r="F8" s="9" t="s">
        <v>3</v>
      </c>
      <c r="G8" s="20">
        <v>85</v>
      </c>
    </row>
    <row r="9" spans="3:7" x14ac:dyDescent="0.3">
      <c r="C9" s="9" t="s">
        <v>37</v>
      </c>
      <c r="D9" s="20">
        <v>25</v>
      </c>
      <c r="F9" s="9" t="s">
        <v>36</v>
      </c>
      <c r="G9" s="20">
        <v>25</v>
      </c>
    </row>
    <row r="10" spans="3:7" x14ac:dyDescent="0.3">
      <c r="C10" s="9" t="s">
        <v>24</v>
      </c>
      <c r="D10" s="20">
        <v>300</v>
      </c>
      <c r="F10" s="9" t="s">
        <v>24</v>
      </c>
      <c r="G10" s="20">
        <v>300</v>
      </c>
    </row>
    <row r="11" spans="3:7" x14ac:dyDescent="0.3">
      <c r="C11" s="9" t="s">
        <v>25</v>
      </c>
      <c r="D11" s="20">
        <v>450</v>
      </c>
      <c r="F11" s="9" t="s">
        <v>25</v>
      </c>
      <c r="G11" s="20">
        <v>450</v>
      </c>
    </row>
    <row r="12" spans="3:7" x14ac:dyDescent="0.3">
      <c r="C12" s="9" t="s">
        <v>4</v>
      </c>
      <c r="D12" s="20">
        <v>30</v>
      </c>
      <c r="F12" s="9" t="s">
        <v>4</v>
      </c>
      <c r="G12" s="20">
        <v>30</v>
      </c>
    </row>
    <row r="13" spans="3:7" x14ac:dyDescent="0.3">
      <c r="C13" s="9" t="s">
        <v>5</v>
      </c>
      <c r="D13" s="20">
        <v>200</v>
      </c>
      <c r="F13" s="9" t="s">
        <v>5</v>
      </c>
      <c r="G13" s="20">
        <v>200</v>
      </c>
    </row>
    <row r="14" spans="3:7" x14ac:dyDescent="0.3">
      <c r="C14" s="9" t="s">
        <v>6</v>
      </c>
      <c r="D14" s="20">
        <v>500</v>
      </c>
      <c r="F14" s="9" t="s">
        <v>6</v>
      </c>
      <c r="G14" s="20">
        <v>500</v>
      </c>
    </row>
    <row r="15" spans="3:7" x14ac:dyDescent="0.3">
      <c r="C15" s="9" t="s">
        <v>94</v>
      </c>
      <c r="D15" s="20">
        <v>20</v>
      </c>
      <c r="F15" s="9" t="s">
        <v>95</v>
      </c>
      <c r="G15" s="20">
        <v>20</v>
      </c>
    </row>
    <row r="16" spans="3:7" x14ac:dyDescent="0.3">
      <c r="C16" s="9" t="s">
        <v>10</v>
      </c>
      <c r="D16" s="20">
        <v>250</v>
      </c>
      <c r="F16" s="9" t="s">
        <v>10</v>
      </c>
      <c r="G16" s="20">
        <v>250</v>
      </c>
    </row>
    <row r="17" spans="3:7" x14ac:dyDescent="0.3">
      <c r="C17" s="9" t="s">
        <v>17</v>
      </c>
      <c r="D17" s="20">
        <v>1</v>
      </c>
      <c r="F17" s="9" t="s">
        <v>17</v>
      </c>
      <c r="G17" s="20">
        <v>1</v>
      </c>
    </row>
    <row r="18" spans="3:7" x14ac:dyDescent="0.3">
      <c r="C18" s="9" t="s">
        <v>18</v>
      </c>
      <c r="D18" s="20">
        <v>300</v>
      </c>
      <c r="F18" s="9" t="s">
        <v>18</v>
      </c>
      <c r="G18" s="20">
        <v>300</v>
      </c>
    </row>
    <row r="19" spans="3:7" x14ac:dyDescent="0.3">
      <c r="C19" s="9" t="s">
        <v>16</v>
      </c>
      <c r="D19" s="20">
        <v>10</v>
      </c>
      <c r="F19" s="9" t="s">
        <v>16</v>
      </c>
      <c r="G19" s="20">
        <v>12</v>
      </c>
    </row>
    <row r="20" spans="3:7" x14ac:dyDescent="0.3">
      <c r="C20" s="9" t="s">
        <v>38</v>
      </c>
      <c r="D20" s="20">
        <v>1</v>
      </c>
      <c r="F20" s="9" t="s">
        <v>38</v>
      </c>
      <c r="G20" s="20">
        <v>1</v>
      </c>
    </row>
    <row r="21" spans="3:7" x14ac:dyDescent="0.3">
      <c r="C21" s="9" t="s">
        <v>14</v>
      </c>
      <c r="D21" s="20">
        <v>1</v>
      </c>
      <c r="F21" s="9" t="s">
        <v>14</v>
      </c>
      <c r="G21" s="20">
        <v>1</v>
      </c>
    </row>
    <row r="22" spans="3:7" x14ac:dyDescent="0.3">
      <c r="C22" s="9" t="s">
        <v>13</v>
      </c>
      <c r="D22" s="20">
        <v>200</v>
      </c>
      <c r="F22" s="9" t="s">
        <v>13</v>
      </c>
      <c r="G22" s="20">
        <v>200</v>
      </c>
    </row>
    <row r="23" spans="3:7" x14ac:dyDescent="0.3">
      <c r="C23" s="9" t="s">
        <v>12</v>
      </c>
      <c r="D23" s="20">
        <v>35</v>
      </c>
      <c r="F23" s="9" t="s">
        <v>12</v>
      </c>
      <c r="G23" s="20">
        <v>35</v>
      </c>
    </row>
    <row r="24" spans="3:7" x14ac:dyDescent="0.3">
      <c r="C24" s="9" t="s">
        <v>35</v>
      </c>
      <c r="D24" s="20">
        <v>700</v>
      </c>
      <c r="F24" s="9" t="s">
        <v>35</v>
      </c>
      <c r="G24" s="20">
        <v>700</v>
      </c>
    </row>
    <row r="25" spans="3:7" x14ac:dyDescent="0.3">
      <c r="C25" s="5" t="s">
        <v>26</v>
      </c>
      <c r="D25" s="29">
        <f>+D5+D6+D7+D17+D19+D20</f>
        <v>68</v>
      </c>
      <c r="F25" s="5" t="s">
        <v>89</v>
      </c>
      <c r="G25" s="29">
        <f>+G5+G6+G7+G17+G19+G20</f>
        <v>70</v>
      </c>
    </row>
    <row r="27" spans="3:7" x14ac:dyDescent="0.3">
      <c r="D27" s="7" t="s">
        <v>39</v>
      </c>
      <c r="G27" s="7" t="s">
        <v>39</v>
      </c>
    </row>
    <row r="28" spans="3:7" x14ac:dyDescent="0.3">
      <c r="C28" s="3" t="s">
        <v>7</v>
      </c>
      <c r="D28" s="4">
        <f>+D33*D78*D82+D79*D33*D83</f>
        <v>37125</v>
      </c>
      <c r="F28" s="3" t="s">
        <v>7</v>
      </c>
      <c r="G28" s="4">
        <f>+G33*G78*G82+G79*G33*G83</f>
        <v>37125</v>
      </c>
    </row>
    <row r="29" spans="3:7" x14ac:dyDescent="0.3">
      <c r="C29" s="9" t="s">
        <v>8</v>
      </c>
      <c r="D29" s="16">
        <v>5000</v>
      </c>
      <c r="F29" s="9" t="s">
        <v>8</v>
      </c>
      <c r="G29" s="16">
        <v>5000</v>
      </c>
    </row>
    <row r="30" spans="3:7" x14ac:dyDescent="0.3">
      <c r="C30" s="5" t="s">
        <v>9</v>
      </c>
      <c r="D30" s="18">
        <f>SUM(D28:D29)</f>
        <v>42125</v>
      </c>
      <c r="F30" s="5" t="s">
        <v>9</v>
      </c>
      <c r="G30" s="18">
        <f>SUM(G28:G29)</f>
        <v>42125</v>
      </c>
    </row>
    <row r="32" spans="3:7" x14ac:dyDescent="0.3">
      <c r="C32" s="11" t="s">
        <v>26</v>
      </c>
      <c r="D32" s="12">
        <f>SUM(D33:D34)</f>
        <v>68</v>
      </c>
      <c r="E32" s="1"/>
      <c r="F32" s="11" t="s">
        <v>26</v>
      </c>
      <c r="G32" s="12">
        <f>SUM(G33:G34)</f>
        <v>70</v>
      </c>
    </row>
    <row r="33" spans="3:7" x14ac:dyDescent="0.3">
      <c r="C33" s="9" t="s">
        <v>22</v>
      </c>
      <c r="D33" s="13">
        <f>+D5</f>
        <v>50</v>
      </c>
      <c r="E33" s="2"/>
      <c r="F33" s="9" t="s">
        <v>22</v>
      </c>
      <c r="G33" s="13">
        <f>+G5</f>
        <v>50</v>
      </c>
    </row>
    <row r="34" spans="3:7" x14ac:dyDescent="0.3">
      <c r="C34" s="9" t="s">
        <v>21</v>
      </c>
      <c r="D34" s="13">
        <f>+D6+D7+D19+D20+D21</f>
        <v>18</v>
      </c>
      <c r="F34" s="9" t="s">
        <v>21</v>
      </c>
      <c r="G34" s="13">
        <f>+G6+G7+G19+G20+G21</f>
        <v>20</v>
      </c>
    </row>
    <row r="35" spans="3:7" x14ac:dyDescent="0.3">
      <c r="C35" s="9"/>
      <c r="D35" s="13"/>
      <c r="F35" s="9"/>
      <c r="G35" s="13"/>
    </row>
    <row r="36" spans="3:7" x14ac:dyDescent="0.3">
      <c r="C36" s="14" t="s">
        <v>42</v>
      </c>
      <c r="D36" s="15">
        <f>SUM(D37:D41)</f>
        <v>13600</v>
      </c>
      <c r="F36" s="14" t="s">
        <v>42</v>
      </c>
      <c r="G36" s="15">
        <f>SUM(G37:G41)</f>
        <v>14130</v>
      </c>
    </row>
    <row r="37" spans="3:7" x14ac:dyDescent="0.3">
      <c r="C37" s="9" t="s">
        <v>27</v>
      </c>
      <c r="D37" s="16">
        <f>+D33*D8</f>
        <v>4250</v>
      </c>
      <c r="F37" s="9" t="s">
        <v>27</v>
      </c>
      <c r="G37" s="16">
        <f>+G33*G8</f>
        <v>4250</v>
      </c>
    </row>
    <row r="38" spans="3:7" x14ac:dyDescent="0.3">
      <c r="C38" s="9" t="s">
        <v>28</v>
      </c>
      <c r="D38" s="16">
        <f>+(D20+D19)*D8*D4</f>
        <v>1870</v>
      </c>
      <c r="F38" s="9" t="s">
        <v>28</v>
      </c>
      <c r="G38" s="16">
        <f>+(G20+G19)*G8*G4</f>
        <v>2210</v>
      </c>
    </row>
    <row r="39" spans="3:7" x14ac:dyDescent="0.3">
      <c r="C39" s="9" t="s">
        <v>23</v>
      </c>
      <c r="D39" s="16">
        <f>+(D7+D6)*D8*D4</f>
        <v>1020</v>
      </c>
      <c r="F39" s="9" t="s">
        <v>23</v>
      </c>
      <c r="G39" s="16">
        <f>+(G7+G6)*G8*G4</f>
        <v>1020</v>
      </c>
    </row>
    <row r="40" spans="3:7" x14ac:dyDescent="0.3">
      <c r="C40" s="9" t="s">
        <v>36</v>
      </c>
      <c r="D40" s="16">
        <f>+D9*D32*D4</f>
        <v>3400</v>
      </c>
      <c r="F40" s="9" t="s">
        <v>36</v>
      </c>
      <c r="G40" s="16">
        <f>+G9*G32*G4</f>
        <v>3500</v>
      </c>
    </row>
    <row r="41" spans="3:7" x14ac:dyDescent="0.3">
      <c r="C41" s="9" t="s">
        <v>15</v>
      </c>
      <c r="D41" s="16">
        <f>+D12*D32*1.5</f>
        <v>3060</v>
      </c>
      <c r="F41" s="9" t="s">
        <v>15</v>
      </c>
      <c r="G41" s="16">
        <f>+G12*G32*1.5</f>
        <v>3150</v>
      </c>
    </row>
    <row r="42" spans="3:7" x14ac:dyDescent="0.3">
      <c r="C42" s="9"/>
      <c r="D42" s="16"/>
      <c r="F42" s="9"/>
      <c r="G42" s="16"/>
    </row>
    <row r="43" spans="3:7" x14ac:dyDescent="0.3">
      <c r="C43" s="14" t="s">
        <v>40</v>
      </c>
      <c r="D43" s="17">
        <f>SUM(D44:D51)</f>
        <v>6980</v>
      </c>
      <c r="F43" s="14" t="s">
        <v>40</v>
      </c>
      <c r="G43" s="17">
        <f>SUM(G44:G51)</f>
        <v>7550</v>
      </c>
    </row>
    <row r="44" spans="3:7" x14ac:dyDescent="0.3">
      <c r="C44" s="9" t="s">
        <v>6</v>
      </c>
      <c r="D44" s="16">
        <f>+D14</f>
        <v>500</v>
      </c>
      <c r="F44" s="9" t="s">
        <v>6</v>
      </c>
      <c r="G44" s="16">
        <f>+G14</f>
        <v>500</v>
      </c>
    </row>
    <row r="45" spans="3:7" x14ac:dyDescent="0.3">
      <c r="C45" s="9" t="s">
        <v>5</v>
      </c>
      <c r="D45" s="16">
        <f>+D13*D3</f>
        <v>400</v>
      </c>
      <c r="F45" s="9" t="s">
        <v>5</v>
      </c>
      <c r="G45" s="16">
        <f>+G13*G3</f>
        <v>400</v>
      </c>
    </row>
    <row r="46" spans="3:7" x14ac:dyDescent="0.3">
      <c r="C46" s="9" t="s">
        <v>29</v>
      </c>
      <c r="D46" s="16">
        <v>0</v>
      </c>
      <c r="F46" s="9" t="s">
        <v>29</v>
      </c>
      <c r="G46" s="16">
        <v>0</v>
      </c>
    </row>
    <row r="47" spans="3:7" x14ac:dyDescent="0.3">
      <c r="C47" s="9" t="s">
        <v>11</v>
      </c>
      <c r="D47" s="16">
        <f>+D32*D23</f>
        <v>2380</v>
      </c>
      <c r="F47" s="9" t="s">
        <v>11</v>
      </c>
      <c r="G47" s="16">
        <f>+G32*G23</f>
        <v>2450</v>
      </c>
    </row>
    <row r="48" spans="3:7" x14ac:dyDescent="0.3">
      <c r="C48" s="9" t="s">
        <v>30</v>
      </c>
      <c r="D48" s="16">
        <f>+(D19*D16)+(D20-D17)*D16</f>
        <v>2500</v>
      </c>
      <c r="F48" s="9" t="s">
        <v>30</v>
      </c>
      <c r="G48" s="16">
        <f>+(G19*G16)+(G20-G17)*G16</f>
        <v>3000</v>
      </c>
    </row>
    <row r="49" spans="3:8" x14ac:dyDescent="0.3">
      <c r="C49" s="9" t="s">
        <v>35</v>
      </c>
      <c r="D49" s="16">
        <f>+D24</f>
        <v>700</v>
      </c>
      <c r="F49" s="9" t="s">
        <v>35</v>
      </c>
      <c r="G49" s="16">
        <f>+G24</f>
        <v>700</v>
      </c>
    </row>
    <row r="50" spans="3:8" x14ac:dyDescent="0.3">
      <c r="C50" s="9" t="s">
        <v>18</v>
      </c>
      <c r="D50" s="16">
        <f>+D18</f>
        <v>300</v>
      </c>
      <c r="F50" s="9" t="s">
        <v>18</v>
      </c>
      <c r="G50" s="16">
        <v>300</v>
      </c>
    </row>
    <row r="51" spans="3:8" x14ac:dyDescent="0.3">
      <c r="C51" s="9" t="s">
        <v>31</v>
      </c>
      <c r="D51" s="16">
        <f>+D22*D21</f>
        <v>200</v>
      </c>
      <c r="F51" s="9" t="s">
        <v>31</v>
      </c>
      <c r="G51" s="16">
        <f>+G22*G21</f>
        <v>200</v>
      </c>
    </row>
    <row r="52" spans="3:8" x14ac:dyDescent="0.3">
      <c r="C52" s="9"/>
      <c r="D52" s="16"/>
      <c r="F52" s="9"/>
      <c r="G52" s="16"/>
    </row>
    <row r="53" spans="3:8" x14ac:dyDescent="0.3">
      <c r="C53" s="14" t="s">
        <v>41</v>
      </c>
      <c r="D53" s="17">
        <f>SUM(D54:D55)</f>
        <v>450</v>
      </c>
      <c r="F53" s="14" t="s">
        <v>41</v>
      </c>
      <c r="G53" s="17">
        <f>SUM(G54:G55)</f>
        <v>450</v>
      </c>
    </row>
    <row r="54" spans="3:8" x14ac:dyDescent="0.3">
      <c r="C54" s="9" t="s">
        <v>32</v>
      </c>
      <c r="D54" s="16">
        <v>0</v>
      </c>
      <c r="F54" s="9" t="s">
        <v>32</v>
      </c>
      <c r="G54" s="16">
        <v>0</v>
      </c>
    </row>
    <row r="55" spans="3:8" x14ac:dyDescent="0.3">
      <c r="C55" s="5" t="s">
        <v>33</v>
      </c>
      <c r="D55" s="6">
        <f>+D20*D11</f>
        <v>450</v>
      </c>
      <c r="F55" s="5" t="s">
        <v>33</v>
      </c>
      <c r="G55" s="6">
        <f>+G20*G11</f>
        <v>450</v>
      </c>
    </row>
    <row r="56" spans="3:8" x14ac:dyDescent="0.3">
      <c r="C56" s="36" t="s">
        <v>52</v>
      </c>
      <c r="D56" s="22">
        <f>+D53+D43+D36</f>
        <v>21030</v>
      </c>
      <c r="F56" s="36" t="s">
        <v>52</v>
      </c>
      <c r="G56" s="22">
        <f>+G53+G43+G36</f>
        <v>22130</v>
      </c>
    </row>
    <row r="57" spans="3:8" x14ac:dyDescent="0.3">
      <c r="C57" s="36" t="s">
        <v>54</v>
      </c>
      <c r="D57" s="22">
        <f>+D56/D33</f>
        <v>420.6</v>
      </c>
      <c r="F57" s="36" t="s">
        <v>54</v>
      </c>
      <c r="G57" s="22">
        <f>+G56/G33</f>
        <v>442.6</v>
      </c>
    </row>
    <row r="58" spans="3:8" x14ac:dyDescent="0.3">
      <c r="C58" s="36" t="s">
        <v>53</v>
      </c>
      <c r="D58" s="22">
        <v>40</v>
      </c>
      <c r="F58" s="36" t="s">
        <v>53</v>
      </c>
      <c r="G58" s="22">
        <v>40</v>
      </c>
    </row>
    <row r="59" spans="3:8" x14ac:dyDescent="0.3">
      <c r="C59" s="37" t="s">
        <v>55</v>
      </c>
      <c r="D59" s="4">
        <f>+D58+D57</f>
        <v>460.6</v>
      </c>
      <c r="F59" s="37" t="s">
        <v>55</v>
      </c>
      <c r="G59" s="4">
        <f>+G58+G57</f>
        <v>482.6</v>
      </c>
    </row>
    <row r="60" spans="3:8" x14ac:dyDescent="0.3">
      <c r="C60" s="36" t="s">
        <v>57</v>
      </c>
      <c r="D60" s="16">
        <v>765</v>
      </c>
      <c r="F60" s="36" t="s">
        <v>57</v>
      </c>
      <c r="G60" s="16">
        <v>765</v>
      </c>
    </row>
    <row r="61" spans="3:8" x14ac:dyDescent="0.3">
      <c r="C61" s="36" t="s">
        <v>56</v>
      </c>
      <c r="D61" s="16">
        <f>+D60-D59</f>
        <v>304.39999999999998</v>
      </c>
      <c r="E61" s="39">
        <f>+D61/D59</f>
        <v>0.66087711680416839</v>
      </c>
      <c r="F61" s="36" t="s">
        <v>56</v>
      </c>
      <c r="G61" s="16">
        <f>+G60-G59</f>
        <v>282.39999999999998</v>
      </c>
      <c r="H61" s="39">
        <f>+G61/G59</f>
        <v>0.58516369664318268</v>
      </c>
    </row>
    <row r="62" spans="3:8" x14ac:dyDescent="0.3">
      <c r="C62" s="38" t="s">
        <v>58</v>
      </c>
      <c r="D62" s="6">
        <f>+D61*D5</f>
        <v>15219.999999999998</v>
      </c>
      <c r="F62" s="38" t="s">
        <v>58</v>
      </c>
      <c r="G62" s="6">
        <f>+G61*G5</f>
        <v>14119.999999999998</v>
      </c>
    </row>
    <row r="63" spans="3:8" x14ac:dyDescent="0.3">
      <c r="C63" s="37" t="s">
        <v>71</v>
      </c>
      <c r="D63" s="4">
        <f>+D57</f>
        <v>420.6</v>
      </c>
      <c r="F63" s="37" t="s">
        <v>71</v>
      </c>
      <c r="G63" s="4">
        <f>+G57</f>
        <v>442.6</v>
      </c>
    </row>
    <row r="64" spans="3:8" x14ac:dyDescent="0.3">
      <c r="C64" s="36" t="s">
        <v>72</v>
      </c>
      <c r="D64" s="16">
        <v>720</v>
      </c>
      <c r="F64" s="36" t="s">
        <v>72</v>
      </c>
      <c r="G64" s="16">
        <v>720</v>
      </c>
    </row>
    <row r="65" spans="3:8" x14ac:dyDescent="0.3">
      <c r="C65" s="36" t="s">
        <v>73</v>
      </c>
      <c r="D65" s="16">
        <f>+D64-D63</f>
        <v>299.39999999999998</v>
      </c>
      <c r="E65" s="39">
        <f>+D65/D63</f>
        <v>0.71184022824536364</v>
      </c>
      <c r="F65" s="36" t="s">
        <v>73</v>
      </c>
      <c r="G65" s="16">
        <f>+G64-G63</f>
        <v>277.39999999999998</v>
      </c>
      <c r="H65" s="39">
        <f>+G65/G63</f>
        <v>0.62675101671938538</v>
      </c>
    </row>
    <row r="66" spans="3:8" x14ac:dyDescent="0.3">
      <c r="C66" s="38" t="s">
        <v>74</v>
      </c>
      <c r="D66" s="6">
        <f>+D65*D5</f>
        <v>14969.999999999998</v>
      </c>
      <c r="F66" s="38" t="s">
        <v>74</v>
      </c>
      <c r="G66" s="6">
        <f>+G65*G5</f>
        <v>13869.999999999998</v>
      </c>
    </row>
    <row r="67" spans="3:8" x14ac:dyDescent="0.3">
      <c r="C67" s="37" t="s">
        <v>70</v>
      </c>
      <c r="D67" s="4">
        <f>+(D53+D43+D36-D37)/D33</f>
        <v>335.6</v>
      </c>
      <c r="F67" s="37" t="s">
        <v>70</v>
      </c>
      <c r="G67" s="4">
        <f>+(G53+G43+G36-G37)/G33</f>
        <v>357.6</v>
      </c>
    </row>
    <row r="68" spans="3:8" x14ac:dyDescent="0.3">
      <c r="C68" s="36" t="s">
        <v>69</v>
      </c>
      <c r="D68" s="16">
        <v>570</v>
      </c>
      <c r="F68" s="36" t="s">
        <v>69</v>
      </c>
      <c r="G68" s="16">
        <v>570</v>
      </c>
    </row>
    <row r="69" spans="3:8" x14ac:dyDescent="0.3">
      <c r="C69" s="36" t="s">
        <v>68</v>
      </c>
      <c r="D69" s="16">
        <f>+D68-D67</f>
        <v>234.39999999999998</v>
      </c>
      <c r="E69" s="39">
        <f>+D69/D67</f>
        <v>0.69845053635280085</v>
      </c>
      <c r="F69" s="36" t="s">
        <v>68</v>
      </c>
      <c r="G69" s="16">
        <f>+G68-G67</f>
        <v>212.39999999999998</v>
      </c>
      <c r="H69" s="39">
        <f>+G69/G67</f>
        <v>0.59395973154362403</v>
      </c>
    </row>
    <row r="70" spans="3:8" x14ac:dyDescent="0.3">
      <c r="C70" s="38" t="s">
        <v>67</v>
      </c>
      <c r="D70" s="6">
        <f>+D69*D9</f>
        <v>5859.9999999999991</v>
      </c>
      <c r="F70" s="38" t="s">
        <v>67</v>
      </c>
      <c r="G70" s="6">
        <f>+G69*G9</f>
        <v>5309.9999999999991</v>
      </c>
    </row>
    <row r="72" spans="3:8" x14ac:dyDescent="0.3">
      <c r="C72" s="3" t="s">
        <v>62</v>
      </c>
      <c r="D72" s="8">
        <f>+D66</f>
        <v>14969.999999999998</v>
      </c>
      <c r="E72" s="40"/>
      <c r="F72" s="3" t="s">
        <v>60</v>
      </c>
      <c r="G72" s="8">
        <f>+G66</f>
        <v>13869.999999999998</v>
      </c>
    </row>
    <row r="73" spans="3:8" x14ac:dyDescent="0.3">
      <c r="C73" s="9" t="s">
        <v>61</v>
      </c>
      <c r="D73" s="10">
        <f>+D72*0.2</f>
        <v>2994</v>
      </c>
      <c r="E73" s="21"/>
      <c r="F73" s="9" t="s">
        <v>61</v>
      </c>
      <c r="G73" s="10">
        <f>+G72*0.2</f>
        <v>2774</v>
      </c>
    </row>
    <row r="74" spans="3:8" x14ac:dyDescent="0.3">
      <c r="C74" s="41" t="s">
        <v>58</v>
      </c>
      <c r="D74" s="42">
        <f>SUM(D72:D73)</f>
        <v>17964</v>
      </c>
      <c r="E74" s="43"/>
      <c r="F74" s="41" t="s">
        <v>59</v>
      </c>
      <c r="G74" s="42">
        <f>SUM(G72:G73)</f>
        <v>16644</v>
      </c>
    </row>
    <row r="75" spans="3:8" ht="15" thickBot="1" x14ac:dyDescent="0.35">
      <c r="C75" s="30"/>
      <c r="D75" s="31"/>
      <c r="F75" s="30"/>
      <c r="G75" s="31"/>
    </row>
    <row r="76" spans="3:8" ht="16.2" thickBot="1" x14ac:dyDescent="0.35">
      <c r="C76" s="72" t="s">
        <v>79</v>
      </c>
      <c r="D76" s="73"/>
      <c r="E76" s="47"/>
      <c r="F76" s="72" t="s">
        <v>82</v>
      </c>
      <c r="G76" s="73"/>
    </row>
    <row r="77" spans="3:8" ht="15.6" x14ac:dyDescent="0.3">
      <c r="C77" s="57" t="s">
        <v>80</v>
      </c>
      <c r="D77" s="49" t="s">
        <v>75</v>
      </c>
      <c r="E77" s="50"/>
      <c r="F77" s="48" t="s">
        <v>81</v>
      </c>
      <c r="G77" s="49" t="s">
        <v>76</v>
      </c>
    </row>
    <row r="78" spans="3:8" ht="15.6" x14ac:dyDescent="0.3">
      <c r="C78" s="58" t="s">
        <v>77</v>
      </c>
      <c r="D78" s="52">
        <f>+D60</f>
        <v>765</v>
      </c>
      <c r="E78" s="50"/>
      <c r="F78" s="51" t="s">
        <v>77</v>
      </c>
      <c r="G78" s="53">
        <f>+G60</f>
        <v>765</v>
      </c>
    </row>
    <row r="79" spans="3:8" ht="15.6" x14ac:dyDescent="0.3">
      <c r="C79" s="58" t="s">
        <v>78</v>
      </c>
      <c r="D79" s="52">
        <f>+D64</f>
        <v>720</v>
      </c>
      <c r="E79" s="50"/>
      <c r="F79" s="51" t="s">
        <v>78</v>
      </c>
      <c r="G79" s="53">
        <f>+G64</f>
        <v>720</v>
      </c>
    </row>
    <row r="80" spans="3:8" ht="16.2" thickBot="1" x14ac:dyDescent="0.35">
      <c r="C80" s="59" t="s">
        <v>65</v>
      </c>
      <c r="D80" s="55">
        <f>+D68</f>
        <v>570</v>
      </c>
      <c r="E80" s="50"/>
      <c r="F80" s="54" t="s">
        <v>66</v>
      </c>
      <c r="G80" s="56">
        <f>+G68</f>
        <v>570</v>
      </c>
    </row>
    <row r="81" spans="3:7" ht="15.6" x14ac:dyDescent="0.3">
      <c r="C81" s="68"/>
      <c r="D81" s="65"/>
      <c r="E81" s="50"/>
      <c r="F81" s="50"/>
      <c r="G81" s="66"/>
    </row>
    <row r="82" spans="3:7" ht="15.6" x14ac:dyDescent="0.3">
      <c r="C82" s="51" t="s">
        <v>91</v>
      </c>
      <c r="D82" s="67">
        <v>0.5</v>
      </c>
      <c r="E82" s="50"/>
      <c r="F82" s="51" t="s">
        <v>91</v>
      </c>
      <c r="G82" s="69">
        <v>0.5</v>
      </c>
    </row>
    <row r="83" spans="3:7" ht="15.6" x14ac:dyDescent="0.3">
      <c r="C83" s="51" t="s">
        <v>92</v>
      </c>
      <c r="D83" s="67">
        <v>0.5</v>
      </c>
      <c r="E83" s="50"/>
      <c r="F83" s="51" t="s">
        <v>92</v>
      </c>
      <c r="G83" s="69">
        <v>0.5</v>
      </c>
    </row>
    <row r="84" spans="3:7" ht="15.6" x14ac:dyDescent="0.3">
      <c r="C84" s="51"/>
      <c r="D84" s="65"/>
      <c r="E84" s="50"/>
      <c r="F84" s="50"/>
      <c r="G84" s="66"/>
    </row>
    <row r="85" spans="3:7" ht="15.6" x14ac:dyDescent="0.3">
      <c r="C85" s="70" t="s">
        <v>93</v>
      </c>
      <c r="D85" s="65"/>
      <c r="E85" s="50"/>
      <c r="F85" s="50"/>
      <c r="G85" s="66"/>
    </row>
    <row r="86" spans="3:7" ht="15.6" x14ac:dyDescent="0.3">
      <c r="C86" s="28" t="s">
        <v>63</v>
      </c>
      <c r="D86" s="65">
        <f>+D30</f>
        <v>42125</v>
      </c>
      <c r="E86" s="50"/>
      <c r="F86" s="50"/>
      <c r="G86" s="66"/>
    </row>
    <row r="87" spans="3:7" ht="15.6" x14ac:dyDescent="0.3">
      <c r="C87" s="23" t="s">
        <v>64</v>
      </c>
      <c r="D87" s="65">
        <f>+G30</f>
        <v>42125</v>
      </c>
      <c r="E87" s="50"/>
      <c r="F87" s="50"/>
      <c r="G87" s="66"/>
    </row>
    <row r="88" spans="3:7" ht="15.6" x14ac:dyDescent="0.3">
      <c r="C88" s="70" t="s">
        <v>90</v>
      </c>
      <c r="D88" s="71">
        <f>SUM(D86:D87)</f>
        <v>84250</v>
      </c>
      <c r="E88" s="50"/>
      <c r="F88" s="50"/>
      <c r="G88" s="66"/>
    </row>
    <row r="89" spans="3:7" ht="15.6" x14ac:dyDescent="0.3">
      <c r="C89" s="51"/>
      <c r="D89" s="65"/>
      <c r="E89" s="50"/>
      <c r="F89" s="50"/>
      <c r="G89" s="66"/>
    </row>
    <row r="90" spans="3:7" ht="15.6" x14ac:dyDescent="0.3">
      <c r="C90" s="70" t="s">
        <v>87</v>
      </c>
      <c r="D90" s="65"/>
      <c r="E90" s="50"/>
      <c r="F90" s="50"/>
      <c r="G90" s="66"/>
    </row>
    <row r="91" spans="3:7" ht="15.6" x14ac:dyDescent="0.3">
      <c r="C91" s="28" t="s">
        <v>63</v>
      </c>
      <c r="D91" s="65">
        <f>+D36+D43+D53</f>
        <v>21030</v>
      </c>
      <c r="E91" s="50"/>
      <c r="F91" s="50"/>
      <c r="G91" s="66"/>
    </row>
    <row r="92" spans="3:7" ht="15.6" x14ac:dyDescent="0.3">
      <c r="C92" s="23" t="s">
        <v>64</v>
      </c>
      <c r="D92" s="65">
        <f>+G36+G43+G53</f>
        <v>22130</v>
      </c>
      <c r="E92" s="50"/>
      <c r="F92" s="50"/>
      <c r="G92" s="66"/>
    </row>
    <row r="93" spans="3:7" ht="15.6" x14ac:dyDescent="0.3">
      <c r="C93" s="70" t="s">
        <v>90</v>
      </c>
      <c r="D93" s="71">
        <f>SUM(D91:D92)</f>
        <v>43160</v>
      </c>
      <c r="E93" s="50"/>
      <c r="F93" s="50"/>
      <c r="G93" s="66"/>
    </row>
    <row r="94" spans="3:7" ht="15.6" x14ac:dyDescent="0.3">
      <c r="C94" s="51"/>
      <c r="D94" s="65"/>
      <c r="E94" s="50"/>
      <c r="F94" s="50"/>
      <c r="G94" s="66"/>
    </row>
    <row r="95" spans="3:7" ht="15.6" x14ac:dyDescent="0.3">
      <c r="C95" s="51" t="s">
        <v>88</v>
      </c>
      <c r="D95" s="65">
        <f>+D88-D93</f>
        <v>41090</v>
      </c>
      <c r="E95" s="50"/>
      <c r="F95" s="50"/>
      <c r="G95" s="66"/>
    </row>
    <row r="96" spans="3:7" x14ac:dyDescent="0.3">
      <c r="C96" s="23"/>
      <c r="D96" s="21"/>
      <c r="E96" s="32"/>
      <c r="F96" s="21"/>
      <c r="G96" s="44"/>
    </row>
    <row r="97" spans="3:7" x14ac:dyDescent="0.3">
      <c r="C97" s="28" t="s">
        <v>63</v>
      </c>
      <c r="D97" s="4">
        <f>+D95/2</f>
        <v>20545</v>
      </c>
      <c r="E97" s="21"/>
      <c r="F97" s="21"/>
      <c r="G97" s="34"/>
    </row>
    <row r="98" spans="3:7" x14ac:dyDescent="0.3">
      <c r="C98" s="33" t="s">
        <v>64</v>
      </c>
      <c r="D98" s="6">
        <f>+D95/2</f>
        <v>20545</v>
      </c>
      <c r="E98" s="21"/>
      <c r="F98" s="21"/>
      <c r="G98" s="34"/>
    </row>
    <row r="99" spans="3:7" x14ac:dyDescent="0.3">
      <c r="C99" s="46" t="s">
        <v>58</v>
      </c>
      <c r="D99" s="45">
        <f>SUM(D97:D98)</f>
        <v>41090</v>
      </c>
      <c r="E99" s="21"/>
      <c r="F99" s="21"/>
      <c r="G99" s="34"/>
    </row>
    <row r="100" spans="3:7" x14ac:dyDescent="0.3">
      <c r="C100" s="23"/>
      <c r="D100" s="22"/>
      <c r="E100" s="21"/>
      <c r="F100" s="21"/>
      <c r="G100" s="34"/>
    </row>
    <row r="101" spans="3:7" x14ac:dyDescent="0.3">
      <c r="C101" s="23"/>
      <c r="D101" s="21"/>
      <c r="E101" s="21"/>
      <c r="F101" s="21"/>
      <c r="G101" s="24"/>
    </row>
    <row r="102" spans="3:7" x14ac:dyDescent="0.3">
      <c r="C102" s="27" t="s">
        <v>50</v>
      </c>
      <c r="D102" s="30" t="s">
        <v>45</v>
      </c>
      <c r="E102" s="21"/>
      <c r="F102" s="21"/>
      <c r="G102" s="24"/>
    </row>
    <row r="103" spans="3:7" x14ac:dyDescent="0.3">
      <c r="C103" s="23" t="s">
        <v>46</v>
      </c>
      <c r="D103" s="21" t="s">
        <v>47</v>
      </c>
      <c r="E103" s="62"/>
      <c r="F103" s="21"/>
      <c r="G103" s="24"/>
    </row>
    <row r="104" spans="3:7" x14ac:dyDescent="0.3">
      <c r="C104" s="23" t="s">
        <v>48</v>
      </c>
      <c r="D104" s="21" t="s">
        <v>49</v>
      </c>
      <c r="E104" s="62"/>
      <c r="F104" s="21"/>
      <c r="G104" s="24"/>
    </row>
    <row r="105" spans="3:7" x14ac:dyDescent="0.3">
      <c r="C105" s="23"/>
      <c r="D105" s="21"/>
      <c r="E105" s="21"/>
      <c r="F105" s="21"/>
      <c r="G105" s="24"/>
    </row>
    <row r="106" spans="3:7" ht="15" thickBot="1" x14ac:dyDescent="0.35">
      <c r="C106" s="35" t="s">
        <v>51</v>
      </c>
      <c r="D106" s="25"/>
      <c r="E106" s="25"/>
      <c r="F106" s="25"/>
      <c r="G106" s="26"/>
    </row>
    <row r="110" spans="3:7" x14ac:dyDescent="0.3">
      <c r="D110" s="61"/>
    </row>
    <row r="111" spans="3:7" x14ac:dyDescent="0.3">
      <c r="D111" s="61"/>
    </row>
    <row r="112" spans="3:7" x14ac:dyDescent="0.3">
      <c r="D112" s="61"/>
    </row>
    <row r="113" spans="4:7" x14ac:dyDescent="0.3">
      <c r="D113" s="63"/>
    </row>
    <row r="114" spans="4:7" x14ac:dyDescent="0.3">
      <c r="D114" s="61"/>
    </row>
    <row r="115" spans="4:7" x14ac:dyDescent="0.3">
      <c r="D115" s="64"/>
    </row>
    <row r="117" spans="4:7" x14ac:dyDescent="0.3">
      <c r="D117" s="64"/>
    </row>
    <row r="124" spans="4:7" x14ac:dyDescent="0.3">
      <c r="D124">
        <v>765</v>
      </c>
      <c r="E124" s="39">
        <v>0.03</v>
      </c>
      <c r="F124">
        <f>+E124*D124</f>
        <v>22.95</v>
      </c>
      <c r="G124">
        <f>+F124*70</f>
        <v>1606.5</v>
      </c>
    </row>
    <row r="125" spans="4:7" x14ac:dyDescent="0.3">
      <c r="D125">
        <v>720</v>
      </c>
      <c r="E125" s="60">
        <v>0.03</v>
      </c>
      <c r="F125">
        <f>+E125*D125</f>
        <v>21.599999999999998</v>
      </c>
    </row>
    <row r="126" spans="4:7" x14ac:dyDescent="0.3">
      <c r="D126">
        <v>570</v>
      </c>
      <c r="E126" s="60">
        <v>0.03</v>
      </c>
      <c r="F126">
        <f>+E126*D126</f>
        <v>17.099999999999998</v>
      </c>
    </row>
    <row r="128" spans="4:7" x14ac:dyDescent="0.3">
      <c r="D128" t="s">
        <v>86</v>
      </c>
      <c r="E128">
        <v>50</v>
      </c>
    </row>
    <row r="129" spans="4:7" x14ac:dyDescent="0.3">
      <c r="D129" t="s">
        <v>84</v>
      </c>
      <c r="E129" s="7" t="s">
        <v>85</v>
      </c>
    </row>
    <row r="130" spans="4:7" x14ac:dyDescent="0.3">
      <c r="D130" t="s">
        <v>83</v>
      </c>
      <c r="E130">
        <f>2*2*5</f>
        <v>20</v>
      </c>
    </row>
    <row r="135" spans="4:7" x14ac:dyDescent="0.3">
      <c r="G135">
        <f>47.5/2.5</f>
        <v>19</v>
      </c>
    </row>
    <row r="136" spans="4:7" x14ac:dyDescent="0.3">
      <c r="G136">
        <f>+G135*0.9</f>
        <v>17.100000000000001</v>
      </c>
    </row>
  </sheetData>
  <mergeCells count="2">
    <mergeCell ref="C76:D76"/>
    <mergeCell ref="F76:G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dr magaya</cp:lastModifiedBy>
  <dcterms:created xsi:type="dcterms:W3CDTF">2026-01-08T12:20:32Z</dcterms:created>
  <dcterms:modified xsi:type="dcterms:W3CDTF">2026-05-07T08:19:12Z</dcterms:modified>
</cp:coreProperties>
</file>