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16" windowHeight="8676"/>
  </bookViews>
  <sheets>
    <sheet name="Sheet1" sheetId="1" r:id="rId1"/>
  </sheets>
  <definedNames>
    <definedName name="a">Sheet1!$WDV$15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<sst xmlns="http://schemas.openxmlformats.org/spreadsheetml/2006/main" count="294" uniqueCount="152">
  <si>
    <t xml:space="preserve">summit Costs </t>
  </si>
  <si>
    <t xml:space="preserve">summit payments </t>
  </si>
  <si>
    <t xml:space="preserve">outstanding revenue </t>
  </si>
  <si>
    <t>Speaker Costs</t>
  </si>
  <si>
    <t>outstanding speakers fees</t>
  </si>
  <si>
    <t>bank Charges and IMT</t>
  </si>
  <si>
    <t>item</t>
  </si>
  <si>
    <t>units/org</t>
  </si>
  <si>
    <t xml:space="preserve">cost </t>
  </si>
  <si>
    <t xml:space="preserve">aiia </t>
  </si>
  <si>
    <t xml:space="preserve">zimpapers </t>
  </si>
  <si>
    <t>org</t>
  </si>
  <si>
    <t>POP</t>
  </si>
  <si>
    <t>Bank</t>
  </si>
  <si>
    <t xml:space="preserve">delegates </t>
  </si>
  <si>
    <t xml:space="preserve">summit </t>
  </si>
  <si>
    <t xml:space="preserve">package </t>
  </si>
  <si>
    <t xml:space="preserve">org </t>
  </si>
  <si>
    <t xml:space="preserve">amount </t>
  </si>
  <si>
    <t xml:space="preserve">Speaker </t>
  </si>
  <si>
    <t>gift</t>
  </si>
  <si>
    <t>fee</t>
  </si>
  <si>
    <t xml:space="preserve">fuel </t>
  </si>
  <si>
    <t>Total</t>
  </si>
  <si>
    <t>AFC</t>
  </si>
  <si>
    <t xml:space="preserve">tote bags </t>
  </si>
  <si>
    <t xml:space="preserve">mutapa </t>
  </si>
  <si>
    <t xml:space="preserve">ZB </t>
  </si>
  <si>
    <t>Both</t>
  </si>
  <si>
    <t>Summit</t>
  </si>
  <si>
    <t xml:space="preserve">Min Skills </t>
  </si>
  <si>
    <t>vender no.</t>
  </si>
  <si>
    <t xml:space="preserve">Nigel Chanakira </t>
  </si>
  <si>
    <t>full</t>
  </si>
  <si>
    <t>Chris Mugaga</t>
  </si>
  <si>
    <t xml:space="preserve">ecocash </t>
  </si>
  <si>
    <t>ZB</t>
  </si>
  <si>
    <t xml:space="preserve">accommodation </t>
  </si>
  <si>
    <t xml:space="preserve">PK villa/4 rooms </t>
  </si>
  <si>
    <t xml:space="preserve">Zimswitch </t>
  </si>
  <si>
    <t>Summit ,hotel,dinner</t>
  </si>
  <si>
    <t xml:space="preserve">NetOne </t>
  </si>
  <si>
    <t xml:space="preserve">160 liters </t>
  </si>
  <si>
    <t>Dr Dennis Magaya</t>
  </si>
  <si>
    <t xml:space="preserve">POSB </t>
  </si>
  <si>
    <t xml:space="preserve">certificates </t>
  </si>
  <si>
    <t>clureva</t>
  </si>
  <si>
    <t xml:space="preserve">AFC </t>
  </si>
  <si>
    <t xml:space="preserve">this week </t>
  </si>
  <si>
    <t xml:space="preserve">A. Magaya </t>
  </si>
  <si>
    <t>IMT 2%</t>
  </si>
  <si>
    <t xml:space="preserve">folders </t>
  </si>
  <si>
    <t xml:space="preserve">Dr Ruswa </t>
  </si>
  <si>
    <t xml:space="preserve">total </t>
  </si>
  <si>
    <t>keson TV 55'</t>
  </si>
  <si>
    <t xml:space="preserve">Dr G. Machengete </t>
  </si>
  <si>
    <t xml:space="preserve">Flamboyant </t>
  </si>
  <si>
    <t xml:space="preserve">nyaradzo life assurance </t>
  </si>
  <si>
    <t>Commander E T Phillips</t>
  </si>
  <si>
    <t xml:space="preserve">transport </t>
  </si>
  <si>
    <t xml:space="preserve">zisemgwe </t>
  </si>
  <si>
    <t xml:space="preserve">law society </t>
  </si>
  <si>
    <t>Prof Garikai</t>
  </si>
  <si>
    <t xml:space="preserve">bank transfer </t>
  </si>
  <si>
    <t>ZOU</t>
  </si>
  <si>
    <t>POSB</t>
  </si>
  <si>
    <t>First</t>
  </si>
  <si>
    <t>Mr Haparari</t>
  </si>
  <si>
    <t xml:space="preserve">pull up banners </t>
  </si>
  <si>
    <t xml:space="preserve">POTRAZ </t>
  </si>
  <si>
    <t>Summit ,Dinner</t>
  </si>
  <si>
    <t>Mr S Moyo</t>
  </si>
  <si>
    <t>cash</t>
  </si>
  <si>
    <t xml:space="preserve">flyers </t>
  </si>
  <si>
    <t>FBC</t>
  </si>
  <si>
    <t xml:space="preserve">VIP gifts </t>
  </si>
  <si>
    <t xml:space="preserve">telone </t>
  </si>
  <si>
    <t>Dr T Zengeni</t>
  </si>
  <si>
    <t>Dr E ng Manhuwa</t>
  </si>
  <si>
    <t xml:space="preserve">branded notebooks </t>
  </si>
  <si>
    <t xml:space="preserve">Mr Monti Kgendwenyani </t>
  </si>
  <si>
    <t xml:space="preserve">branded bags </t>
  </si>
  <si>
    <t>CBZ</t>
  </si>
  <si>
    <t>Summit ,hotel,dinner,Transport</t>
  </si>
  <si>
    <t>Mr Monti Kgengwenyani</t>
  </si>
  <si>
    <t xml:space="preserve">Flight ticket $830, car rental $440, </t>
  </si>
  <si>
    <t xml:space="preserve">Mr Ndlovu </t>
  </si>
  <si>
    <t xml:space="preserve">lanyards </t>
  </si>
  <si>
    <t xml:space="preserve">CUT students </t>
  </si>
  <si>
    <t>Second</t>
  </si>
  <si>
    <t>Dr N Dhemba</t>
  </si>
  <si>
    <t xml:space="preserve">jackets </t>
  </si>
  <si>
    <t xml:space="preserve">Gweru City Parking </t>
  </si>
  <si>
    <t>Mr R Gorerekufa</t>
  </si>
  <si>
    <t xml:space="preserve">glass shields </t>
  </si>
  <si>
    <t xml:space="preserve">medicines </t>
  </si>
  <si>
    <t>First/att both</t>
  </si>
  <si>
    <t xml:space="preserve">Mr Muduva </t>
  </si>
  <si>
    <t xml:space="preserve">Urban Lifestyles Hotel </t>
  </si>
  <si>
    <t>NBSZ</t>
  </si>
  <si>
    <t>Mr S Muzviyo</t>
  </si>
  <si>
    <t xml:space="preserve">MOSAD </t>
  </si>
  <si>
    <t>Mr R Chihota</t>
  </si>
  <si>
    <t xml:space="preserve">fidelity </t>
  </si>
  <si>
    <t>Mr Muchemwa</t>
  </si>
  <si>
    <t xml:space="preserve">CUT </t>
  </si>
  <si>
    <t>Dr Rukanda</t>
  </si>
  <si>
    <t>DPC</t>
  </si>
  <si>
    <t>Dr Sagomba</t>
  </si>
  <si>
    <t xml:space="preserve">2 cars </t>
  </si>
  <si>
    <t>ZIMRA</t>
  </si>
  <si>
    <t>POSB/ZIG</t>
  </si>
  <si>
    <t>Prof T Mushiri</t>
  </si>
  <si>
    <t xml:space="preserve">Defold Mine </t>
  </si>
  <si>
    <t>Dr P Chiurunge</t>
  </si>
  <si>
    <t>Dr Zengeni</t>
  </si>
  <si>
    <t>speaker fee</t>
  </si>
  <si>
    <t>UZ</t>
  </si>
  <si>
    <t xml:space="preserve">the initial 7k was not summit related </t>
  </si>
  <si>
    <t>Hon Machingura</t>
  </si>
  <si>
    <t xml:space="preserve">Old Mutual </t>
  </si>
  <si>
    <t xml:space="preserve">li Pan </t>
  </si>
  <si>
    <t xml:space="preserve">Moti </t>
  </si>
  <si>
    <t>Nassa</t>
  </si>
  <si>
    <t xml:space="preserve">Saudi </t>
  </si>
  <si>
    <t xml:space="preserve">Min defence </t>
  </si>
  <si>
    <t xml:space="preserve">grand total </t>
  </si>
  <si>
    <t xml:space="preserve">S&amp;S engineering </t>
  </si>
  <si>
    <t xml:space="preserve">MCA </t>
  </si>
  <si>
    <t>dreamwoods (deposit)</t>
  </si>
  <si>
    <t>PK Villa (deposit)</t>
  </si>
  <si>
    <t xml:space="preserve">Econet </t>
  </si>
  <si>
    <t>wateberry/admin AIIA x5</t>
  </si>
  <si>
    <t>Powertel</t>
  </si>
  <si>
    <t xml:space="preserve">Total </t>
  </si>
  <si>
    <t xml:space="preserve">speaker cost </t>
  </si>
  <si>
    <t xml:space="preserve">outstandining income </t>
  </si>
  <si>
    <t>Bank charges &amp; IMT</t>
  </si>
  <si>
    <t xml:space="preserve">total income </t>
  </si>
  <si>
    <t xml:space="preserve">total cost </t>
  </si>
  <si>
    <t>nrtone delegate (aiia)</t>
  </si>
  <si>
    <t xml:space="preserve">NetOne (zimpapers) </t>
  </si>
  <si>
    <t xml:space="preserve">netone sponsorship </t>
  </si>
  <si>
    <t xml:space="preserve">Nssa sponsorship </t>
  </si>
  <si>
    <t xml:space="preserve">Nssa delegates </t>
  </si>
  <si>
    <t>OPC</t>
  </si>
  <si>
    <t xml:space="preserve">net revenue </t>
  </si>
  <si>
    <t xml:space="preserve">total income  </t>
  </si>
  <si>
    <t xml:space="preserve">profit </t>
  </si>
  <si>
    <t xml:space="preserve">cash flows-balances </t>
  </si>
  <si>
    <t xml:space="preserve">outstanding income </t>
  </si>
  <si>
    <t xml:space="preserve">outstanding payments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</si>
</sst>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$&quot;* #,##0_);_(&quot;$&quot;* \(#,##0\);_(&quot;$&quot;* &quot;-&quot;??_);_(@_)"/>
    <numFmt numFmtId="179" formatCode="_(&quot;$&quot;* #,##0.0_);_(&quot;$&quot;* \(#,##0.0\);_(&quot;$&quot;* &quot;-&quot;??.0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4" borderId="8" applyNumberFormat="0" applyAlignment="0" applyProtection="0">
      <alignment vertical="center"/>
    </xf>
    <xf numFmtId="0" fontId="11" fillId="15" borderId="9" applyNumberFormat="0" applyAlignment="0" applyProtection="0">
      <alignment vertical="center"/>
    </xf>
    <xf numFmtId="0" fontId="12" fillId="15" borderId="8" applyNumberFormat="0" applyAlignment="0" applyProtection="0">
      <alignment vertical="center"/>
    </xf>
    <xf numFmtId="0" fontId="13" fillId="1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Font="1" applyFill="1" applyBorder="1" applyAlignment="1"/>
    <xf numFmtId="0" fontId="0" fillId="7" borderId="2" xfId="0" applyFill="1" applyBorder="1">
      <alignment vertical="center"/>
    </xf>
    <xf numFmtId="0" fontId="0" fillId="0" borderId="2" xfId="0" applyBorder="1">
      <alignment vertical="center"/>
    </xf>
    <xf numFmtId="8" fontId="0" fillId="0" borderId="2" xfId="0" applyNumberFormat="1" applyBorder="1">
      <alignment vertical="center"/>
    </xf>
    <xf numFmtId="0" fontId="0" fillId="0" borderId="2" xfId="0" applyNumberFormat="1" applyBorder="1">
      <alignment vertical="center"/>
    </xf>
    <xf numFmtId="178" fontId="0" fillId="0" borderId="2" xfId="0" applyNumberFormat="1" applyBorder="1">
      <alignment vertical="center"/>
    </xf>
    <xf numFmtId="0" fontId="0" fillId="8" borderId="2" xfId="0" applyFill="1" applyBorder="1">
      <alignment vertical="center"/>
    </xf>
    <xf numFmtId="179" fontId="0" fillId="0" borderId="2" xfId="0" applyNumberFormat="1" applyBorder="1">
      <alignment vertical="center"/>
    </xf>
    <xf numFmtId="44" fontId="0" fillId="0" borderId="2" xfId="0" applyNumberFormat="1" applyFont="1" applyFill="1" applyBorder="1" applyAlignment="1"/>
    <xf numFmtId="44" fontId="0" fillId="0" borderId="2" xfId="0" applyNumberFormat="1" applyBorder="1">
      <alignment vertical="center"/>
    </xf>
    <xf numFmtId="0" fontId="0" fillId="9" borderId="0" xfId="0" applyFill="1">
      <alignment vertical="center"/>
    </xf>
    <xf numFmtId="0" fontId="0" fillId="3" borderId="2" xfId="0" applyFont="1" applyFill="1" applyBorder="1" applyAlignment="1"/>
    <xf numFmtId="0" fontId="0" fillId="10" borderId="2" xfId="0" applyFill="1" applyBorder="1">
      <alignment vertical="center"/>
    </xf>
    <xf numFmtId="0" fontId="0" fillId="4" borderId="2" xfId="0" applyFill="1" applyBorder="1">
      <alignment vertical="center"/>
    </xf>
    <xf numFmtId="8" fontId="0" fillId="0" borderId="0" xfId="0" applyNumberFormat="1">
      <alignment vertical="center"/>
    </xf>
    <xf numFmtId="178" fontId="0" fillId="0" borderId="0" xfId="0" applyNumberFormat="1">
      <alignment vertical="center"/>
    </xf>
    <xf numFmtId="44" fontId="0" fillId="0" borderId="0" xfId="0" applyNumberFormat="1">
      <alignment vertical="center"/>
    </xf>
    <xf numFmtId="0" fontId="0" fillId="10" borderId="2" xfId="0" applyFont="1" applyFill="1" applyBorder="1" applyAlignment="1"/>
    <xf numFmtId="0" fontId="0" fillId="11" borderId="2" xfId="0" applyFont="1" applyFill="1" applyBorder="1" applyAlignment="1"/>
    <xf numFmtId="0" fontId="0" fillId="11" borderId="2" xfId="0" applyFill="1" applyBorder="1">
      <alignment vertical="center"/>
    </xf>
    <xf numFmtId="44" fontId="0" fillId="11" borderId="2" xfId="0" applyNumberFormat="1" applyFill="1" applyBorder="1">
      <alignment vertical="center"/>
    </xf>
    <xf numFmtId="0" fontId="0" fillId="9" borderId="2" xfId="0" applyFill="1" applyBorder="1">
      <alignment vertical="center"/>
    </xf>
    <xf numFmtId="44" fontId="0" fillId="2" borderId="2" xfId="0" applyNumberFormat="1" applyFill="1" applyBorder="1">
      <alignment vertical="center"/>
    </xf>
    <xf numFmtId="44" fontId="0" fillId="12" borderId="2" xfId="0" applyNumberFormat="1" applyFill="1" applyBorder="1">
      <alignment vertical="center"/>
    </xf>
    <xf numFmtId="178" fontId="0" fillId="11" borderId="2" xfId="0" applyNumberFormat="1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2" borderId="2" xfId="0" applyFont="1" applyFill="1" applyBorder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9"/>
  <sheetViews>
    <sheetView tabSelected="1" zoomScale="40" zoomScaleNormal="40" workbookViewId="0">
      <selection activeCell="A39" sqref="A39"/>
    </sheetView>
  </sheetViews>
  <sheetFormatPr defaultColWidth="8.88888888888889" defaultRowHeight="14.4"/>
  <cols>
    <col min="1" max="1" width="21.2222222222222" customWidth="1"/>
    <col min="2" max="2" width="23.4444444444444" customWidth="1"/>
    <col min="3" max="3" width="9.88888888888889" customWidth="1"/>
    <col min="5" max="5" width="10.4444444444444" customWidth="1"/>
    <col min="6" max="6" width="9.11111111111111"/>
    <col min="8" max="8" width="28.7777777777778" customWidth="1"/>
    <col min="9" max="9" width="10.6666666666667" customWidth="1"/>
    <col min="10" max="10" width="10.4444444444444" customWidth="1"/>
    <col min="11" max="11" width="9.88888888888889" customWidth="1"/>
    <col min="13" max="14" width="10.4444444444444" customWidth="1"/>
    <col min="15" max="15" width="28.8888888888889" customWidth="1"/>
    <col min="19" max="19" width="10.6666666666667"/>
    <col min="20" max="20" width="11.8888888888889" customWidth="1"/>
    <col min="23" max="23" width="22.7777777777778" customWidth="1"/>
    <col min="24" max="27" width="10.6666666666667"/>
    <col min="29" max="29" width="31.8888888888889" customWidth="1"/>
    <col min="31" max="31" width="22.7777777777778" customWidth="1"/>
    <col min="32" max="34" width="10.6666666666667" customWidth="1"/>
    <col min="35" max="35" width="13.2222222222222" customWidth="1"/>
    <col min="38" max="38" width="14.1111111111111"/>
  </cols>
  <sheetData>
    <row r="1" spans="1:39">
      <c r="A1" s="3" t="s">
        <v>0</v>
      </c>
      <c r="B1" s="3"/>
      <c r="C1" s="3"/>
      <c r="D1" s="3"/>
      <c r="E1" s="3"/>
      <c r="H1" s="4" t="s">
        <v>1</v>
      </c>
      <c r="I1" s="4"/>
      <c r="J1" s="4"/>
      <c r="K1" s="4"/>
      <c r="L1" s="4"/>
      <c r="M1" s="4"/>
      <c r="N1" s="4"/>
      <c r="O1" s="4"/>
      <c r="R1" s="5" t="s">
        <v>2</v>
      </c>
      <c r="S1" s="5"/>
      <c r="T1" s="5"/>
      <c r="W1" s="6" t="s">
        <v>3</v>
      </c>
      <c r="X1" s="6"/>
      <c r="Y1" s="6"/>
      <c r="Z1" s="6"/>
      <c r="AA1" s="6"/>
      <c r="AE1" s="5" t="s">
        <v>4</v>
      </c>
      <c r="AF1" s="5"/>
      <c r="AG1" s="5"/>
      <c r="AH1" s="5"/>
      <c r="AK1" s="7" t="s">
        <v>5</v>
      </c>
      <c r="AL1" s="8"/>
      <c r="AM1" s="8"/>
    </row>
    <row r="2" spans="1:39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9</v>
      </c>
      <c r="M2" s="9" t="s">
        <v>10</v>
      </c>
      <c r="N2" s="9" t="s">
        <v>15</v>
      </c>
      <c r="O2" s="9" t="s">
        <v>16</v>
      </c>
      <c r="R2" s="9" t="s">
        <v>17</v>
      </c>
      <c r="S2" s="9" t="s">
        <v>18</v>
      </c>
      <c r="T2" s="9"/>
      <c r="W2" s="10" t="s">
        <v>19</v>
      </c>
      <c r="X2" s="10" t="s">
        <v>20</v>
      </c>
      <c r="Y2" s="9" t="s">
        <v>21</v>
      </c>
      <c r="Z2" s="9" t="s">
        <v>22</v>
      </c>
      <c r="AA2" s="11" t="s">
        <v>23</v>
      </c>
      <c r="AE2" s="10" t="s">
        <v>19</v>
      </c>
      <c r="AF2" s="9" t="s">
        <v>21</v>
      </c>
      <c r="AG2" s="9" t="s">
        <v>22</v>
      </c>
      <c r="AH2" s="11" t="s">
        <v>23</v>
      </c>
      <c r="AK2" s="12" t="s">
        <v>24</v>
      </c>
      <c r="AL2" s="13">
        <v>250.89</v>
      </c>
      <c r="AM2" s="12"/>
    </row>
    <row r="3" spans="1:39">
      <c r="A3" s="9" t="s">
        <v>25</v>
      </c>
      <c r="B3" s="14">
        <v>100</v>
      </c>
      <c r="C3" s="15">
        <v>230</v>
      </c>
      <c r="D3" s="16"/>
      <c r="E3" s="9"/>
      <c r="H3" s="9" t="s">
        <v>26</v>
      </c>
      <c r="I3" s="15">
        <v>1040</v>
      </c>
      <c r="J3" s="15" t="s">
        <v>27</v>
      </c>
      <c r="K3" s="9">
        <v>1</v>
      </c>
      <c r="L3" s="16"/>
      <c r="M3" s="9"/>
      <c r="N3" s="9" t="s">
        <v>28</v>
      </c>
      <c r="O3" s="9" t="s">
        <v>29</v>
      </c>
      <c r="R3" s="9" t="s">
        <v>30</v>
      </c>
      <c r="S3" s="17">
        <v>1054</v>
      </c>
      <c r="T3" s="9" t="s">
        <v>31</v>
      </c>
      <c r="W3" s="10" t="s">
        <v>32</v>
      </c>
      <c r="X3" s="18">
        <v>20</v>
      </c>
      <c r="Y3" s="18">
        <v>1000</v>
      </c>
      <c r="Z3" s="18"/>
      <c r="AA3" s="19">
        <f>SUM(X3:Z3)</f>
        <v>1020</v>
      </c>
      <c r="AB3" s="20" t="s">
        <v>33</v>
      </c>
      <c r="AE3" s="21" t="s">
        <v>34</v>
      </c>
      <c r="AF3" s="18"/>
      <c r="AG3" s="18">
        <v>0</v>
      </c>
      <c r="AH3" s="19">
        <f t="shared" ref="AH3:AH26" si="0">SUM(AF3:AG3)</f>
        <v>0</v>
      </c>
      <c r="AI3" t="s">
        <v>35</v>
      </c>
      <c r="AK3" s="12" t="s">
        <v>36</v>
      </c>
      <c r="AL3" s="13">
        <v>687.89</v>
      </c>
      <c r="AM3" s="12"/>
    </row>
    <row r="4" spans="1:39">
      <c r="A4" s="9" t="s">
        <v>37</v>
      </c>
      <c r="B4" s="14" t="s">
        <v>38</v>
      </c>
      <c r="C4" s="15">
        <v>200</v>
      </c>
      <c r="D4" s="16"/>
      <c r="E4" s="9"/>
      <c r="H4" s="9" t="s">
        <v>39</v>
      </c>
      <c r="I4" s="15">
        <v>1296</v>
      </c>
      <c r="J4" s="15" t="s">
        <v>27</v>
      </c>
      <c r="K4" s="9">
        <v>1</v>
      </c>
      <c r="L4" s="16"/>
      <c r="M4" s="9"/>
      <c r="N4" s="9" t="s">
        <v>28</v>
      </c>
      <c r="O4" s="9" t="s">
        <v>40</v>
      </c>
      <c r="R4" s="9" t="s">
        <v>41</v>
      </c>
      <c r="S4" s="17">
        <v>9780</v>
      </c>
      <c r="T4" s="22"/>
      <c r="W4" s="10" t="s">
        <v>34</v>
      </c>
      <c r="X4" s="18"/>
      <c r="Y4" s="18"/>
      <c r="Z4" s="18">
        <v>320</v>
      </c>
      <c r="AA4" s="19">
        <f t="shared" ref="AA4:AA29" si="1">SUM(X4:Z4)</f>
        <v>320</v>
      </c>
      <c r="AB4" t="s">
        <v>42</v>
      </c>
      <c r="AE4" s="10" t="s">
        <v>43</v>
      </c>
      <c r="AF4" s="18"/>
      <c r="AG4" s="18"/>
      <c r="AH4" s="19">
        <f t="shared" si="0"/>
        <v>0</v>
      </c>
      <c r="AK4" s="12" t="s">
        <v>44</v>
      </c>
      <c r="AL4" s="13">
        <v>33</v>
      </c>
      <c r="AM4" s="12"/>
    </row>
    <row r="5" spans="1:39">
      <c r="A5" s="9" t="s">
        <v>45</v>
      </c>
      <c r="B5" s="14" t="s">
        <v>46</v>
      </c>
      <c r="C5" s="15">
        <v>69</v>
      </c>
      <c r="D5" s="16"/>
      <c r="E5" s="9"/>
      <c r="H5" s="9" t="s">
        <v>26</v>
      </c>
      <c r="I5" s="15">
        <v>1332</v>
      </c>
      <c r="J5" s="15" t="s">
        <v>47</v>
      </c>
      <c r="K5" s="9">
        <v>1</v>
      </c>
      <c r="L5" s="16"/>
      <c r="M5" s="9"/>
      <c r="N5" s="9" t="s">
        <v>28</v>
      </c>
      <c r="O5" s="9" t="s">
        <v>40</v>
      </c>
      <c r="R5" s="9" t="s">
        <v>44</v>
      </c>
      <c r="S5" s="17">
        <v>1440</v>
      </c>
      <c r="T5" s="9" t="s">
        <v>48</v>
      </c>
      <c r="W5" s="10" t="s">
        <v>43</v>
      </c>
      <c r="X5" s="18">
        <v>20</v>
      </c>
      <c r="Y5" s="18"/>
      <c r="Z5" s="18"/>
      <c r="AA5" s="19">
        <f t="shared" si="1"/>
        <v>20</v>
      </c>
      <c r="AE5" s="10" t="s">
        <v>49</v>
      </c>
      <c r="AF5" s="18">
        <v>0</v>
      </c>
      <c r="AG5" s="18">
        <v>120</v>
      </c>
      <c r="AH5" s="19">
        <f t="shared" si="0"/>
        <v>120</v>
      </c>
      <c r="AK5" s="12" t="s">
        <v>50</v>
      </c>
      <c r="AL5" s="13">
        <v>943.89</v>
      </c>
      <c r="AM5" s="12"/>
    </row>
    <row r="6" spans="1:39">
      <c r="A6" s="9" t="s">
        <v>51</v>
      </c>
      <c r="B6" s="14" t="s">
        <v>46</v>
      </c>
      <c r="C6" s="15">
        <v>27</v>
      </c>
      <c r="D6" s="16"/>
      <c r="E6" s="9"/>
      <c r="H6" s="9" t="s">
        <v>26</v>
      </c>
      <c r="I6" s="15">
        <v>1332</v>
      </c>
      <c r="J6" s="15" t="s">
        <v>47</v>
      </c>
      <c r="K6" s="9">
        <v>1</v>
      </c>
      <c r="L6" s="16"/>
      <c r="M6" s="9"/>
      <c r="N6" s="9" t="s">
        <v>28</v>
      </c>
      <c r="O6" s="9" t="s">
        <v>40</v>
      </c>
      <c r="R6" s="9"/>
      <c r="S6" s="17"/>
      <c r="T6" s="9"/>
      <c r="W6" s="10" t="s">
        <v>49</v>
      </c>
      <c r="X6" s="18">
        <v>20</v>
      </c>
      <c r="Y6" s="18">
        <v>0</v>
      </c>
      <c r="Z6" s="18">
        <v>120</v>
      </c>
      <c r="AA6" s="19">
        <f t="shared" si="1"/>
        <v>140</v>
      </c>
      <c r="AE6" s="10" t="s">
        <v>52</v>
      </c>
      <c r="AF6" s="18">
        <v>200</v>
      </c>
      <c r="AG6" s="18"/>
      <c r="AH6" s="19">
        <f t="shared" si="0"/>
        <v>200</v>
      </c>
      <c r="AK6" s="23" t="s">
        <v>53</v>
      </c>
      <c r="AL6" s="13">
        <f>SUM(AL2:AL5)</f>
        <v>1915.67</v>
      </c>
      <c r="AM6" s="12"/>
    </row>
    <row r="7" spans="1:39">
      <c r="A7" s="9" t="s">
        <v>54</v>
      </c>
      <c r="B7" s="14">
        <v>1</v>
      </c>
      <c r="C7" s="15">
        <v>350</v>
      </c>
      <c r="D7" s="16"/>
      <c r="E7" s="9"/>
      <c r="H7" s="9" t="s">
        <v>26</v>
      </c>
      <c r="I7" s="15">
        <v>1332</v>
      </c>
      <c r="J7" s="15" t="s">
        <v>47</v>
      </c>
      <c r="K7" s="9">
        <v>1</v>
      </c>
      <c r="L7" s="16"/>
      <c r="M7" s="9"/>
      <c r="N7" s="9" t="s">
        <v>28</v>
      </c>
      <c r="O7" s="9" t="s">
        <v>40</v>
      </c>
      <c r="R7" s="9"/>
      <c r="S7" s="17"/>
      <c r="T7" s="9"/>
      <c r="W7" s="10" t="s">
        <v>52</v>
      </c>
      <c r="X7" s="18">
        <v>20</v>
      </c>
      <c r="Y7" s="18">
        <v>200</v>
      </c>
      <c r="Z7" s="18"/>
      <c r="AA7" s="19">
        <f t="shared" si="1"/>
        <v>220</v>
      </c>
      <c r="AE7" s="10" t="s">
        <v>55</v>
      </c>
      <c r="AF7" s="18"/>
      <c r="AG7" s="18"/>
      <c r="AH7" s="19">
        <f t="shared" si="0"/>
        <v>0</v>
      </c>
    </row>
    <row r="8" spans="1:39">
      <c r="A8" s="9" t="s">
        <v>37</v>
      </c>
      <c r="B8" s="14" t="s">
        <v>56</v>
      </c>
      <c r="C8" s="15">
        <v>700</v>
      </c>
      <c r="D8" s="16"/>
      <c r="E8" s="9"/>
      <c r="H8" s="9" t="s">
        <v>57</v>
      </c>
      <c r="I8" s="15">
        <v>3888</v>
      </c>
      <c r="J8" s="15" t="s">
        <v>47</v>
      </c>
      <c r="K8" s="9">
        <v>3</v>
      </c>
      <c r="L8" s="16"/>
      <c r="M8" s="9"/>
      <c r="N8" s="9" t="s">
        <v>28</v>
      </c>
      <c r="O8" s="9" t="s">
        <v>40</v>
      </c>
      <c r="R8" s="9"/>
      <c r="S8" s="17"/>
      <c r="T8" s="9"/>
      <c r="W8" s="10" t="s">
        <v>55</v>
      </c>
      <c r="X8" s="18"/>
      <c r="Y8" s="18"/>
      <c r="Z8" s="18"/>
      <c r="AA8" s="19">
        <f t="shared" si="1"/>
        <v>0</v>
      </c>
      <c r="AE8" s="10" t="s">
        <v>58</v>
      </c>
      <c r="AF8" s="18">
        <v>200</v>
      </c>
      <c r="AG8" s="18"/>
      <c r="AH8" s="19">
        <f t="shared" si="0"/>
        <v>200</v>
      </c>
    </row>
    <row r="9" spans="1:39">
      <c r="A9" s="9" t="s">
        <v>59</v>
      </c>
      <c r="B9" s="14" t="s">
        <v>60</v>
      </c>
      <c r="C9" s="15">
        <v>330</v>
      </c>
      <c r="D9" s="16"/>
      <c r="E9" s="9"/>
      <c r="H9" s="9" t="s">
        <v>61</v>
      </c>
      <c r="I9" s="15">
        <v>1296</v>
      </c>
      <c r="J9" s="15" t="s">
        <v>47</v>
      </c>
      <c r="K9" s="9">
        <v>1</v>
      </c>
      <c r="L9" s="16"/>
      <c r="M9" s="9"/>
      <c r="N9" s="9" t="s">
        <v>28</v>
      </c>
      <c r="O9" s="9" t="s">
        <v>40</v>
      </c>
      <c r="R9" s="9"/>
      <c r="S9" s="17"/>
      <c r="T9" s="9"/>
      <c r="W9" s="10" t="s">
        <v>58</v>
      </c>
      <c r="X9" s="18">
        <v>20</v>
      </c>
      <c r="Y9" s="18">
        <v>200</v>
      </c>
      <c r="Z9" s="18"/>
      <c r="AA9" s="19">
        <f t="shared" si="1"/>
        <v>220</v>
      </c>
      <c r="AE9" s="21" t="s">
        <v>62</v>
      </c>
      <c r="AF9" s="18">
        <v>0</v>
      </c>
      <c r="AG9" s="18">
        <v>0</v>
      </c>
      <c r="AH9" s="19">
        <f t="shared" si="0"/>
        <v>0</v>
      </c>
      <c r="AI9" t="s">
        <v>63</v>
      </c>
      <c r="AL9" s="24"/>
    </row>
    <row r="10" spans="1:39">
      <c r="A10" s="9" t="s">
        <v>59</v>
      </c>
      <c r="B10" s="14" t="s">
        <v>60</v>
      </c>
      <c r="C10" s="15">
        <v>350</v>
      </c>
      <c r="D10" s="16"/>
      <c r="E10" s="9"/>
      <c r="H10" s="9" t="s">
        <v>64</v>
      </c>
      <c r="I10" s="15">
        <v>2160</v>
      </c>
      <c r="J10" s="15" t="s">
        <v>65</v>
      </c>
      <c r="K10" s="9">
        <v>3</v>
      </c>
      <c r="L10" s="16"/>
      <c r="M10" s="9"/>
      <c r="N10" s="9" t="s">
        <v>66</v>
      </c>
      <c r="O10" s="9" t="s">
        <v>40</v>
      </c>
      <c r="R10" s="9"/>
      <c r="S10" s="17"/>
      <c r="T10" s="9"/>
      <c r="W10" s="10" t="s">
        <v>62</v>
      </c>
      <c r="X10" s="18">
        <v>20</v>
      </c>
      <c r="Y10" s="18">
        <v>200</v>
      </c>
      <c r="Z10" s="18">
        <v>120</v>
      </c>
      <c r="AA10" s="19">
        <f t="shared" si="1"/>
        <v>340</v>
      </c>
      <c r="AE10" s="10" t="s">
        <v>67</v>
      </c>
      <c r="AF10" s="18">
        <v>200</v>
      </c>
      <c r="AG10" s="18"/>
      <c r="AH10" s="19">
        <f t="shared" si="0"/>
        <v>200</v>
      </c>
    </row>
    <row r="11" spans="1:39">
      <c r="A11" s="9" t="s">
        <v>68</v>
      </c>
      <c r="B11" s="14">
        <v>2</v>
      </c>
      <c r="C11" s="15">
        <v>140</v>
      </c>
      <c r="D11" s="16"/>
      <c r="E11" s="9"/>
      <c r="H11" s="9" t="s">
        <v>69</v>
      </c>
      <c r="I11" s="15">
        <v>4710</v>
      </c>
      <c r="J11" s="15" t="s">
        <v>27</v>
      </c>
      <c r="K11" s="9">
        <v>3</v>
      </c>
      <c r="L11" s="16"/>
      <c r="M11" s="9"/>
      <c r="N11" s="9" t="s">
        <v>66</v>
      </c>
      <c r="O11" s="9" t="s">
        <v>70</v>
      </c>
      <c r="R11" s="9" t="s">
        <v>53</v>
      </c>
      <c r="S11" s="17">
        <f>SUM(S3:S9)</f>
        <v>12274</v>
      </c>
      <c r="T11" s="9"/>
      <c r="W11" s="10" t="s">
        <v>67</v>
      </c>
      <c r="X11" s="18">
        <v>20</v>
      </c>
      <c r="Y11" s="18">
        <v>200</v>
      </c>
      <c r="Z11" s="18"/>
      <c r="AA11" s="19">
        <f t="shared" si="1"/>
        <v>220</v>
      </c>
      <c r="AE11" s="21" t="s">
        <v>71</v>
      </c>
      <c r="AF11" s="18">
        <v>0</v>
      </c>
      <c r="AG11" s="18"/>
      <c r="AH11" s="19">
        <f t="shared" si="0"/>
        <v>0</v>
      </c>
      <c r="AI11" t="s">
        <v>72</v>
      </c>
    </row>
    <row r="12" spans="1:39">
      <c r="A12" s="9" t="s">
        <v>73</v>
      </c>
      <c r="B12" s="14">
        <v>240</v>
      </c>
      <c r="C12" s="15">
        <v>40</v>
      </c>
      <c r="D12" s="16"/>
      <c r="E12" s="9"/>
      <c r="H12" s="9" t="s">
        <v>74</v>
      </c>
      <c r="I12" s="15">
        <v>1440</v>
      </c>
      <c r="J12" s="15" t="s">
        <v>27</v>
      </c>
      <c r="K12" s="9">
        <v>1</v>
      </c>
      <c r="L12" s="16"/>
      <c r="M12" s="9"/>
      <c r="N12" s="9" t="s">
        <v>28</v>
      </c>
      <c r="O12" s="9" t="s">
        <v>40</v>
      </c>
      <c r="W12" s="10" t="s">
        <v>71</v>
      </c>
      <c r="X12" s="18">
        <v>20</v>
      </c>
      <c r="Y12" s="18">
        <v>200</v>
      </c>
      <c r="Z12" s="18"/>
      <c r="AA12" s="19">
        <f t="shared" si="1"/>
        <v>220</v>
      </c>
      <c r="AE12" s="10"/>
      <c r="AF12" s="18"/>
      <c r="AG12" s="18"/>
      <c r="AH12" s="19"/>
    </row>
    <row r="13" spans="1:39">
      <c r="A13" s="9" t="s">
        <v>75</v>
      </c>
      <c r="B13" s="14">
        <v>4</v>
      </c>
      <c r="C13" s="15">
        <v>380</v>
      </c>
      <c r="D13" s="16"/>
      <c r="E13" s="9"/>
      <c r="F13" s="25">
        <f>SUM(C13:C18)</f>
        <v>1650</v>
      </c>
      <c r="H13" s="9" t="s">
        <v>76</v>
      </c>
      <c r="I13" s="15">
        <v>2664</v>
      </c>
      <c r="J13" s="15" t="s">
        <v>65</v>
      </c>
      <c r="K13" s="9">
        <v>2</v>
      </c>
      <c r="L13" s="16"/>
      <c r="M13" s="9"/>
      <c r="N13" s="9" t="s">
        <v>28</v>
      </c>
      <c r="O13" s="9" t="s">
        <v>40</v>
      </c>
      <c r="W13" s="10" t="s">
        <v>77</v>
      </c>
      <c r="X13" s="18">
        <v>20</v>
      </c>
      <c r="Y13" s="18">
        <v>200</v>
      </c>
      <c r="Z13" s="18">
        <v>120</v>
      </c>
      <c r="AA13" s="19">
        <f t="shared" si="1"/>
        <v>340</v>
      </c>
      <c r="AB13" s="20">
        <v>250</v>
      </c>
      <c r="AC13" s="26">
        <f>AA13-AB13</f>
        <v>90</v>
      </c>
      <c r="AE13" s="21" t="s">
        <v>78</v>
      </c>
      <c r="AF13" s="18">
        <v>0</v>
      </c>
      <c r="AG13" s="18">
        <v>0</v>
      </c>
      <c r="AH13" s="19">
        <f t="shared" si="0"/>
        <v>0</v>
      </c>
      <c r="AI13" t="s">
        <v>63</v>
      </c>
    </row>
    <row r="14" spans="1:39">
      <c r="A14" s="9" t="s">
        <v>79</v>
      </c>
      <c r="B14" s="14">
        <v>50</v>
      </c>
      <c r="C14" s="15">
        <v>250</v>
      </c>
      <c r="D14" s="16"/>
      <c r="E14" s="9"/>
      <c r="H14" s="9" t="s">
        <v>76</v>
      </c>
      <c r="I14" s="15">
        <v>1332</v>
      </c>
      <c r="J14" s="15" t="s">
        <v>27</v>
      </c>
      <c r="K14" s="9">
        <v>1</v>
      </c>
      <c r="L14" s="16"/>
      <c r="M14" s="9"/>
      <c r="N14" s="9" t="s">
        <v>28</v>
      </c>
      <c r="O14" s="9" t="s">
        <v>40</v>
      </c>
      <c r="W14" s="10" t="s">
        <v>78</v>
      </c>
      <c r="X14" s="18">
        <v>20</v>
      </c>
      <c r="Y14" s="18">
        <v>300</v>
      </c>
      <c r="Z14" s="18">
        <v>120</v>
      </c>
      <c r="AA14" s="19">
        <f t="shared" si="1"/>
        <v>440</v>
      </c>
      <c r="AE14" s="10" t="s">
        <v>80</v>
      </c>
      <c r="AF14" s="18">
        <v>1100</v>
      </c>
      <c r="AG14" s="18"/>
      <c r="AH14" s="19">
        <f t="shared" si="0"/>
        <v>1100</v>
      </c>
    </row>
    <row r="15" spans="1:39">
      <c r="A15" s="9" t="s">
        <v>81</v>
      </c>
      <c r="B15" s="14">
        <v>100</v>
      </c>
      <c r="C15" s="15">
        <v>150</v>
      </c>
      <c r="D15" s="16"/>
      <c r="E15" s="9"/>
      <c r="H15" s="9" t="s">
        <v>82</v>
      </c>
      <c r="I15" s="15">
        <v>765</v>
      </c>
      <c r="J15" s="15" t="s">
        <v>65</v>
      </c>
      <c r="K15" s="9">
        <v>1</v>
      </c>
      <c r="L15" s="16"/>
      <c r="M15" s="9"/>
      <c r="N15" s="9" t="s">
        <v>66</v>
      </c>
      <c r="O15" s="9" t="s">
        <v>83</v>
      </c>
      <c r="W15" s="27" t="s">
        <v>84</v>
      </c>
      <c r="X15" s="18">
        <v>20</v>
      </c>
      <c r="Y15" s="18">
        <v>1270</v>
      </c>
      <c r="Z15" s="18">
        <v>130</v>
      </c>
      <c r="AA15" s="19">
        <f t="shared" si="1"/>
        <v>1420</v>
      </c>
      <c r="AB15" s="20">
        <v>300</v>
      </c>
      <c r="AC15" t="s">
        <v>85</v>
      </c>
      <c r="AE15" s="28" t="s">
        <v>86</v>
      </c>
      <c r="AF15" s="18">
        <v>150</v>
      </c>
      <c r="AG15" s="18"/>
      <c r="AH15" s="19">
        <f t="shared" si="0"/>
        <v>150</v>
      </c>
    </row>
    <row r="16" spans="1:39">
      <c r="A16" s="9" t="s">
        <v>87</v>
      </c>
      <c r="B16" s="14">
        <v>100</v>
      </c>
      <c r="C16" s="15">
        <v>200</v>
      </c>
      <c r="D16" s="16"/>
      <c r="E16" s="9"/>
      <c r="H16" s="9" t="s">
        <v>88</v>
      </c>
      <c r="I16" s="15">
        <v>1500</v>
      </c>
      <c r="J16" s="15" t="s">
        <v>27</v>
      </c>
      <c r="K16" s="9">
        <v>5</v>
      </c>
      <c r="L16" s="16"/>
      <c r="M16" s="9"/>
      <c r="N16" s="9" t="s">
        <v>89</v>
      </c>
      <c r="O16" s="9" t="s">
        <v>83</v>
      </c>
      <c r="W16" s="28" t="s">
        <v>86</v>
      </c>
      <c r="X16" s="18">
        <v>20</v>
      </c>
      <c r="Y16" s="18">
        <v>150</v>
      </c>
      <c r="Z16" s="18"/>
      <c r="AA16" s="19">
        <f t="shared" si="1"/>
        <v>170</v>
      </c>
      <c r="AE16" s="21" t="s">
        <v>90</v>
      </c>
      <c r="AF16" s="18">
        <v>0</v>
      </c>
      <c r="AG16" s="18">
        <v>0</v>
      </c>
      <c r="AH16" s="19">
        <f t="shared" si="0"/>
        <v>0</v>
      </c>
      <c r="AI16" t="s">
        <v>63</v>
      </c>
    </row>
    <row r="17" spans="1:35">
      <c r="A17" s="9" t="s">
        <v>91</v>
      </c>
      <c r="B17" s="14">
        <v>100</v>
      </c>
      <c r="C17" s="15">
        <v>150</v>
      </c>
      <c r="D17" s="16"/>
      <c r="E17" s="9"/>
      <c r="H17" s="9" t="s">
        <v>92</v>
      </c>
      <c r="I17" s="15">
        <v>570</v>
      </c>
      <c r="J17" s="15" t="s">
        <v>27</v>
      </c>
      <c r="K17" s="9">
        <v>1</v>
      </c>
      <c r="L17" s="16"/>
      <c r="M17" s="9"/>
      <c r="N17" s="9" t="s">
        <v>89</v>
      </c>
      <c r="O17" s="9" t="s">
        <v>70</v>
      </c>
      <c r="W17" s="28" t="s">
        <v>90</v>
      </c>
      <c r="X17" s="18">
        <v>20</v>
      </c>
      <c r="Y17" s="18">
        <v>200</v>
      </c>
      <c r="Z17" s="18">
        <v>120</v>
      </c>
      <c r="AA17" s="19">
        <f t="shared" si="1"/>
        <v>340</v>
      </c>
      <c r="AE17" s="21" t="s">
        <v>93</v>
      </c>
      <c r="AF17" s="18">
        <v>0</v>
      </c>
      <c r="AG17" s="18">
        <v>0</v>
      </c>
      <c r="AH17" s="19">
        <f t="shared" si="0"/>
        <v>0</v>
      </c>
      <c r="AI17" t="s">
        <v>63</v>
      </c>
    </row>
    <row r="18" spans="1:35">
      <c r="A18" s="9" t="s">
        <v>94</v>
      </c>
      <c r="B18" s="14">
        <v>26</v>
      </c>
      <c r="C18" s="15">
        <v>520</v>
      </c>
      <c r="D18" s="16"/>
      <c r="E18" s="9"/>
      <c r="H18" s="9" t="s">
        <v>95</v>
      </c>
      <c r="I18" s="15">
        <v>1140</v>
      </c>
      <c r="J18" s="15" t="s">
        <v>27</v>
      </c>
      <c r="K18" s="9">
        <v>2</v>
      </c>
      <c r="L18" s="16"/>
      <c r="M18" s="9"/>
      <c r="N18" s="9" t="s">
        <v>96</v>
      </c>
      <c r="O18" s="9" t="s">
        <v>70</v>
      </c>
      <c r="W18" s="28" t="s">
        <v>93</v>
      </c>
      <c r="X18" s="18">
        <v>20</v>
      </c>
      <c r="Y18" s="18">
        <v>200</v>
      </c>
      <c r="Z18" s="18">
        <v>120</v>
      </c>
      <c r="AA18" s="19">
        <f t="shared" si="1"/>
        <v>340</v>
      </c>
      <c r="AE18" s="21" t="s">
        <v>97</v>
      </c>
      <c r="AF18" s="18">
        <v>0</v>
      </c>
      <c r="AG18" s="18">
        <v>0</v>
      </c>
      <c r="AH18" s="19">
        <f t="shared" si="0"/>
        <v>0</v>
      </c>
      <c r="AI18" t="s">
        <v>35</v>
      </c>
    </row>
    <row r="19" spans="1:35">
      <c r="A19" s="9" t="s">
        <v>37</v>
      </c>
      <c r="B19" s="9" t="s">
        <v>98</v>
      </c>
      <c r="C19" s="15">
        <v>1200</v>
      </c>
      <c r="D19" s="16"/>
      <c r="E19" s="9"/>
      <c r="F19" s="25">
        <f>SUM(C19+C20+C21+C22+C23+C25+C31+C32+C33+C34)</f>
        <v>32221</v>
      </c>
      <c r="H19" s="9" t="s">
        <v>99</v>
      </c>
      <c r="I19" s="15">
        <v>2592</v>
      </c>
      <c r="J19" s="15" t="s">
        <v>65</v>
      </c>
      <c r="K19" s="9">
        <v>2</v>
      </c>
      <c r="L19" s="16"/>
      <c r="M19" s="9"/>
      <c r="N19" s="9" t="s">
        <v>28</v>
      </c>
      <c r="O19" s="9" t="s">
        <v>40</v>
      </c>
      <c r="W19" s="10" t="s">
        <v>97</v>
      </c>
      <c r="X19" s="18">
        <v>20</v>
      </c>
      <c r="Y19" s="18">
        <v>300</v>
      </c>
      <c r="Z19" s="18">
        <v>120</v>
      </c>
      <c r="AA19" s="19">
        <f t="shared" si="1"/>
        <v>440</v>
      </c>
      <c r="AE19" s="21" t="s">
        <v>100</v>
      </c>
      <c r="AF19" s="18">
        <v>0</v>
      </c>
      <c r="AG19" s="18"/>
      <c r="AH19" s="19">
        <f t="shared" si="0"/>
        <v>0</v>
      </c>
      <c r="AI19" t="s">
        <v>63</v>
      </c>
    </row>
    <row r="20" spans="1:35">
      <c r="A20" s="9" t="s">
        <v>37</v>
      </c>
      <c r="B20" s="14" t="s">
        <v>98</v>
      </c>
      <c r="C20" s="15">
        <v>1040</v>
      </c>
      <c r="D20" s="16"/>
      <c r="E20" s="9"/>
      <c r="H20" s="9" t="s">
        <v>101</v>
      </c>
      <c r="I20" s="15">
        <v>1054</v>
      </c>
      <c r="J20" s="15" t="s">
        <v>27</v>
      </c>
      <c r="K20" s="9">
        <v>1</v>
      </c>
      <c r="L20" s="16"/>
      <c r="M20" s="9"/>
      <c r="N20" s="9" t="s">
        <v>28</v>
      </c>
      <c r="O20" s="9" t="s">
        <v>70</v>
      </c>
      <c r="W20" s="10" t="s">
        <v>100</v>
      </c>
      <c r="X20" s="18">
        <v>20</v>
      </c>
      <c r="Y20" s="18">
        <v>200</v>
      </c>
      <c r="Z20" s="18"/>
      <c r="AA20" s="19">
        <f t="shared" si="1"/>
        <v>220</v>
      </c>
      <c r="AE20" s="10" t="s">
        <v>102</v>
      </c>
      <c r="AF20" s="18">
        <v>250</v>
      </c>
      <c r="AG20" s="18"/>
      <c r="AH20" s="19">
        <f t="shared" si="0"/>
        <v>250</v>
      </c>
    </row>
    <row r="21" spans="1:35">
      <c r="A21" s="9" t="s">
        <v>37</v>
      </c>
      <c r="B21" s="14" t="s">
        <v>98</v>
      </c>
      <c r="C21" s="15">
        <v>3100</v>
      </c>
      <c r="D21" s="16"/>
      <c r="E21" s="9"/>
      <c r="H21" s="9" t="s">
        <v>103</v>
      </c>
      <c r="I21" s="15">
        <v>4320</v>
      </c>
      <c r="J21" s="15" t="s">
        <v>27</v>
      </c>
      <c r="K21" s="9">
        <v>3</v>
      </c>
      <c r="L21" s="16"/>
      <c r="M21" s="9"/>
      <c r="N21" s="9" t="s">
        <v>28</v>
      </c>
      <c r="O21" s="9" t="s">
        <v>40</v>
      </c>
      <c r="W21" s="10" t="s">
        <v>102</v>
      </c>
      <c r="X21" s="18">
        <v>20</v>
      </c>
      <c r="Y21" s="18">
        <v>250</v>
      </c>
      <c r="Z21" s="18"/>
      <c r="AA21" s="19">
        <f t="shared" si="1"/>
        <v>270</v>
      </c>
      <c r="AE21" s="10" t="s">
        <v>104</v>
      </c>
      <c r="AF21" s="18">
        <v>100</v>
      </c>
      <c r="AG21" s="18">
        <v>120</v>
      </c>
      <c r="AH21" s="19">
        <f t="shared" si="0"/>
        <v>220</v>
      </c>
    </row>
    <row r="22" spans="1:35">
      <c r="A22" s="9" t="s">
        <v>37</v>
      </c>
      <c r="B22" s="14" t="s">
        <v>98</v>
      </c>
      <c r="C22" s="15">
        <v>7696</v>
      </c>
      <c r="D22" s="16"/>
      <c r="E22" s="9"/>
      <c r="H22" s="9" t="s">
        <v>105</v>
      </c>
      <c r="I22" s="15">
        <v>2754</v>
      </c>
      <c r="J22" s="15" t="s">
        <v>27</v>
      </c>
      <c r="K22" s="9">
        <v>2</v>
      </c>
      <c r="L22" s="16"/>
      <c r="M22" s="9"/>
      <c r="N22" s="9" t="s">
        <v>28</v>
      </c>
      <c r="O22" s="9" t="s">
        <v>83</v>
      </c>
      <c r="W22" s="10" t="s">
        <v>104</v>
      </c>
      <c r="X22" s="18">
        <v>20</v>
      </c>
      <c r="Y22" s="18">
        <v>100</v>
      </c>
      <c r="Z22" s="18">
        <v>120</v>
      </c>
      <c r="AA22" s="19">
        <f t="shared" si="1"/>
        <v>240</v>
      </c>
      <c r="AE22" s="10" t="s">
        <v>106</v>
      </c>
      <c r="AF22" s="18">
        <v>0</v>
      </c>
      <c r="AG22" s="18"/>
      <c r="AH22" s="19">
        <f t="shared" si="0"/>
        <v>0</v>
      </c>
    </row>
    <row r="23" spans="1:35">
      <c r="A23" s="9" t="s">
        <v>37</v>
      </c>
      <c r="B23" s="14" t="s">
        <v>98</v>
      </c>
      <c r="C23" s="15">
        <v>2000</v>
      </c>
      <c r="D23" s="16"/>
      <c r="E23" s="9"/>
      <c r="H23" s="9" t="s">
        <v>107</v>
      </c>
      <c r="I23" s="15">
        <v>570</v>
      </c>
      <c r="J23" s="15" t="s">
        <v>47</v>
      </c>
      <c r="K23" s="9">
        <v>1</v>
      </c>
      <c r="L23" s="16"/>
      <c r="M23" s="9"/>
      <c r="N23" s="9" t="s">
        <v>89</v>
      </c>
      <c r="O23" s="9" t="s">
        <v>70</v>
      </c>
      <c r="W23" s="10" t="s">
        <v>106</v>
      </c>
      <c r="X23" s="18"/>
      <c r="Y23" s="18">
        <v>0</v>
      </c>
      <c r="Z23" s="18"/>
      <c r="AA23" s="19">
        <f t="shared" si="1"/>
        <v>0</v>
      </c>
      <c r="AE23" s="21" t="s">
        <v>108</v>
      </c>
      <c r="AF23" s="18">
        <v>0</v>
      </c>
      <c r="AG23" s="18">
        <v>0</v>
      </c>
      <c r="AH23" s="19">
        <f t="shared" si="0"/>
        <v>0</v>
      </c>
      <c r="AI23" t="s">
        <v>72</v>
      </c>
    </row>
    <row r="24" spans="1:35">
      <c r="A24" s="9" t="s">
        <v>22</v>
      </c>
      <c r="B24" s="9" t="s">
        <v>109</v>
      </c>
      <c r="C24" s="15">
        <v>280</v>
      </c>
      <c r="D24" s="16"/>
      <c r="E24" s="9"/>
      <c r="H24" s="9" t="s">
        <v>110</v>
      </c>
      <c r="I24" s="15">
        <v>6480</v>
      </c>
      <c r="J24" s="15" t="s">
        <v>111</v>
      </c>
      <c r="K24" s="9">
        <v>5</v>
      </c>
      <c r="L24" s="16"/>
      <c r="M24" s="9"/>
      <c r="N24" s="9" t="s">
        <v>28</v>
      </c>
      <c r="O24" s="9" t="s">
        <v>83</v>
      </c>
      <c r="W24" s="10" t="s">
        <v>108</v>
      </c>
      <c r="X24" s="18">
        <v>20</v>
      </c>
      <c r="Y24" s="18">
        <v>100</v>
      </c>
      <c r="Z24" s="18">
        <v>120</v>
      </c>
      <c r="AA24" s="19">
        <f t="shared" si="1"/>
        <v>240</v>
      </c>
      <c r="AE24" s="10" t="s">
        <v>112</v>
      </c>
      <c r="AF24" s="18"/>
      <c r="AG24" s="18"/>
      <c r="AH24" s="19">
        <f t="shared" si="0"/>
        <v>0</v>
      </c>
    </row>
    <row r="25" spans="1:35">
      <c r="A25" s="9" t="s">
        <v>37</v>
      </c>
      <c r="B25" s="9" t="s">
        <v>98</v>
      </c>
      <c r="C25" s="15">
        <v>6500</v>
      </c>
      <c r="D25" s="16"/>
      <c r="E25" s="9"/>
      <c r="H25" s="9" t="s">
        <v>113</v>
      </c>
      <c r="I25" s="15">
        <v>570</v>
      </c>
      <c r="J25" s="15" t="s">
        <v>27</v>
      </c>
      <c r="K25" s="9">
        <v>1</v>
      </c>
      <c r="L25" s="16"/>
      <c r="M25" s="9"/>
      <c r="N25" s="9" t="s">
        <v>89</v>
      </c>
      <c r="O25" s="9" t="s">
        <v>70</v>
      </c>
      <c r="W25" s="10" t="s">
        <v>112</v>
      </c>
      <c r="X25" s="18"/>
      <c r="Y25" s="18"/>
      <c r="Z25" s="18"/>
      <c r="AA25" s="19">
        <f t="shared" si="1"/>
        <v>0</v>
      </c>
      <c r="AE25" s="21" t="s">
        <v>114</v>
      </c>
      <c r="AF25" s="18">
        <v>0</v>
      </c>
      <c r="AG25" s="18">
        <v>0</v>
      </c>
      <c r="AH25" s="19">
        <f t="shared" si="0"/>
        <v>0</v>
      </c>
      <c r="AI25" t="s">
        <v>63</v>
      </c>
    </row>
    <row r="26" spans="1:35">
      <c r="A26" s="9" t="s">
        <v>115</v>
      </c>
      <c r="B26" s="9" t="s">
        <v>116</v>
      </c>
      <c r="C26" s="15">
        <v>250</v>
      </c>
      <c r="D26" s="16"/>
      <c r="E26" s="9"/>
      <c r="H26" s="9" t="s">
        <v>117</v>
      </c>
      <c r="I26" s="17">
        <v>2677.5</v>
      </c>
      <c r="J26" s="9" t="s">
        <v>27</v>
      </c>
      <c r="K26" s="9">
        <v>2</v>
      </c>
      <c r="L26" s="16"/>
      <c r="M26" s="9"/>
      <c r="N26" s="9" t="s">
        <v>28</v>
      </c>
      <c r="O26" s="9" t="s">
        <v>83</v>
      </c>
      <c r="P26" t="s">
        <v>118</v>
      </c>
      <c r="W26" s="10" t="s">
        <v>114</v>
      </c>
      <c r="X26" s="18">
        <v>20</v>
      </c>
      <c r="Y26" s="18">
        <v>100</v>
      </c>
      <c r="Z26" s="18">
        <v>120</v>
      </c>
      <c r="AA26" s="19">
        <f t="shared" si="1"/>
        <v>240</v>
      </c>
      <c r="AE26" s="10" t="s">
        <v>119</v>
      </c>
      <c r="AF26" s="18"/>
      <c r="AG26" s="18"/>
      <c r="AH26" s="19">
        <f t="shared" si="0"/>
        <v>0</v>
      </c>
    </row>
    <row r="27" spans="1:35">
      <c r="A27" s="9" t="s">
        <v>32</v>
      </c>
      <c r="B27" s="9" t="s">
        <v>116</v>
      </c>
      <c r="C27" s="15">
        <v>1000</v>
      </c>
      <c r="D27" s="16"/>
      <c r="E27" s="9"/>
      <c r="H27" s="9" t="s">
        <v>120</v>
      </c>
      <c r="I27" s="9"/>
      <c r="J27" s="9"/>
      <c r="K27" s="9">
        <v>4</v>
      </c>
      <c r="L27" s="9"/>
      <c r="M27" s="16"/>
      <c r="N27" s="9"/>
      <c r="O27" s="9"/>
      <c r="W27" s="10" t="s">
        <v>119</v>
      </c>
      <c r="X27" s="18"/>
      <c r="Y27" s="18"/>
      <c r="Z27" s="18"/>
      <c r="AA27" s="19">
        <f t="shared" si="1"/>
        <v>0</v>
      </c>
      <c r="AE27" s="9" t="s">
        <v>121</v>
      </c>
      <c r="AF27" s="19">
        <v>0</v>
      </c>
      <c r="AG27" s="19">
        <v>0</v>
      </c>
      <c r="AH27" s="19"/>
    </row>
    <row r="28" spans="1:35">
      <c r="A28" s="9" t="s">
        <v>122</v>
      </c>
      <c r="B28" s="9" t="s">
        <v>116</v>
      </c>
      <c r="C28" s="15">
        <v>300</v>
      </c>
      <c r="D28" s="16"/>
      <c r="E28" s="9"/>
      <c r="H28" s="9" t="s">
        <v>123</v>
      </c>
      <c r="I28" s="15"/>
      <c r="J28" s="9"/>
      <c r="K28" s="14">
        <v>3</v>
      </c>
      <c r="L28" s="9"/>
      <c r="M28" s="16"/>
      <c r="N28" s="9"/>
      <c r="O28" s="9"/>
      <c r="W28" s="9" t="s">
        <v>121</v>
      </c>
      <c r="X28" s="19">
        <v>0</v>
      </c>
      <c r="Y28" s="19">
        <v>0</v>
      </c>
      <c r="Z28" s="19">
        <v>0</v>
      </c>
      <c r="AA28" s="19"/>
      <c r="AE28" s="29" t="s">
        <v>124</v>
      </c>
      <c r="AF28" s="30">
        <v>0</v>
      </c>
      <c r="AG28" s="30">
        <v>0</v>
      </c>
      <c r="AH28" s="30"/>
    </row>
    <row r="29" spans="1:35">
      <c r="A29" s="9" t="s">
        <v>59</v>
      </c>
      <c r="B29" s="9" t="s">
        <v>60</v>
      </c>
      <c r="C29" s="15">
        <v>300</v>
      </c>
      <c r="D29" s="16"/>
      <c r="E29" s="9"/>
      <c r="H29" s="22" t="s">
        <v>125</v>
      </c>
      <c r="I29" s="9"/>
      <c r="J29" s="9"/>
      <c r="K29" s="9">
        <v>2</v>
      </c>
      <c r="L29" s="9"/>
      <c r="M29" s="9"/>
      <c r="N29" s="9"/>
      <c r="O29" s="9"/>
      <c r="W29" s="29" t="s">
        <v>124</v>
      </c>
      <c r="X29" s="30">
        <v>0</v>
      </c>
      <c r="Y29" s="30">
        <v>0</v>
      </c>
      <c r="Z29" s="30">
        <v>0</v>
      </c>
      <c r="AA29" s="30"/>
      <c r="AE29" s="31" t="s">
        <v>126</v>
      </c>
      <c r="AF29" s="30">
        <f>SUM(AF3:AF28)</f>
        <v>2200</v>
      </c>
      <c r="AG29" s="30">
        <f>SUM(AG3:AG28)</f>
        <v>240</v>
      </c>
      <c r="AH29" s="32">
        <f>SUM(AH3:AH28)</f>
        <v>2440</v>
      </c>
    </row>
    <row r="30" spans="1:35">
      <c r="A30" s="9" t="s">
        <v>59</v>
      </c>
      <c r="B30" s="9" t="s">
        <v>60</v>
      </c>
      <c r="C30" s="15">
        <v>370</v>
      </c>
      <c r="D30" s="16"/>
      <c r="E30" s="9"/>
      <c r="H30" s="22" t="s">
        <v>127</v>
      </c>
      <c r="I30" s="9"/>
      <c r="J30" s="9"/>
      <c r="K30" s="9">
        <v>1</v>
      </c>
      <c r="L30" s="9"/>
      <c r="M30" s="9"/>
      <c r="N30" s="9"/>
      <c r="O30" s="9"/>
      <c r="W30" s="31" t="s">
        <v>126</v>
      </c>
      <c r="X30" s="30">
        <f>SUM(X3:X29)</f>
        <v>400</v>
      </c>
      <c r="Y30" s="30">
        <f>SUM(Y3:Y29)</f>
        <v>5370</v>
      </c>
      <c r="Z30" s="30">
        <f>SUM(Z3:Z29)</f>
        <v>1650</v>
      </c>
      <c r="AA30" s="33">
        <f>SUM(AA3:AA29)</f>
        <v>7420</v>
      </c>
    </row>
    <row r="31" spans="1:35">
      <c r="A31" s="9" t="s">
        <v>37</v>
      </c>
      <c r="B31" s="9" t="s">
        <v>98</v>
      </c>
      <c r="C31" s="15">
        <v>8000</v>
      </c>
      <c r="D31" s="16"/>
      <c r="E31" s="9"/>
      <c r="H31" s="22" t="s">
        <v>128</v>
      </c>
      <c r="I31" s="9"/>
      <c r="J31" s="9"/>
      <c r="K31" s="9">
        <v>2</v>
      </c>
      <c r="L31" s="9"/>
      <c r="M31" s="9"/>
      <c r="N31" s="9"/>
      <c r="O31" s="9"/>
    </row>
    <row r="32" spans="1:35">
      <c r="A32" s="9" t="s">
        <v>37</v>
      </c>
      <c r="B32" s="9" t="s">
        <v>129</v>
      </c>
      <c r="C32" s="15">
        <v>1400</v>
      </c>
      <c r="D32" s="16"/>
      <c r="E32" s="9"/>
      <c r="H32" s="9" t="s">
        <v>41</v>
      </c>
      <c r="I32" s="15"/>
      <c r="J32" s="9"/>
      <c r="K32" s="14">
        <v>20</v>
      </c>
      <c r="L32" s="9"/>
      <c r="M32" s="16"/>
      <c r="N32" s="9"/>
      <c r="O32" s="9"/>
    </row>
    <row r="33" spans="1:43">
      <c r="A33" s="9" t="s">
        <v>37</v>
      </c>
      <c r="B33" s="9" t="s">
        <v>130</v>
      </c>
      <c r="C33" s="15">
        <v>1100</v>
      </c>
      <c r="D33" s="16"/>
      <c r="E33" s="9"/>
      <c r="H33" s="9" t="s">
        <v>131</v>
      </c>
      <c r="I33" s="9"/>
      <c r="J33" s="9"/>
      <c r="K33" s="9">
        <v>12</v>
      </c>
      <c r="L33" s="9"/>
      <c r="M33" s="16"/>
      <c r="N33" s="9"/>
      <c r="O33" s="9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customFormat="1" spans="1:43">
      <c r="A34" s="9" t="s">
        <v>37</v>
      </c>
      <c r="B34" s="9" t="s">
        <v>132</v>
      </c>
      <c r="C34" s="15">
        <v>185</v>
      </c>
      <c r="D34" s="16"/>
      <c r="E34" s="9"/>
      <c r="H34" s="9" t="s">
        <v>133</v>
      </c>
      <c r="I34" s="17">
        <v>1140</v>
      </c>
      <c r="J34" s="9" t="s">
        <v>65</v>
      </c>
      <c r="K34" s="9">
        <v>1</v>
      </c>
      <c r="L34" s="16"/>
      <c r="M34" s="29"/>
      <c r="N34" s="9" t="s">
        <v>28</v>
      </c>
      <c r="O34" s="9" t="s">
        <v>70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customFormat="1" spans="1:43">
      <c r="A35" s="9"/>
      <c r="B35" s="9"/>
      <c r="C35" s="15"/>
      <c r="D35" s="9"/>
      <c r="E35" s="9"/>
      <c r="H35" s="9"/>
      <c r="I35" s="9"/>
      <c r="J35" s="9"/>
      <c r="K35" s="9"/>
      <c r="L35" s="9"/>
      <c r="M35" s="9"/>
      <c r="N35" s="9"/>
      <c r="O35" s="9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customFormat="1" spans="1:43">
      <c r="A36" s="11" t="s">
        <v>53</v>
      </c>
      <c r="B36" s="9"/>
      <c r="C36" s="34">
        <f>SUM(C3:C34)</f>
        <v>38807</v>
      </c>
      <c r="D36" s="35"/>
      <c r="E36" s="9"/>
      <c r="H36" s="11" t="s">
        <v>134</v>
      </c>
      <c r="I36" s="15">
        <f>SUM(I3:I34)</f>
        <v>49954.5</v>
      </c>
      <c r="J36" s="35"/>
      <c r="K36" s="14">
        <f>SUM(K3:K33)</f>
        <v>89</v>
      </c>
      <c r="L36" s="9"/>
      <c r="M36" s="9"/>
      <c r="N36" s="9"/>
      <c r="O36" s="9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="1" customFormat="1" spans="1:43">
      <c r="A37" s="11" t="s">
        <v>135</v>
      </c>
      <c r="B37" s="9"/>
      <c r="C37" s="34">
        <f>AA30</f>
        <v>7420</v>
      </c>
      <c r="D37"/>
      <c r="E37"/>
      <c r="F37" s="2"/>
      <c r="G37" s="2"/>
      <c r="H37" s="9" t="s">
        <v>136</v>
      </c>
      <c r="I37" s="15">
        <f>S11</f>
        <v>12274</v>
      </c>
      <c r="J37"/>
      <c r="K37"/>
      <c r="L37"/>
      <c r="M37"/>
      <c r="N37"/>
      <c r="O37"/>
      <c r="P37" s="2"/>
      <c r="Q37" s="2"/>
      <c r="R37" s="2"/>
      <c r="S37" s="2"/>
      <c r="T37" s="2"/>
      <c r="U37" s="2"/>
      <c r="V37" s="2"/>
      <c r="W37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36"/>
    </row>
    <row r="38" s="2" customFormat="1" spans="1:43">
      <c r="A38" s="11" t="s">
        <v>137</v>
      </c>
      <c r="B38" s="9"/>
      <c r="C38" s="34">
        <f>AL6</f>
        <v>1915.67</v>
      </c>
      <c r="D38"/>
      <c r="E38"/>
      <c r="H38" s="37" t="s">
        <v>138</v>
      </c>
      <c r="I38" s="15">
        <f>I36+I37</f>
        <v>62228.5</v>
      </c>
      <c r="J38"/>
      <c r="K38"/>
      <c r="L38"/>
      <c r="M38"/>
      <c r="N38"/>
      <c r="O38"/>
      <c r="W38"/>
      <c r="X38"/>
      <c r="Y38"/>
      <c r="Z38"/>
      <c r="AA38"/>
      <c r="AE38"/>
      <c r="AF38"/>
      <c r="AG38"/>
      <c r="AH38"/>
    </row>
    <row r="39" customFormat="1" spans="1:43">
      <c r="A39" s="11" t="s">
        <v>139</v>
      </c>
      <c r="B39" s="9"/>
      <c r="C39" s="34">
        <f>SUM(C36:C38)+AL6</f>
        <v>50058.34</v>
      </c>
    </row>
    <row r="40" customFormat="1" spans="1:43">
      <c r="C40" s="25"/>
    </row>
    <row r="41" spans="1:43">
      <c r="A41" s="29" t="s">
        <v>125</v>
      </c>
      <c r="B41" s="9">
        <v>2</v>
      </c>
    </row>
    <row r="42" spans="1:43">
      <c r="A42" s="29" t="s">
        <v>127</v>
      </c>
      <c r="B42" s="9">
        <v>1</v>
      </c>
    </row>
    <row r="43" spans="1:43">
      <c r="A43" s="29" t="s">
        <v>128</v>
      </c>
      <c r="B43" s="9">
        <v>2</v>
      </c>
    </row>
    <row r="44" spans="1:43">
      <c r="A44" s="9" t="s">
        <v>140</v>
      </c>
      <c r="B44" s="9">
        <v>2</v>
      </c>
    </row>
    <row r="45" spans="1:43">
      <c r="A45" s="9" t="s">
        <v>141</v>
      </c>
      <c r="B45" s="9">
        <v>15</v>
      </c>
    </row>
    <row r="46" spans="1:43">
      <c r="A46" s="9" t="s">
        <v>142</v>
      </c>
      <c r="B46" s="9">
        <v>8</v>
      </c>
    </row>
    <row r="47" spans="1:43">
      <c r="A47" s="9" t="s">
        <v>143</v>
      </c>
      <c r="B47" s="9">
        <v>1</v>
      </c>
    </row>
    <row r="48" spans="1:43">
      <c r="A48" s="9" t="s">
        <v>144</v>
      </c>
      <c r="B48" s="9">
        <v>2</v>
      </c>
    </row>
    <row r="49" spans="1:3">
      <c r="A49" s="9" t="s">
        <v>145</v>
      </c>
      <c r="B49" s="9">
        <v>2</v>
      </c>
    </row>
    <row r="51" spans="1:3">
      <c r="A51" s="37" t="s">
        <v>146</v>
      </c>
      <c r="B51" s="9"/>
    </row>
    <row r="52" spans="1:3">
      <c r="A52" s="9" t="s">
        <v>147</v>
      </c>
      <c r="B52" s="15">
        <f>I38</f>
        <v>62228.5</v>
      </c>
    </row>
    <row r="53" spans="1:3">
      <c r="A53" s="9" t="s">
        <v>139</v>
      </c>
      <c r="B53" s="15">
        <f>C39</f>
        <v>50058.34</v>
      </c>
    </row>
    <row r="54" spans="1:3">
      <c r="A54" s="9" t="s">
        <v>148</v>
      </c>
      <c r="B54" s="15">
        <f>B52-B53</f>
        <v>12170.16</v>
      </c>
      <c r="C54" s="38">
        <f>B54/B52</f>
        <v>0.195572125312357</v>
      </c>
    </row>
    <row r="55" spans="1:3">
      <c r="B55" s="25"/>
    </row>
    <row r="56" spans="1:3">
      <c r="A56" s="37" t="s">
        <v>149</v>
      </c>
      <c r="B56" s="9"/>
    </row>
    <row r="57" spans="1:3">
      <c r="A57" s="9" t="s">
        <v>150</v>
      </c>
      <c r="B57" s="17">
        <f>S11</f>
        <v>12274</v>
      </c>
    </row>
    <row r="58" spans="1:3">
      <c r="A58" s="9" t="s">
        <v>151</v>
      </c>
      <c r="B58" s="19">
        <f>AH29</f>
        <v>2440</v>
      </c>
    </row>
    <row r="59" spans="1:3">
      <c r="A59" s="9" t="s">
        <v>146</v>
      </c>
      <c r="B59" s="19">
        <f>B57-B58</f>
        <v>9834</v>
      </c>
    </row>
  </sheetData>
  <mergeCells count="6">
    <mergeCell ref="A1:E1"/>
    <mergeCell ref="H1:O1"/>
    <mergeCell ref="R1:T1"/>
    <mergeCell ref="W1:AA1"/>
    <mergeCell ref="AE1:AH1"/>
    <mergeCell ref="AK1:AM1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Magaya</dc:creator>
  <cp:lastModifiedBy>Arthur Magaya</cp:lastModifiedBy>
  <dcterms:created xsi:type="dcterms:W3CDTF">2026-06-22T07:37:00Z</dcterms:created>
  <dcterms:modified xsi:type="dcterms:W3CDTF">2026-07-02T13:29:59Z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BB7AA628DBEB414B8926BACCF155865C_11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